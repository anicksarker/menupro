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O Rates" sheetId="1" state="visible" r:id="rId3"/>
    <sheet name="Inputs" sheetId="2" state="visible" r:id="rId4"/>
    <sheet name="MORTALITY" sheetId="3" state="visible" r:id="rId5"/>
    <sheet name="Projection (Annual)" sheetId="4" state="visible" r:id="rId6"/>
    <sheet name="Commutation" sheetId="5" state="visible" r:id="rId7"/>
    <sheet name="CV_RATES" sheetId="6" state="visible" r:id="rId8"/>
    <sheet name="PUA_TABLE" sheetId="7" state="visible" r:id="rId9"/>
    <sheet name="TERM_RATES" sheetId="8" state="visible" r:id="rId10"/>
    <sheet name="DIvidend_Assumption" sheetId="9" state="visible" r:id="rId11"/>
    <sheet name="Projection_Monthly" sheetId="10" state="visible" r:id="rId12"/>
    <sheet name="RPU" sheetId="11" state="visible" r:id="rId13"/>
    <sheet name="ETI" sheetId="12" state="visible" r:id="rId14"/>
    <sheet name="APL" sheetId="13" state="visible" r:id="rId15"/>
    <sheet name="Loa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<sst xmlns="http://schemas.openxmlformats.org/spreadsheetml/2006/main" count="346" uniqueCount="242">
  <si>
    <t xml:space="preserve">CSO</t>
  </si>
  <si>
    <t xml:space="preserve">AM</t>
  </si>
  <si>
    <t xml:space="preserve">AE</t>
  </si>
  <si>
    <t xml:space="preserve">58CET</t>
  </si>
  <si>
    <t xml:space="preserve">80B</t>
  </si>
  <si>
    <t xml:space="preserve">Sex</t>
  </si>
  <si>
    <t xml:space="preserve">M</t>
  </si>
  <si>
    <t xml:space="preserve">F</t>
  </si>
  <si>
    <t xml:space="preserve">U</t>
  </si>
  <si>
    <t xml:space="preserve">UW</t>
  </si>
  <si>
    <t xml:space="preserve">X</t>
  </si>
  <si>
    <t xml:space="preserve">S</t>
  </si>
  <si>
    <t xml:space="preserve">N</t>
  </si>
  <si>
    <t xml:space="preserve">B</t>
  </si>
  <si>
    <t xml:space="preserve">Output</t>
  </si>
  <si>
    <t xml:space="preserve">Mortality Table</t>
  </si>
  <si>
    <t xml:space="preserve">Cash Value</t>
  </si>
  <si>
    <t xml:space="preserve">Legend</t>
  </si>
  <si>
    <t xml:space="preserve">Underwriting Class</t>
  </si>
  <si>
    <t xml:space="preserve">Ben_info</t>
  </si>
  <si>
    <t xml:space="preserve">PUA Cash Value</t>
  </si>
  <si>
    <t xml:space="preserve">Link with Data</t>
  </si>
  <si>
    <t xml:space="preserve">Matched Policies</t>
  </si>
  <si>
    <t xml:space="preserve">Plan Code</t>
  </si>
  <si>
    <t xml:space="preserve">Policy_info</t>
  </si>
  <si>
    <t xml:space="preserve">ETI</t>
  </si>
  <si>
    <t xml:space="preserve">Formulae</t>
  </si>
  <si>
    <t xml:space="preserve">Policy Number</t>
  </si>
  <si>
    <t xml:space="preserve">05451200</t>
  </si>
  <si>
    <t xml:space="preserve">13657260</t>
  </si>
  <si>
    <t xml:space="preserve">13353710</t>
  </si>
  <si>
    <t xml:space="preserve">13535530</t>
  </si>
  <si>
    <t xml:space="preserve">07340050</t>
  </si>
  <si>
    <t xml:space="preserve">RPU</t>
  </si>
  <si>
    <t xml:space="preserve">Dropdown Selection</t>
  </si>
  <si>
    <t xml:space="preserve">Gender</t>
  </si>
  <si>
    <t xml:space="preserve">Male</t>
  </si>
  <si>
    <t xml:space="preserve">Female</t>
  </si>
  <si>
    <t xml:space="preserve">APL</t>
  </si>
  <si>
    <t xml:space="preserve">Units</t>
  </si>
  <si>
    <t xml:space="preserve">Issue Age</t>
  </si>
  <si>
    <t xml:space="preserve">Age nearest birthday</t>
  </si>
  <si>
    <t xml:space="preserve">Loan Outstanding</t>
  </si>
  <si>
    <t xml:space="preserve">PUA Units</t>
  </si>
  <si>
    <t xml:space="preserve">Premium Paying Term (PPT)</t>
  </si>
  <si>
    <t xml:space="preserve">Enter Premium Paying Term (years) User input</t>
  </si>
  <si>
    <t xml:space="preserve">Issue Date</t>
  </si>
  <si>
    <t xml:space="preserve">Valuation Date</t>
  </si>
  <si>
    <t xml:space="preserve">DOB</t>
  </si>
  <si>
    <t xml:space="preserve">Mortality</t>
  </si>
  <si>
    <t xml:space="preserve">41CSO250</t>
  </si>
  <si>
    <t xml:space="preserve">58CSO300</t>
  </si>
  <si>
    <t xml:space="preserve">Input Value</t>
  </si>
  <si>
    <t xml:space="preserve">Age Basis</t>
  </si>
  <si>
    <t xml:space="preserve">Age Nearest</t>
  </si>
  <si>
    <t xml:space="preserve">Last Anniversary</t>
  </si>
  <si>
    <t xml:space="preserve">Name_Add</t>
  </si>
  <si>
    <t xml:space="preserve">Current age</t>
  </si>
  <si>
    <t xml:space="preserve">Age at Valuation Date</t>
  </si>
  <si>
    <t xml:space="preserve">Duration(x)</t>
  </si>
  <si>
    <t xml:space="preserve">Policy Duration (complete years)</t>
  </si>
  <si>
    <t xml:space="preserve">Duration(x+1)</t>
  </si>
  <si>
    <t xml:space="preserve">Duration for next anniversary</t>
  </si>
  <si>
    <t xml:space="preserve">Base SA</t>
  </si>
  <si>
    <t xml:space="preserve">Declared Dividend (After Conv Date)</t>
  </si>
  <si>
    <t xml:space="preserve">New field from Div data</t>
  </si>
  <si>
    <t xml:space="preserve">Declared Dividend Rate (p.a.)</t>
  </si>
  <si>
    <t xml:space="preserve">Expense Loading Factor</t>
  </si>
  <si>
    <t xml:space="preserve">Dividend Option</t>
  </si>
  <si>
    <t xml:space="preserve">PUA</t>
  </si>
  <si>
    <t xml:space="preserve">Accumulation Interest Rate (p.a.)</t>
  </si>
  <si>
    <t xml:space="preserve">Annual Base Premium</t>
  </si>
  <si>
    <t xml:space="preserve">Modal Premium</t>
  </si>
  <si>
    <t xml:space="preserve">Premium Mode</t>
  </si>
  <si>
    <t xml:space="preserve">Annual</t>
  </si>
  <si>
    <t xml:space="preserve">Modal Factor</t>
  </si>
  <si>
    <t xml:space="preserve">Contract Status</t>
  </si>
  <si>
    <t xml:space="preserve">A</t>
  </si>
  <si>
    <t xml:space="preserve">Premium Paid-Up Duration</t>
  </si>
  <si>
    <t xml:space="preserve">MIN(PPT, Duration)</t>
  </si>
  <si>
    <t xml:space="preserve">Is Currently Paying Premium</t>
  </si>
  <si>
    <t xml:space="preserve">TRUE if PPT End Date &gt; Valuation Date</t>
  </si>
  <si>
    <t xml:space="preserve">Loan Intrest Rate</t>
  </si>
  <si>
    <t xml:space="preserve">c_ln_loan_curr_int_rate</t>
  </si>
  <si>
    <t xml:space="preserve">Loan Interest Type</t>
  </si>
  <si>
    <t xml:space="preserve">c_ln_loan_int_method ( A-Arrear, D- Advance)</t>
  </si>
  <si>
    <t xml:space="preserve">Loan Start Date</t>
  </si>
  <si>
    <t xml:space="preserve">c_ln_loan_curr_bal_date</t>
  </si>
  <si>
    <t xml:space="preserve">Starting Loan Amount</t>
  </si>
  <si>
    <t xml:space="preserve">c_ln_curr_loan_balance</t>
  </si>
  <si>
    <t xml:space="preserve">Loan Repayment Date</t>
  </si>
  <si>
    <t xml:space="preserve">Repayment Amount</t>
  </si>
  <si>
    <t xml:space="preserve">c_ln_loan_repaid_to_date</t>
  </si>
  <si>
    <t xml:space="preserve">Age</t>
  </si>
  <si>
    <t xml:space="preserve">q_x (1958 CET ANB MALE)</t>
  </si>
  <si>
    <t xml:space="preserve">Plan Name</t>
  </si>
  <si>
    <t xml:space="preserve">Date</t>
  </si>
  <si>
    <t xml:space="preserve">Year</t>
  </si>
  <si>
    <t xml:space="preserve">Duration</t>
  </si>
  <si>
    <t xml:space="preserve">CV Factor (x+1)</t>
  </si>
  <si>
    <t xml:space="preserve">CV Factor (x)</t>
  </si>
  <si>
    <t xml:space="preserve">Days to next anniversary</t>
  </si>
  <si>
    <t xml:space="preserve">CV</t>
  </si>
  <si>
    <t xml:space="preserve">qx</t>
  </si>
  <si>
    <t xml:space="preserve">lx</t>
  </si>
  <si>
    <t xml:space="preserve">dx</t>
  </si>
  <si>
    <t xml:space="preserve">v^x</t>
  </si>
  <si>
    <t xml:space="preserve">Dx</t>
  </si>
  <si>
    <t xml:space="preserve">Cx</t>
  </si>
  <si>
    <t xml:space="preserve">Nx</t>
  </si>
  <si>
    <t xml:space="preserve">Mx</t>
  </si>
  <si>
    <t xml:space="preserve">ax_due</t>
  </si>
  <si>
    <t xml:space="preserve">Ax</t>
  </si>
  <si>
    <t xml:space="preserve">NLP_per_1000</t>
  </si>
  <si>
    <t xml:space="preserve">LPP_NLP_per_1000</t>
  </si>
  <si>
    <t xml:space="preserve">Code</t>
  </si>
  <si>
    <t xml:space="preserve">Attained Age</t>
  </si>
  <si>
    <t xml:space="preserve">px</t>
  </si>
  <si>
    <t xml:space="preserve">Interest Rate</t>
  </si>
  <si>
    <t xml:space="preserve">Beta (NLP/1000)</t>
  </si>
  <si>
    <t xml:space="preserve">CV (BOY)</t>
  </si>
  <si>
    <t xml:space="preserve">CV (EOY)</t>
  </si>
  <si>
    <t xml:space="preserve">CV FACTOR</t>
  </si>
  <si>
    <t xml:space="preserve">PUA SP per $1 SA (Ax)</t>
  </si>
  <si>
    <t xml:space="preserve">Nx+1</t>
  </si>
  <si>
    <t xml:space="preserve">PUA CVF per 1000 (Fackler)</t>
  </si>
  <si>
    <t xml:space="preserve">Annual Term Cost per $1 of SA - by Attained Age</t>
  </si>
  <si>
    <t xml:space="preserve">Term Cost (via recursion method)</t>
  </si>
  <si>
    <t xml:space="preserve">v*qx</t>
  </si>
  <si>
    <t xml:space="preserve">v*q(x+1)*px</t>
  </si>
  <si>
    <t xml:space="preserve">Plan</t>
  </si>
  <si>
    <t xml:space="preserve">Month Index</t>
  </si>
  <si>
    <t xml:space="preserve">Last Anniv</t>
  </si>
  <si>
    <t xml:space="preserve">Next Anniv</t>
  </si>
  <si>
    <t xml:space="preserve">Frac within Year</t>
  </si>
  <si>
    <t xml:space="preserve">CV Factor_n</t>
  </si>
  <si>
    <t xml:space="preserve">CV Factor_n+1</t>
  </si>
  <si>
    <t xml:space="preserve">CV per 1000</t>
  </si>
  <si>
    <t xml:space="preserve">CV Total (Base)</t>
  </si>
  <si>
    <t xml:space="preserve">PUA CV</t>
  </si>
  <si>
    <t xml:space="preserve">Pre-Dividend PUA SA (cum)</t>
  </si>
  <si>
    <t xml:space="preserve">Dividend Base SA</t>
  </si>
  <si>
    <t xml:space="preserve">Monthly Div Rate</t>
  </si>
  <si>
    <t xml:space="preserve">Dividend Amount</t>
  </si>
  <si>
    <t xml:space="preserve">Accum Div </t>
  </si>
  <si>
    <t xml:space="preserve">Accum Div Prev End</t>
  </si>
  <si>
    <t xml:space="preserve">Accum Div Prev Growth</t>
  </si>
  <si>
    <t xml:space="preserve">Out-of-Pocket Premium</t>
  </si>
  <si>
    <t xml:space="preserve">Cash Dividend Paid</t>
  </si>
  <si>
    <t xml:space="preserve">Dividend to PUA</t>
  </si>
  <si>
    <t xml:space="preserve">PUA SP per $1 SA</t>
  </si>
  <si>
    <t xml:space="preserve">PUA SA Add (this month)</t>
  </si>
  <si>
    <t xml:space="preserve">PUA SA (cum)</t>
  </si>
  <si>
    <t xml:space="preserve">CV from PUA</t>
  </si>
  <si>
    <t xml:space="preserve">CV Total (Incl PUA)</t>
  </si>
  <si>
    <t xml:space="preserve">Premium Offset Applied (Div + Accum Div growth)</t>
  </si>
  <si>
    <t xml:space="preserve">Reduced Paid-Up (RPU) - Actuarial Calculation</t>
  </si>
  <si>
    <t xml:space="preserve">Status</t>
  </si>
  <si>
    <t xml:space="preserve">Original Sum Assured</t>
  </si>
  <si>
    <t xml:space="preserve">═══ Method 1: Cash Value / Net Single Premium ═══</t>
  </si>
  <si>
    <t xml:space="preserve">Gross Cash Value (tVx)</t>
  </si>
  <si>
    <t xml:space="preserve">Net Single Premium at Attained Age (Ax)</t>
  </si>
  <si>
    <t xml:space="preserve">RPU SA (Uncapped) = CV / Ax</t>
  </si>
  <si>
    <t xml:space="preserve">═══ Method 2: Reserve Ratio (Actuarial Formula) ═══</t>
  </si>
  <si>
    <t xml:space="preserve">Reserve per $1000 at Duration t</t>
  </si>
  <si>
    <t xml:space="preserve">RPU SA = SA × (tVx/1000) / Ax</t>
  </si>
  <si>
    <t xml:space="preserve">═══════════════════════════════════════════════</t>
  </si>
  <si>
    <t xml:space="preserve">FINAL RPU Sum Assured</t>
  </si>
  <si>
    <t xml:space="preserve">Comparison:</t>
  </si>
  <si>
    <t xml:space="preserve">Is Capping Applied?</t>
  </si>
  <si>
    <t xml:space="preserve">Note: When CV/Ax &gt; SA, capping prevents over-insurance.</t>
  </si>
  <si>
    <t xml:space="preserve">Both methods should yield the same result when using</t>
  </si>
  <si>
    <t xml:space="preserve">consistent actuarial assumptions.</t>
  </si>
  <si>
    <t xml:space="preserve">Extended Term Insurance (ETI) - Calculations</t>
  </si>
  <si>
    <t xml:space="preserve">Discount Rate</t>
  </si>
  <si>
    <t xml:space="preserve">ETI Years (full)</t>
  </si>
  <si>
    <t xml:space="preserve">Face Amount</t>
  </si>
  <si>
    <t xml:space="preserve">Partial Year (fraction)</t>
  </si>
  <si>
    <t xml:space="preserve">Gross Cash Value</t>
  </si>
  <si>
    <t xml:space="preserve">ETI Duration (years)</t>
  </si>
  <si>
    <t xml:space="preserve">Attained Age at Val Date</t>
  </si>
  <si>
    <t xml:space="preserve">ETI Expiry Date</t>
  </si>
  <si>
    <t xml:space="preserve">v (1/(1+i))</t>
  </si>
  <si>
    <t xml:space="preserve">Policy Year of ETI</t>
  </si>
  <si>
    <t xml:space="preserve">Term Cost per $1 SA for 1 Year</t>
  </si>
  <si>
    <t xml:space="preserve">Cash Value required for Base face Amt for 1 Year</t>
  </si>
  <si>
    <t xml:space="preserve">Remaining CV after cumulative ETI cost</t>
  </si>
  <si>
    <t xml:space="preserve">Indicator</t>
  </si>
  <si>
    <t xml:space="preserve">Automatic Premium Loan (APL)</t>
  </si>
  <si>
    <t xml:space="preserve">APL Enabled (TRUE/FALSE)</t>
  </si>
  <si>
    <t xml:space="preserve">Link with Data/Input</t>
  </si>
  <si>
    <t xml:space="preserve">Policy Loan Interest Rate (p.a.)</t>
  </si>
  <si>
    <t xml:space="preserve">Payments per Year (mode)</t>
  </si>
  <si>
    <t xml:space="preserve">Annual Premium</t>
  </si>
  <si>
    <t xml:space="preserve">CV at Valuation Date</t>
  </si>
  <si>
    <t xml:space="preserve">Policy End Date</t>
  </si>
  <si>
    <t xml:space="preserve">Loanable % of CV</t>
  </si>
  <si>
    <t xml:space="preserve">APL End Date</t>
  </si>
  <si>
    <t xml:space="preserve">Period #</t>
  </si>
  <si>
    <t xml:space="preserve">Due Date (approx)</t>
  </si>
  <si>
    <t xml:space="preserve">Beginning Balance</t>
  </si>
  <si>
    <t xml:space="preserve">Interest</t>
  </si>
  <si>
    <t xml:space="preserve">APL Drawn</t>
  </si>
  <si>
    <t xml:space="preserve">Payment Covered by APL</t>
  </si>
  <si>
    <t xml:space="preserve">Ending Balance</t>
  </si>
  <si>
    <t xml:space="preserve">Net CV (CV - Loan)</t>
  </si>
  <si>
    <t xml:space="preserve">Policy Status</t>
  </si>
  <si>
    <t xml:space="preserve">LOAN MODULE - Multiple Loans &amp; Repayments</t>
  </si>
  <si>
    <t xml:space="preserve">HELPER COLUMNS (can be hidden)</t>
  </si>
  <si>
    <t xml:space="preserve">SORTED EVENTS</t>
  </si>
  <si>
    <t xml:space="preserve">Type</t>
  </si>
  <si>
    <t xml:space="preserve">Amount</t>
  </si>
  <si>
    <t xml:space="preserve">Sort Key</t>
  </si>
  <si>
    <t xml:space="preserve">#</t>
  </si>
  <si>
    <t xml:space="preserve">Input Parameters</t>
  </si>
  <si>
    <t xml:space="preserve">Loan Interest Rate</t>
  </si>
  <si>
    <t xml:space="preserve">Guaranteed Interest Rate</t>
  </si>
  <si>
    <t xml:space="preserve">Face Amount (SA)</t>
  </si>
  <si>
    <t xml:space="preserve">LOAN TRANSACTIONS (Enter up to 10 loans)</t>
  </si>
  <si>
    <t xml:space="preserve">REPAYMENT TRANSACTIONS (Enter up to 10 repayments)</t>
  </si>
  <si>
    <t xml:space="preserve">Loan #</t>
  </si>
  <si>
    <t xml:space="preserve">Loan Date</t>
  </si>
  <si>
    <t xml:space="preserve">Loan Amount</t>
  </si>
  <si>
    <t xml:space="preserve">Repay #</t>
  </si>
  <si>
    <t xml:space="preserve">Repayment Date</t>
  </si>
  <si>
    <t xml:space="preserve">ADVANCE METHOD (Compound Interest - Interest charged at beginning of period)</t>
  </si>
  <si>
    <t xml:space="preserve">ARREAR METHOD (Compound Interest - Interest charged at end of period)</t>
  </si>
  <si>
    <t xml:space="preserve">Event #</t>
  </si>
  <si>
    <t xml:space="preserve">Effective Date</t>
  </si>
  <si>
    <t xml:space="preserve">Days from Prior</t>
  </si>
  <si>
    <t xml:space="preserve">Interest (Advance)</t>
  </si>
  <si>
    <t xml:space="preserve">Outstanding After</t>
  </si>
  <si>
    <t xml:space="preserve">Is Anniversary?</t>
  </si>
  <si>
    <t xml:space="preserve">Interest Accrued</t>
  </si>
  <si>
    <t xml:space="preserve">NOTES:</t>
  </si>
  <si>
    <t xml:space="preserve">1. ADVANCE METHOD: Interest is charged at the beginning of each period (prepaid interest).</t>
  </si>
  <si>
    <t xml:space="preserve">2. ARREAR METHOD: Interest is charged at the end of each period (accrued interest).</t>
  </si>
  <si>
    <t xml:space="preserve">3. Both methods use the formula: Interest = Principal × ((1 + Rate)^(Days/365) - 1)</t>
  </si>
  <si>
    <t xml:space="preserve">4. Outstanding balance shown is the amount owed after each transaction/event.</t>
  </si>
  <si>
    <t xml:space="preserve">5. Loan interest is charged daily and compounded at each anniversary or event.</t>
  </si>
  <si>
    <t xml:space="preserve">6. Maximum loan amount typically cannot exceed the policy's cash value.</t>
  </si>
  <si>
    <t xml:space="preserve">7. Anniversaries are automatically calculated from Issue Date for periods between first loan and Valuation Date.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</si>
</sst>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.00"/>
    <numFmt numFmtId="166" formatCode="m/d/yyyy"/>
    <numFmt numFmtId="167" formatCode="d\-mmm"/>
    <numFmt numFmtId="168" formatCode="0.00%"/>
    <numFmt numFmtId="169" formatCode="0"/>
    <numFmt numFmtId="170" formatCode="General"/>
    <numFmt numFmtId="171" formatCode="0.00000_)"/>
    <numFmt numFmtId="172" formatCode="_(* #,##0.000000_);_(* \(#,##0.000000\);_(* \-??_);_(@_)"/>
    <numFmt numFmtId="173" formatCode="0.00"/>
    <numFmt numFmtId="174" formatCode="_(* #,##0_);_(* \(#,##0\);_(* \-??_);_(@_)"/>
    <numFmt numFmtId="175" formatCode="0.000"/>
    <numFmt numFmtId="176" formatCode="_(* #,##0.00_);_(* \(#,##0.00\);_(* \-??_);_(@_)"/>
    <numFmt numFmtId="177" formatCode="0.000000"/>
    <numFmt numFmtId="178" formatCode="0.0000000"/>
    <numFmt numFmtId="179" formatCode="0.0%"/>
    <numFmt numFmtId="180" formatCode="0%"/>
    <numFmt numFmtId="181" formatCode="mm/dd/yyyy"/>
    <numFmt numFmtId="182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n">
        <v>41</v>
      </c>
      <c r="E1" s="1" t="n">
        <v>58</v>
      </c>
      <c r="F1" s="1" t="s">
        <v>3</v>
      </c>
      <c r="G1" s="1" t="s">
        <v>3</v>
      </c>
      <c r="H1" s="1" t="n">
        <v>80</v>
      </c>
      <c r="I1" s="1" t="n">
        <v>80</v>
      </c>
      <c r="J1" s="1" t="n">
        <v>80</v>
      </c>
      <c r="K1" s="1" t="n">
        <v>80</v>
      </c>
      <c r="L1" s="1" t="n">
        <v>80</v>
      </c>
      <c r="M1" s="1" t="n">
        <v>80</v>
      </c>
      <c r="N1" s="1" t="s">
        <v>4</v>
      </c>
      <c r="O1" s="1" t="s">
        <v>4</v>
      </c>
      <c r="P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7</v>
      </c>
      <c r="H2" s="1" t="s">
        <v>6</v>
      </c>
      <c r="I2" s="1" t="s">
        <v>6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6</v>
      </c>
      <c r="O2" s="1" t="s">
        <v>7</v>
      </c>
      <c r="P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11</v>
      </c>
      <c r="I3" s="1" t="s">
        <v>12</v>
      </c>
      <c r="J3" s="1" t="s">
        <v>11</v>
      </c>
      <c r="K3" s="1" t="s">
        <v>12</v>
      </c>
      <c r="L3" s="1" t="s">
        <v>11</v>
      </c>
      <c r="M3" s="1" t="s">
        <v>12</v>
      </c>
      <c r="N3" s="1" t="s">
        <v>13</v>
      </c>
      <c r="O3" s="1" t="s">
        <v>13</v>
      </c>
      <c r="P3" s="1" t="s">
        <v>13</v>
      </c>
    </row>
    <row r="4" customFormat="false" ht="15" hidden="false" customHeight="false" outlineLevel="0" collapsed="false">
      <c r="B4" s="1" t="str">
        <f aca="false">_xlfn.CONCAT(B1,B2,B3)</f>
        <v>AMMX</v>
      </c>
      <c r="C4" s="1" t="str">
        <f aca="false">_xlfn.CONCAT(C1,C2,C3)</f>
        <v>AEMX</v>
      </c>
      <c r="D4" s="1" t="str">
        <f aca="false">_xlfn.CONCAT(D1,D2,D3)</f>
        <v>41MX</v>
      </c>
      <c r="E4" s="1" t="str">
        <f aca="false">_xlfn.CONCAT(E1,E2,E3)</f>
        <v>58MX</v>
      </c>
      <c r="F4" s="1" t="str">
        <f aca="false">_xlfn.CONCAT(F1,F2,F3)</f>
        <v>58CETMX</v>
      </c>
      <c r="G4" s="1" t="str">
        <f aca="false">_xlfn.CONCAT(G1,G2,G3)</f>
        <v>58CETFX</v>
      </c>
      <c r="H4" s="1" t="str">
        <f aca="false">_xlfn.CONCAT(H1,H2,H3)</f>
        <v>80MS</v>
      </c>
      <c r="I4" s="1" t="str">
        <f aca="false">_xlfn.CONCAT(I1,I2,I3)</f>
        <v>80MN</v>
      </c>
      <c r="J4" s="1" t="str">
        <f aca="false">_xlfn.CONCAT(J1,J2,J3)</f>
        <v>80FS</v>
      </c>
      <c r="K4" s="1" t="str">
        <f aca="false">_xlfn.CONCAT(K1,K2,K3)</f>
        <v>80FN</v>
      </c>
      <c r="L4" s="1" t="str">
        <f aca="false">_xlfn.CONCAT(L1,L2,L3)</f>
        <v>80US</v>
      </c>
      <c r="M4" s="1" t="str">
        <f aca="false">_xlfn.CONCAT(M1,M2,M3)</f>
        <v>80UN</v>
      </c>
      <c r="N4" s="1" t="str">
        <f aca="false">_xlfn.CONCAT(N1,N2,N3)</f>
        <v>80BMB</v>
      </c>
      <c r="O4" s="1" t="str">
        <f aca="false">_xlfn.CONCAT(O1,O2,O3)</f>
        <v>80BFB</v>
      </c>
      <c r="P4" s="1" t="str">
        <f aca="false">_xlfn.CONCAT(P1,P2,P3)</f>
        <v>80BUB</v>
      </c>
    </row>
    <row r="5" customFormat="false" ht="15" hidden="false" customHeight="false" outlineLevel="0" collapsed="false">
      <c r="A5" s="1" t="n">
        <v>0</v>
      </c>
      <c r="B5" s="1" t="n">
        <v>0.11246</v>
      </c>
      <c r="C5" s="1" t="n">
        <v>0.154701</v>
      </c>
      <c r="D5" s="1" t="n">
        <v>0.02258</v>
      </c>
      <c r="E5" s="1" t="n">
        <v>0.00708</v>
      </c>
      <c r="F5" s="1" t="n">
        <v>0.00783</v>
      </c>
      <c r="G5" s="1" t="n">
        <v>0.00695</v>
      </c>
      <c r="H5" s="1" t="n">
        <v>0.00107</v>
      </c>
      <c r="I5" s="1" t="n">
        <v>0.00107</v>
      </c>
      <c r="J5" s="1" t="n">
        <v>0.00087</v>
      </c>
      <c r="K5" s="1" t="n">
        <v>0.00087</v>
      </c>
      <c r="L5" s="1" t="n">
        <v>0.00392</v>
      </c>
      <c r="M5" s="1" t="n">
        <v>0.00392</v>
      </c>
      <c r="N5" s="1" t="n">
        <v>0.00418</v>
      </c>
      <c r="O5" s="1" t="n">
        <v>0.00289</v>
      </c>
      <c r="P5" s="1" t="n">
        <v>0.00392</v>
      </c>
    </row>
    <row r="6" customFormat="false" ht="15" hidden="false" customHeight="false" outlineLevel="0" collapsed="false">
      <c r="A6" s="1" t="n">
        <v>1</v>
      </c>
      <c r="B6" s="1" t="n">
        <v>0.02639</v>
      </c>
      <c r="C6" s="1" t="n">
        <v>0.063494</v>
      </c>
      <c r="D6" s="1" t="n">
        <v>0.00577</v>
      </c>
      <c r="E6" s="1" t="n">
        <v>0.00176</v>
      </c>
      <c r="F6" s="1" t="n">
        <v>0.00251</v>
      </c>
      <c r="G6" s="1" t="n">
        <v>0.00242</v>
      </c>
      <c r="H6" s="1" t="n">
        <v>0.00107</v>
      </c>
      <c r="I6" s="1" t="n">
        <v>0.00107</v>
      </c>
      <c r="J6" s="1" t="n">
        <v>0.00087</v>
      </c>
      <c r="K6" s="1" t="n">
        <v>0.00087</v>
      </c>
      <c r="L6" s="1" t="n">
        <v>0.00104</v>
      </c>
      <c r="M6" s="1" t="n">
        <v>0.00104</v>
      </c>
      <c r="N6" s="1" t="n">
        <v>0.00107</v>
      </c>
      <c r="O6" s="1" t="n">
        <v>0.00087</v>
      </c>
      <c r="P6" s="1" t="n">
        <v>0.00104</v>
      </c>
    </row>
    <row r="7" customFormat="false" ht="15" hidden="false" customHeight="false" outlineLevel="0" collapsed="false">
      <c r="A7" s="1" t="n">
        <v>2</v>
      </c>
      <c r="B7" s="1" t="n">
        <v>0.01187</v>
      </c>
      <c r="C7" s="1" t="n">
        <v>0.035503</v>
      </c>
      <c r="D7" s="1" t="n">
        <v>0.00414</v>
      </c>
      <c r="E7" s="1" t="n">
        <v>0.00152</v>
      </c>
      <c r="F7" s="1" t="n">
        <v>0.00227</v>
      </c>
      <c r="G7" s="1" t="n">
        <v>0.00216</v>
      </c>
      <c r="H7" s="1" t="n">
        <v>0.00099</v>
      </c>
      <c r="I7" s="1" t="n">
        <v>0.00099</v>
      </c>
      <c r="J7" s="1" t="n">
        <v>0.00081</v>
      </c>
      <c r="K7" s="1" t="n">
        <v>0.00081</v>
      </c>
      <c r="L7" s="1" t="n">
        <v>0.00095</v>
      </c>
      <c r="M7" s="1" t="n">
        <v>0.00095</v>
      </c>
      <c r="N7" s="1" t="n">
        <v>0.00099</v>
      </c>
      <c r="O7" s="1" t="n">
        <v>0.00081</v>
      </c>
      <c r="P7" s="1" t="n">
        <v>0.00095</v>
      </c>
    </row>
    <row r="8" customFormat="false" ht="15" hidden="false" customHeight="false" outlineLevel="0" collapsed="false">
      <c r="A8" s="1" t="n">
        <v>3</v>
      </c>
      <c r="B8" s="1" t="n">
        <v>0.00709</v>
      </c>
      <c r="C8" s="1" t="n">
        <v>0.023905</v>
      </c>
      <c r="D8" s="1" t="n">
        <v>0.00338</v>
      </c>
      <c r="E8" s="1" t="n">
        <v>0.00146</v>
      </c>
      <c r="F8" s="1" t="n">
        <v>0.00221</v>
      </c>
      <c r="G8" s="1" t="n">
        <v>0.0021</v>
      </c>
      <c r="H8" s="1" t="n">
        <v>0.00098</v>
      </c>
      <c r="I8" s="1" t="n">
        <v>0.00098</v>
      </c>
      <c r="J8" s="1" t="n">
        <v>0.00079</v>
      </c>
      <c r="K8" s="1" t="n">
        <v>0.00079</v>
      </c>
      <c r="L8" s="1" t="n">
        <v>0.00094</v>
      </c>
      <c r="M8" s="1" t="n">
        <v>0.00094</v>
      </c>
      <c r="N8" s="1" t="n">
        <v>0.00098</v>
      </c>
      <c r="O8" s="1" t="n">
        <v>0.00079</v>
      </c>
      <c r="P8" s="1" t="n">
        <v>0.00094</v>
      </c>
    </row>
    <row r="9" customFormat="false" ht="15" hidden="false" customHeight="false" outlineLevel="0" collapsed="false">
      <c r="A9" s="1" t="n">
        <v>4</v>
      </c>
      <c r="B9" s="1" t="n">
        <v>0.00491</v>
      </c>
      <c r="C9" s="1" t="n">
        <v>0.017699</v>
      </c>
      <c r="D9" s="1" t="n">
        <v>0.00299</v>
      </c>
      <c r="E9" s="1" t="n">
        <v>0.0014</v>
      </c>
      <c r="F9" s="1" t="n">
        <v>0.00215</v>
      </c>
      <c r="G9" s="1" t="n">
        <v>0.00204</v>
      </c>
      <c r="H9" s="1" t="n">
        <v>0.00095</v>
      </c>
      <c r="I9" s="1" t="n">
        <v>0.00095</v>
      </c>
      <c r="J9" s="1" t="n">
        <v>0.00077</v>
      </c>
      <c r="K9" s="1" t="n">
        <v>0.00077</v>
      </c>
      <c r="L9" s="1" t="n">
        <v>0.00091</v>
      </c>
      <c r="M9" s="1" t="n">
        <v>0.00091</v>
      </c>
      <c r="N9" s="1" t="n">
        <v>0.00095</v>
      </c>
      <c r="O9" s="1" t="n">
        <v>0.00077</v>
      </c>
      <c r="P9" s="1" t="n">
        <v>0.00091</v>
      </c>
    </row>
    <row r="10" customFormat="false" ht="15" hidden="false" customHeight="false" outlineLevel="0" collapsed="false">
      <c r="A10" s="1" t="n">
        <v>5</v>
      </c>
      <c r="B10" s="1" t="n">
        <v>0.00394</v>
      </c>
      <c r="C10" s="1" t="n">
        <v>0.013601</v>
      </c>
      <c r="D10" s="1" t="n">
        <v>0.00276</v>
      </c>
      <c r="E10" s="1" t="n">
        <v>0.00135</v>
      </c>
      <c r="F10" s="1" t="n">
        <v>0.0021</v>
      </c>
      <c r="G10" s="1" t="n">
        <v>0.00199</v>
      </c>
      <c r="H10" s="1" t="n">
        <v>0.0009</v>
      </c>
      <c r="I10" s="1" t="n">
        <v>0.0009</v>
      </c>
      <c r="J10" s="1" t="n">
        <v>0.00076</v>
      </c>
      <c r="K10" s="1" t="n">
        <v>0.00076</v>
      </c>
      <c r="L10" s="1" t="n">
        <v>0.00087</v>
      </c>
      <c r="M10" s="1" t="n">
        <v>0.00087</v>
      </c>
      <c r="N10" s="1" t="n">
        <v>0.0009</v>
      </c>
      <c r="O10" s="1" t="n">
        <v>0.00076</v>
      </c>
      <c r="P10" s="1" t="n">
        <v>0.00087</v>
      </c>
    </row>
    <row r="11" customFormat="false" ht="15" hidden="false" customHeight="false" outlineLevel="0" collapsed="false">
      <c r="A11" s="1" t="n">
        <v>6</v>
      </c>
      <c r="B11" s="1" t="n">
        <v>0.00338</v>
      </c>
      <c r="C11" s="1" t="n">
        <v>0.011372</v>
      </c>
      <c r="D11" s="1" t="n">
        <v>0.00261</v>
      </c>
      <c r="E11" s="1" t="n">
        <v>0.0013</v>
      </c>
      <c r="F11" s="1" t="n">
        <v>0.00205</v>
      </c>
      <c r="G11" s="1" t="n">
        <v>0.00194</v>
      </c>
      <c r="H11" s="1" t="n">
        <v>0.00086</v>
      </c>
      <c r="I11" s="1" t="n">
        <v>0.00086</v>
      </c>
      <c r="J11" s="1" t="n">
        <v>0.00073</v>
      </c>
      <c r="K11" s="1" t="n">
        <v>0.00073</v>
      </c>
      <c r="L11" s="1" t="n">
        <v>0.00083</v>
      </c>
      <c r="M11" s="1" t="n">
        <v>0.00083</v>
      </c>
      <c r="N11" s="1" t="n">
        <v>0.00086</v>
      </c>
      <c r="O11" s="1" t="n">
        <v>0.00073</v>
      </c>
      <c r="P11" s="1" t="n">
        <v>0.00083</v>
      </c>
    </row>
    <row r="12" customFormat="false" ht="15" hidden="false" customHeight="false" outlineLevel="0" collapsed="false">
      <c r="A12" s="1" t="n">
        <v>7</v>
      </c>
      <c r="B12" s="1" t="n">
        <v>0.00305</v>
      </c>
      <c r="C12" s="1" t="n">
        <v>0.009749</v>
      </c>
      <c r="D12" s="1" t="n">
        <v>0.00247</v>
      </c>
      <c r="E12" s="1" t="n">
        <v>0.00126</v>
      </c>
      <c r="F12" s="1" t="n">
        <v>0.00201</v>
      </c>
      <c r="G12" s="1" t="n">
        <v>0.0019</v>
      </c>
      <c r="H12" s="1" t="n">
        <v>0.0008</v>
      </c>
      <c r="I12" s="1" t="n">
        <v>0.0008</v>
      </c>
      <c r="J12" s="1" t="n">
        <v>0.00072</v>
      </c>
      <c r="K12" s="1" t="n">
        <v>0.00072</v>
      </c>
      <c r="L12" s="1" t="n">
        <v>0.00079</v>
      </c>
      <c r="M12" s="1" t="n">
        <v>0.00079</v>
      </c>
      <c r="N12" s="1" t="n">
        <v>0.0008</v>
      </c>
      <c r="O12" s="1" t="n">
        <v>0.00072</v>
      </c>
      <c r="P12" s="1" t="n">
        <v>0.00079</v>
      </c>
    </row>
    <row r="13" customFormat="false" ht="15" hidden="false" customHeight="false" outlineLevel="0" collapsed="false">
      <c r="A13" s="1" t="n">
        <v>8</v>
      </c>
      <c r="B13" s="1" t="n">
        <v>0.00293</v>
      </c>
      <c r="C13" s="1" t="n">
        <v>0.008626</v>
      </c>
      <c r="D13" s="1" t="n">
        <v>0.00231</v>
      </c>
      <c r="E13" s="1" t="n">
        <v>0.00123</v>
      </c>
      <c r="F13" s="1" t="n">
        <v>0.00198</v>
      </c>
      <c r="G13" s="1" t="n">
        <v>0.00187</v>
      </c>
      <c r="H13" s="1" t="n">
        <v>0.00076</v>
      </c>
      <c r="I13" s="1" t="n">
        <v>0.00076</v>
      </c>
      <c r="J13" s="1" t="n">
        <v>0.0007</v>
      </c>
      <c r="K13" s="1" t="n">
        <v>0.0007</v>
      </c>
      <c r="L13" s="1" t="n">
        <v>0.00075</v>
      </c>
      <c r="M13" s="1" t="n">
        <v>0.00075</v>
      </c>
      <c r="N13" s="1" t="n">
        <v>0.00076</v>
      </c>
      <c r="O13" s="1" t="n">
        <v>0.0007</v>
      </c>
      <c r="P13" s="1" t="n">
        <v>0.00075</v>
      </c>
    </row>
    <row r="14" customFormat="false" ht="15" hidden="false" customHeight="false" outlineLevel="0" collapsed="false">
      <c r="A14" s="1" t="n">
        <v>9</v>
      </c>
      <c r="B14" s="1" t="n">
        <v>0.00296</v>
      </c>
      <c r="C14" s="1" t="n">
        <v>0.007897</v>
      </c>
      <c r="D14" s="1" t="n">
        <v>0.00212</v>
      </c>
      <c r="E14" s="1" t="n">
        <v>0.00121</v>
      </c>
      <c r="F14" s="1" t="n">
        <v>0.00196</v>
      </c>
      <c r="G14" s="1" t="n">
        <v>0.00186</v>
      </c>
      <c r="H14" s="1" t="n">
        <v>0.00074</v>
      </c>
      <c r="I14" s="1" t="n">
        <v>0.00074</v>
      </c>
      <c r="J14" s="1" t="n">
        <v>0.00069</v>
      </c>
      <c r="K14" s="1" t="n">
        <v>0.00069</v>
      </c>
      <c r="L14" s="1" t="n">
        <v>0.00073</v>
      </c>
      <c r="M14" s="1" t="n">
        <v>0.00073</v>
      </c>
      <c r="N14" s="1" t="n">
        <v>0.00074</v>
      </c>
      <c r="O14" s="1" t="n">
        <v>0.00069</v>
      </c>
      <c r="P14" s="1" t="n">
        <v>0.00073</v>
      </c>
    </row>
    <row r="15" customFormat="false" ht="15" hidden="false" customHeight="false" outlineLevel="0" collapsed="false">
      <c r="A15" s="1" t="n">
        <v>10</v>
      </c>
      <c r="B15" s="1" t="n">
        <v>0.00307</v>
      </c>
      <c r="C15" s="1" t="n">
        <v>0.00749</v>
      </c>
      <c r="D15" s="1" t="n">
        <v>0.00197</v>
      </c>
      <c r="E15" s="1" t="n">
        <v>0.00121</v>
      </c>
      <c r="F15" s="1" t="n">
        <v>0.00196</v>
      </c>
      <c r="G15" s="1" t="n">
        <v>0.00186</v>
      </c>
      <c r="H15" s="1" t="n">
        <v>0.00073</v>
      </c>
      <c r="I15" s="1" t="n">
        <v>0.00073</v>
      </c>
      <c r="J15" s="1" t="n">
        <v>0.00068</v>
      </c>
      <c r="K15" s="1" t="n">
        <v>0.00068</v>
      </c>
      <c r="L15" s="1" t="n">
        <v>0.00072</v>
      </c>
      <c r="M15" s="1" t="n">
        <v>0.00072</v>
      </c>
      <c r="N15" s="1" t="n">
        <v>0.00073</v>
      </c>
      <c r="O15" s="1" t="n">
        <v>0.00068</v>
      </c>
      <c r="P15" s="1" t="n">
        <v>0.00072</v>
      </c>
    </row>
    <row r="16" customFormat="false" ht="15" hidden="false" customHeight="false" outlineLevel="0" collapsed="false">
      <c r="A16" s="1" t="n">
        <v>11</v>
      </c>
      <c r="B16" s="1" t="n">
        <v>0.00317</v>
      </c>
      <c r="C16" s="1" t="n">
        <v>0.007516</v>
      </c>
      <c r="D16" s="1" t="n">
        <v>0.00191</v>
      </c>
      <c r="E16" s="1" t="n">
        <v>0.00123</v>
      </c>
      <c r="F16" s="1" t="n">
        <v>0.00198</v>
      </c>
      <c r="G16" s="1" t="n">
        <v>0.00187</v>
      </c>
      <c r="H16" s="1" t="n">
        <v>0.00077</v>
      </c>
      <c r="I16" s="1" t="n">
        <v>0.00077</v>
      </c>
      <c r="J16" s="1" t="n">
        <v>0.00069</v>
      </c>
      <c r="K16" s="1" t="n">
        <v>0.00069</v>
      </c>
      <c r="L16" s="1" t="n">
        <v>0.00075</v>
      </c>
      <c r="M16" s="1" t="n">
        <v>0.00075</v>
      </c>
      <c r="N16" s="1" t="n">
        <v>0.00077</v>
      </c>
      <c r="O16" s="1" t="n">
        <v>0.00069</v>
      </c>
      <c r="P16" s="1" t="n">
        <v>0.00075</v>
      </c>
    </row>
    <row r="17" customFormat="false" ht="15" hidden="false" customHeight="false" outlineLevel="0" collapsed="false">
      <c r="A17" s="1" t="n">
        <v>12</v>
      </c>
      <c r="B17" s="1" t="n">
        <v>0.00326</v>
      </c>
      <c r="C17" s="1" t="n">
        <v>0.007543</v>
      </c>
      <c r="D17" s="1" t="n">
        <v>0.00192</v>
      </c>
      <c r="E17" s="1" t="n">
        <v>0.00126</v>
      </c>
      <c r="F17" s="1" t="n">
        <v>0.00201</v>
      </c>
      <c r="G17" s="1" t="n">
        <v>0.00189</v>
      </c>
      <c r="H17" s="1" t="n">
        <v>0.00085</v>
      </c>
      <c r="I17" s="1" t="n">
        <v>0.00085</v>
      </c>
      <c r="J17" s="1" t="n">
        <v>0.00072</v>
      </c>
      <c r="K17" s="1" t="n">
        <v>0.00072</v>
      </c>
      <c r="L17" s="1" t="n">
        <v>0.00083</v>
      </c>
      <c r="M17" s="1" t="n">
        <v>0.00083</v>
      </c>
      <c r="N17" s="1" t="n">
        <v>0.00085</v>
      </c>
      <c r="O17" s="1" t="n">
        <v>0.00072</v>
      </c>
      <c r="P17" s="1" t="n">
        <v>0.00083</v>
      </c>
    </row>
    <row r="18" customFormat="false" ht="15" hidden="false" customHeight="false" outlineLevel="0" collapsed="false">
      <c r="A18" s="1" t="n">
        <v>13</v>
      </c>
      <c r="B18" s="1" t="n">
        <v>0.00332</v>
      </c>
      <c r="C18" s="1" t="n">
        <v>0.007569</v>
      </c>
      <c r="D18" s="1" t="n">
        <v>0.00198</v>
      </c>
      <c r="E18" s="1" t="n">
        <v>0.00132</v>
      </c>
      <c r="F18" s="1" t="n">
        <v>0.00207</v>
      </c>
      <c r="G18" s="1" t="n">
        <v>0.00192</v>
      </c>
      <c r="H18" s="1" t="n">
        <v>0.00099</v>
      </c>
      <c r="I18" s="1" t="n">
        <v>0.00099</v>
      </c>
      <c r="J18" s="1" t="n">
        <v>0.00075</v>
      </c>
      <c r="K18" s="1" t="n">
        <v>0.00075</v>
      </c>
      <c r="L18" s="1" t="n">
        <v>0.00094</v>
      </c>
      <c r="M18" s="1" t="n">
        <v>0.00094</v>
      </c>
      <c r="N18" s="1" t="n">
        <v>0.00099</v>
      </c>
      <c r="O18" s="1" t="n">
        <v>0.00075</v>
      </c>
      <c r="P18" s="1" t="n">
        <v>0.00094</v>
      </c>
    </row>
    <row r="19" customFormat="false" ht="15" hidden="false" customHeight="false" outlineLevel="0" collapsed="false">
      <c r="A19" s="1" t="n">
        <v>14</v>
      </c>
      <c r="B19" s="1" t="n">
        <v>0.00339</v>
      </c>
      <c r="C19" s="1" t="n">
        <v>0.007596</v>
      </c>
      <c r="D19" s="1" t="n">
        <v>0.00207</v>
      </c>
      <c r="E19" s="1" t="n">
        <v>0.00139</v>
      </c>
      <c r="F19" s="1" t="n">
        <v>0.00214</v>
      </c>
      <c r="G19" s="1" t="n">
        <v>0.00196</v>
      </c>
      <c r="H19" s="1" t="n">
        <v>0.00115</v>
      </c>
      <c r="I19" s="1" t="n">
        <v>0.00115</v>
      </c>
      <c r="J19" s="1" t="n">
        <v>0.0008</v>
      </c>
      <c r="K19" s="1" t="n">
        <v>0.0008</v>
      </c>
      <c r="L19" s="1" t="n">
        <v>0.00108</v>
      </c>
      <c r="M19" s="1" t="n">
        <v>0.00108</v>
      </c>
      <c r="N19" s="1" t="n">
        <v>0.00115</v>
      </c>
      <c r="O19" s="1" t="n">
        <v>0.0008</v>
      </c>
      <c r="P19" s="1" t="n">
        <v>0.00108</v>
      </c>
    </row>
    <row r="20" customFormat="false" ht="15" hidden="false" customHeight="false" outlineLevel="0" collapsed="false">
      <c r="A20" s="1" t="n">
        <v>15</v>
      </c>
      <c r="B20" s="1" t="n">
        <v>0.00346</v>
      </c>
      <c r="C20" s="1" t="n">
        <v>0.007634</v>
      </c>
      <c r="D20" s="1" t="n">
        <v>0.00215</v>
      </c>
      <c r="E20" s="1" t="n">
        <v>0.00146</v>
      </c>
      <c r="F20" s="1" t="n">
        <v>0.00221</v>
      </c>
      <c r="G20" s="1" t="n">
        <v>0.00201</v>
      </c>
      <c r="H20" s="1" t="n">
        <v>0.00129</v>
      </c>
      <c r="I20" s="1" t="n">
        <v>0.00129</v>
      </c>
      <c r="J20" s="1" t="n">
        <v>0.00084</v>
      </c>
      <c r="K20" s="1" t="n">
        <v>0.00084</v>
      </c>
      <c r="L20" s="1" t="n">
        <v>0.00151</v>
      </c>
      <c r="M20" s="1" t="n">
        <v>0.0012</v>
      </c>
      <c r="N20" s="1" t="n">
        <v>0.00133</v>
      </c>
      <c r="O20" s="1" t="n">
        <v>0.00085</v>
      </c>
      <c r="P20" s="1" t="n">
        <v>0.00124</v>
      </c>
    </row>
    <row r="21" customFormat="false" ht="15" hidden="false" customHeight="false" outlineLevel="0" collapsed="false">
      <c r="A21" s="1" t="n">
        <v>16</v>
      </c>
      <c r="B21" s="1" t="n">
        <v>0.00353</v>
      </c>
      <c r="C21" s="1" t="n">
        <v>0.007661</v>
      </c>
      <c r="D21" s="1" t="n">
        <v>0.00219</v>
      </c>
      <c r="E21" s="1" t="n">
        <v>0.00154</v>
      </c>
      <c r="F21" s="1" t="n">
        <v>0.00229</v>
      </c>
      <c r="G21" s="1" t="n">
        <v>0.00207</v>
      </c>
      <c r="H21" s="1" t="n">
        <v>0.00143</v>
      </c>
      <c r="I21" s="1" t="n">
        <v>0.00143</v>
      </c>
      <c r="J21" s="1" t="n">
        <v>0.00088</v>
      </c>
      <c r="K21" s="1" t="n">
        <v>0.00088</v>
      </c>
      <c r="L21" s="1" t="n">
        <v>0.0017</v>
      </c>
      <c r="M21" s="1" t="n">
        <v>0.00132</v>
      </c>
      <c r="N21" s="1" t="n">
        <v>0.00151</v>
      </c>
      <c r="O21" s="1" t="n">
        <v>0.0009</v>
      </c>
      <c r="P21" s="1" t="n">
        <v>0.00139</v>
      </c>
    </row>
    <row r="22" customFormat="false" ht="15" hidden="false" customHeight="false" outlineLevel="0" collapsed="false">
      <c r="A22" s="1" t="n">
        <v>17</v>
      </c>
      <c r="B22" s="1" t="n">
        <v>0.00363</v>
      </c>
      <c r="C22" s="1" t="n">
        <v>0.007688</v>
      </c>
      <c r="D22" s="1" t="n">
        <v>0.00225</v>
      </c>
      <c r="E22" s="1" t="n">
        <v>0.00162</v>
      </c>
      <c r="F22" s="1" t="n">
        <v>0.00237</v>
      </c>
      <c r="G22" s="1" t="n">
        <v>0.00214</v>
      </c>
      <c r="H22" s="1" t="n">
        <v>0.00154</v>
      </c>
      <c r="I22" s="1" t="n">
        <v>0.00154</v>
      </c>
      <c r="J22" s="1" t="n">
        <v>0.00092</v>
      </c>
      <c r="K22" s="1" t="n">
        <v>0.00092</v>
      </c>
      <c r="L22" s="1" t="n">
        <v>0.00185</v>
      </c>
      <c r="M22" s="1" t="n">
        <v>0.00142</v>
      </c>
      <c r="N22" s="1" t="n">
        <v>0.00167</v>
      </c>
      <c r="O22" s="1" t="n">
        <v>0.00095</v>
      </c>
      <c r="P22" s="1" t="n">
        <v>0.00153</v>
      </c>
    </row>
    <row r="23" customFormat="false" ht="15" hidden="false" customHeight="false" outlineLevel="0" collapsed="false">
      <c r="A23" s="1" t="n">
        <v>18</v>
      </c>
      <c r="B23" s="1" t="n">
        <v>0.00371</v>
      </c>
      <c r="C23" s="1" t="n">
        <v>0.007727</v>
      </c>
      <c r="D23" s="1" t="n">
        <v>0.0023</v>
      </c>
      <c r="E23" s="1" t="n">
        <v>0.00169</v>
      </c>
      <c r="F23" s="1" t="n">
        <v>0.00244</v>
      </c>
      <c r="G23" s="1" t="n">
        <v>0.00221</v>
      </c>
      <c r="H23" s="1" t="n">
        <v>0.0016</v>
      </c>
      <c r="I23" s="1" t="n">
        <v>0.0016</v>
      </c>
      <c r="J23" s="1" t="n">
        <v>0.00095</v>
      </c>
      <c r="K23" s="1" t="n">
        <v>0.00095</v>
      </c>
      <c r="L23" s="1" t="n">
        <v>0.00195</v>
      </c>
      <c r="M23" s="1" t="n">
        <v>0.00147</v>
      </c>
      <c r="N23" s="1" t="n">
        <v>0.00178</v>
      </c>
      <c r="O23" s="1" t="n">
        <v>0.00098</v>
      </c>
      <c r="P23" s="1" t="n">
        <v>0.00162</v>
      </c>
    </row>
    <row r="24" customFormat="false" ht="15" hidden="false" customHeight="false" outlineLevel="0" collapsed="false">
      <c r="A24" s="1" t="n">
        <v>19</v>
      </c>
      <c r="B24" s="1" t="n">
        <v>0.00381</v>
      </c>
      <c r="C24" s="1" t="n">
        <v>0.007765</v>
      </c>
      <c r="D24" s="1" t="n">
        <v>0.00237</v>
      </c>
      <c r="E24" s="1" t="n">
        <v>0.00174</v>
      </c>
      <c r="F24" s="1" t="n">
        <v>0.00249</v>
      </c>
      <c r="G24" s="1" t="n">
        <v>0.00229</v>
      </c>
      <c r="H24" s="1" t="n">
        <v>0.00226</v>
      </c>
      <c r="I24" s="1" t="n">
        <v>0.00166</v>
      </c>
      <c r="J24" s="1" t="n">
        <v>0.00113</v>
      </c>
      <c r="K24" s="1" t="n">
        <v>0.00098</v>
      </c>
      <c r="L24" s="1" t="n">
        <v>0.00204</v>
      </c>
      <c r="M24" s="1" t="n">
        <v>0.00152</v>
      </c>
      <c r="N24" s="1" t="n">
        <v>0.00186</v>
      </c>
      <c r="O24" s="1" t="n">
        <v>0.00102</v>
      </c>
      <c r="P24" s="1" t="n">
        <v>0.00169</v>
      </c>
    </row>
    <row r="25" customFormat="false" ht="15" hidden="false" customHeight="false" outlineLevel="0" collapsed="false">
      <c r="A25" s="1" t="n">
        <v>20</v>
      </c>
      <c r="B25" s="1" t="n">
        <v>0.00392</v>
      </c>
      <c r="C25" s="1" t="n">
        <v>0.007805</v>
      </c>
      <c r="D25" s="1" t="n">
        <v>0.00243</v>
      </c>
      <c r="E25" s="1" t="n">
        <v>0.00179</v>
      </c>
      <c r="F25" s="1" t="n">
        <v>0.00254</v>
      </c>
      <c r="G25" s="1" t="n">
        <v>0.00237</v>
      </c>
      <c r="H25" s="1" t="n">
        <v>0.00231</v>
      </c>
      <c r="I25" s="1" t="n">
        <v>0.00168</v>
      </c>
      <c r="J25" s="1" t="n">
        <v>0.00116</v>
      </c>
      <c r="K25" s="1" t="n">
        <v>0.00101</v>
      </c>
      <c r="L25" s="1" t="n">
        <v>0.00209</v>
      </c>
      <c r="M25" s="1" t="n">
        <v>0.00155</v>
      </c>
      <c r="N25" s="1" t="n">
        <v>0.0019</v>
      </c>
      <c r="O25" s="1" t="n">
        <v>0.00105</v>
      </c>
      <c r="P25" s="1" t="n">
        <v>0.00174</v>
      </c>
    </row>
    <row r="26" customFormat="false" ht="15" hidden="false" customHeight="false" outlineLevel="0" collapsed="false">
      <c r="A26" s="1" t="n">
        <v>21</v>
      </c>
      <c r="B26" s="1" t="n">
        <v>0.00402</v>
      </c>
      <c r="C26" s="1" t="n">
        <v>0.007855</v>
      </c>
      <c r="D26" s="1" t="n">
        <v>0.00251</v>
      </c>
      <c r="E26" s="1" t="n">
        <v>0.00183</v>
      </c>
      <c r="F26" s="1" t="n">
        <v>0.00258</v>
      </c>
      <c r="G26" s="1" t="n">
        <v>0.00244</v>
      </c>
      <c r="H26" s="1" t="n">
        <v>0.00233</v>
      </c>
      <c r="I26" s="1" t="n">
        <v>0.00167</v>
      </c>
      <c r="J26" s="1" t="n">
        <v>0.00118</v>
      </c>
      <c r="K26" s="1" t="n">
        <v>0.00102</v>
      </c>
      <c r="L26" s="1" t="n">
        <v>0.0021</v>
      </c>
      <c r="M26" s="1" t="n">
        <v>0.00155</v>
      </c>
      <c r="N26" s="1" t="n">
        <v>0.00191</v>
      </c>
      <c r="O26" s="1" t="n">
        <v>0.00107</v>
      </c>
      <c r="P26" s="1" t="n">
        <v>0.00175</v>
      </c>
    </row>
    <row r="27" customFormat="false" ht="15" hidden="false" customHeight="false" outlineLevel="0" collapsed="false">
      <c r="A27" s="1" t="n">
        <v>22</v>
      </c>
      <c r="B27" s="1" t="n">
        <v>0.00412</v>
      </c>
      <c r="C27" s="1" t="n">
        <v>0.007906</v>
      </c>
      <c r="D27" s="1" t="n">
        <v>0.00259</v>
      </c>
      <c r="E27" s="1" t="n">
        <v>0.00186</v>
      </c>
      <c r="F27" s="1" t="n">
        <v>0.00261</v>
      </c>
      <c r="G27" s="1" t="n">
        <v>0.00249</v>
      </c>
      <c r="H27" s="1" t="n">
        <v>0.0023</v>
      </c>
      <c r="I27" s="1" t="n">
        <v>0.00164</v>
      </c>
      <c r="J27" s="1" t="n">
        <v>0.00121</v>
      </c>
      <c r="K27" s="1" t="n">
        <v>0.00104</v>
      </c>
      <c r="L27" s="1" t="n">
        <v>0.00209</v>
      </c>
      <c r="M27" s="1" t="n">
        <v>0.00152</v>
      </c>
      <c r="N27" s="1" t="n">
        <v>0.00189</v>
      </c>
      <c r="O27" s="1" t="n">
        <v>0.00109</v>
      </c>
      <c r="P27" s="1" t="n">
        <v>0.00173</v>
      </c>
    </row>
    <row r="28" customFormat="false" ht="15" hidden="false" customHeight="false" outlineLevel="0" collapsed="false">
      <c r="A28" s="1" t="n">
        <v>23</v>
      </c>
      <c r="B28" s="1" t="n">
        <v>0.00418</v>
      </c>
      <c r="C28" s="1" t="n">
        <v>0.007958</v>
      </c>
      <c r="D28" s="1" t="n">
        <v>0.00268</v>
      </c>
      <c r="E28" s="1" t="n">
        <v>0.00189</v>
      </c>
      <c r="F28" s="1" t="n">
        <v>0.00264</v>
      </c>
      <c r="G28" s="1" t="n">
        <v>0.00254</v>
      </c>
      <c r="H28" s="1" t="n">
        <v>0.00226</v>
      </c>
      <c r="I28" s="1" t="n">
        <v>0.00161</v>
      </c>
      <c r="J28" s="1" t="n">
        <v>0.00123</v>
      </c>
      <c r="K28" s="1" t="n">
        <v>0.00105</v>
      </c>
      <c r="L28" s="1" t="n">
        <v>0.00206</v>
      </c>
      <c r="M28" s="1" t="n">
        <v>0.0015</v>
      </c>
      <c r="N28" s="1" t="n">
        <v>0.00186</v>
      </c>
      <c r="O28" s="1" t="n">
        <v>0.00111</v>
      </c>
      <c r="P28" s="1" t="n">
        <v>0.00171</v>
      </c>
    </row>
    <row r="29" customFormat="false" ht="15" hidden="false" customHeight="false" outlineLevel="0" collapsed="false">
      <c r="A29" s="1" t="n">
        <v>24</v>
      </c>
      <c r="B29" s="1" t="n">
        <v>0.00425</v>
      </c>
      <c r="C29" s="1" t="n">
        <v>0.008011</v>
      </c>
      <c r="D29" s="1" t="n">
        <v>0.00277</v>
      </c>
      <c r="E29" s="1" t="n">
        <v>0.00191</v>
      </c>
      <c r="F29" s="1" t="n">
        <v>0.00266</v>
      </c>
      <c r="G29" s="1" t="n">
        <v>0.00258</v>
      </c>
      <c r="H29" s="1" t="n">
        <v>0.00221</v>
      </c>
      <c r="I29" s="1" t="n">
        <v>0.00157</v>
      </c>
      <c r="J29" s="1" t="n">
        <v>0.00127</v>
      </c>
      <c r="K29" s="1" t="n">
        <v>0.00108</v>
      </c>
      <c r="L29" s="1" t="n">
        <v>0.00203</v>
      </c>
      <c r="M29" s="1" t="n">
        <v>0.00147</v>
      </c>
      <c r="N29" s="1" t="n">
        <v>0.00182</v>
      </c>
      <c r="O29" s="1" t="n">
        <v>0.00114</v>
      </c>
      <c r="P29" s="1" t="n">
        <v>0.00169</v>
      </c>
    </row>
    <row r="30" customFormat="false" ht="15" hidden="false" customHeight="false" outlineLevel="0" collapsed="false">
      <c r="A30" s="1" t="n">
        <v>25</v>
      </c>
      <c r="B30" s="1" t="n">
        <v>0.00431</v>
      </c>
      <c r="C30" s="1" t="n">
        <v>0.008065</v>
      </c>
      <c r="D30" s="1" t="n">
        <v>0.00288</v>
      </c>
      <c r="E30" s="1" t="n">
        <v>0.00193</v>
      </c>
      <c r="F30" s="1" t="n">
        <v>0.00268</v>
      </c>
      <c r="G30" s="1" t="n">
        <v>0.00261</v>
      </c>
      <c r="H30" s="1" t="n">
        <v>0.00214</v>
      </c>
      <c r="I30" s="1" t="n">
        <v>0.00152</v>
      </c>
      <c r="J30" s="1" t="n">
        <v>0.00129</v>
      </c>
      <c r="K30" s="1" t="n">
        <v>0.00109</v>
      </c>
      <c r="L30" s="1" t="n">
        <v>0.00197</v>
      </c>
      <c r="M30" s="1" t="n">
        <v>0.00144</v>
      </c>
      <c r="N30" s="1" t="n">
        <v>0.00177</v>
      </c>
      <c r="O30" s="1" t="n">
        <v>0.00116</v>
      </c>
      <c r="P30" s="1" t="n">
        <v>0.00165</v>
      </c>
    </row>
    <row r="31" customFormat="false" ht="15" hidden="false" customHeight="false" outlineLevel="0" collapsed="false">
      <c r="A31" s="1" t="n">
        <v>26</v>
      </c>
      <c r="B31" s="1" t="n">
        <v>0.00435</v>
      </c>
      <c r="C31" s="1" t="n">
        <v>0.00813</v>
      </c>
      <c r="D31" s="1" t="n">
        <v>0.00299</v>
      </c>
      <c r="E31" s="1" t="n">
        <v>0.00196</v>
      </c>
      <c r="F31" s="1" t="n">
        <v>0.00271</v>
      </c>
      <c r="G31" s="1" t="n">
        <v>0.00264</v>
      </c>
      <c r="H31" s="1" t="n">
        <v>0.00208</v>
      </c>
      <c r="I31" s="1" t="n">
        <v>0.00148</v>
      </c>
      <c r="J31" s="1" t="n">
        <v>0.00134</v>
      </c>
      <c r="K31" s="1" t="n">
        <v>0.00112</v>
      </c>
      <c r="L31" s="1" t="n">
        <v>0.00193</v>
      </c>
      <c r="M31" s="1" t="n">
        <v>0.00141</v>
      </c>
      <c r="N31" s="1" t="n">
        <v>0.00173</v>
      </c>
      <c r="O31" s="1" t="n">
        <v>0.00119</v>
      </c>
      <c r="P31" s="1" t="n">
        <v>0.00163</v>
      </c>
    </row>
    <row r="32" customFormat="false" ht="15" hidden="false" customHeight="false" outlineLevel="0" collapsed="false">
      <c r="A32" s="1" t="n">
        <v>27</v>
      </c>
      <c r="B32" s="1" t="n">
        <v>0.00439</v>
      </c>
      <c r="C32" s="1" t="n">
        <v>0.008197</v>
      </c>
      <c r="D32" s="1" t="n">
        <v>0.00311</v>
      </c>
      <c r="E32" s="1" t="n">
        <v>0.00199</v>
      </c>
      <c r="F32" s="1" t="n">
        <v>0.00274</v>
      </c>
      <c r="G32" s="1" t="n">
        <v>0.00266</v>
      </c>
      <c r="H32" s="1" t="n">
        <v>0.00206</v>
      </c>
      <c r="I32" s="1" t="n">
        <v>0.00146</v>
      </c>
      <c r="J32" s="1" t="n">
        <v>0.00138</v>
      </c>
      <c r="K32" s="1" t="n">
        <v>0.00114</v>
      </c>
      <c r="L32" s="1" t="n">
        <v>0.00192</v>
      </c>
      <c r="M32" s="1" t="n">
        <v>0.0014</v>
      </c>
      <c r="N32" s="1" t="n">
        <v>0.00171</v>
      </c>
      <c r="O32" s="1" t="n">
        <v>0.00122</v>
      </c>
      <c r="P32" s="1" t="n">
        <v>0.00161</v>
      </c>
    </row>
    <row r="33" customFormat="false" ht="15" hidden="false" customHeight="false" outlineLevel="0" collapsed="false">
      <c r="A33" s="1" t="n">
        <v>28</v>
      </c>
      <c r="B33" s="1" t="n">
        <v>0.00441</v>
      </c>
      <c r="C33" s="1" t="n">
        <v>0.008264</v>
      </c>
      <c r="D33" s="1" t="n">
        <v>0.00325</v>
      </c>
      <c r="E33" s="1" t="n">
        <v>0.00203</v>
      </c>
      <c r="F33" s="1" t="n">
        <v>0.00278</v>
      </c>
      <c r="G33" s="1" t="n">
        <v>0.00268</v>
      </c>
      <c r="H33" s="1" t="n">
        <v>0.00204</v>
      </c>
      <c r="I33" s="1" t="n">
        <v>0.00144</v>
      </c>
      <c r="J33" s="1" t="n">
        <v>0.00142</v>
      </c>
      <c r="K33" s="1" t="n">
        <v>0.00117</v>
      </c>
      <c r="L33" s="1" t="n">
        <v>0.00192</v>
      </c>
      <c r="M33" s="1" t="n">
        <v>0.00138</v>
      </c>
      <c r="N33" s="1" t="n">
        <v>0.0017</v>
      </c>
      <c r="O33" s="1" t="n">
        <v>0.00126</v>
      </c>
      <c r="P33" s="1" t="n">
        <v>0.00161</v>
      </c>
    </row>
    <row r="34" customFormat="false" ht="15" hidden="false" customHeight="false" outlineLevel="0" collapsed="false">
      <c r="A34" s="1" t="n">
        <v>29</v>
      </c>
      <c r="B34" s="1" t="n">
        <v>0.00443</v>
      </c>
      <c r="C34" s="1" t="n">
        <v>0.008345</v>
      </c>
      <c r="D34" s="1" t="n">
        <v>0.0034</v>
      </c>
      <c r="E34" s="1" t="n">
        <v>0.00208</v>
      </c>
      <c r="F34" s="1" t="n">
        <v>0.00283</v>
      </c>
      <c r="G34" s="1" t="n">
        <v>0.00271</v>
      </c>
      <c r="H34" s="1" t="n">
        <v>0.00206</v>
      </c>
      <c r="I34" s="1" t="n">
        <v>0.00144</v>
      </c>
      <c r="J34" s="1" t="n">
        <v>0.00148</v>
      </c>
      <c r="K34" s="1" t="n">
        <v>0.0012</v>
      </c>
      <c r="L34" s="1" t="n">
        <v>0.00194</v>
      </c>
      <c r="M34" s="1" t="n">
        <v>0.0014</v>
      </c>
      <c r="N34" s="1" t="n">
        <v>0.00171</v>
      </c>
      <c r="O34" s="1" t="n">
        <v>0.0013</v>
      </c>
      <c r="P34" s="1" t="n">
        <v>0.00163</v>
      </c>
    </row>
    <row r="35" customFormat="false" ht="15" hidden="false" customHeight="false" outlineLevel="0" collapsed="false">
      <c r="A35" s="1" t="n">
        <v>30</v>
      </c>
      <c r="B35" s="1" t="n">
        <v>0.00446</v>
      </c>
      <c r="C35" s="1" t="n">
        <v>0.008427</v>
      </c>
      <c r="D35" s="1" t="n">
        <v>0.00356</v>
      </c>
      <c r="E35" s="1" t="n">
        <v>0.00213</v>
      </c>
      <c r="F35" s="1" t="n">
        <v>0.00288</v>
      </c>
      <c r="G35" s="1" t="n">
        <v>0.00274</v>
      </c>
      <c r="H35" s="1" t="n">
        <v>0.0021</v>
      </c>
      <c r="I35" s="1" t="n">
        <v>0.00144</v>
      </c>
      <c r="J35" s="1" t="n">
        <v>0.00155</v>
      </c>
      <c r="K35" s="1" t="n">
        <v>0.00124</v>
      </c>
      <c r="L35" s="1" t="n">
        <v>0.00199</v>
      </c>
      <c r="M35" s="1" t="n">
        <v>0.0014</v>
      </c>
      <c r="N35" s="1" t="n">
        <v>0.00173</v>
      </c>
      <c r="O35" s="1" t="n">
        <v>0.00135</v>
      </c>
      <c r="P35" s="1" t="n">
        <v>0.00165</v>
      </c>
    </row>
    <row r="36" customFormat="false" ht="15" hidden="false" customHeight="false" outlineLevel="0" collapsed="false">
      <c r="A36" s="1" t="n">
        <v>31</v>
      </c>
      <c r="B36" s="1" t="n">
        <v>0.00448</v>
      </c>
      <c r="C36" s="1" t="n">
        <v>0.00851</v>
      </c>
      <c r="D36" s="1" t="n">
        <v>0.00373</v>
      </c>
      <c r="E36" s="1" t="n">
        <v>0.00219</v>
      </c>
      <c r="F36" s="1" t="n">
        <v>0.00294</v>
      </c>
      <c r="G36" s="1" t="n">
        <v>0.00278</v>
      </c>
      <c r="H36" s="1" t="n">
        <v>0.00217</v>
      </c>
      <c r="I36" s="1" t="n">
        <v>0.00147</v>
      </c>
      <c r="J36" s="1" t="n">
        <v>0.00161</v>
      </c>
      <c r="K36" s="1" t="n">
        <v>0.00127</v>
      </c>
      <c r="L36" s="1" t="n">
        <v>0.00206</v>
      </c>
      <c r="M36" s="1" t="n">
        <v>0.00143</v>
      </c>
      <c r="N36" s="1" t="n">
        <v>0.00178</v>
      </c>
      <c r="O36" s="1" t="n">
        <v>0.0014</v>
      </c>
      <c r="P36" s="1" t="n">
        <v>0.0017</v>
      </c>
    </row>
    <row r="37" customFormat="false" ht="15" hidden="false" customHeight="false" outlineLevel="0" collapsed="false">
      <c r="A37" s="1" t="n">
        <v>32</v>
      </c>
      <c r="B37" s="1" t="n">
        <v>0.00451</v>
      </c>
      <c r="C37" s="1" t="n">
        <v>0.008607</v>
      </c>
      <c r="D37" s="1" t="n">
        <v>0.00392</v>
      </c>
      <c r="E37" s="1" t="n">
        <v>0.00225</v>
      </c>
      <c r="F37" s="1" t="n">
        <v>0.003</v>
      </c>
      <c r="G37" s="1" t="n">
        <v>0.00283</v>
      </c>
      <c r="H37" s="1" t="n">
        <v>0.00224</v>
      </c>
      <c r="I37" s="1" t="n">
        <v>0.0015</v>
      </c>
      <c r="J37" s="1" t="n">
        <v>0.00168</v>
      </c>
      <c r="K37" s="1" t="n">
        <v>0.00131</v>
      </c>
      <c r="L37" s="1" t="n">
        <v>0.00213</v>
      </c>
      <c r="M37" s="1" t="n">
        <v>0.00146</v>
      </c>
      <c r="N37" s="1" t="n">
        <v>0.00183</v>
      </c>
      <c r="O37" s="1" t="n">
        <v>0.00145</v>
      </c>
      <c r="P37" s="1" t="n">
        <v>0.00175</v>
      </c>
    </row>
    <row r="38" customFormat="false" ht="15" hidden="false" customHeight="false" outlineLevel="0" collapsed="false">
      <c r="A38" s="1" t="n">
        <v>33</v>
      </c>
      <c r="B38" s="1" t="n">
        <v>0.00459</v>
      </c>
      <c r="C38" s="1" t="n">
        <v>0.008718</v>
      </c>
      <c r="D38" s="1" t="n">
        <v>0.00412</v>
      </c>
      <c r="E38" s="1" t="n">
        <v>0.00232</v>
      </c>
      <c r="F38" s="1" t="n">
        <v>0.00307</v>
      </c>
      <c r="G38" s="1" t="n">
        <v>0.00288</v>
      </c>
      <c r="H38" s="1" t="n">
        <v>0.00235</v>
      </c>
      <c r="I38" s="1" t="n">
        <v>0.00155</v>
      </c>
      <c r="J38" s="1" t="n">
        <v>0.00175</v>
      </c>
      <c r="K38" s="1" t="n">
        <v>0.00135</v>
      </c>
      <c r="L38" s="1" t="n">
        <v>0.00223</v>
      </c>
      <c r="M38" s="1" t="n">
        <v>0.0015</v>
      </c>
      <c r="N38" s="1" t="n">
        <v>0.00191</v>
      </c>
      <c r="O38" s="1" t="n">
        <v>0.0015</v>
      </c>
      <c r="P38" s="1" t="n">
        <v>0.00183</v>
      </c>
    </row>
    <row r="39" customFormat="false" ht="15" hidden="false" customHeight="false" outlineLevel="0" collapsed="false">
      <c r="A39" s="1" t="n">
        <v>34</v>
      </c>
      <c r="B39" s="1" t="n">
        <v>0.00468</v>
      </c>
      <c r="C39" s="1" t="n">
        <v>0.008831</v>
      </c>
      <c r="D39" s="1" t="n">
        <v>0.00435</v>
      </c>
      <c r="E39" s="1" t="n">
        <v>0.0024</v>
      </c>
      <c r="F39" s="1" t="n">
        <v>0.00315</v>
      </c>
      <c r="G39" s="1" t="n">
        <v>0.00294</v>
      </c>
      <c r="H39" s="1" t="n">
        <v>0.00248</v>
      </c>
      <c r="I39" s="1" t="n">
        <v>0.00161</v>
      </c>
      <c r="J39" s="1" t="n">
        <v>0.00186</v>
      </c>
      <c r="K39" s="1" t="n">
        <v>0.00142</v>
      </c>
      <c r="L39" s="1" t="n">
        <v>0.00235</v>
      </c>
      <c r="M39" s="1" t="n">
        <v>0.00158</v>
      </c>
      <c r="N39" s="1" t="n">
        <v>0.002</v>
      </c>
      <c r="O39" s="1" t="n">
        <v>0.00158</v>
      </c>
      <c r="P39" s="1" t="n">
        <v>0.00191</v>
      </c>
    </row>
    <row r="40" customFormat="false" ht="15" hidden="false" customHeight="false" outlineLevel="0" collapsed="false">
      <c r="A40" s="1" t="n">
        <v>35</v>
      </c>
      <c r="B40" s="1" t="n">
        <v>0.00478</v>
      </c>
      <c r="C40" s="1" t="n">
        <v>0.008946</v>
      </c>
      <c r="D40" s="1" t="n">
        <v>0.00459</v>
      </c>
      <c r="E40" s="1" t="n">
        <v>0.00251</v>
      </c>
      <c r="F40" s="1" t="n">
        <v>0.00326</v>
      </c>
      <c r="G40" s="1" t="n">
        <v>0.003</v>
      </c>
      <c r="H40" s="1" t="n">
        <v>0.00263</v>
      </c>
      <c r="I40" s="1" t="n">
        <v>0.00169</v>
      </c>
      <c r="J40" s="1" t="n">
        <v>0.00194</v>
      </c>
      <c r="K40" s="1" t="n">
        <v>0.00147</v>
      </c>
      <c r="L40" s="1" t="n">
        <v>0.0025</v>
      </c>
      <c r="M40" s="1" t="n">
        <v>0.00164</v>
      </c>
      <c r="N40" s="1" t="n">
        <v>0.00211</v>
      </c>
      <c r="O40" s="1" t="n">
        <v>0.00165</v>
      </c>
      <c r="P40" s="1" t="n">
        <v>0.00202</v>
      </c>
    </row>
    <row r="41" customFormat="false" ht="15" hidden="false" customHeight="false" outlineLevel="0" collapsed="false">
      <c r="A41" s="1" t="n">
        <v>36</v>
      </c>
      <c r="B41" s="1" t="n">
        <v>0.00494</v>
      </c>
      <c r="C41" s="1" t="n">
        <v>0.009089</v>
      </c>
      <c r="D41" s="1" t="n">
        <v>0.00486</v>
      </c>
      <c r="E41" s="1" t="n">
        <v>0.00264</v>
      </c>
      <c r="F41" s="1" t="n">
        <v>0.00343</v>
      </c>
      <c r="G41" s="1" t="n">
        <v>0.00307</v>
      </c>
      <c r="H41" s="1" t="n">
        <v>0.00281</v>
      </c>
      <c r="I41" s="1" t="n">
        <v>0.00177</v>
      </c>
      <c r="J41" s="1" t="n">
        <v>0.00209</v>
      </c>
      <c r="K41" s="1" t="n">
        <v>0.00156</v>
      </c>
      <c r="L41" s="1" t="n">
        <v>0.00267</v>
      </c>
      <c r="M41" s="1" t="n">
        <v>0.00173</v>
      </c>
      <c r="N41" s="1" t="n">
        <v>0.00224</v>
      </c>
      <c r="O41" s="1" t="n">
        <v>0.00176</v>
      </c>
      <c r="P41" s="1" t="n">
        <v>0.00214</v>
      </c>
    </row>
    <row r="42" customFormat="false" ht="15" hidden="false" customHeight="false" outlineLevel="0" collapsed="false">
      <c r="A42" s="1" t="n">
        <v>37</v>
      </c>
      <c r="B42" s="1" t="n">
        <v>0.00512</v>
      </c>
      <c r="C42" s="1" t="n">
        <v>0.009234</v>
      </c>
      <c r="D42" s="1" t="n">
        <v>0.00515</v>
      </c>
      <c r="E42" s="1" t="n">
        <v>0.0028</v>
      </c>
      <c r="F42" s="1" t="n">
        <v>0.00364</v>
      </c>
      <c r="G42" s="1" t="n">
        <v>0.00315</v>
      </c>
      <c r="H42" s="1" t="n">
        <v>0.00304</v>
      </c>
      <c r="I42" s="1" t="n">
        <v>0.00188</v>
      </c>
      <c r="J42" s="1" t="n">
        <v>0.00228</v>
      </c>
      <c r="K42" s="1" t="n">
        <v>0.00167</v>
      </c>
      <c r="L42" s="1" t="n">
        <v>0.00289</v>
      </c>
      <c r="M42" s="1" t="n">
        <v>0.00183</v>
      </c>
      <c r="N42" s="1" t="n">
        <v>0.0024</v>
      </c>
      <c r="O42" s="1" t="n">
        <v>0.00189</v>
      </c>
      <c r="P42" s="1" t="n">
        <v>0.0023</v>
      </c>
    </row>
    <row r="43" customFormat="false" ht="15" hidden="false" customHeight="false" outlineLevel="0" collapsed="false">
      <c r="A43" s="1" t="n">
        <v>38</v>
      </c>
      <c r="B43" s="1" t="n">
        <v>0.00532</v>
      </c>
      <c r="C43" s="1" t="n">
        <v>0.009408</v>
      </c>
      <c r="D43" s="1" t="n">
        <v>0.00546</v>
      </c>
      <c r="E43" s="1" t="n">
        <v>0.00301</v>
      </c>
      <c r="F43" s="1" t="n">
        <v>0.00391</v>
      </c>
      <c r="G43" s="1" t="n">
        <v>0.00326</v>
      </c>
      <c r="H43" s="1" t="n">
        <v>0.0033</v>
      </c>
      <c r="I43" s="1" t="n">
        <v>0.002</v>
      </c>
      <c r="J43" s="1" t="n">
        <v>0.00249</v>
      </c>
      <c r="K43" s="1" t="n">
        <v>0.00179</v>
      </c>
      <c r="L43" s="1" t="n">
        <v>0.00314</v>
      </c>
      <c r="M43" s="1" t="n">
        <v>0.00196</v>
      </c>
      <c r="N43" s="1" t="n">
        <v>0.00258</v>
      </c>
      <c r="O43" s="1" t="n">
        <v>0.00204</v>
      </c>
      <c r="P43" s="1" t="n">
        <v>0.00247</v>
      </c>
    </row>
    <row r="44" customFormat="false" ht="15" hidden="false" customHeight="false" outlineLevel="0" collapsed="false">
      <c r="A44" s="1" t="n">
        <v>39</v>
      </c>
      <c r="B44" s="1" t="n">
        <v>0.00556</v>
      </c>
      <c r="C44" s="1" t="n">
        <v>0.009586</v>
      </c>
      <c r="D44" s="1" t="n">
        <v>0.00581</v>
      </c>
      <c r="E44" s="1" t="n">
        <v>0.00325</v>
      </c>
      <c r="F44" s="1" t="n">
        <v>0.00423</v>
      </c>
      <c r="G44" s="1" t="n">
        <v>0.00343</v>
      </c>
      <c r="H44" s="1" t="n">
        <v>0.0036</v>
      </c>
      <c r="I44" s="1" t="n">
        <v>0.00214</v>
      </c>
      <c r="J44" s="1" t="n">
        <v>0.00273</v>
      </c>
      <c r="K44" s="1" t="n">
        <v>0.00193</v>
      </c>
      <c r="L44" s="1" t="n">
        <v>0.00343</v>
      </c>
      <c r="M44" s="1" t="n">
        <v>0.0021</v>
      </c>
      <c r="N44" s="1" t="n">
        <v>0.00279</v>
      </c>
      <c r="O44" s="1" t="n">
        <v>0.00222</v>
      </c>
      <c r="P44" s="1" t="n">
        <v>0.00268</v>
      </c>
    </row>
    <row r="45" customFormat="false" ht="15" hidden="false" customHeight="false" outlineLevel="0" collapsed="false">
      <c r="A45" s="1" t="n">
        <v>40</v>
      </c>
      <c r="B45" s="1" t="n">
        <v>0.00584</v>
      </c>
      <c r="C45" s="1" t="n">
        <v>0.009794</v>
      </c>
      <c r="D45" s="1" t="n">
        <v>0.00618</v>
      </c>
      <c r="E45" s="1" t="n">
        <v>0.00353</v>
      </c>
      <c r="F45" s="1" t="n">
        <v>0.00459</v>
      </c>
      <c r="G45" s="1" t="n">
        <v>0.00364</v>
      </c>
      <c r="H45" s="1" t="n">
        <v>0.00394</v>
      </c>
      <c r="I45" s="1" t="n">
        <v>0.00229</v>
      </c>
      <c r="J45" s="1" t="n">
        <v>0.003</v>
      </c>
      <c r="K45" s="1" t="n">
        <v>0.00208</v>
      </c>
      <c r="L45" s="1" t="n">
        <v>0.00375</v>
      </c>
      <c r="M45" s="1" t="n">
        <v>0.00225</v>
      </c>
      <c r="N45" s="1" t="n">
        <v>0.00302</v>
      </c>
      <c r="O45" s="1" t="n">
        <v>0.00242</v>
      </c>
      <c r="P45" s="1" t="n">
        <v>0.0029</v>
      </c>
    </row>
    <row r="46" customFormat="false" ht="15" hidden="false" customHeight="false" outlineLevel="0" collapsed="false">
      <c r="A46" s="1" t="n">
        <v>41</v>
      </c>
      <c r="B46" s="1" t="n">
        <v>0.00616</v>
      </c>
      <c r="C46" s="1" t="n">
        <v>0.010008</v>
      </c>
      <c r="D46" s="1" t="n">
        <v>0.00659</v>
      </c>
      <c r="E46" s="1" t="n">
        <v>0.00384</v>
      </c>
      <c r="F46" s="1" t="n">
        <v>0.00499</v>
      </c>
      <c r="G46" s="1" t="n">
        <v>0.00391</v>
      </c>
      <c r="H46" s="1" t="n">
        <v>0.00434</v>
      </c>
      <c r="I46" s="1" t="n">
        <v>0.00247</v>
      </c>
      <c r="J46" s="1" t="n">
        <v>0.00333</v>
      </c>
      <c r="K46" s="1" t="n">
        <v>0.00226</v>
      </c>
      <c r="L46" s="1" t="n">
        <v>0.00414</v>
      </c>
      <c r="M46" s="1" t="n">
        <v>0.00243</v>
      </c>
      <c r="N46" s="1" t="n">
        <v>0.00329</v>
      </c>
      <c r="O46" s="1" t="n">
        <v>0.00264</v>
      </c>
      <c r="P46" s="1" t="n">
        <v>0.00316</v>
      </c>
    </row>
    <row r="47" customFormat="false" ht="15" hidden="false" customHeight="false" outlineLevel="0" collapsed="false">
      <c r="A47" s="1" t="n">
        <v>42</v>
      </c>
      <c r="B47" s="1" t="n">
        <v>0.00654</v>
      </c>
      <c r="C47" s="1" t="n">
        <v>0.010252</v>
      </c>
      <c r="D47" s="1" t="n">
        <v>0.00703</v>
      </c>
      <c r="E47" s="1" t="n">
        <v>0.00417</v>
      </c>
      <c r="F47" s="1" t="n">
        <v>0.00542</v>
      </c>
      <c r="G47" s="1" t="n">
        <v>0.00423</v>
      </c>
      <c r="H47" s="1" t="n">
        <v>0.00475</v>
      </c>
      <c r="I47" s="1" t="n">
        <v>0.00265</v>
      </c>
      <c r="J47" s="1" t="n">
        <v>0.00364</v>
      </c>
      <c r="K47" s="1" t="n">
        <v>0.00244</v>
      </c>
      <c r="L47" s="1" t="n">
        <v>0.00453</v>
      </c>
      <c r="M47" s="1" t="n">
        <v>0.0026</v>
      </c>
      <c r="N47" s="1" t="n">
        <v>0.00356</v>
      </c>
      <c r="O47" s="1" t="n">
        <v>0.00287</v>
      </c>
      <c r="P47" s="1" t="n">
        <v>0.00342</v>
      </c>
    </row>
    <row r="48" customFormat="false" ht="15" hidden="false" customHeight="false" outlineLevel="0" collapsed="false">
      <c r="A48" s="1" t="n">
        <v>43</v>
      </c>
      <c r="B48" s="1" t="n">
        <v>0.00694</v>
      </c>
      <c r="C48" s="1" t="n">
        <v>0.010517</v>
      </c>
      <c r="D48" s="1" t="n">
        <v>0.00751</v>
      </c>
      <c r="E48" s="1" t="n">
        <v>0.00453</v>
      </c>
      <c r="F48" s="1" t="n">
        <v>0.00589</v>
      </c>
      <c r="G48" s="1" t="n">
        <v>0.00459</v>
      </c>
      <c r="H48" s="1" t="n">
        <v>0.00522</v>
      </c>
      <c r="I48" s="1" t="n">
        <v>0.00286</v>
      </c>
      <c r="J48" s="1" t="n">
        <v>0.00396</v>
      </c>
      <c r="K48" s="1" t="n">
        <v>0.00262</v>
      </c>
      <c r="L48" s="1" t="n">
        <v>0.00497</v>
      </c>
      <c r="M48" s="1" t="n">
        <v>0.00281</v>
      </c>
      <c r="N48" s="1" t="n">
        <v>0.00387</v>
      </c>
      <c r="O48" s="1" t="n">
        <v>0.00309</v>
      </c>
      <c r="P48" s="1" t="n">
        <v>0.00372</v>
      </c>
    </row>
    <row r="49" customFormat="false" ht="15" hidden="false" customHeight="false" outlineLevel="0" collapsed="false">
      <c r="A49" s="1" t="n">
        <v>44</v>
      </c>
      <c r="B49" s="1" t="n">
        <v>0.00742</v>
      </c>
      <c r="C49" s="1" t="n">
        <v>0.010829</v>
      </c>
      <c r="D49" s="1" t="n">
        <v>0.00804</v>
      </c>
      <c r="E49" s="1" t="n">
        <v>0.00492</v>
      </c>
      <c r="F49" s="1" t="n">
        <v>0.0064</v>
      </c>
      <c r="G49" s="1" t="n">
        <v>0.00499</v>
      </c>
      <c r="H49" s="1" t="n">
        <v>0.00571</v>
      </c>
      <c r="I49" s="1" t="n">
        <v>0.00307</v>
      </c>
      <c r="J49" s="1" t="n">
        <v>0.00428</v>
      </c>
      <c r="K49" s="1" t="n">
        <v>0.0028</v>
      </c>
      <c r="L49" s="1" t="n">
        <v>0.00542</v>
      </c>
      <c r="M49" s="1" t="n">
        <v>0.00301</v>
      </c>
      <c r="N49" s="1" t="n">
        <v>0.00419</v>
      </c>
      <c r="O49" s="1" t="n">
        <v>0.00332</v>
      </c>
      <c r="P49" s="1" t="n">
        <v>0.00401</v>
      </c>
    </row>
    <row r="50" customFormat="false" ht="15" hidden="false" customHeight="false" outlineLevel="0" collapsed="false">
      <c r="A50" s="1" t="n">
        <v>45</v>
      </c>
      <c r="B50" s="1" t="n">
        <v>0.00794</v>
      </c>
      <c r="C50" s="1" t="n">
        <v>0.011163</v>
      </c>
      <c r="D50" s="1" t="n">
        <v>0.00861</v>
      </c>
      <c r="E50" s="1" t="n">
        <v>0.00535</v>
      </c>
      <c r="F50" s="1" t="n">
        <v>0.00696</v>
      </c>
      <c r="G50" s="1" t="n">
        <v>0.00542</v>
      </c>
      <c r="H50" s="1" t="n">
        <v>0.00627</v>
      </c>
      <c r="I50" s="1" t="n">
        <v>0.00332</v>
      </c>
      <c r="J50" s="1" t="n">
        <v>0.00461</v>
      </c>
      <c r="K50" s="1" t="n">
        <v>0.00299</v>
      </c>
      <c r="L50" s="1" t="n">
        <v>0.00594</v>
      </c>
      <c r="M50" s="1" t="n">
        <v>0.00326</v>
      </c>
      <c r="N50" s="1" t="n">
        <v>0.00455</v>
      </c>
      <c r="O50" s="1" t="n">
        <v>0.00356</v>
      </c>
      <c r="P50" s="1" t="n">
        <v>0.00435</v>
      </c>
    </row>
    <row r="51" customFormat="false" ht="15" hidden="false" customHeight="false" outlineLevel="0" collapsed="false">
      <c r="A51" s="1" t="n">
        <v>46</v>
      </c>
      <c r="B51" s="1" t="n">
        <v>0.00852</v>
      </c>
      <c r="C51" s="1" t="n">
        <v>0.011562</v>
      </c>
      <c r="D51" s="1" t="n">
        <v>0.00923</v>
      </c>
      <c r="E51" s="1" t="n">
        <v>0.00583</v>
      </c>
      <c r="F51" s="1" t="n">
        <v>0.00758</v>
      </c>
      <c r="G51" s="1" t="n">
        <v>0.00589</v>
      </c>
      <c r="H51" s="1" t="n">
        <v>0.00683</v>
      </c>
      <c r="I51" s="1" t="n">
        <v>0.00359</v>
      </c>
      <c r="J51" s="1" t="n">
        <v>0.00495</v>
      </c>
      <c r="K51" s="1" t="n">
        <v>0.00319</v>
      </c>
      <c r="L51" s="1" t="n">
        <v>0.00645</v>
      </c>
      <c r="M51" s="1" t="n">
        <v>0.00351</v>
      </c>
      <c r="N51" s="1" t="n">
        <v>0.00492</v>
      </c>
      <c r="O51" s="1" t="n">
        <v>0.0038</v>
      </c>
      <c r="P51" s="1" t="n">
        <v>0.0047</v>
      </c>
    </row>
    <row r="52" customFormat="false" ht="15" hidden="false" customHeight="false" outlineLevel="0" collapsed="false">
      <c r="A52" s="1" t="n">
        <v>47</v>
      </c>
      <c r="B52" s="1" t="n">
        <v>0.00918</v>
      </c>
      <c r="C52" s="1" t="n">
        <v>0.012</v>
      </c>
      <c r="D52" s="1" t="n">
        <v>0.00991</v>
      </c>
      <c r="E52" s="1" t="n">
        <v>0.00636</v>
      </c>
      <c r="F52" s="1" t="n">
        <v>0.00827</v>
      </c>
      <c r="G52" s="1" t="n">
        <v>0.0064</v>
      </c>
      <c r="H52" s="1" t="n">
        <v>0.00744</v>
      </c>
      <c r="I52" s="1" t="n">
        <v>0.00388</v>
      </c>
      <c r="J52" s="1" t="n">
        <v>0.00531</v>
      </c>
      <c r="K52" s="1" t="n">
        <v>0.00341</v>
      </c>
      <c r="L52" s="1" t="n">
        <v>0.00701</v>
      </c>
      <c r="M52" s="1" t="n">
        <v>0.00378</v>
      </c>
      <c r="N52" s="1" t="n">
        <v>0.00532</v>
      </c>
      <c r="O52" s="1" t="n">
        <v>0.00405</v>
      </c>
      <c r="P52" s="1" t="n">
        <v>0.00507</v>
      </c>
    </row>
    <row r="53" customFormat="false" ht="15" hidden="false" customHeight="false" outlineLevel="0" collapsed="false">
      <c r="A53" s="1" t="n">
        <v>48</v>
      </c>
      <c r="B53" s="1" t="n">
        <v>0.00989</v>
      </c>
      <c r="C53" s="1" t="n">
        <v>0.012509</v>
      </c>
      <c r="D53" s="1" t="n">
        <v>0.01064</v>
      </c>
      <c r="E53" s="1" t="n">
        <v>0.00695</v>
      </c>
      <c r="F53" s="1" t="n">
        <v>0.00904</v>
      </c>
      <c r="G53" s="1" t="n">
        <v>0.00696</v>
      </c>
      <c r="H53" s="1" t="n">
        <v>0.00808</v>
      </c>
      <c r="I53" s="1" t="n">
        <v>0.00419</v>
      </c>
      <c r="J53" s="1" t="n">
        <v>0.00568</v>
      </c>
      <c r="K53" s="1" t="n">
        <v>0.00365</v>
      </c>
      <c r="L53" s="1" t="n">
        <v>0.0076</v>
      </c>
      <c r="M53" s="1" t="n">
        <v>0.00409</v>
      </c>
      <c r="N53" s="1" t="n">
        <v>0.00574</v>
      </c>
      <c r="O53" s="1" t="n">
        <v>0.00433</v>
      </c>
      <c r="P53" s="1" t="n">
        <v>0.00545</v>
      </c>
    </row>
    <row r="54" customFormat="false" ht="15" hidden="false" customHeight="false" outlineLevel="0" collapsed="false">
      <c r="A54" s="1" t="n">
        <v>49</v>
      </c>
      <c r="B54" s="1" t="n">
        <v>0.0107</v>
      </c>
      <c r="C54" s="1" t="n">
        <v>0.013106</v>
      </c>
      <c r="D54" s="1" t="n">
        <v>0.01145</v>
      </c>
      <c r="E54" s="1" t="n">
        <v>0.0076</v>
      </c>
      <c r="F54" s="1" t="n">
        <v>0.00988</v>
      </c>
      <c r="G54" s="1" t="n">
        <v>0.00758</v>
      </c>
      <c r="H54" s="1" t="n">
        <v>0.0088</v>
      </c>
      <c r="I54" s="1" t="n">
        <v>0.00454</v>
      </c>
      <c r="J54" s="1" t="n">
        <v>0.00608</v>
      </c>
      <c r="K54" s="1" t="n">
        <v>0.0039</v>
      </c>
      <c r="L54" s="1" t="n">
        <v>0.00825</v>
      </c>
      <c r="M54" s="1" t="n">
        <v>0.00441</v>
      </c>
      <c r="N54" s="1" t="n">
        <v>0.00621</v>
      </c>
      <c r="O54" s="1" t="n">
        <v>0.00463</v>
      </c>
      <c r="P54" s="1" t="n">
        <v>0.00589</v>
      </c>
    </row>
    <row r="55" customFormat="false" ht="15" hidden="false" customHeight="false" outlineLevel="0" collapsed="false">
      <c r="A55" s="1" t="n">
        <v>50</v>
      </c>
      <c r="B55" s="1" t="n">
        <v>0.01158</v>
      </c>
      <c r="C55" s="1" t="n">
        <v>0.013781</v>
      </c>
      <c r="D55" s="1" t="n">
        <v>0.01232</v>
      </c>
      <c r="E55" s="1" t="n">
        <v>0.00832</v>
      </c>
      <c r="F55" s="1" t="n">
        <v>0.01082</v>
      </c>
      <c r="G55" s="1" t="n">
        <v>0.00827</v>
      </c>
      <c r="H55" s="1" t="n">
        <v>0.00956</v>
      </c>
      <c r="I55" s="1" t="n">
        <v>0.00491</v>
      </c>
      <c r="J55" s="1" t="n">
        <v>0.00654</v>
      </c>
      <c r="K55" s="1" t="n">
        <v>0.00419</v>
      </c>
      <c r="L55" s="1" t="n">
        <v>0.00895</v>
      </c>
      <c r="M55" s="1" t="n">
        <v>0.00476</v>
      </c>
      <c r="N55" s="1" t="n">
        <v>0.00671</v>
      </c>
      <c r="O55" s="1" t="n">
        <v>0.00496</v>
      </c>
      <c r="P55" s="1" t="n">
        <v>0.00636</v>
      </c>
    </row>
    <row r="56" customFormat="false" ht="15" hidden="false" customHeight="false" outlineLevel="0" collapsed="false">
      <c r="A56" s="1" t="n">
        <v>51</v>
      </c>
      <c r="B56" s="1" t="n">
        <v>0.01254</v>
      </c>
      <c r="C56" s="1" t="n">
        <v>0.014541</v>
      </c>
      <c r="D56" s="1" t="n">
        <v>0.01327</v>
      </c>
      <c r="E56" s="1" t="n">
        <v>0.00911</v>
      </c>
      <c r="F56" s="1" t="n">
        <v>0.01184</v>
      </c>
      <c r="G56" s="1" t="n">
        <v>0.00904</v>
      </c>
      <c r="H56" s="1" t="n">
        <v>0.01044</v>
      </c>
      <c r="I56" s="1" t="n">
        <v>0.00535</v>
      </c>
      <c r="J56" s="1" t="n">
        <v>0.007</v>
      </c>
      <c r="K56" s="1" t="n">
        <v>0.0045</v>
      </c>
      <c r="L56" s="1" t="n">
        <v>0.00974</v>
      </c>
      <c r="M56" s="1" t="n">
        <v>0.00518</v>
      </c>
      <c r="N56" s="1" t="n">
        <v>0.0073</v>
      </c>
      <c r="O56" s="1" t="n">
        <v>0.00531</v>
      </c>
      <c r="P56" s="1" t="n">
        <v>0.0069</v>
      </c>
    </row>
    <row r="57" customFormat="false" ht="15" hidden="false" customHeight="false" outlineLevel="0" collapsed="false">
      <c r="A57" s="1" t="n">
        <v>52</v>
      </c>
      <c r="B57" s="1" t="n">
        <v>0.01362</v>
      </c>
      <c r="C57" s="1" t="n">
        <v>0.015389</v>
      </c>
      <c r="D57" s="1" t="n">
        <v>0.0143</v>
      </c>
      <c r="E57" s="1" t="n">
        <v>0.00996</v>
      </c>
      <c r="F57" s="1" t="n">
        <v>0.01295</v>
      </c>
      <c r="G57" s="1" t="n">
        <v>0.00988</v>
      </c>
      <c r="H57" s="1" t="n">
        <v>0.01142</v>
      </c>
      <c r="I57" s="1" t="n">
        <v>0.00586</v>
      </c>
      <c r="J57" s="1" t="n">
        <v>0.00752</v>
      </c>
      <c r="K57" s="1" t="n">
        <v>0.00485</v>
      </c>
      <c r="L57" s="1" t="n">
        <v>0.01063</v>
      </c>
      <c r="M57" s="1" t="n">
        <v>0.00565</v>
      </c>
      <c r="N57" s="1" t="n">
        <v>0.00796</v>
      </c>
      <c r="O57" s="1" t="n">
        <v>0.0057</v>
      </c>
      <c r="P57" s="1" t="n">
        <v>0.0075</v>
      </c>
    </row>
    <row r="58" customFormat="false" ht="15" hidden="false" customHeight="false" outlineLevel="0" collapsed="false">
      <c r="A58" s="1" t="n">
        <v>53</v>
      </c>
      <c r="B58" s="1" t="n">
        <v>0.01478</v>
      </c>
      <c r="C58" s="1" t="n">
        <v>0.016333</v>
      </c>
      <c r="D58" s="1" t="n">
        <v>0.01543</v>
      </c>
      <c r="E58" s="1" t="n">
        <v>0.01089</v>
      </c>
      <c r="F58" s="1" t="n">
        <v>0.01416</v>
      </c>
      <c r="G58" s="1" t="n">
        <v>0.01082</v>
      </c>
      <c r="H58" s="1" t="n">
        <v>0.01254</v>
      </c>
      <c r="I58" s="1" t="n">
        <v>0.00643</v>
      </c>
      <c r="J58" s="1" t="n">
        <v>0.00813</v>
      </c>
      <c r="K58" s="1" t="n">
        <v>0.00526</v>
      </c>
      <c r="L58" s="1" t="n">
        <v>0.01164</v>
      </c>
      <c r="M58" s="1" t="n">
        <v>0.00619</v>
      </c>
      <c r="N58" s="1" t="n">
        <v>0.00871</v>
      </c>
      <c r="O58" s="1" t="n">
        <v>0.00615</v>
      </c>
      <c r="P58" s="1" t="n">
        <v>0.00819</v>
      </c>
    </row>
    <row r="59" customFormat="false" ht="15" hidden="false" customHeight="false" outlineLevel="0" collapsed="false">
      <c r="A59" s="1" t="n">
        <v>54</v>
      </c>
      <c r="B59" s="1" t="n">
        <v>0.01608</v>
      </c>
      <c r="C59" s="1" t="n">
        <v>0.017396</v>
      </c>
      <c r="D59" s="1" t="n">
        <v>0.01665</v>
      </c>
      <c r="E59" s="1" t="n">
        <v>0.0119</v>
      </c>
      <c r="F59" s="1" t="n">
        <v>0.01547</v>
      </c>
      <c r="G59" s="1" t="n">
        <v>0.01184</v>
      </c>
      <c r="H59" s="1" t="n">
        <v>0.0138</v>
      </c>
      <c r="I59" s="1" t="n">
        <v>0.00709</v>
      </c>
      <c r="J59" s="1" t="n">
        <v>0.00875</v>
      </c>
      <c r="K59" s="1" t="n">
        <v>0.00568</v>
      </c>
      <c r="L59" s="1" t="n">
        <v>0.01277</v>
      </c>
      <c r="M59" s="1" t="n">
        <v>0.00681</v>
      </c>
      <c r="N59" s="1" t="n">
        <v>0.00956</v>
      </c>
      <c r="O59" s="1" t="n">
        <v>0.00661</v>
      </c>
      <c r="P59" s="1" t="n">
        <v>0.00896</v>
      </c>
    </row>
    <row r="60" customFormat="false" ht="15" hidden="false" customHeight="false" outlineLevel="0" collapsed="false">
      <c r="A60" s="1" t="n">
        <v>55</v>
      </c>
      <c r="B60" s="1" t="n">
        <v>0.01747</v>
      </c>
      <c r="C60" s="1" t="n">
        <v>0.018571</v>
      </c>
      <c r="D60" s="1" t="n">
        <v>0.01798</v>
      </c>
      <c r="E60" s="1" t="n">
        <v>0.013</v>
      </c>
      <c r="F60" s="1" t="n">
        <v>0.0169</v>
      </c>
      <c r="G60" s="1" t="n">
        <v>0.01295</v>
      </c>
      <c r="H60" s="1" t="n">
        <v>0.01514</v>
      </c>
      <c r="I60" s="1" t="n">
        <v>0.00782</v>
      </c>
      <c r="J60" s="1" t="n">
        <v>0.0094</v>
      </c>
      <c r="K60" s="1" t="n">
        <v>0.00613</v>
      </c>
      <c r="L60" s="1" t="n">
        <v>0.01396</v>
      </c>
      <c r="M60" s="1" t="n">
        <v>0.00748</v>
      </c>
      <c r="N60" s="1" t="n">
        <v>0.01047</v>
      </c>
      <c r="O60" s="1" t="n">
        <v>0.00709</v>
      </c>
      <c r="P60" s="1" t="n">
        <v>0.00978</v>
      </c>
    </row>
    <row r="61" customFormat="false" ht="15" hidden="false" customHeight="false" outlineLevel="0" collapsed="false">
      <c r="A61" s="1" t="n">
        <v>56</v>
      </c>
      <c r="B61" s="1" t="n">
        <v>0.01902</v>
      </c>
      <c r="C61" s="1" t="n">
        <v>0.019885</v>
      </c>
      <c r="D61" s="1" t="n">
        <v>0.01943</v>
      </c>
      <c r="E61" s="1" t="n">
        <v>0.01421</v>
      </c>
      <c r="F61" s="1" t="n">
        <v>0.01847</v>
      </c>
      <c r="G61" s="1" t="n">
        <v>0.01416</v>
      </c>
      <c r="H61" s="1" t="n">
        <v>0.01659</v>
      </c>
      <c r="I61" s="1" t="n">
        <v>0.00863</v>
      </c>
      <c r="J61" s="1" t="n">
        <v>0.01005</v>
      </c>
      <c r="K61" s="1" t="n">
        <v>0.00659</v>
      </c>
      <c r="L61" s="1" t="n">
        <v>0.01524</v>
      </c>
      <c r="M61" s="1" t="n">
        <v>0.00821</v>
      </c>
      <c r="N61" s="1" t="n">
        <v>0.01146</v>
      </c>
      <c r="O61" s="1" t="n">
        <v>0.00757</v>
      </c>
      <c r="P61" s="1" t="n">
        <v>0.01067</v>
      </c>
    </row>
    <row r="62" customFormat="false" ht="15" hidden="false" customHeight="false" outlineLevel="0" collapsed="false">
      <c r="A62" s="1" t="n">
        <v>57</v>
      </c>
      <c r="B62" s="1" t="n">
        <v>0.02069</v>
      </c>
      <c r="C62" s="1" t="n">
        <v>0.021335</v>
      </c>
      <c r="D62" s="1" t="n">
        <v>0.021</v>
      </c>
      <c r="E62" s="1" t="n">
        <v>0.01554</v>
      </c>
      <c r="F62" s="1" t="n">
        <v>0.0202</v>
      </c>
      <c r="G62" s="1" t="n">
        <v>0.01547</v>
      </c>
      <c r="H62" s="1" t="n">
        <v>0.01809</v>
      </c>
      <c r="I62" s="1" t="n">
        <v>0.00949</v>
      </c>
      <c r="J62" s="1" t="n">
        <v>0.01067</v>
      </c>
      <c r="K62" s="1" t="n">
        <v>0.00705</v>
      </c>
      <c r="L62" s="1" t="n">
        <v>0.01655</v>
      </c>
      <c r="M62" s="1" t="n">
        <v>0.009</v>
      </c>
      <c r="N62" s="1" t="n">
        <v>0.01249</v>
      </c>
      <c r="O62" s="1" t="n">
        <v>0.00803</v>
      </c>
      <c r="P62" s="1" t="n">
        <v>0.01158</v>
      </c>
    </row>
    <row r="63" customFormat="false" ht="15" hidden="false" customHeight="false" outlineLevel="0" collapsed="false">
      <c r="A63" s="1" t="n">
        <v>58</v>
      </c>
      <c r="B63" s="1" t="n">
        <v>0.02251</v>
      </c>
      <c r="C63" s="1" t="n">
        <v>0.022936</v>
      </c>
      <c r="D63" s="1" t="n">
        <v>0.02271</v>
      </c>
      <c r="E63" s="1" t="n">
        <v>0.017</v>
      </c>
      <c r="F63" s="1" t="n">
        <v>0.0221</v>
      </c>
      <c r="G63" s="1" t="n">
        <v>0.0169</v>
      </c>
      <c r="H63" s="1" t="n">
        <v>0.01969</v>
      </c>
      <c r="I63" s="1" t="n">
        <v>0.01042</v>
      </c>
      <c r="J63" s="1" t="n">
        <v>0.01125</v>
      </c>
      <c r="K63" s="1" t="n">
        <v>0.00749</v>
      </c>
      <c r="L63" s="1" t="n">
        <v>0.01793</v>
      </c>
      <c r="M63" s="1" t="n">
        <v>0.00984</v>
      </c>
      <c r="N63" s="1" t="n">
        <v>0.01359</v>
      </c>
      <c r="O63" s="1" t="n">
        <v>0.00847</v>
      </c>
      <c r="P63" s="1" t="n">
        <v>0.01254</v>
      </c>
    </row>
    <row r="64" customFormat="false" ht="15" hidden="false" customHeight="false" outlineLevel="0" collapsed="false">
      <c r="A64" s="1" t="n">
        <v>59</v>
      </c>
      <c r="B64" s="1" t="n">
        <v>0.02449</v>
      </c>
      <c r="C64" s="1" t="n">
        <v>0.02472</v>
      </c>
      <c r="D64" s="1" t="n">
        <v>0.02457</v>
      </c>
      <c r="E64" s="1" t="n">
        <v>0.01859</v>
      </c>
      <c r="F64" s="1" t="n">
        <v>0.02417</v>
      </c>
      <c r="G64" s="1" t="n">
        <v>0.01847</v>
      </c>
      <c r="H64" s="1" t="n">
        <v>0.02135</v>
      </c>
      <c r="I64" s="1" t="n">
        <v>0.01147</v>
      </c>
      <c r="J64" s="1" t="n">
        <v>0.01185</v>
      </c>
      <c r="K64" s="1" t="n">
        <v>0.00796</v>
      </c>
      <c r="L64" s="1" t="n">
        <v>0.01936</v>
      </c>
      <c r="M64" s="1" t="n">
        <v>0.01075</v>
      </c>
      <c r="N64" s="1" t="n">
        <v>0.01477</v>
      </c>
      <c r="O64" s="1" t="n">
        <v>0.00894</v>
      </c>
      <c r="P64" s="1" t="n">
        <v>0.01357</v>
      </c>
    </row>
    <row r="65" customFormat="false" ht="15" hidden="false" customHeight="false" outlineLevel="0" collapsed="false">
      <c r="A65" s="1" t="n">
        <v>60</v>
      </c>
      <c r="B65" s="1" t="n">
        <v>0.02668</v>
      </c>
      <c r="C65" s="1" t="n">
        <v>0.026693</v>
      </c>
      <c r="D65" s="1" t="n">
        <v>0.02659</v>
      </c>
      <c r="E65" s="1" t="n">
        <v>0.02034</v>
      </c>
      <c r="F65" s="1" t="n">
        <v>0.02644</v>
      </c>
      <c r="G65" s="1" t="n">
        <v>0.0202</v>
      </c>
      <c r="H65" s="1" t="n">
        <v>0.02319</v>
      </c>
      <c r="I65" s="1" t="n">
        <v>0.01264</v>
      </c>
      <c r="J65" s="1" t="n">
        <v>0.01251</v>
      </c>
      <c r="K65" s="1" t="n">
        <v>0.00851</v>
      </c>
      <c r="L65" s="1" t="n">
        <v>0.02093</v>
      </c>
      <c r="M65" s="1" t="n">
        <v>0.0118</v>
      </c>
      <c r="N65" s="1" t="n">
        <v>0.01608</v>
      </c>
      <c r="O65" s="1" t="n">
        <v>0.00947</v>
      </c>
      <c r="P65" s="1" t="n">
        <v>0.01472</v>
      </c>
    </row>
    <row r="66" customFormat="false" ht="15" hidden="false" customHeight="false" outlineLevel="0" collapsed="false">
      <c r="A66" s="1" t="n">
        <v>61</v>
      </c>
      <c r="B66" s="1" t="n">
        <v>0.02903</v>
      </c>
      <c r="C66" s="1" t="n">
        <v>0.02888</v>
      </c>
      <c r="D66" s="1" t="n">
        <v>0.02878</v>
      </c>
      <c r="E66" s="1" t="n">
        <v>0.02224</v>
      </c>
      <c r="F66" s="1" t="n">
        <v>0.02891</v>
      </c>
      <c r="G66" s="1" t="n">
        <v>0.0221</v>
      </c>
      <c r="H66" s="1" t="n">
        <v>0.02526</v>
      </c>
      <c r="I66" s="1" t="n">
        <v>0.01394</v>
      </c>
      <c r="J66" s="1" t="n">
        <v>0.01336</v>
      </c>
      <c r="K66" s="1" t="n">
        <v>0.00916</v>
      </c>
      <c r="L66" s="1" t="n">
        <v>0.02272</v>
      </c>
      <c r="M66" s="1" t="n">
        <v>0.01296</v>
      </c>
      <c r="N66" s="1" t="n">
        <v>0.01754</v>
      </c>
      <c r="O66" s="1" t="n">
        <v>0.01013</v>
      </c>
      <c r="P66" s="1" t="n">
        <v>0.016</v>
      </c>
    </row>
    <row r="67" customFormat="false" ht="15" hidden="false" customHeight="false" outlineLevel="0" collapsed="false">
      <c r="A67" s="1" t="n">
        <v>62</v>
      </c>
      <c r="B67" s="1" t="n">
        <v>0.03158</v>
      </c>
      <c r="C67" s="1" t="n">
        <v>0.031292</v>
      </c>
      <c r="D67" s="1" t="n">
        <v>0.03118</v>
      </c>
      <c r="E67" s="1" t="n">
        <v>0.02431</v>
      </c>
      <c r="F67" s="1" t="n">
        <v>0.0316</v>
      </c>
      <c r="G67" s="1" t="n">
        <v>0.02417</v>
      </c>
      <c r="H67" s="1" t="n">
        <v>0.02759</v>
      </c>
      <c r="I67" s="1" t="n">
        <v>0.01542</v>
      </c>
      <c r="J67" s="1" t="n">
        <v>0.01439</v>
      </c>
      <c r="K67" s="1" t="n">
        <v>0.00998</v>
      </c>
      <c r="L67" s="1" t="n">
        <v>0.02475</v>
      </c>
      <c r="M67" s="1" t="n">
        <v>0.0143</v>
      </c>
      <c r="N67" s="1" t="n">
        <v>0.01919</v>
      </c>
      <c r="O67" s="1" t="n">
        <v>0.01096</v>
      </c>
      <c r="P67" s="1" t="n">
        <v>0.01747</v>
      </c>
    </row>
    <row r="68" customFormat="false" ht="15" hidden="false" customHeight="false" outlineLevel="0" collapsed="false">
      <c r="A68" s="1" t="n">
        <v>63</v>
      </c>
      <c r="B68" s="1" t="n">
        <v>0.03437</v>
      </c>
      <c r="C68" s="1" t="n">
        <v>0.033943</v>
      </c>
      <c r="D68" s="1" t="n">
        <v>0.03376</v>
      </c>
      <c r="E68" s="1" t="n">
        <v>0.02657</v>
      </c>
      <c r="F68" s="1" t="n">
        <v>0.03454</v>
      </c>
      <c r="G68" s="1" t="n">
        <v>0.02644</v>
      </c>
      <c r="H68" s="1" t="n">
        <v>0.03023</v>
      </c>
      <c r="I68" s="1" t="n">
        <v>0.01711</v>
      </c>
      <c r="J68" s="1" t="n">
        <v>0.01578</v>
      </c>
      <c r="K68" s="1" t="n">
        <v>0.01101</v>
      </c>
      <c r="L68" s="1" t="n">
        <v>0.02709</v>
      </c>
      <c r="M68" s="1" t="n">
        <v>0.01586</v>
      </c>
      <c r="N68" s="1" t="n">
        <v>0.02106</v>
      </c>
      <c r="O68" s="1" t="n">
        <v>0.01202</v>
      </c>
      <c r="P68" s="1" t="n">
        <v>0.01916</v>
      </c>
    </row>
    <row r="69" customFormat="false" ht="15" hidden="false" customHeight="false" outlineLevel="0" collapsed="false">
      <c r="A69" s="1" t="n">
        <v>64</v>
      </c>
      <c r="B69" s="1" t="n">
        <v>0.03738</v>
      </c>
      <c r="C69" s="1" t="n">
        <v>0.036873</v>
      </c>
      <c r="D69" s="1" t="n">
        <v>0.03658</v>
      </c>
      <c r="E69" s="1" t="n">
        <v>0.02904</v>
      </c>
      <c r="F69" s="1" t="n">
        <v>0.03775</v>
      </c>
      <c r="G69" s="1" t="n">
        <v>0.02891</v>
      </c>
      <c r="H69" s="1" t="n">
        <v>0.03314</v>
      </c>
      <c r="I69" s="1" t="n">
        <v>0.01902</v>
      </c>
      <c r="J69" s="1" t="n">
        <v>0.01733</v>
      </c>
      <c r="K69" s="1" t="n">
        <v>0.01223</v>
      </c>
      <c r="L69" s="1" t="n">
        <v>0.02966</v>
      </c>
      <c r="M69" s="1" t="n">
        <v>0.01762</v>
      </c>
      <c r="N69" s="1" t="n">
        <v>0.02314</v>
      </c>
      <c r="O69" s="1" t="n">
        <v>0.01325</v>
      </c>
      <c r="P69" s="1" t="n">
        <v>0.02105</v>
      </c>
    </row>
    <row r="70" customFormat="false" ht="15" hidden="false" customHeight="false" outlineLevel="0" collapsed="false">
      <c r="A70" s="1" t="n">
        <v>65</v>
      </c>
      <c r="B70" s="1" t="n">
        <v>0.04066</v>
      </c>
      <c r="C70" s="1" t="n">
        <v>0.040129</v>
      </c>
      <c r="D70" s="1" t="n">
        <v>0.03964</v>
      </c>
      <c r="E70" s="1" t="n">
        <v>0.03175</v>
      </c>
      <c r="F70" s="1" t="n">
        <v>0.04128</v>
      </c>
      <c r="G70" s="1" t="n">
        <v>0.0316</v>
      </c>
      <c r="H70" s="1" t="n">
        <v>0.03629</v>
      </c>
      <c r="I70" s="1" t="n">
        <v>0.02113</v>
      </c>
      <c r="J70" s="1" t="n">
        <v>0.01907</v>
      </c>
      <c r="K70" s="1" t="n">
        <v>0.01355</v>
      </c>
      <c r="L70" s="1" t="n">
        <v>0.03245</v>
      </c>
      <c r="M70" s="1" t="n">
        <v>0.01955</v>
      </c>
      <c r="N70" s="1" t="n">
        <v>0.02542</v>
      </c>
      <c r="O70" s="1" t="n">
        <v>0.01459</v>
      </c>
      <c r="P70" s="1" t="n">
        <v>0.02311</v>
      </c>
    </row>
    <row r="71" customFormat="false" ht="15" hidden="false" customHeight="false" outlineLevel="0" collapsed="false">
      <c r="A71" s="1" t="n">
        <v>66</v>
      </c>
      <c r="B71" s="1" t="n">
        <v>0.04418</v>
      </c>
      <c r="C71" s="1" t="n">
        <v>0.043707</v>
      </c>
      <c r="D71" s="1" t="n">
        <v>0.04296</v>
      </c>
      <c r="E71" s="1" t="n">
        <v>0.03474</v>
      </c>
      <c r="F71" s="1" t="n">
        <v>0.04516</v>
      </c>
      <c r="G71" s="1" t="n">
        <v>0.03454</v>
      </c>
      <c r="H71" s="1" t="n">
        <v>0.03957</v>
      </c>
      <c r="I71" s="1" t="n">
        <v>0.0234</v>
      </c>
      <c r="J71" s="1" t="n">
        <v>0.02079</v>
      </c>
      <c r="K71" s="1" t="n">
        <v>0.01497</v>
      </c>
      <c r="L71" s="1" t="n">
        <v>0.03533</v>
      </c>
      <c r="M71" s="1" t="n">
        <v>0.02164</v>
      </c>
      <c r="N71" s="1" t="n">
        <v>0.02785</v>
      </c>
      <c r="O71" s="1" t="n">
        <v>0.016</v>
      </c>
      <c r="P71" s="1" t="n">
        <v>0.02529</v>
      </c>
    </row>
    <row r="72" customFormat="false" ht="15" hidden="false" customHeight="false" outlineLevel="0" collapsed="false">
      <c r="A72" s="1" t="n">
        <v>67</v>
      </c>
      <c r="B72" s="1" t="n">
        <v>0.04803</v>
      </c>
      <c r="C72" s="1" t="n">
        <v>0.047647</v>
      </c>
      <c r="D72" s="1" t="n">
        <v>0.04656</v>
      </c>
      <c r="E72" s="1" t="n">
        <v>0.03804</v>
      </c>
      <c r="F72" s="1" t="n">
        <v>0.04945</v>
      </c>
      <c r="G72" s="1" t="n">
        <v>0.03775</v>
      </c>
      <c r="H72" s="1" t="n">
        <v>0.04301</v>
      </c>
      <c r="I72" s="1" t="n">
        <v>0.02586</v>
      </c>
      <c r="J72" s="1" t="n">
        <v>0.02258</v>
      </c>
      <c r="K72" s="1" t="n">
        <v>0.01641</v>
      </c>
      <c r="L72" s="1" t="n">
        <v>0.03833</v>
      </c>
      <c r="M72" s="1" t="n">
        <v>0.02387</v>
      </c>
      <c r="N72" s="1" t="n">
        <v>0.03044</v>
      </c>
      <c r="O72" s="1" t="n">
        <v>0.01743</v>
      </c>
      <c r="P72" s="1" t="n">
        <v>0.02761</v>
      </c>
    </row>
    <row r="73" customFormat="false" ht="15" hidden="false" customHeight="false" outlineLevel="0" collapsed="false">
      <c r="A73" s="1" t="n">
        <v>68</v>
      </c>
      <c r="B73" s="1" t="n">
        <v>0.05216</v>
      </c>
      <c r="C73" s="1" t="n">
        <v>0.052002</v>
      </c>
      <c r="D73" s="1" t="n">
        <v>0.05046</v>
      </c>
      <c r="E73" s="1" t="n">
        <v>0.04168</v>
      </c>
      <c r="F73" s="1" t="n">
        <v>0.05418</v>
      </c>
      <c r="G73" s="1" t="n">
        <v>0.04128</v>
      </c>
      <c r="H73" s="1" t="n">
        <v>0.04655</v>
      </c>
      <c r="I73" s="1" t="n">
        <v>0.0285</v>
      </c>
      <c r="J73" s="1" t="n">
        <v>0.0242</v>
      </c>
      <c r="K73" s="1" t="n">
        <v>0.01786</v>
      </c>
      <c r="L73" s="1" t="n">
        <v>0.04134</v>
      </c>
      <c r="M73" s="1" t="n">
        <v>0.02624</v>
      </c>
      <c r="N73" s="1" t="n">
        <v>0.03319</v>
      </c>
      <c r="O73" s="1" t="n">
        <v>0.01884</v>
      </c>
      <c r="P73" s="1" t="n">
        <v>0.03003</v>
      </c>
    </row>
    <row r="74" customFormat="false" ht="15" hidden="false" customHeight="false" outlineLevel="0" collapsed="false">
      <c r="A74" s="1" t="n">
        <v>69</v>
      </c>
      <c r="B74" s="1" t="n">
        <v>0.05664</v>
      </c>
      <c r="C74" s="1" t="n">
        <v>0.056762</v>
      </c>
      <c r="D74" s="1" t="n">
        <v>0.0547</v>
      </c>
      <c r="E74" s="1" t="n">
        <v>0.04561</v>
      </c>
      <c r="F74" s="1" t="n">
        <v>0.05929</v>
      </c>
      <c r="G74" s="1" t="n">
        <v>0.04516</v>
      </c>
      <c r="H74" s="1" t="n">
        <v>0.05032</v>
      </c>
      <c r="I74" s="1" t="n">
        <v>0.03138</v>
      </c>
      <c r="J74" s="1" t="n">
        <v>0.02602</v>
      </c>
      <c r="K74" s="1" t="n">
        <v>0.01941</v>
      </c>
      <c r="L74" s="1" t="n">
        <v>0.04456</v>
      </c>
      <c r="M74" s="1" t="n">
        <v>0.02882</v>
      </c>
      <c r="N74" s="1" t="n">
        <v>0.03617</v>
      </c>
      <c r="O74" s="1" t="n">
        <v>0.02036</v>
      </c>
      <c r="P74" s="1" t="n">
        <v>0.03266</v>
      </c>
    </row>
    <row r="75" customFormat="false" ht="15" hidden="false" customHeight="false" outlineLevel="0" collapsed="false">
      <c r="A75" s="1" t="n">
        <v>70</v>
      </c>
      <c r="B75" s="1" t="n">
        <v>0.06147</v>
      </c>
      <c r="C75" s="1" t="n">
        <v>0.061993</v>
      </c>
      <c r="D75" s="1" t="n">
        <v>0.0593</v>
      </c>
      <c r="E75" s="1" t="n">
        <v>0.04979</v>
      </c>
      <c r="F75" s="1" t="n">
        <v>0.06473</v>
      </c>
      <c r="G75" s="1" t="n">
        <v>0.04945</v>
      </c>
      <c r="H75" s="1" t="n">
        <v>0.05448</v>
      </c>
      <c r="I75" s="1" t="n">
        <v>0.03463</v>
      </c>
      <c r="J75" s="1" t="n">
        <v>0.02795</v>
      </c>
      <c r="K75" s="1" t="n">
        <v>0.0212</v>
      </c>
      <c r="L75" s="1" t="n">
        <v>0.04806</v>
      </c>
      <c r="M75" s="1" t="n">
        <v>0.03174</v>
      </c>
      <c r="N75" s="1" t="n">
        <v>0.03951</v>
      </c>
      <c r="O75" s="1" t="n">
        <v>0.02211</v>
      </c>
      <c r="P75" s="1" t="n">
        <v>0.03559</v>
      </c>
    </row>
    <row r="76" customFormat="false" ht="15" hidden="false" customHeight="false" outlineLevel="0" collapsed="false">
      <c r="A76" s="1" t="n">
        <v>71</v>
      </c>
      <c r="B76" s="1" t="n">
        <v>0.0667</v>
      </c>
      <c r="C76" s="1" t="n">
        <v>0.067665</v>
      </c>
      <c r="D76" s="1" t="n">
        <v>0.06427</v>
      </c>
      <c r="E76" s="1" t="n">
        <v>0.05415</v>
      </c>
      <c r="F76" s="1" t="n">
        <v>0.0704</v>
      </c>
      <c r="G76" s="1" t="n">
        <v>0.05418</v>
      </c>
      <c r="H76" s="1" t="n">
        <v>0.05909</v>
      </c>
      <c r="I76" s="1" t="n">
        <v>0.03891</v>
      </c>
      <c r="J76" s="1" t="n">
        <v>0.03045</v>
      </c>
      <c r="K76" s="1" t="n">
        <v>0.02334</v>
      </c>
      <c r="L76" s="1" t="n">
        <v>0.05202</v>
      </c>
      <c r="M76" s="1" t="n">
        <v>0.03551</v>
      </c>
      <c r="N76" s="1" t="n">
        <v>0.0433</v>
      </c>
      <c r="O76" s="1" t="n">
        <v>0.02423</v>
      </c>
      <c r="P76" s="1" t="n">
        <v>0.03895</v>
      </c>
    </row>
    <row r="77" customFormat="false" ht="15" hidden="false" customHeight="false" outlineLevel="0" collapsed="false">
      <c r="A77" s="1" t="n">
        <v>72</v>
      </c>
      <c r="B77" s="1" t="n">
        <v>0.07233</v>
      </c>
      <c r="C77" s="1" t="n">
        <v>0.073733</v>
      </c>
      <c r="D77" s="1" t="n">
        <v>0.06966</v>
      </c>
      <c r="E77" s="1" t="n">
        <v>0.05865</v>
      </c>
      <c r="F77" s="1" t="n">
        <v>0.07625</v>
      </c>
      <c r="G77" s="1" t="n">
        <v>0.05929</v>
      </c>
      <c r="H77" s="1" t="n">
        <v>0.06433</v>
      </c>
      <c r="I77" s="1" t="n">
        <v>0.04256</v>
      </c>
      <c r="J77" s="1" t="n">
        <v>0.03355</v>
      </c>
      <c r="K77" s="1" t="n">
        <v>0.02599</v>
      </c>
      <c r="L77" s="1" t="n">
        <v>0.05656</v>
      </c>
      <c r="M77" s="1" t="n">
        <v>0.03889</v>
      </c>
      <c r="N77" s="1" t="n">
        <v>0.04765</v>
      </c>
      <c r="O77" s="1" t="n">
        <v>0.02687</v>
      </c>
      <c r="P77" s="1" t="n">
        <v>0.04284</v>
      </c>
    </row>
    <row r="78" customFormat="false" ht="15" hidden="false" customHeight="false" outlineLevel="0" collapsed="false">
      <c r="A78" s="1" t="n">
        <v>73</v>
      </c>
      <c r="B78" s="1" t="n">
        <v>0.07839</v>
      </c>
      <c r="C78" s="1" t="n">
        <v>0.080178</v>
      </c>
      <c r="D78" s="1" t="n">
        <v>0.0755</v>
      </c>
      <c r="E78" s="1" t="n">
        <v>0.06326</v>
      </c>
      <c r="F78" s="1" t="n">
        <v>0.08224</v>
      </c>
      <c r="G78" s="1" t="n">
        <v>0.06473</v>
      </c>
      <c r="H78" s="1" t="n">
        <v>0.07023</v>
      </c>
      <c r="I78" s="1" t="n">
        <v>0.04744</v>
      </c>
      <c r="J78" s="1" t="n">
        <v>0.03733</v>
      </c>
      <c r="K78" s="1" t="n">
        <v>0.02922</v>
      </c>
      <c r="L78" s="1" t="n">
        <v>0.06172</v>
      </c>
      <c r="M78" s="1" t="n">
        <v>0.04337</v>
      </c>
      <c r="N78" s="1" t="n">
        <v>0.05264</v>
      </c>
      <c r="O78" s="1" t="n">
        <v>0.03011</v>
      </c>
      <c r="P78" s="1" t="n">
        <v>0.04733</v>
      </c>
    </row>
    <row r="79" customFormat="false" ht="15" hidden="false" customHeight="false" outlineLevel="0" collapsed="false">
      <c r="A79" s="1" t="n">
        <v>74</v>
      </c>
      <c r="B79" s="1" t="n">
        <v>0.08492</v>
      </c>
      <c r="C79" s="1" t="n">
        <v>0.087028</v>
      </c>
      <c r="D79" s="1" t="n">
        <v>0.08181</v>
      </c>
      <c r="E79" s="1" t="n">
        <v>0.06812</v>
      </c>
      <c r="F79" s="1" t="n">
        <v>0.08856</v>
      </c>
      <c r="G79" s="1" t="n">
        <v>0.0704</v>
      </c>
      <c r="H79" s="1" t="n">
        <v>0.07666</v>
      </c>
      <c r="I79" s="1" t="n">
        <v>0.05292</v>
      </c>
      <c r="J79" s="1" t="n">
        <v>0.04174</v>
      </c>
      <c r="K79" s="1" t="n">
        <v>0.03302</v>
      </c>
      <c r="L79" s="1" t="n">
        <v>0.06739</v>
      </c>
      <c r="M79" s="1" t="n">
        <v>0.04839</v>
      </c>
      <c r="N79" s="1" t="n">
        <v>0.05819</v>
      </c>
      <c r="O79" s="1" t="n">
        <v>0.03393</v>
      </c>
      <c r="P79" s="1" t="n">
        <v>0.05237</v>
      </c>
    </row>
    <row r="80" customFormat="false" ht="15" hidden="false" customHeight="false" outlineLevel="0" collapsed="false">
      <c r="A80" s="1" t="n">
        <v>75</v>
      </c>
      <c r="B80" s="1" t="n">
        <v>0.09194</v>
      </c>
      <c r="C80" s="1" t="n">
        <v>0.094371</v>
      </c>
      <c r="D80" s="1" t="n">
        <v>0.08864</v>
      </c>
      <c r="E80" s="1" t="n">
        <v>0.07337</v>
      </c>
      <c r="F80" s="1" t="n">
        <v>0.09538</v>
      </c>
      <c r="G80" s="1" t="n">
        <v>0.07625</v>
      </c>
      <c r="H80" s="1" t="n">
        <v>0.08377</v>
      </c>
      <c r="I80" s="1" t="n">
        <v>0.0588</v>
      </c>
      <c r="J80" s="1" t="n">
        <v>0.04664</v>
      </c>
      <c r="K80" s="1" t="n">
        <v>0.03732</v>
      </c>
      <c r="L80" s="1" t="n">
        <v>0.07364</v>
      </c>
      <c r="M80" s="1" t="n">
        <v>0.05384</v>
      </c>
      <c r="N80" s="1" t="n">
        <v>0.06419</v>
      </c>
      <c r="O80" s="1" t="n">
        <v>0.03824</v>
      </c>
      <c r="P80" s="1" t="n">
        <v>0.05784</v>
      </c>
    </row>
    <row r="81" customFormat="false" ht="15" hidden="false" customHeight="false" outlineLevel="0" collapsed="false">
      <c r="A81" s="1" t="n">
        <v>76</v>
      </c>
      <c r="B81" s="1" t="n">
        <v>0.09951</v>
      </c>
      <c r="C81" s="1" t="n">
        <v>0.102311</v>
      </c>
      <c r="D81" s="1" t="n">
        <v>0.09602</v>
      </c>
      <c r="E81" s="1" t="n">
        <v>0.07918</v>
      </c>
      <c r="F81" s="1" t="n">
        <v>0.10293</v>
      </c>
      <c r="G81" s="1" t="n">
        <v>0.08224</v>
      </c>
      <c r="H81" s="1" t="n">
        <v>0.0911</v>
      </c>
      <c r="I81" s="1" t="n">
        <v>0.06506</v>
      </c>
      <c r="J81" s="1" t="n">
        <v>0.05192</v>
      </c>
      <c r="K81" s="1" t="n">
        <v>0.04204</v>
      </c>
      <c r="L81" s="1" t="n">
        <v>0.08011</v>
      </c>
      <c r="M81" s="1" t="n">
        <v>0.05965</v>
      </c>
      <c r="N81" s="1" t="n">
        <v>0.07053</v>
      </c>
      <c r="O81" s="1" t="n">
        <v>0.04297</v>
      </c>
      <c r="P81" s="1" t="n">
        <v>0.06365</v>
      </c>
    </row>
    <row r="82" customFormat="false" ht="15" hidden="false" customHeight="false" outlineLevel="0" collapsed="false">
      <c r="A82" s="1" t="n">
        <v>77</v>
      </c>
      <c r="B82" s="1" t="n">
        <v>0.10765</v>
      </c>
      <c r="C82" s="1" t="n">
        <v>0.111064</v>
      </c>
      <c r="D82" s="1" t="n">
        <v>0.10399</v>
      </c>
      <c r="E82" s="1" t="n">
        <v>0.0857</v>
      </c>
      <c r="F82" s="1" t="n">
        <v>0.11141</v>
      </c>
      <c r="G82" s="1" t="n">
        <v>0.08856</v>
      </c>
      <c r="H82" s="1" t="n">
        <v>0.09852</v>
      </c>
      <c r="I82" s="1" t="n">
        <v>0.07164</v>
      </c>
      <c r="J82" s="1" t="n">
        <v>0.05746</v>
      </c>
      <c r="K82" s="1" t="n">
        <v>0.04711</v>
      </c>
      <c r="L82" s="1" t="n">
        <v>0.08664</v>
      </c>
      <c r="M82" s="1" t="n">
        <v>0.06577</v>
      </c>
      <c r="N82" s="1" t="n">
        <v>0.07712</v>
      </c>
      <c r="O82" s="1" t="n">
        <v>0.04804</v>
      </c>
      <c r="P82" s="1" t="n">
        <v>0.0697</v>
      </c>
    </row>
    <row r="83" customFormat="false" ht="15" hidden="false" customHeight="false" outlineLevel="0" collapsed="false">
      <c r="A83" s="1" t="n">
        <v>78</v>
      </c>
      <c r="B83" s="1" t="n">
        <v>0.11631</v>
      </c>
      <c r="C83" s="1" t="n">
        <v>0.120827</v>
      </c>
      <c r="D83" s="1" t="n">
        <v>0.11259</v>
      </c>
      <c r="E83" s="1" t="n">
        <v>0.09306</v>
      </c>
      <c r="F83" s="1" t="n">
        <v>0.12098</v>
      </c>
      <c r="G83" s="1" t="n">
        <v>0.09538</v>
      </c>
      <c r="H83" s="1" t="n">
        <v>0.10591</v>
      </c>
      <c r="I83" s="1" t="n">
        <v>0.07847</v>
      </c>
      <c r="J83" s="1" t="n">
        <v>0.06323</v>
      </c>
      <c r="K83" s="1" t="n">
        <v>0.05253</v>
      </c>
      <c r="L83" s="1" t="n">
        <v>0.09317</v>
      </c>
      <c r="M83" s="1" t="n">
        <v>0.07213</v>
      </c>
      <c r="N83" s="1" t="n">
        <v>0.0839</v>
      </c>
      <c r="O83" s="1" t="n">
        <v>0.05345</v>
      </c>
      <c r="P83" s="1" t="n">
        <v>0.07595</v>
      </c>
    </row>
    <row r="84" customFormat="false" ht="15" hidden="false" customHeight="false" outlineLevel="0" collapsed="false">
      <c r="A84" s="1" t="n">
        <v>79</v>
      </c>
      <c r="B84" s="1" t="n">
        <v>0.12569</v>
      </c>
      <c r="C84" s="1" t="n">
        <v>0.131734</v>
      </c>
      <c r="D84" s="1" t="n">
        <v>0.12186</v>
      </c>
      <c r="E84" s="1" t="n">
        <v>0.10119</v>
      </c>
      <c r="F84" s="1" t="n">
        <v>0.13155</v>
      </c>
      <c r="G84" s="1" t="n">
        <v>0.10293</v>
      </c>
      <c r="H84" s="1" t="n">
        <v>0.11349</v>
      </c>
      <c r="I84" s="1" t="n">
        <v>0.08572</v>
      </c>
      <c r="J84" s="1" t="n">
        <v>0.06941</v>
      </c>
      <c r="K84" s="1" t="n">
        <v>0.05845</v>
      </c>
      <c r="L84" s="1" t="n">
        <v>0.09991</v>
      </c>
      <c r="M84" s="1" t="n">
        <v>0.07892</v>
      </c>
      <c r="N84" s="1" t="n">
        <v>0.09105</v>
      </c>
      <c r="O84" s="1" t="n">
        <v>0.05935</v>
      </c>
      <c r="P84" s="1" t="n">
        <v>0.08257</v>
      </c>
    </row>
    <row r="85" customFormat="false" ht="15" hidden="false" customHeight="false" outlineLevel="0" collapsed="false">
      <c r="A85" s="1" t="n">
        <v>80</v>
      </c>
      <c r="B85" s="1" t="n">
        <v>0.13574</v>
      </c>
      <c r="C85" s="1" t="n">
        <v>0.144466</v>
      </c>
      <c r="D85" s="1" t="n">
        <v>0.13185</v>
      </c>
      <c r="E85" s="1" t="n">
        <v>0.10998</v>
      </c>
      <c r="F85" s="1" t="n">
        <v>0.14297</v>
      </c>
      <c r="G85" s="1" t="n">
        <v>0.11141</v>
      </c>
      <c r="H85" s="1" t="n">
        <v>0.12159</v>
      </c>
      <c r="I85" s="1" t="n">
        <v>0.09367</v>
      </c>
      <c r="J85" s="1" t="n">
        <v>0.07626</v>
      </c>
      <c r="K85" s="1" t="n">
        <v>0.06512</v>
      </c>
      <c r="L85" s="1" t="n">
        <v>0.10714</v>
      </c>
      <c r="M85" s="1" t="n">
        <v>0.0864</v>
      </c>
      <c r="N85" s="1" t="n">
        <v>0.09884</v>
      </c>
      <c r="O85" s="1" t="n">
        <v>0.06599</v>
      </c>
      <c r="P85" s="1" t="n">
        <v>0.08983</v>
      </c>
    </row>
    <row r="86" customFormat="false" ht="15" hidden="false" customHeight="false" outlineLevel="0" collapsed="false">
      <c r="A86" s="1" t="n">
        <v>81</v>
      </c>
      <c r="B86" s="1" t="n">
        <v>0.14642</v>
      </c>
      <c r="C86" s="1" t="n">
        <v>0.158605</v>
      </c>
      <c r="D86" s="1" t="n">
        <v>0.1426</v>
      </c>
      <c r="E86" s="1" t="n">
        <v>0.11935</v>
      </c>
      <c r="F86" s="1" t="n">
        <v>0.15516</v>
      </c>
      <c r="G86" s="1" t="n">
        <v>0.12098</v>
      </c>
      <c r="H86" s="1" t="n">
        <v>0.13041</v>
      </c>
      <c r="I86" s="1" t="n">
        <v>0.10252</v>
      </c>
      <c r="J86" s="1" t="n">
        <v>0.084</v>
      </c>
      <c r="K86" s="1" t="n">
        <v>0.07276</v>
      </c>
      <c r="L86" s="1" t="n">
        <v>0.11511</v>
      </c>
      <c r="M86" s="1" t="n">
        <v>0.09477</v>
      </c>
      <c r="N86" s="1" t="n">
        <v>0.10748</v>
      </c>
      <c r="O86" s="1" t="n">
        <v>0.0736</v>
      </c>
      <c r="P86" s="1" t="n">
        <v>0.09794</v>
      </c>
    </row>
    <row r="87" customFormat="false" ht="15" hidden="false" customHeight="false" outlineLevel="0" collapsed="false">
      <c r="A87" s="1" t="n">
        <v>82</v>
      </c>
      <c r="B87" s="1" t="n">
        <v>0.15787</v>
      </c>
      <c r="C87" s="1" t="n">
        <v>0.174297</v>
      </c>
      <c r="D87" s="1" t="n">
        <v>0.15416</v>
      </c>
      <c r="E87" s="1" t="n">
        <v>0.12917</v>
      </c>
      <c r="F87" s="1" t="n">
        <v>0.16792</v>
      </c>
      <c r="G87" s="1" t="n">
        <v>0.13155</v>
      </c>
      <c r="H87" s="1" t="n">
        <v>0.1402</v>
      </c>
      <c r="I87" s="1" t="n">
        <v>0.11252</v>
      </c>
      <c r="J87" s="1" t="n">
        <v>0.09284</v>
      </c>
      <c r="K87" s="1" t="n">
        <v>0.08159</v>
      </c>
      <c r="L87" s="1" t="n">
        <v>0.12403</v>
      </c>
      <c r="M87" s="1" t="n">
        <v>0.10426</v>
      </c>
      <c r="N87" s="1" t="n">
        <v>0.11725</v>
      </c>
      <c r="O87" s="1" t="n">
        <v>0.0824</v>
      </c>
      <c r="P87" s="1" t="n">
        <v>0.10718</v>
      </c>
    </row>
    <row r="88" customFormat="false" ht="15" hidden="false" customHeight="false" outlineLevel="0" collapsed="false">
      <c r="A88" s="1" t="n">
        <v>83</v>
      </c>
      <c r="B88" s="1" t="n">
        <v>0.17005</v>
      </c>
      <c r="C88" s="1" t="n">
        <v>0.191561</v>
      </c>
      <c r="D88" s="1" t="n">
        <v>0.16657</v>
      </c>
      <c r="E88" s="1" t="n">
        <v>0.13938</v>
      </c>
      <c r="F88" s="1" t="n">
        <v>0.18119</v>
      </c>
      <c r="G88" s="1" t="n">
        <v>0.14297</v>
      </c>
      <c r="H88" s="1" t="n">
        <v>0.15103</v>
      </c>
      <c r="I88" s="1" t="n">
        <v>0.12379</v>
      </c>
      <c r="J88" s="1" t="n">
        <v>0.10287</v>
      </c>
      <c r="K88" s="1" t="n">
        <v>0.09176</v>
      </c>
      <c r="L88" s="1" t="n">
        <v>0.13401</v>
      </c>
      <c r="M88" s="1" t="n">
        <v>0.11502</v>
      </c>
      <c r="N88" s="1" t="n">
        <v>0.12826</v>
      </c>
      <c r="O88" s="1" t="n">
        <v>0.09253</v>
      </c>
      <c r="P88" s="1" t="n">
        <v>0.11765</v>
      </c>
    </row>
    <row r="89" customFormat="false" ht="15" hidden="false" customHeight="false" outlineLevel="0" collapsed="false">
      <c r="A89" s="1" t="n">
        <v>84</v>
      </c>
      <c r="B89" s="1" t="n">
        <v>0.18315</v>
      </c>
      <c r="C89" s="1" t="n">
        <v>0.211359</v>
      </c>
      <c r="D89" s="1" t="n">
        <v>0.17988</v>
      </c>
      <c r="E89" s="1" t="n">
        <v>0.15001</v>
      </c>
      <c r="F89" s="1" t="n">
        <v>0.19501</v>
      </c>
      <c r="G89" s="1" t="n">
        <v>0.15516</v>
      </c>
      <c r="H89" s="1" t="n">
        <v>0.16249</v>
      </c>
      <c r="I89" s="1" t="n">
        <v>0.13611</v>
      </c>
      <c r="J89" s="1" t="n">
        <v>0.11465</v>
      </c>
      <c r="K89" s="1" t="n">
        <v>0.10303</v>
      </c>
      <c r="L89" s="1" t="n">
        <v>0.14497</v>
      </c>
      <c r="M89" s="1" t="n">
        <v>0.1268</v>
      </c>
      <c r="N89" s="1" t="n">
        <v>0.14025</v>
      </c>
      <c r="O89" s="1" t="n">
        <v>0.10381</v>
      </c>
      <c r="P89" s="1" t="n">
        <v>0.1291</v>
      </c>
    </row>
    <row r="90" customFormat="false" ht="15" hidden="false" customHeight="false" outlineLevel="0" collapsed="false">
      <c r="A90" s="1" t="n">
        <v>85</v>
      </c>
      <c r="B90" s="1" t="n">
        <v>0.19707</v>
      </c>
      <c r="C90" s="1" t="n">
        <v>0.235552</v>
      </c>
      <c r="D90" s="1" t="n">
        <v>0.19413</v>
      </c>
      <c r="E90" s="1" t="n">
        <v>0.16114</v>
      </c>
      <c r="F90" s="1" t="n">
        <v>0.20948</v>
      </c>
      <c r="G90" s="1" t="n">
        <v>0.16792</v>
      </c>
      <c r="H90" s="1" t="n">
        <v>0.1742</v>
      </c>
      <c r="I90" s="1" t="n">
        <v>0.1492</v>
      </c>
      <c r="J90" s="1" t="n">
        <v>0.12642</v>
      </c>
      <c r="K90" s="1" t="n">
        <v>0.11538</v>
      </c>
      <c r="L90" s="1" t="n">
        <v>0.15608</v>
      </c>
      <c r="M90" s="1" t="n">
        <v>0.13945</v>
      </c>
      <c r="N90" s="1" t="n">
        <v>0.15295</v>
      </c>
      <c r="O90" s="1" t="n">
        <v>0.1161</v>
      </c>
      <c r="P90" s="1" t="n">
        <v>0.14138</v>
      </c>
    </row>
    <row r="91" customFormat="false" ht="15" hidden="false" customHeight="false" outlineLevel="0" collapsed="false">
      <c r="A91" s="1" t="n">
        <v>86</v>
      </c>
      <c r="B91" s="1" t="n">
        <v>0.2118</v>
      </c>
      <c r="C91" s="1" t="n">
        <v>0.265681</v>
      </c>
      <c r="D91" s="1" t="n">
        <v>0.20937</v>
      </c>
      <c r="E91" s="1" t="n">
        <v>0.17282</v>
      </c>
      <c r="F91" s="1" t="n">
        <v>0.22467</v>
      </c>
      <c r="G91" s="1" t="n">
        <v>0.18119</v>
      </c>
      <c r="H91" s="1" t="n">
        <v>0.18578</v>
      </c>
      <c r="I91" s="1" t="n">
        <v>0.1628</v>
      </c>
      <c r="J91" s="1" t="n">
        <v>0.13979</v>
      </c>
      <c r="K91" s="1" t="n">
        <v>0.12858</v>
      </c>
      <c r="L91" s="1" t="n">
        <v>0.16775</v>
      </c>
      <c r="M91" s="1" t="n">
        <v>0.15261</v>
      </c>
      <c r="N91" s="1" t="n">
        <v>0.16609</v>
      </c>
      <c r="O91" s="1" t="n">
        <v>0.12929</v>
      </c>
      <c r="P91" s="1" t="n">
        <v>0.15417</v>
      </c>
    </row>
    <row r="92" customFormat="false" ht="15" hidden="false" customHeight="false" outlineLevel="0" collapsed="false">
      <c r="A92" s="1" t="n">
        <v>87</v>
      </c>
      <c r="B92" s="1" t="n">
        <v>0.22729</v>
      </c>
      <c r="C92" s="1" t="n">
        <v>0.30302</v>
      </c>
      <c r="D92" s="1" t="n">
        <v>0.22563</v>
      </c>
      <c r="E92" s="1" t="n">
        <v>0.18513</v>
      </c>
      <c r="F92" s="1" t="n">
        <v>0.24067</v>
      </c>
      <c r="G92" s="1" t="n">
        <v>0.19501</v>
      </c>
      <c r="H92" s="1" t="n">
        <v>0.19706</v>
      </c>
      <c r="I92" s="1" t="n">
        <v>0.17679</v>
      </c>
      <c r="J92" s="1" t="n">
        <v>0.15267</v>
      </c>
      <c r="K92" s="1" t="n">
        <v>0.14271</v>
      </c>
      <c r="L92" s="1" t="n">
        <v>0.17903</v>
      </c>
      <c r="M92" s="1" t="n">
        <v>0.16638</v>
      </c>
      <c r="N92" s="1" t="n">
        <v>0.17955</v>
      </c>
      <c r="O92" s="1" t="n">
        <v>0.14332</v>
      </c>
      <c r="P92" s="1" t="n">
        <v>0.16749</v>
      </c>
    </row>
    <row r="93" customFormat="false" ht="15" hidden="false" customHeight="false" outlineLevel="0" collapsed="false">
      <c r="A93" s="1" t="n">
        <v>88</v>
      </c>
      <c r="B93" s="1" t="n">
        <v>0.24408</v>
      </c>
      <c r="C93" s="1" t="n">
        <v>0.346692</v>
      </c>
      <c r="D93" s="1" t="n">
        <v>0.243</v>
      </c>
      <c r="E93" s="1" t="n">
        <v>0.19825</v>
      </c>
      <c r="F93" s="1" t="n">
        <v>0.25773</v>
      </c>
      <c r="G93" s="1" t="n">
        <v>0.20948</v>
      </c>
      <c r="H93" s="1" t="n">
        <v>0.20937</v>
      </c>
      <c r="I93" s="1" t="n">
        <v>0.19089</v>
      </c>
      <c r="J93" s="1" t="n">
        <v>0.16723</v>
      </c>
      <c r="K93" s="1" t="n">
        <v>0.15761</v>
      </c>
      <c r="L93" s="1" t="n">
        <v>0.19174</v>
      </c>
      <c r="M93" s="1" t="n">
        <v>0.18045</v>
      </c>
      <c r="N93" s="1" t="n">
        <v>0.19327</v>
      </c>
      <c r="O93" s="1" t="n">
        <v>0.15818</v>
      </c>
      <c r="P93" s="1" t="n">
        <v>0.18124</v>
      </c>
    </row>
    <row r="94" customFormat="false" ht="15" hidden="false" customHeight="false" outlineLevel="0" collapsed="false">
      <c r="A94" s="1" t="n">
        <v>89</v>
      </c>
      <c r="B94" s="1" t="n">
        <v>0.2617</v>
      </c>
      <c r="C94" s="1" t="n">
        <v>0.395863</v>
      </c>
      <c r="D94" s="1" t="n">
        <v>0.26144</v>
      </c>
      <c r="E94" s="1" t="n">
        <v>0.21246</v>
      </c>
      <c r="F94" s="1" t="n">
        <v>0.2762</v>
      </c>
      <c r="G94" s="1" t="n">
        <v>0.22467</v>
      </c>
      <c r="H94" s="1" t="n">
        <v>0.22152</v>
      </c>
      <c r="I94" s="1" t="n">
        <v>0.20529</v>
      </c>
      <c r="J94" s="1" t="n">
        <v>0.18107</v>
      </c>
      <c r="K94" s="1" t="n">
        <v>0.17351</v>
      </c>
      <c r="L94" s="1" t="n">
        <v>0.20404</v>
      </c>
      <c r="M94" s="1" t="n">
        <v>0.19503</v>
      </c>
      <c r="N94" s="1" t="n">
        <v>0.20729</v>
      </c>
      <c r="O94" s="1" t="n">
        <v>0.17394</v>
      </c>
      <c r="P94" s="1" t="n">
        <v>0.19554</v>
      </c>
    </row>
    <row r="95" customFormat="false" ht="15" hidden="false" customHeight="false" outlineLevel="0" collapsed="false">
      <c r="A95" s="1" t="n">
        <v>90</v>
      </c>
      <c r="B95" s="1" t="n">
        <v>0.28035</v>
      </c>
      <c r="C95" s="1" t="n">
        <v>0.454545</v>
      </c>
      <c r="D95" s="1" t="n">
        <v>0.28099</v>
      </c>
      <c r="E95" s="1" t="n">
        <v>0.22814</v>
      </c>
      <c r="F95" s="1" t="n">
        <v>0.29658</v>
      </c>
      <c r="G95" s="1" t="n">
        <v>0.24067</v>
      </c>
      <c r="H95" s="1" t="n">
        <v>0.23369</v>
      </c>
      <c r="I95" s="1" t="n">
        <v>0.22019</v>
      </c>
      <c r="J95" s="1" t="n">
        <v>0.19701</v>
      </c>
      <c r="K95" s="1" t="n">
        <v>0.19039</v>
      </c>
      <c r="L95" s="1" t="n">
        <v>0.21742</v>
      </c>
      <c r="M95" s="1" t="n">
        <v>0.21029</v>
      </c>
      <c r="N95" s="1" t="n">
        <v>0.22177</v>
      </c>
      <c r="O95" s="1" t="n">
        <v>0.19075</v>
      </c>
      <c r="P95" s="1" t="n">
        <v>0.21053</v>
      </c>
    </row>
    <row r="96" customFormat="false" ht="15" hidden="false" customHeight="false" outlineLevel="0" collapsed="false">
      <c r="A96" s="1" t="n">
        <v>91</v>
      </c>
      <c r="B96" s="1" t="n">
        <v>0.29946</v>
      </c>
      <c r="C96" s="1" t="n">
        <v>0.532468</v>
      </c>
      <c r="D96" s="1" t="n">
        <v>0.30173</v>
      </c>
      <c r="E96" s="1" t="n">
        <v>0.24577</v>
      </c>
      <c r="F96" s="1" t="n">
        <v>0.3195</v>
      </c>
      <c r="G96" s="1" t="n">
        <v>0.25773</v>
      </c>
      <c r="H96" s="1" t="n">
        <v>0.24612</v>
      </c>
      <c r="I96" s="1" t="n">
        <v>0.23584</v>
      </c>
      <c r="J96" s="1" t="n">
        <v>0.214</v>
      </c>
      <c r="K96" s="1" t="n">
        <v>0.20858</v>
      </c>
      <c r="L96" s="1" t="n">
        <v>0.23158</v>
      </c>
      <c r="M96" s="1" t="n">
        <v>0.22651</v>
      </c>
      <c r="N96" s="1" t="n">
        <v>0.23698</v>
      </c>
      <c r="O96" s="1" t="n">
        <v>0.20887</v>
      </c>
      <c r="P96" s="1" t="n">
        <v>0.22651</v>
      </c>
    </row>
    <row r="97" customFormat="false" ht="15" hidden="false" customHeight="false" outlineLevel="0" collapsed="false">
      <c r="A97" s="1" t="n">
        <v>92</v>
      </c>
      <c r="B97" s="1" t="n">
        <v>0.32108</v>
      </c>
      <c r="C97" s="1" t="n">
        <v>0.634259</v>
      </c>
      <c r="D97" s="1" t="n">
        <v>0.32364</v>
      </c>
      <c r="E97" s="1" t="n">
        <v>0.26593</v>
      </c>
      <c r="F97" s="1" t="n">
        <v>0.34571</v>
      </c>
      <c r="G97" s="1" t="n">
        <v>0.2762</v>
      </c>
      <c r="H97" s="1" t="n">
        <v>0.25933</v>
      </c>
      <c r="I97" s="1" t="n">
        <v>0.25275</v>
      </c>
      <c r="J97" s="1" t="n">
        <v>0.23254</v>
      </c>
      <c r="K97" s="1" t="n">
        <v>0.2286</v>
      </c>
      <c r="L97" s="1" t="n">
        <v>0.24688</v>
      </c>
      <c r="M97" s="1" t="n">
        <v>0.24413</v>
      </c>
      <c r="N97" s="1" t="n">
        <v>0.25345</v>
      </c>
      <c r="O97" s="1" t="n">
        <v>0.22881</v>
      </c>
      <c r="P97" s="1" t="n">
        <v>0.24413</v>
      </c>
    </row>
    <row r="98" customFormat="false" ht="15" hidden="false" customHeight="false" outlineLevel="0" collapsed="false">
      <c r="A98" s="1" t="n">
        <v>93</v>
      </c>
      <c r="B98" s="1" t="n">
        <v>0.34188</v>
      </c>
      <c r="C98" s="1" t="n">
        <v>0.734177</v>
      </c>
      <c r="D98" s="1" t="n">
        <v>0.34666</v>
      </c>
      <c r="E98" s="1" t="n">
        <v>0.2893</v>
      </c>
      <c r="F98" s="1" t="n">
        <v>0.37609</v>
      </c>
      <c r="G98" s="1" t="n">
        <v>0.29658</v>
      </c>
      <c r="H98" s="1" t="n">
        <v>0.2763</v>
      </c>
      <c r="I98" s="1" t="n">
        <v>0.27163</v>
      </c>
      <c r="J98" s="1" t="n">
        <v>0.25355</v>
      </c>
      <c r="K98" s="1" t="n">
        <v>0.2514</v>
      </c>
      <c r="L98" s="1" t="n">
        <v>0.26545</v>
      </c>
      <c r="M98" s="1" t="n">
        <v>0.26404</v>
      </c>
      <c r="N98" s="1" t="n">
        <v>0.27211</v>
      </c>
      <c r="O98" s="1" t="n">
        <v>0.25151</v>
      </c>
      <c r="P98" s="1" t="n">
        <v>0.26404</v>
      </c>
    </row>
    <row r="99" customFormat="false" ht="15" hidden="false" customHeight="false" outlineLevel="0" collapsed="false">
      <c r="A99" s="1" t="n">
        <v>94</v>
      </c>
      <c r="B99" s="1" t="n">
        <v>0.36364</v>
      </c>
      <c r="C99" s="1" t="n">
        <v>0.857143</v>
      </c>
      <c r="D99" s="1" t="n">
        <v>0.371</v>
      </c>
      <c r="E99" s="1" t="n">
        <v>0.31666</v>
      </c>
      <c r="F99" s="1" t="n">
        <v>0.41166</v>
      </c>
      <c r="G99" s="1" t="n">
        <v>0.3195</v>
      </c>
      <c r="H99" s="1" t="n">
        <v>0.29815</v>
      </c>
      <c r="I99" s="1" t="n">
        <v>0.29565</v>
      </c>
      <c r="J99" s="1" t="n">
        <v>0.27931</v>
      </c>
      <c r="K99" s="1" t="n">
        <v>0.27931</v>
      </c>
      <c r="L99" s="1" t="n">
        <v>0.28936</v>
      </c>
      <c r="M99" s="1" t="n">
        <v>0.28936</v>
      </c>
      <c r="N99" s="1" t="n">
        <v>0.2959</v>
      </c>
      <c r="O99" s="1" t="n">
        <v>0.27931</v>
      </c>
      <c r="P99" s="1" t="n">
        <v>0.28936</v>
      </c>
    </row>
    <row r="100" customFormat="false" ht="15" hidden="false" customHeight="false" outlineLevel="0" collapsed="false">
      <c r="A100" s="1" t="n">
        <v>95</v>
      </c>
      <c r="B100" s="1" t="n">
        <v>0.38776</v>
      </c>
      <c r="C100" s="1" t="n">
        <v>1</v>
      </c>
      <c r="D100" s="1" t="n">
        <v>0.39621</v>
      </c>
      <c r="E100" s="1" t="n">
        <v>0.35124</v>
      </c>
      <c r="F100" s="1" t="n">
        <v>0.45661</v>
      </c>
      <c r="G100" s="1" t="n">
        <v>0.34571</v>
      </c>
      <c r="H100" s="1" t="n">
        <v>0.32996</v>
      </c>
      <c r="I100" s="1" t="n">
        <v>0.32996</v>
      </c>
      <c r="J100" s="1" t="n">
        <v>0.31732</v>
      </c>
      <c r="K100" s="1" t="n">
        <v>0.31732</v>
      </c>
      <c r="L100" s="1" t="n">
        <v>0.32489</v>
      </c>
      <c r="M100" s="1" t="n">
        <v>0.32489</v>
      </c>
      <c r="N100" s="1" t="n">
        <v>0.32996</v>
      </c>
      <c r="O100" s="1" t="n">
        <v>0.31732</v>
      </c>
      <c r="P100" s="1" t="n">
        <v>0.32489</v>
      </c>
    </row>
    <row r="101" customFormat="false" ht="15" hidden="false" customHeight="false" outlineLevel="0" collapsed="false">
      <c r="A101" s="1" t="n">
        <v>96</v>
      </c>
      <c r="B101" s="1" t="n">
        <v>0.41111</v>
      </c>
      <c r="D101" s="1" t="n">
        <v>0.44719</v>
      </c>
      <c r="E101" s="1" t="n">
        <v>0.40056</v>
      </c>
      <c r="F101" s="1" t="n">
        <v>0.52073</v>
      </c>
      <c r="G101" s="1" t="n">
        <v>0.37609</v>
      </c>
      <c r="H101" s="1" t="n">
        <v>0.38455</v>
      </c>
      <c r="I101" s="1" t="n">
        <v>0.38455</v>
      </c>
      <c r="J101" s="1" t="n">
        <v>0.37574</v>
      </c>
      <c r="K101" s="1" t="n">
        <v>0.37574</v>
      </c>
      <c r="L101" s="1" t="n">
        <v>0.38097</v>
      </c>
      <c r="M101" s="1" t="n">
        <v>0.38097</v>
      </c>
      <c r="N101" s="1" t="n">
        <v>0.38455</v>
      </c>
      <c r="O101" s="1" t="n">
        <v>0.37574</v>
      </c>
      <c r="P101" s="1" t="n">
        <v>0.38097</v>
      </c>
    </row>
    <row r="102" customFormat="false" ht="15" hidden="false" customHeight="false" outlineLevel="0" collapsed="false">
      <c r="A102" s="1" t="n">
        <v>97</v>
      </c>
      <c r="B102" s="1" t="n">
        <v>0.4434</v>
      </c>
      <c r="D102" s="1" t="n">
        <v>0.54826</v>
      </c>
      <c r="E102" s="1" t="n">
        <v>0.48842</v>
      </c>
      <c r="F102" s="1" t="n">
        <v>0.63495</v>
      </c>
      <c r="G102" s="1" t="n">
        <v>0.41165</v>
      </c>
      <c r="H102" s="1" t="n">
        <v>0.4802</v>
      </c>
      <c r="I102" s="1" t="n">
        <v>0.4802</v>
      </c>
      <c r="J102" s="1" t="n">
        <v>0.47497</v>
      </c>
      <c r="K102" s="1" t="n">
        <v>0.47497</v>
      </c>
      <c r="L102" s="1" t="n">
        <v>0.47769</v>
      </c>
      <c r="M102" s="1" t="n">
        <v>0.47769</v>
      </c>
      <c r="N102" s="1" t="n">
        <v>0.4802</v>
      </c>
      <c r="O102" s="1" t="n">
        <v>0.47497</v>
      </c>
      <c r="P102" s="1" t="n">
        <v>0.47769</v>
      </c>
    </row>
    <row r="103" customFormat="false" ht="15" hidden="false" customHeight="false" outlineLevel="0" collapsed="false">
      <c r="A103" s="1" t="n">
        <v>98</v>
      </c>
      <c r="B103" s="1" t="n">
        <v>0.45763</v>
      </c>
      <c r="D103" s="1" t="n">
        <v>0.72467</v>
      </c>
      <c r="E103" s="1" t="n">
        <v>0.66815</v>
      </c>
      <c r="F103" s="1" t="n">
        <v>0.8686</v>
      </c>
      <c r="G103" s="1" t="n">
        <v>0.45662</v>
      </c>
      <c r="H103" s="1" t="n">
        <v>0.65798</v>
      </c>
      <c r="I103" s="1" t="n">
        <v>0.65798</v>
      </c>
      <c r="J103" s="1" t="n">
        <v>0.65585</v>
      </c>
      <c r="K103" s="1" t="n">
        <v>0.65585</v>
      </c>
      <c r="L103" s="1" t="n">
        <v>0.65738</v>
      </c>
      <c r="M103" s="1" t="n">
        <v>0.65738</v>
      </c>
      <c r="N103" s="1" t="n">
        <v>0.65798</v>
      </c>
      <c r="O103" s="1" t="n">
        <v>0.65585</v>
      </c>
      <c r="P103" s="1" t="n">
        <v>0.65738</v>
      </c>
    </row>
    <row r="104" customFormat="false" ht="15" hidden="false" customHeight="false" outlineLevel="0" collapsed="false">
      <c r="A104" s="1" t="n">
        <v>99</v>
      </c>
      <c r="B104" s="1" t="n">
        <v>0.5</v>
      </c>
      <c r="D104" s="1" t="n">
        <v>1</v>
      </c>
      <c r="E104" s="1" t="n">
        <v>1</v>
      </c>
      <c r="F104" s="1" t="n">
        <v>1</v>
      </c>
      <c r="G104" s="1" t="n">
        <v>0.52075</v>
      </c>
      <c r="H104" s="1" t="n">
        <v>1</v>
      </c>
      <c r="I104" s="1" t="n">
        <v>1</v>
      </c>
      <c r="J104" s="1" t="n">
        <v>1</v>
      </c>
      <c r="K104" s="1" t="n">
        <v>1</v>
      </c>
      <c r="L104" s="1" t="n">
        <v>1</v>
      </c>
      <c r="M104" s="1" t="n">
        <v>1</v>
      </c>
      <c r="N104" s="1" t="n">
        <v>1</v>
      </c>
      <c r="O104" s="1" t="n">
        <v>1</v>
      </c>
      <c r="P104" s="1" t="n">
        <v>1</v>
      </c>
    </row>
    <row r="105" customFormat="false" ht="15" hidden="false" customHeight="false" outlineLevel="0" collapsed="false">
      <c r="A105" s="1" t="n">
        <v>100</v>
      </c>
      <c r="B105" s="1" t="n">
        <v>0.5625</v>
      </c>
      <c r="G105" s="1" t="n">
        <v>0.635</v>
      </c>
    </row>
    <row r="106" customFormat="false" ht="15" hidden="false" customHeight="false" outlineLevel="0" collapsed="false">
      <c r="A106" s="1" t="n">
        <v>101</v>
      </c>
      <c r="B106" s="1" t="n">
        <v>0.57143</v>
      </c>
      <c r="G106" s="1" t="n">
        <v>0.86877</v>
      </c>
    </row>
    <row r="107" customFormat="false" ht="15" hidden="false" customHeight="false" outlineLevel="0" collapsed="false">
      <c r="A107" s="1" t="n">
        <v>102</v>
      </c>
      <c r="B107" s="1" t="n">
        <v>0.66667</v>
      </c>
      <c r="G107" s="1" t="n">
        <v>1</v>
      </c>
    </row>
    <row r="108" customFormat="false" ht="15" hidden="false" customHeight="false" outlineLevel="0" collapsed="false">
      <c r="A108" s="1" t="n">
        <v>103</v>
      </c>
      <c r="B108" s="1" t="n">
        <v>1</v>
      </c>
    </row>
    <row r="109" customFormat="false" ht="15" hidden="false" customHeight="false" outlineLevel="0" collapsed="false">
      <c r="A109" s="1" t="n">
        <v>104</v>
      </c>
    </row>
    <row r="110" customFormat="false" ht="15" hidden="false" customHeight="false" outlineLevel="0" collapsed="false">
      <c r="A110" s="1" t="n">
        <v>105</v>
      </c>
    </row>
    <row r="111" customFormat="false" ht="15" hidden="false" customHeight="false" outlineLevel="0" collapsed="false">
      <c r="A111" s="1" t="n">
        <v>106</v>
      </c>
    </row>
    <row r="112" customFormat="false" ht="15" hidden="false" customHeight="false" outlineLevel="0" collapsed="false">
      <c r="A112" s="1" t="n">
        <v>107</v>
      </c>
    </row>
    <row r="113" customFormat="false" ht="15" hidden="false" customHeight="false" outlineLevel="0" collapsed="false">
      <c r="A113" s="1" t="n">
        <v>108</v>
      </c>
    </row>
    <row r="114" customFormat="false" ht="15" hidden="false" customHeight="false" outlineLevel="0" collapsed="false">
      <c r="A114" s="1" t="n">
        <v>109</v>
      </c>
    </row>
    <row r="115" customFormat="false" ht="15" hidden="false" customHeight="false" outlineLevel="0" collapsed="false">
      <c r="A115" s="1" t="n">
        <v>110</v>
      </c>
    </row>
    <row r="116" customFormat="false" ht="15" hidden="false" customHeight="false" outlineLevel="0" collapsed="false">
      <c r="A116" s="1" t="n">
        <v>111</v>
      </c>
    </row>
    <row r="117" customFormat="false" ht="15" hidden="false" customHeight="false" outlineLevel="0" collapsed="false">
      <c r="A117" s="1" t="n">
        <v>112</v>
      </c>
    </row>
    <row r="118" customFormat="false" ht="15" hidden="false" customHeight="false" outlineLevel="0" collapsed="false">
      <c r="A118" s="1" t="n">
        <v>113</v>
      </c>
    </row>
    <row r="119" customFormat="false" ht="15" hidden="false" customHeight="false" outlineLevel="0" collapsed="false">
      <c r="A119" s="1" t="n">
        <v>114</v>
      </c>
    </row>
    <row r="120" customFormat="false" ht="15" hidden="false" customHeight="false" outlineLevel="0" collapsed="false">
      <c r="A120" s="1" t="n">
        <v>115</v>
      </c>
    </row>
    <row r="121" customFormat="false" ht="15" hidden="false" customHeight="false" outlineLevel="0" collapsed="false">
      <c r="A121" s="1" t="n">
        <v>116</v>
      </c>
    </row>
    <row r="122" customFormat="false" ht="15" hidden="false" customHeight="false" outlineLevel="0" collapsed="false">
      <c r="A122" s="1" t="n">
        <v>117</v>
      </c>
    </row>
    <row r="123" customFormat="false" ht="15" hidden="false" customHeight="false" outlineLevel="0" collapsed="false">
      <c r="A123" s="1" t="n">
        <v>118</v>
      </c>
    </row>
    <row r="124" customFormat="false" ht="15" hidden="false" customHeight="false" outlineLevel="0" collapsed="false">
      <c r="A124" s="1" t="n">
        <v>119</v>
      </c>
    </row>
    <row r="125" customFormat="false" ht="15" hidden="false" customHeight="false" outlineLevel="0" collapsed="false">
      <c r="A125" s="1" t="n">
        <v>120</v>
      </c>
    </row>
    <row r="126" customFormat="false" ht="15" hidden="false" customHeight="false" outlineLevel="0" collapsed="false">
      <c r="A126" s="1" t="n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.36"/>
    <col collapsed="false" customWidth="true" hidden="false" outlineLevel="0" max="2" min="2" style="1" width="14.73"/>
    <col collapsed="false" customWidth="true" hidden="false" outlineLevel="0" max="3" min="3" style="1" width="20.63"/>
    <col collapsed="false" customWidth="true" hidden="false" outlineLevel="0" max="4" min="4" style="1" width="19.18"/>
    <col collapsed="false" customWidth="true" hidden="false" outlineLevel="0" max="5" min="5" style="1" width="15.27"/>
    <col collapsed="false" customWidth="true" hidden="false" outlineLevel="0" max="6" min="6" style="1" width="17.82"/>
    <col collapsed="false" customWidth="true" hidden="false" outlineLevel="0" max="7" min="7" style="1" width="12.82"/>
    <col collapsed="false" customWidth="true" hidden="false" outlineLevel="0" max="8" min="8" style="1" width="17.82"/>
    <col collapsed="false" customWidth="true" hidden="false" outlineLevel="0" max="11" min="11" style="1" width="14.82"/>
    <col collapsed="false" customWidth="true" hidden="false" outlineLevel="0" max="13" min="13" style="1" width="10.91"/>
    <col collapsed="false" customWidth="true" hidden="false" outlineLevel="0" max="15" min="15" style="1" width="10.82"/>
    <col collapsed="false" customWidth="true" hidden="false" outlineLevel="0" max="16" min="16" style="1" width="11"/>
  </cols>
  <sheetData>
    <row r="1" customFormat="false" ht="15" hidden="false" customHeight="false" outlineLevel="0" collapsed="false">
      <c r="D1" s="1" t="s">
        <v>14</v>
      </c>
    </row>
    <row r="2" customFormat="false" ht="15" hidden="false" customHeight="false" outlineLevel="0" collapsed="false">
      <c r="A2" s="1" t="s">
        <v>15</v>
      </c>
      <c r="B2" s="1" t="n">
        <v>41</v>
      </c>
      <c r="D2" s="1" t="s">
        <v>16</v>
      </c>
      <c r="E2" s="2" t="e">
        <f aca="false" t="array" ref="E2:E2">_xlfn.let(
    _xlpm.valdate, B12,
    _xlpm.daterange, Projection_Monthly!$B$2:$B$1050,
    _xlpm.cvrange, Projection_Monthly!$L$2:$L$1050,
    _xlpm.exactmatch, _xlfn.xlookup(_xlpm.valdate, _xlpm.daterange, _xlpm.cvrange, "", 0),
    IF(_xlpm.exactmatch&lt;&gt;"", _xlpm.exactmatch,
        _xlfn.let(
            _xlpm.datebefore, _xlfn.xlookup(_xlpm.valdate, _xlpm.daterange, _xlpm.daterange, "", -1),
            _xlpm.dateafter, _xlfn.xlookup(_xlpm.valdate, _xlpm.daterange, _xlpm.daterange, "", 1),
            _xlpm.cvbefore, _xlfn.xlookup(_xlpm.datebefore, _xlpm.daterange, _xlpm.cvrange),
            _xlpm.cvafter, _xlfn.xlookup(_xlpm.dateafter, _xlpm.daterange, _xlpm.cvrange),
            _xlpm.daysbetween, _xlpm.dateafter - _xlpm.datebefore,
            _xlpm.daysfrombefore, _xlpm.valdate - _xlpm.datebefore,
            _xlpm.fraction, _xlpm.daysfrombefore / _xlpm.daysbetween,
            _xlpm.cvbefore + _xlpm.fraction * (_xlpm.cvafter - _xlpm.cvbefore)
        )
    )
)</f>
        <v>#NAME?</v>
      </c>
      <c r="G2" s="1" t="s">
        <v>17</v>
      </c>
    </row>
    <row r="3" customFormat="false" ht="15" hidden="false" customHeight="false" outlineLevel="0" collapsed="false">
      <c r="A3" s="1" t="s">
        <v>18</v>
      </c>
      <c r="B3" s="1" t="s">
        <v>10</v>
      </c>
      <c r="C3" s="1" t="s">
        <v>19</v>
      </c>
      <c r="D3" s="1" t="s">
        <v>20</v>
      </c>
      <c r="E3" s="2" t="e">
        <f aca="false" t="array" ref="E3:E3">_xlfn.let(
    _xlpm.valdate, B13,
    _xlpm.daterange, Projection_Monthly!$B$2:$B$1050,
    _xlpm.cvrange, Projection_Monthly!$M$2:$M$1050,
    _xlpm.exactmatch, _xlfn.xlookup(_xlpm.valdate, _xlpm.daterange, _xlpm.cvrange, "", 0),
    IF(_xlpm.exactmatch&lt;&gt;"", _xlpm.exactmatch,
        _xlfn.let(
            _xlpm.datebefore, _xlfn.xlookup(_xlpm.valdate, _xlpm.daterange, _xlpm.daterange, "", -1),
            _xlpm.dateafter, _xlfn.xlookup(_xlpm.valdate, _xlpm.daterange, _xlpm.daterange, "", 1),
            _xlpm.cvbefore, _xlfn.xlookup(_xlpm.datebefore, _xlpm.daterange, _xlpm.cvrange),
            _xlpm.cvafter, _xlfn.xlookup(_xlpm.dateafter, _xlpm.daterange, _xlpm.cvrange),
            _xlpm.daysbetween, _xlpm.dateafter - _xlpm.datebefore,
            _xlpm.daysfrombefore, _xlpm.valdate - _xlpm.datebefore,
            _xlpm.fraction, _xlpm.daysfrombefore / _xlpm.daysbetween,
            _xlpm.cvbefore + _xlpm.fraction * (_xlpm.cvafter - _xlpm.cvbefore)
        )
    )
)+$B$19</f>
        <v>#NAME?</v>
      </c>
      <c r="H3" s="1" t="s">
        <v>21</v>
      </c>
      <c r="K3" s="1" t="s">
        <v>22</v>
      </c>
    </row>
    <row r="4" customFormat="false" ht="15" hidden="false" customHeight="false" outlineLevel="0" collapsed="false">
      <c r="A4" s="1" t="s">
        <v>23</v>
      </c>
      <c r="B4" s="1" t="n">
        <v>34</v>
      </c>
      <c r="C4" s="1" t="s">
        <v>24</v>
      </c>
      <c r="D4" s="1" t="s">
        <v>25</v>
      </c>
      <c r="E4" s="3" t="str">
        <f aca="false">ETI!E6</f>
        <v/>
      </c>
      <c r="H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</row>
    <row r="5" customFormat="false" ht="15" hidden="false" customHeight="false" outlineLevel="0" collapsed="false">
      <c r="A5" s="1" t="s">
        <v>27</v>
      </c>
      <c r="B5" s="1" t="s">
        <v>32</v>
      </c>
      <c r="C5" s="1" t="s">
        <v>24</v>
      </c>
      <c r="D5" s="1" t="s">
        <v>33</v>
      </c>
      <c r="E5" s="2" t="str">
        <f aca="false">RPU!B17</f>
        <v/>
      </c>
      <c r="H5" s="1" t="s">
        <v>34</v>
      </c>
      <c r="K5" s="1" t="s">
        <v>35</v>
      </c>
      <c r="L5" s="1" t="s">
        <v>36</v>
      </c>
      <c r="M5" s="1" t="s">
        <v>37</v>
      </c>
      <c r="N5" s="1" t="s">
        <v>37</v>
      </c>
      <c r="O5" s="1" t="s">
        <v>37</v>
      </c>
      <c r="P5" s="1" t="s">
        <v>37</v>
      </c>
    </row>
    <row r="6" customFormat="false" ht="15" hidden="false" customHeight="false" outlineLevel="0" collapsed="false">
      <c r="A6" s="1" t="s">
        <v>35</v>
      </c>
      <c r="B6" s="1" t="s">
        <v>6</v>
      </c>
      <c r="C6" s="1" t="s">
        <v>19</v>
      </c>
      <c r="D6" s="1" t="s">
        <v>38</v>
      </c>
      <c r="E6" s="3" t="str">
        <f aca="false">APL!F10</f>
        <v/>
      </c>
      <c r="K6" s="1" t="s">
        <v>39</v>
      </c>
      <c r="L6" s="1" t="n">
        <v>10</v>
      </c>
      <c r="M6" s="1" t="n">
        <v>5</v>
      </c>
      <c r="N6" s="1" t="n">
        <v>2</v>
      </c>
      <c r="O6" s="1" t="n">
        <v>10</v>
      </c>
      <c r="P6" s="1" t="n">
        <v>50</v>
      </c>
    </row>
    <row r="7" customFormat="false" ht="15" hidden="false" customHeight="false" outlineLevel="0" collapsed="false">
      <c r="A7" s="1" t="s">
        <v>40</v>
      </c>
      <c r="B7" s="1" t="n">
        <f aca="false">ROUND((B11-B14)/365.25,0)</f>
        <v>16</v>
      </c>
      <c r="C7" s="1" t="s">
        <v>41</v>
      </c>
      <c r="D7" s="1" t="s">
        <v>42</v>
      </c>
      <c r="E7" s="2" t="n">
        <f aca="false">IF(B32="D",VLOOKUP("Valuation",Loan!$C$28:$G$40,5,0),IF(B32="A",VLOOKUP("Valuation",Loan!$L$28:$P$40,5,0),"Not Found"))</f>
        <v>413.947719136043</v>
      </c>
      <c r="K7" s="1" t="s">
        <v>43</v>
      </c>
      <c r="P7" s="1" t="n">
        <v>159.997</v>
      </c>
    </row>
    <row r="8" customFormat="false" ht="15" hidden="false" customHeight="false" outlineLevel="0" collapsed="false">
      <c r="A8" s="1" t="s">
        <v>44</v>
      </c>
      <c r="B8" s="1" t="n">
        <v>30</v>
      </c>
      <c r="C8" s="1" t="s">
        <v>45</v>
      </c>
      <c r="K8" s="1" t="s">
        <v>46</v>
      </c>
      <c r="L8" s="3" t="n">
        <v>29132</v>
      </c>
      <c r="M8" s="3" t="n">
        <v>30832</v>
      </c>
      <c r="N8" s="3" t="n">
        <v>28900</v>
      </c>
      <c r="O8" s="3" t="n">
        <v>29373</v>
      </c>
      <c r="P8" s="3" t="n">
        <v>21706</v>
      </c>
    </row>
    <row r="9" customFormat="false" ht="15" hidden="false" customHeight="false" outlineLevel="0" collapsed="false">
      <c r="A9" s="1" t="s">
        <v>39</v>
      </c>
      <c r="B9" s="1" t="n">
        <v>50</v>
      </c>
      <c r="C9" s="1" t="s">
        <v>19</v>
      </c>
      <c r="K9" s="1" t="s">
        <v>47</v>
      </c>
      <c r="L9" s="3" t="n">
        <v>46155</v>
      </c>
      <c r="M9" s="3" t="n">
        <v>46172</v>
      </c>
      <c r="N9" s="3" t="n">
        <v>46172</v>
      </c>
      <c r="O9" s="3" t="n">
        <v>46172</v>
      </c>
      <c r="P9" s="3" t="n">
        <v>46172</v>
      </c>
    </row>
    <row r="10" customFormat="false" ht="15" hidden="false" customHeight="false" outlineLevel="0" collapsed="false">
      <c r="A10" s="1" t="s">
        <v>43</v>
      </c>
      <c r="B10" s="1" t="n">
        <v>159.997</v>
      </c>
      <c r="C10" s="1" t="s">
        <v>19</v>
      </c>
      <c r="K10" s="1" t="s">
        <v>48</v>
      </c>
      <c r="L10" s="3" t="n">
        <v>13072</v>
      </c>
      <c r="M10" s="3" t="n">
        <v>30354</v>
      </c>
      <c r="N10" s="3" t="n">
        <v>28730</v>
      </c>
      <c r="O10" s="3" t="n">
        <v>28150</v>
      </c>
      <c r="P10" s="3" t="n">
        <v>15687</v>
      </c>
    </row>
    <row r="11" customFormat="false" ht="15" hidden="false" customHeight="false" outlineLevel="0" collapsed="false">
      <c r="A11" s="1" t="s">
        <v>46</v>
      </c>
      <c r="B11" s="3" t="n">
        <v>21706</v>
      </c>
      <c r="C11" s="1" t="s">
        <v>19</v>
      </c>
      <c r="K11" s="1" t="s">
        <v>49</v>
      </c>
      <c r="L11" s="1" t="s">
        <v>50</v>
      </c>
      <c r="M11" s="1" t="s">
        <v>51</v>
      </c>
      <c r="N11" s="1" t="s">
        <v>51</v>
      </c>
      <c r="O11" s="1" t="s">
        <v>51</v>
      </c>
      <c r="P11" s="1" t="s">
        <v>50</v>
      </c>
    </row>
    <row r="12" customFormat="false" ht="15" hidden="false" customHeight="false" outlineLevel="0" collapsed="false">
      <c r="A12" s="1" t="s">
        <v>47</v>
      </c>
      <c r="B12" s="3" t="n">
        <v>46178</v>
      </c>
      <c r="C12" s="4" t="s">
        <v>52</v>
      </c>
      <c r="K12" s="1" t="s">
        <v>53</v>
      </c>
      <c r="L12" s="1" t="s">
        <v>54</v>
      </c>
      <c r="M12" s="1" t="s">
        <v>54</v>
      </c>
      <c r="N12" s="1" t="s">
        <v>54</v>
      </c>
      <c r="O12" s="1" t="s">
        <v>54</v>
      </c>
      <c r="P12" s="1" t="s">
        <v>54</v>
      </c>
    </row>
    <row r="13" customFormat="false" ht="15" hidden="false" customHeight="false" outlineLevel="0" collapsed="false">
      <c r="A13" s="1" t="s">
        <v>55</v>
      </c>
      <c r="B13" s="3" t="n">
        <f aca="false">IF(DATE(YEAR($B$12),MONTH($B$11),MIN(DAY($B$11),
DAY(EOMONTH(DATE(YEAR($B$12),MONTH($B$11),1),0))))
&lt;=$B$12,
DATE(YEAR($B$12),MONTH($B$11),MIN(DAY($B$11),
DAY(EOMONTH(DATE(YEAR($B$12),MONTH($B$11),1),0)))),
DATE(YEAR($B$12)-1,MONTH($B$11),MIN(DAY($B$11),
DAY(EOMONTH(DATE(YEAR($B$12)-1,MONTH($B$11),1),0)))))</f>
        <v>46178</v>
      </c>
    </row>
    <row r="14" customFormat="false" ht="15" hidden="false" customHeight="false" outlineLevel="0" collapsed="false">
      <c r="A14" s="1" t="s">
        <v>48</v>
      </c>
      <c r="B14" s="3" t="n">
        <v>15687</v>
      </c>
      <c r="C14" s="4" t="s">
        <v>56</v>
      </c>
    </row>
    <row r="15" customFormat="false" ht="15" hidden="false" customHeight="false" outlineLevel="0" collapsed="false">
      <c r="A15" s="1" t="s">
        <v>57</v>
      </c>
      <c r="B15" s="1" t="n">
        <f aca="false">ROUND(YEAR(B13)-YEAR(B14)+(MONTH(B13)-MONTH(B14))/12+(DAY(B13)-DAY(B14)-1)/360,0)</f>
        <v>83</v>
      </c>
      <c r="D15" s="1" t="s">
        <v>58</v>
      </c>
    </row>
    <row r="16" customFormat="false" ht="15" hidden="false" customHeight="false" outlineLevel="0" collapsed="false">
      <c r="A16" s="1" t="s">
        <v>59</v>
      </c>
      <c r="B16" s="1" t="n">
        <f aca="false">INT((B12-B11)/365.25)</f>
        <v>67</v>
      </c>
      <c r="D16" s="1" t="s">
        <v>60</v>
      </c>
    </row>
    <row r="17" customFormat="false" ht="15" hidden="false" customHeight="false" outlineLevel="0" collapsed="false">
      <c r="A17" s="1" t="s">
        <v>61</v>
      </c>
      <c r="B17" s="1" t="n">
        <f aca="false">B16+1</f>
        <v>68</v>
      </c>
      <c r="D17" s="1" t="s">
        <v>62</v>
      </c>
    </row>
    <row r="18" customFormat="false" ht="15" hidden="false" customHeight="false" outlineLevel="0" collapsed="false">
      <c r="A18" s="1" t="s">
        <v>63</v>
      </c>
      <c r="B18" s="1" t="n">
        <f aca="false">B9*1000</f>
        <v>50000</v>
      </c>
    </row>
    <row r="19" customFormat="false" ht="15" hidden="false" customHeight="false" outlineLevel="0" collapsed="false">
      <c r="A19" s="1" t="s">
        <v>64</v>
      </c>
      <c r="B19" s="1" t="n">
        <v>0</v>
      </c>
      <c r="C19" s="1" t="s">
        <v>65</v>
      </c>
      <c r="D19" s="1" t="n">
        <v>2426.37</v>
      </c>
    </row>
    <row r="20" customFormat="false" ht="15" hidden="false" customHeight="false" outlineLevel="0" collapsed="false">
      <c r="A20" s="1" t="s">
        <v>66</v>
      </c>
      <c r="B20" s="5" t="n">
        <v>0</v>
      </c>
    </row>
    <row r="21" customFormat="false" ht="15" hidden="false" customHeight="false" outlineLevel="0" collapsed="false">
      <c r="A21" s="1" t="s">
        <v>67</v>
      </c>
      <c r="B21" s="5" t="n">
        <v>0.03</v>
      </c>
    </row>
    <row r="22" customFormat="false" ht="15" hidden="false" customHeight="false" outlineLevel="0" collapsed="false">
      <c r="A22" s="1" t="s">
        <v>68</v>
      </c>
      <c r="B22" s="1" t="s">
        <v>69</v>
      </c>
    </row>
    <row r="23" customFormat="false" ht="15" hidden="false" customHeight="false" outlineLevel="0" collapsed="false">
      <c r="A23" s="1" t="s">
        <v>70</v>
      </c>
      <c r="B23" s="5" t="n">
        <v>0.025</v>
      </c>
    </row>
    <row r="24" customFormat="false" ht="15" hidden="false" customHeight="false" outlineLevel="0" collapsed="false">
      <c r="A24" s="1" t="s">
        <v>71</v>
      </c>
      <c r="B24" s="6" t="n">
        <v>77</v>
      </c>
      <c r="C24" s="1" t="s">
        <v>19</v>
      </c>
    </row>
    <row r="25" customFormat="false" ht="15" hidden="false" customHeight="false" outlineLevel="0" collapsed="false">
      <c r="A25" s="1" t="s">
        <v>72</v>
      </c>
      <c r="B25" s="6" t="n">
        <f aca="false">B24*B27</f>
        <v>77</v>
      </c>
    </row>
    <row r="26" customFormat="false" ht="15" hidden="false" customHeight="false" outlineLevel="0" collapsed="false">
      <c r="A26" s="1" t="s">
        <v>73</v>
      </c>
      <c r="B26" s="1" t="s">
        <v>74</v>
      </c>
    </row>
    <row r="27" customFormat="false" ht="15" hidden="false" customHeight="false" outlineLevel="0" collapsed="false">
      <c r="A27" s="1" t="s">
        <v>75</v>
      </c>
      <c r="B27" s="1" t="n">
        <f aca="false" t="array" ref="B27:B27">_xlfn.SWITCH(B26,"Annual",1,"Semi-Annual",0.5,"Quarterly",0.25,"Monthly",1/12,1)</f>
        <v>1</v>
      </c>
      <c r="C27" s="1" t="s">
        <v>24</v>
      </c>
    </row>
    <row r="28" customFormat="false" ht="15" hidden="false" customHeight="false" outlineLevel="0" collapsed="false">
      <c r="A28" s="1" t="s">
        <v>76</v>
      </c>
      <c r="B28" s="1" t="s">
        <v>77</v>
      </c>
      <c r="C28" s="1" t="s">
        <v>24</v>
      </c>
    </row>
    <row r="29" customFormat="false" ht="15" hidden="false" customHeight="false" outlineLevel="0" collapsed="false">
      <c r="A29" s="1" t="s">
        <v>78</v>
      </c>
      <c r="B29" s="1" t="n">
        <f aca="false">MIN(B8,B16)</f>
        <v>30</v>
      </c>
      <c r="D29" s="1" t="s">
        <v>79</v>
      </c>
    </row>
    <row r="30" customFormat="false" ht="15" hidden="false" customHeight="false" outlineLevel="0" collapsed="false">
      <c r="A30" s="1" t="s">
        <v>80</v>
      </c>
      <c r="B30" s="7" t="b">
        <f aca="false">EDATE(B11,B8*12)&gt;B12</f>
        <v>0</v>
      </c>
      <c r="D30" s="1" t="s">
        <v>81</v>
      </c>
    </row>
    <row r="31" customFormat="false" ht="15" hidden="false" customHeight="false" outlineLevel="0" collapsed="false">
      <c r="A31" s="1" t="s">
        <v>82</v>
      </c>
      <c r="B31" s="5" t="n">
        <v>0.05</v>
      </c>
      <c r="C31" s="1" t="s">
        <v>83</v>
      </c>
    </row>
    <row r="32" customFormat="false" ht="15" hidden="false" customHeight="false" outlineLevel="0" collapsed="false">
      <c r="A32" s="1" t="s">
        <v>84</v>
      </c>
      <c r="B32" s="1" t="s">
        <v>77</v>
      </c>
      <c r="C32" s="1" t="s">
        <v>85</v>
      </c>
    </row>
    <row r="33" customFormat="false" ht="15" hidden="false" customHeight="false" outlineLevel="0" collapsed="false">
      <c r="A33" s="1" t="s">
        <v>86</v>
      </c>
      <c r="B33" s="3" t="n">
        <v>45213</v>
      </c>
      <c r="C33" s="1" t="s">
        <v>87</v>
      </c>
    </row>
    <row r="34" customFormat="false" ht="15" hidden="false" customHeight="false" outlineLevel="0" collapsed="false">
      <c r="A34" s="1" t="s">
        <v>88</v>
      </c>
      <c r="B34" s="1" t="n">
        <v>373.37</v>
      </c>
      <c r="C34" s="1" t="s">
        <v>89</v>
      </c>
    </row>
    <row r="35" customFormat="false" ht="15" hidden="false" customHeight="false" outlineLevel="0" collapsed="false">
      <c r="A35" s="1" t="s">
        <v>90</v>
      </c>
    </row>
    <row r="36" customFormat="false" ht="15" hidden="false" customHeight="false" outlineLevel="0" collapsed="false">
      <c r="A36" s="1" t="s">
        <v>91</v>
      </c>
      <c r="C36" s="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8.82"/>
    <col collapsed="false" customWidth="true" hidden="false" outlineLevel="0" max="5" min="5" style="1" width="20.45"/>
  </cols>
  <sheetData>
    <row r="1" customFormat="false" ht="15" hidden="false" customHeight="false" outlineLevel="0" collapsed="false">
      <c r="A1" s="1" t="s">
        <v>93</v>
      </c>
      <c r="B1" s="1" t="str">
        <f aca="false">_xlfn.CONCAT(Inputs!B2,Inputs!B6,Inputs!B3)</f>
        <v>41MX</v>
      </c>
      <c r="D1" s="1" t="s">
        <v>93</v>
      </c>
      <c r="E1" s="1" t="s">
        <v>94</v>
      </c>
    </row>
    <row r="2" customFormat="false" ht="15" hidden="false" customHeight="false" outlineLevel="0" collapsed="false">
      <c r="A2" s="1" t="n">
        <v>0</v>
      </c>
      <c r="B2" s="8" t="n">
        <f aca="false">INDEX('CSO Rates'!$A$5:$P$126,MATCH(A2,'CSO Rates'!$A$5:$A$126,0),MATCH($B$1,'CSO Rates'!$A$4:$P$4,0))</f>
        <v>0.02258</v>
      </c>
      <c r="D2" s="1" t="n">
        <v>0</v>
      </c>
      <c r="E2" s="9" t="n">
        <v>0.00376</v>
      </c>
    </row>
    <row r="3" customFormat="false" ht="15" hidden="false" customHeight="false" outlineLevel="0" collapsed="false">
      <c r="A3" s="1" t="n">
        <f aca="false">+A2+1</f>
        <v>1</v>
      </c>
      <c r="B3" s="8" t="n">
        <f aca="false">INDEX('CSO Rates'!$A$5:$P$126,MATCH(A3,'CSO Rates'!$A$5:$A$126,0),MATCH($B$1,'CSO Rates'!$A$4:$P$4,0))</f>
        <v>0.00577</v>
      </c>
      <c r="D3" s="1" t="n">
        <v>1</v>
      </c>
      <c r="E3" s="9" t="n">
        <v>0.00162</v>
      </c>
    </row>
    <row r="4" customFormat="false" ht="15" hidden="false" customHeight="false" outlineLevel="0" collapsed="false">
      <c r="A4" s="1" t="n">
        <f aca="false">+A3+1</f>
        <v>2</v>
      </c>
      <c r="B4" s="8" t="n">
        <f aca="false">INDEX('CSO Rates'!$A$5:$P$126,MATCH(A4,'CSO Rates'!$A$5:$A$126,0),MATCH($B$1,'CSO Rates'!$A$4:$P$4,0))</f>
        <v>0.00414</v>
      </c>
      <c r="D4" s="1" t="n">
        <v>2</v>
      </c>
      <c r="E4" s="9" t="n">
        <v>0.00156</v>
      </c>
    </row>
    <row r="5" customFormat="false" ht="15" hidden="false" customHeight="false" outlineLevel="0" collapsed="false">
      <c r="A5" s="1" t="n">
        <f aca="false">+A4+1</f>
        <v>3</v>
      </c>
      <c r="B5" s="8" t="n">
        <f aca="false">INDEX('CSO Rates'!$A$5:$P$126,MATCH(A5,'CSO Rates'!$A$5:$A$126,0),MATCH($B$1,'CSO Rates'!$A$4:$P$4,0))</f>
        <v>0.00338</v>
      </c>
      <c r="D5" s="1" t="n">
        <v>3</v>
      </c>
      <c r="E5" s="9" t="n">
        <v>0.00154</v>
      </c>
    </row>
    <row r="6" customFormat="false" ht="15" hidden="false" customHeight="false" outlineLevel="0" collapsed="false">
      <c r="A6" s="1" t="n">
        <f aca="false">+A5+1</f>
        <v>4</v>
      </c>
      <c r="B6" s="8" t="n">
        <f aca="false">INDEX('CSO Rates'!$A$5:$P$126,MATCH(A6,'CSO Rates'!$A$5:$A$126,0),MATCH($B$1,'CSO Rates'!$A$4:$P$4,0))</f>
        <v>0.00299</v>
      </c>
      <c r="D6" s="1" t="n">
        <v>4</v>
      </c>
      <c r="E6" s="9" t="n">
        <v>0.00152</v>
      </c>
    </row>
    <row r="7" customFormat="false" ht="15" hidden="false" customHeight="false" outlineLevel="0" collapsed="false">
      <c r="A7" s="1" t="n">
        <f aca="false">+A6+1</f>
        <v>5</v>
      </c>
      <c r="B7" s="8" t="n">
        <f aca="false">INDEX('CSO Rates'!$A$5:$P$126,MATCH(A7,'CSO Rates'!$A$5:$A$126,0),MATCH($B$1,'CSO Rates'!$A$4:$P$4,0))</f>
        <v>0.00276</v>
      </c>
      <c r="D7" s="1" t="n">
        <v>5</v>
      </c>
      <c r="E7" s="9" t="n">
        <v>0.00151</v>
      </c>
    </row>
    <row r="8" customFormat="false" ht="15" hidden="false" customHeight="false" outlineLevel="0" collapsed="false">
      <c r="A8" s="1" t="n">
        <f aca="false">+A7+1</f>
        <v>6</v>
      </c>
      <c r="B8" s="8" t="n">
        <f aca="false">INDEX('CSO Rates'!$A$5:$P$126,MATCH(A8,'CSO Rates'!$A$5:$A$126,0),MATCH($B$1,'CSO Rates'!$A$4:$P$4,0))</f>
        <v>0.00261</v>
      </c>
      <c r="D8" s="1" t="n">
        <v>6</v>
      </c>
      <c r="E8" s="9" t="n">
        <v>0.00148</v>
      </c>
    </row>
    <row r="9" customFormat="false" ht="15" hidden="false" customHeight="false" outlineLevel="0" collapsed="false">
      <c r="A9" s="1" t="n">
        <f aca="false">+A8+1</f>
        <v>7</v>
      </c>
      <c r="B9" s="8" t="n">
        <f aca="false">INDEX('CSO Rates'!$A$5:$P$126,MATCH(A9,'CSO Rates'!$A$5:$A$126,0),MATCH($B$1,'CSO Rates'!$A$4:$P$4,0))</f>
        <v>0.00247</v>
      </c>
      <c r="D9" s="1" t="n">
        <v>7</v>
      </c>
      <c r="E9" s="9" t="n">
        <v>0.00147</v>
      </c>
    </row>
    <row r="10" customFormat="false" ht="15" hidden="false" customHeight="false" outlineLevel="0" collapsed="false">
      <c r="A10" s="1" t="n">
        <f aca="false">+A9+1</f>
        <v>8</v>
      </c>
      <c r="B10" s="8" t="n">
        <f aca="false">INDEX('CSO Rates'!$A$5:$P$126,MATCH(A10,'CSO Rates'!$A$5:$A$126,0),MATCH($B$1,'CSO Rates'!$A$4:$P$4,0))</f>
        <v>0.00231</v>
      </c>
      <c r="D10" s="1" t="n">
        <v>8</v>
      </c>
      <c r="E10" s="9" t="n">
        <v>0.00145</v>
      </c>
    </row>
    <row r="11" customFormat="false" ht="15" hidden="false" customHeight="false" outlineLevel="0" collapsed="false">
      <c r="A11" s="1" t="n">
        <f aca="false">+A10+1</f>
        <v>9</v>
      </c>
      <c r="B11" s="8" t="n">
        <f aca="false">INDEX('CSO Rates'!$A$5:$P$126,MATCH(A11,'CSO Rates'!$A$5:$A$126,0),MATCH($B$1,'CSO Rates'!$A$4:$P$4,0))</f>
        <v>0.00212</v>
      </c>
      <c r="D11" s="1" t="n">
        <v>9</v>
      </c>
      <c r="E11" s="9" t="n">
        <v>0.00144</v>
      </c>
    </row>
    <row r="12" customFormat="false" ht="15" hidden="false" customHeight="false" outlineLevel="0" collapsed="false">
      <c r="A12" s="1" t="n">
        <f aca="false">+A11+1</f>
        <v>10</v>
      </c>
      <c r="B12" s="8" t="n">
        <f aca="false">INDEX('CSO Rates'!$A$5:$P$126,MATCH(A12,'CSO Rates'!$A$5:$A$126,0),MATCH($B$1,'CSO Rates'!$A$4:$P$4,0))</f>
        <v>0.00197</v>
      </c>
      <c r="D12" s="1" t="n">
        <v>10</v>
      </c>
      <c r="E12" s="9" t="n">
        <v>0.00143</v>
      </c>
    </row>
    <row r="13" customFormat="false" ht="15" hidden="false" customHeight="false" outlineLevel="0" collapsed="false">
      <c r="A13" s="1" t="n">
        <f aca="false">+A12+1</f>
        <v>11</v>
      </c>
      <c r="B13" s="8" t="n">
        <f aca="false">INDEX('CSO Rates'!$A$5:$P$126,MATCH(A13,'CSO Rates'!$A$5:$A$126,0),MATCH($B$1,'CSO Rates'!$A$4:$P$4,0))</f>
        <v>0.00191</v>
      </c>
      <c r="D13" s="1" t="n">
        <v>11</v>
      </c>
      <c r="E13" s="9" t="n">
        <v>0.00144</v>
      </c>
    </row>
    <row r="14" customFormat="false" ht="15" hidden="false" customHeight="false" outlineLevel="0" collapsed="false">
      <c r="A14" s="1" t="n">
        <f aca="false">+A13+1</f>
        <v>12</v>
      </c>
      <c r="B14" s="8" t="n">
        <f aca="false">INDEX('CSO Rates'!$A$5:$P$126,MATCH(A14,'CSO Rates'!$A$5:$A$126,0),MATCH($B$1,'CSO Rates'!$A$4:$P$4,0))</f>
        <v>0.00192</v>
      </c>
      <c r="D14" s="1" t="n">
        <v>12</v>
      </c>
      <c r="E14" s="9" t="n">
        <v>0.00147</v>
      </c>
    </row>
    <row r="15" customFormat="false" ht="15" hidden="false" customHeight="false" outlineLevel="0" collapsed="false">
      <c r="A15" s="1" t="n">
        <f aca="false">+A14+1</f>
        <v>13</v>
      </c>
      <c r="B15" s="8" t="n">
        <f aca="false">INDEX('CSO Rates'!$A$5:$P$126,MATCH(A15,'CSO Rates'!$A$5:$A$126,0),MATCH($B$1,'CSO Rates'!$A$4:$P$4,0))</f>
        <v>0.00198</v>
      </c>
      <c r="D15" s="1" t="n">
        <v>13</v>
      </c>
      <c r="E15" s="9" t="n">
        <v>0.0015</v>
      </c>
    </row>
    <row r="16" customFormat="false" ht="15" hidden="false" customHeight="false" outlineLevel="0" collapsed="false">
      <c r="A16" s="1" t="n">
        <f aca="false">+A15+1</f>
        <v>14</v>
      </c>
      <c r="B16" s="8" t="n">
        <f aca="false">INDEX('CSO Rates'!$A$5:$P$126,MATCH(A16,'CSO Rates'!$A$5:$A$126,0),MATCH($B$1,'CSO Rates'!$A$4:$P$4,0))</f>
        <v>0.00207</v>
      </c>
      <c r="D16" s="1" t="n">
        <v>14</v>
      </c>
      <c r="E16" s="9" t="n">
        <v>0.00155</v>
      </c>
    </row>
    <row r="17" customFormat="false" ht="15" hidden="false" customHeight="false" outlineLevel="0" collapsed="false">
      <c r="A17" s="1" t="n">
        <f aca="false">+A16+1</f>
        <v>15</v>
      </c>
      <c r="B17" s="8" t="n">
        <f aca="false">INDEX('CSO Rates'!$A$5:$P$126,MATCH(A17,'CSO Rates'!$A$5:$A$126,0),MATCH($B$1,'CSO Rates'!$A$4:$P$4,0))</f>
        <v>0.00215</v>
      </c>
      <c r="D17" s="1" t="n">
        <v>15</v>
      </c>
      <c r="E17" s="9" t="n">
        <v>0.0016</v>
      </c>
    </row>
    <row r="18" customFormat="false" ht="15" hidden="false" customHeight="false" outlineLevel="0" collapsed="false">
      <c r="A18" s="1" t="n">
        <f aca="false">+A17+1</f>
        <v>16</v>
      </c>
      <c r="B18" s="8" t="n">
        <f aca="false">INDEX('CSO Rates'!$A$5:$P$126,MATCH(A18,'CSO Rates'!$A$5:$A$126,0),MATCH($B$1,'CSO Rates'!$A$4:$P$4,0))</f>
        <v>0.00219</v>
      </c>
      <c r="D18" s="1" t="n">
        <v>16</v>
      </c>
      <c r="E18" s="9" t="n">
        <v>0.00165</v>
      </c>
    </row>
    <row r="19" customFormat="false" ht="15" hidden="false" customHeight="false" outlineLevel="0" collapsed="false">
      <c r="A19" s="1" t="n">
        <f aca="false">+A18+1</f>
        <v>17</v>
      </c>
      <c r="B19" s="8" t="n">
        <f aca="false">INDEX('CSO Rates'!$A$5:$P$126,MATCH(A19,'CSO Rates'!$A$5:$A$126,0),MATCH($B$1,'CSO Rates'!$A$4:$P$4,0))</f>
        <v>0.00225</v>
      </c>
      <c r="D19" s="1" t="n">
        <v>17</v>
      </c>
      <c r="E19" s="9" t="n">
        <v>0.0017</v>
      </c>
    </row>
    <row r="20" customFormat="false" ht="15" hidden="false" customHeight="false" outlineLevel="0" collapsed="false">
      <c r="A20" s="1" t="n">
        <f aca="false">+A19+1</f>
        <v>18</v>
      </c>
      <c r="B20" s="8" t="n">
        <f aca="false">INDEX('CSO Rates'!$A$5:$P$126,MATCH(A20,'CSO Rates'!$A$5:$A$126,0),MATCH($B$1,'CSO Rates'!$A$4:$P$4,0))</f>
        <v>0.0023</v>
      </c>
      <c r="D20" s="1" t="n">
        <v>18</v>
      </c>
      <c r="E20" s="9" t="n">
        <v>0.00173</v>
      </c>
    </row>
    <row r="21" customFormat="false" ht="15" hidden="false" customHeight="false" outlineLevel="0" collapsed="false">
      <c r="A21" s="1" t="n">
        <f aca="false">+A20+1</f>
        <v>19</v>
      </c>
      <c r="B21" s="8" t="n">
        <f aca="false">INDEX('CSO Rates'!$A$5:$P$126,MATCH(A21,'CSO Rates'!$A$5:$A$126,0),MATCH($B$1,'CSO Rates'!$A$4:$P$4,0))</f>
        <v>0.00237</v>
      </c>
      <c r="D21" s="1" t="n">
        <v>19</v>
      </c>
      <c r="E21" s="9" t="n">
        <v>0.00177</v>
      </c>
    </row>
    <row r="22" customFormat="false" ht="15" hidden="false" customHeight="false" outlineLevel="0" collapsed="false">
      <c r="A22" s="1" t="n">
        <f aca="false">+A21+1</f>
        <v>20</v>
      </c>
      <c r="B22" s="8" t="n">
        <f aca="false">INDEX('CSO Rates'!$A$5:$P$126,MATCH(A22,'CSO Rates'!$A$5:$A$126,0),MATCH($B$1,'CSO Rates'!$A$4:$P$4,0))</f>
        <v>0.00243</v>
      </c>
      <c r="D22" s="1" t="n">
        <v>20</v>
      </c>
      <c r="E22" s="9" t="n">
        <v>0.0018</v>
      </c>
    </row>
    <row r="23" customFormat="false" ht="15" hidden="false" customHeight="false" outlineLevel="0" collapsed="false">
      <c r="A23" s="1" t="n">
        <f aca="false">+A22+1</f>
        <v>21</v>
      </c>
      <c r="B23" s="8" t="n">
        <f aca="false">INDEX('CSO Rates'!$A$5:$P$126,MATCH(A23,'CSO Rates'!$A$5:$A$126,0),MATCH($B$1,'CSO Rates'!$A$4:$P$4,0))</f>
        <v>0.00251</v>
      </c>
      <c r="D23" s="1" t="n">
        <v>21</v>
      </c>
      <c r="E23" s="9" t="n">
        <v>0.00182</v>
      </c>
    </row>
    <row r="24" customFormat="false" ht="15" hidden="false" customHeight="false" outlineLevel="0" collapsed="false">
      <c r="A24" s="1" t="n">
        <f aca="false">+A23+1</f>
        <v>22</v>
      </c>
      <c r="B24" s="8" t="n">
        <f aca="false">INDEX('CSO Rates'!$A$5:$P$126,MATCH(A24,'CSO Rates'!$A$5:$A$126,0),MATCH($B$1,'CSO Rates'!$A$4:$P$4,0))</f>
        <v>0.00259</v>
      </c>
      <c r="D24" s="1" t="n">
        <v>22</v>
      </c>
      <c r="E24" s="9" t="n">
        <v>0.00184</v>
      </c>
    </row>
    <row r="25" customFormat="false" ht="15" hidden="false" customHeight="false" outlineLevel="0" collapsed="false">
      <c r="A25" s="1" t="n">
        <f aca="false">+A24+1</f>
        <v>23</v>
      </c>
      <c r="B25" s="8" t="n">
        <f aca="false">INDEX('CSO Rates'!$A$5:$P$126,MATCH(A25,'CSO Rates'!$A$5:$A$126,0),MATCH($B$1,'CSO Rates'!$A$4:$P$4,0))</f>
        <v>0.00268</v>
      </c>
      <c r="D25" s="1" t="n">
        <v>23</v>
      </c>
      <c r="E25" s="9" t="n">
        <v>0.00186</v>
      </c>
    </row>
    <row r="26" customFormat="false" ht="15" hidden="false" customHeight="false" outlineLevel="0" collapsed="false">
      <c r="A26" s="1" t="n">
        <f aca="false">+A25+1</f>
        <v>24</v>
      </c>
      <c r="B26" s="8" t="n">
        <f aca="false">INDEX('CSO Rates'!$A$5:$P$126,MATCH(A26,'CSO Rates'!$A$5:$A$126,0),MATCH($B$1,'CSO Rates'!$A$4:$P$4,0))</f>
        <v>0.00277</v>
      </c>
      <c r="D26" s="1" t="n">
        <v>24</v>
      </c>
      <c r="E26" s="9" t="n">
        <v>0.00189</v>
      </c>
    </row>
    <row r="27" customFormat="false" ht="15" hidden="false" customHeight="false" outlineLevel="0" collapsed="false">
      <c r="A27" s="1" t="n">
        <f aca="false">+A26+1</f>
        <v>25</v>
      </c>
      <c r="B27" s="8" t="n">
        <f aca="false">INDEX('CSO Rates'!$A$5:$P$126,MATCH(A27,'CSO Rates'!$A$5:$A$126,0),MATCH($B$1,'CSO Rates'!$A$4:$P$4,0))</f>
        <v>0.00288</v>
      </c>
      <c r="D27" s="1" t="n">
        <v>25</v>
      </c>
      <c r="E27" s="9" t="n">
        <v>0.00191</v>
      </c>
    </row>
    <row r="28" customFormat="false" ht="15" hidden="false" customHeight="false" outlineLevel="0" collapsed="false">
      <c r="A28" s="1" t="n">
        <f aca="false">+A27+1</f>
        <v>26</v>
      </c>
      <c r="B28" s="8" t="n">
        <f aca="false">INDEX('CSO Rates'!$A$5:$P$126,MATCH(A28,'CSO Rates'!$A$5:$A$126,0),MATCH($B$1,'CSO Rates'!$A$4:$P$4,0))</f>
        <v>0.00299</v>
      </c>
      <c r="D28" s="1" t="n">
        <v>26</v>
      </c>
      <c r="E28" s="9" t="n">
        <v>0.00194</v>
      </c>
    </row>
    <row r="29" customFormat="false" ht="15" hidden="false" customHeight="false" outlineLevel="0" collapsed="false">
      <c r="A29" s="1" t="n">
        <f aca="false">+A28+1</f>
        <v>27</v>
      </c>
      <c r="B29" s="8" t="n">
        <f aca="false">INDEX('CSO Rates'!$A$5:$P$126,MATCH(A29,'CSO Rates'!$A$5:$A$126,0),MATCH($B$1,'CSO Rates'!$A$4:$P$4,0))</f>
        <v>0.00311</v>
      </c>
      <c r="D29" s="1" t="n">
        <v>27</v>
      </c>
      <c r="E29" s="9" t="n">
        <v>0.00197</v>
      </c>
    </row>
    <row r="30" customFormat="false" ht="15" hidden="false" customHeight="false" outlineLevel="0" collapsed="false">
      <c r="A30" s="1" t="n">
        <f aca="false">+A29+1</f>
        <v>28</v>
      </c>
      <c r="B30" s="8" t="n">
        <f aca="false">INDEX('CSO Rates'!$A$5:$P$126,MATCH(A30,'CSO Rates'!$A$5:$A$126,0),MATCH($B$1,'CSO Rates'!$A$4:$P$4,0))</f>
        <v>0.00325</v>
      </c>
      <c r="D30" s="1" t="n">
        <v>28</v>
      </c>
      <c r="E30" s="9" t="n">
        <v>0.00201</v>
      </c>
    </row>
    <row r="31" customFormat="false" ht="15" hidden="false" customHeight="false" outlineLevel="0" collapsed="false">
      <c r="A31" s="1" t="n">
        <f aca="false">+A30+1</f>
        <v>29</v>
      </c>
      <c r="B31" s="8" t="n">
        <f aca="false">INDEX('CSO Rates'!$A$5:$P$126,MATCH(A31,'CSO Rates'!$A$5:$A$126,0),MATCH($B$1,'CSO Rates'!$A$4:$P$4,0))</f>
        <v>0.0034</v>
      </c>
      <c r="D31" s="1" t="n">
        <v>29</v>
      </c>
      <c r="E31" s="9" t="n">
        <v>0.00205</v>
      </c>
    </row>
    <row r="32" customFormat="false" ht="15" hidden="false" customHeight="false" outlineLevel="0" collapsed="false">
      <c r="A32" s="1" t="n">
        <f aca="false">+A31+1</f>
        <v>30</v>
      </c>
      <c r="B32" s="8" t="n">
        <f aca="false">INDEX('CSO Rates'!$A$5:$P$126,MATCH(A32,'CSO Rates'!$A$5:$A$126,0),MATCH($B$1,'CSO Rates'!$A$4:$P$4,0))</f>
        <v>0.00356</v>
      </c>
      <c r="D32" s="1" t="n">
        <v>30</v>
      </c>
      <c r="E32" s="9" t="n">
        <v>0.0021</v>
      </c>
    </row>
    <row r="33" customFormat="false" ht="15" hidden="false" customHeight="false" outlineLevel="0" collapsed="false">
      <c r="A33" s="1" t="n">
        <f aca="false">+A32+1</f>
        <v>31</v>
      </c>
      <c r="B33" s="8" t="n">
        <f aca="false">INDEX('CSO Rates'!$A$5:$P$126,MATCH(A33,'CSO Rates'!$A$5:$A$126,0),MATCH($B$1,'CSO Rates'!$A$4:$P$4,0))</f>
        <v>0.00373</v>
      </c>
      <c r="D33" s="1" t="n">
        <v>31</v>
      </c>
      <c r="E33" s="9" t="n">
        <v>0.00215</v>
      </c>
    </row>
    <row r="34" customFormat="false" ht="15" hidden="false" customHeight="false" outlineLevel="0" collapsed="false">
      <c r="A34" s="1" t="n">
        <f aca="false">+A33+1</f>
        <v>32</v>
      </c>
      <c r="B34" s="8" t="n">
        <f aca="false">INDEX('CSO Rates'!$A$5:$P$126,MATCH(A34,'CSO Rates'!$A$5:$A$126,0),MATCH($B$1,'CSO Rates'!$A$4:$P$4,0))</f>
        <v>0.00392</v>
      </c>
      <c r="D34" s="1" t="n">
        <v>32</v>
      </c>
      <c r="E34" s="9" t="n">
        <v>0.0022</v>
      </c>
    </row>
    <row r="35" customFormat="false" ht="15" hidden="false" customHeight="false" outlineLevel="0" collapsed="false">
      <c r="A35" s="1" t="n">
        <f aca="false">+A34+1</f>
        <v>33</v>
      </c>
      <c r="B35" s="8" t="n">
        <f aca="false">INDEX('CSO Rates'!$A$5:$P$126,MATCH(A35,'CSO Rates'!$A$5:$A$126,0),MATCH($B$1,'CSO Rates'!$A$4:$P$4,0))</f>
        <v>0.00412</v>
      </c>
      <c r="D35" s="1" t="n">
        <v>33</v>
      </c>
      <c r="E35" s="9" t="n">
        <v>0.00225</v>
      </c>
    </row>
    <row r="36" customFormat="false" ht="15" hidden="false" customHeight="false" outlineLevel="0" collapsed="false">
      <c r="A36" s="1" t="n">
        <f aca="false">+A35+1</f>
        <v>34</v>
      </c>
      <c r="B36" s="8" t="n">
        <f aca="false">INDEX('CSO Rates'!$A$5:$P$126,MATCH(A36,'CSO Rates'!$A$5:$A$126,0),MATCH($B$1,'CSO Rates'!$A$4:$P$4,0))</f>
        <v>0.00435</v>
      </c>
      <c r="D36" s="1" t="n">
        <v>34</v>
      </c>
      <c r="E36" s="9" t="n">
        <v>0.00233</v>
      </c>
    </row>
    <row r="37" customFormat="false" ht="15" hidden="false" customHeight="false" outlineLevel="0" collapsed="false">
      <c r="A37" s="1" t="n">
        <f aca="false">+A36+1</f>
        <v>35</v>
      </c>
      <c r="B37" s="8" t="n">
        <f aca="false">INDEX('CSO Rates'!$A$5:$P$126,MATCH(A37,'CSO Rates'!$A$5:$A$126,0),MATCH($B$1,'CSO Rates'!$A$4:$P$4,0))</f>
        <v>0.00459</v>
      </c>
      <c r="D37" s="1" t="n">
        <v>35</v>
      </c>
      <c r="E37" s="9" t="n">
        <v>0.0024</v>
      </c>
    </row>
    <row r="38" customFormat="false" ht="15" hidden="false" customHeight="false" outlineLevel="0" collapsed="false">
      <c r="A38" s="1" t="n">
        <f aca="false">+A37+1</f>
        <v>36</v>
      </c>
      <c r="B38" s="8" t="n">
        <f aca="false">INDEX('CSO Rates'!$A$5:$P$126,MATCH(A38,'CSO Rates'!$A$5:$A$126,0),MATCH($B$1,'CSO Rates'!$A$4:$P$4,0))</f>
        <v>0.00486</v>
      </c>
      <c r="D38" s="1" t="n">
        <v>36</v>
      </c>
      <c r="E38" s="9" t="n">
        <v>0.00251</v>
      </c>
    </row>
    <row r="39" customFormat="false" ht="15" hidden="false" customHeight="false" outlineLevel="0" collapsed="false">
      <c r="A39" s="1" t="n">
        <f aca="false">+A38+1</f>
        <v>37</v>
      </c>
      <c r="B39" s="8" t="n">
        <f aca="false">INDEX('CSO Rates'!$A$5:$P$126,MATCH(A39,'CSO Rates'!$A$5:$A$126,0),MATCH($B$1,'CSO Rates'!$A$4:$P$4,0))</f>
        <v>0.00515</v>
      </c>
      <c r="D39" s="1" t="n">
        <v>37</v>
      </c>
      <c r="E39" s="9" t="n">
        <v>0.00264</v>
      </c>
    </row>
    <row r="40" customFormat="false" ht="15" hidden="false" customHeight="false" outlineLevel="0" collapsed="false">
      <c r="A40" s="1" t="n">
        <f aca="false">+A39+1</f>
        <v>38</v>
      </c>
      <c r="B40" s="8" t="n">
        <f aca="false">INDEX('CSO Rates'!$A$5:$P$126,MATCH(A40,'CSO Rates'!$A$5:$A$126,0),MATCH($B$1,'CSO Rates'!$A$4:$P$4,0))</f>
        <v>0.00546</v>
      </c>
      <c r="D40" s="1" t="n">
        <v>38</v>
      </c>
      <c r="E40" s="9" t="n">
        <v>0.00279</v>
      </c>
    </row>
    <row r="41" customFormat="false" ht="15" hidden="false" customHeight="false" outlineLevel="0" collapsed="false">
      <c r="A41" s="1" t="n">
        <f aca="false">+A40+1</f>
        <v>39</v>
      </c>
      <c r="B41" s="8" t="n">
        <f aca="false">INDEX('CSO Rates'!$A$5:$P$126,MATCH(A41,'CSO Rates'!$A$5:$A$126,0),MATCH($B$1,'CSO Rates'!$A$4:$P$4,0))</f>
        <v>0.00581</v>
      </c>
      <c r="D41" s="1" t="n">
        <v>39</v>
      </c>
      <c r="E41" s="9" t="n">
        <v>0.00297</v>
      </c>
    </row>
    <row r="42" customFormat="false" ht="15" hidden="false" customHeight="false" outlineLevel="0" collapsed="false">
      <c r="A42" s="1" t="n">
        <f aca="false">+A41+1</f>
        <v>40</v>
      </c>
      <c r="B42" s="8" t="n">
        <f aca="false">INDEX('CSO Rates'!$A$5:$P$126,MATCH(A42,'CSO Rates'!$A$5:$A$126,0),MATCH($B$1,'CSO Rates'!$A$4:$P$4,0))</f>
        <v>0.00618</v>
      </c>
      <c r="D42" s="1" t="n">
        <v>40</v>
      </c>
      <c r="E42" s="9" t="n">
        <v>0.00317</v>
      </c>
    </row>
    <row r="43" customFormat="false" ht="15" hidden="false" customHeight="false" outlineLevel="0" collapsed="false">
      <c r="A43" s="1" t="n">
        <f aca="false">+A42+1</f>
        <v>41</v>
      </c>
      <c r="B43" s="8" t="n">
        <f aca="false">INDEX('CSO Rates'!$A$5:$P$126,MATCH(A43,'CSO Rates'!$A$5:$A$126,0),MATCH($B$1,'CSO Rates'!$A$4:$P$4,0))</f>
        <v>0.00659</v>
      </c>
      <c r="D43" s="1" t="n">
        <v>41</v>
      </c>
      <c r="E43" s="9" t="n">
        <v>0.00343</v>
      </c>
    </row>
    <row r="44" customFormat="false" ht="15" hidden="false" customHeight="false" outlineLevel="0" collapsed="false">
      <c r="A44" s="1" t="n">
        <f aca="false">+A43+1</f>
        <v>42</v>
      </c>
      <c r="B44" s="8" t="n">
        <f aca="false">INDEX('CSO Rates'!$A$5:$P$126,MATCH(A44,'CSO Rates'!$A$5:$A$126,0),MATCH($B$1,'CSO Rates'!$A$4:$P$4,0))</f>
        <v>0.00703</v>
      </c>
      <c r="D44" s="1" t="n">
        <v>42</v>
      </c>
      <c r="E44" s="9" t="n">
        <v>0.00373</v>
      </c>
    </row>
    <row r="45" customFormat="false" ht="15" hidden="false" customHeight="false" outlineLevel="0" collapsed="false">
      <c r="A45" s="1" t="n">
        <f aca="false">+A44+1</f>
        <v>43</v>
      </c>
      <c r="B45" s="8" t="n">
        <f aca="false">INDEX('CSO Rates'!$A$5:$P$126,MATCH(A45,'CSO Rates'!$A$5:$A$126,0),MATCH($B$1,'CSO Rates'!$A$4:$P$4,0))</f>
        <v>0.00751</v>
      </c>
      <c r="D45" s="1" t="n">
        <v>43</v>
      </c>
      <c r="E45" s="9" t="n">
        <v>0.00402</v>
      </c>
    </row>
    <row r="46" customFormat="false" ht="15" hidden="false" customHeight="false" outlineLevel="0" collapsed="false">
      <c r="A46" s="1" t="n">
        <f aca="false">+A45+1</f>
        <v>44</v>
      </c>
      <c r="B46" s="8" t="n">
        <f aca="false">INDEX('CSO Rates'!$A$5:$P$126,MATCH(A46,'CSO Rates'!$A$5:$A$126,0),MATCH($B$1,'CSO Rates'!$A$4:$P$4,0))</f>
        <v>0.00804</v>
      </c>
      <c r="D46" s="1" t="n">
        <v>44</v>
      </c>
      <c r="E46" s="9" t="n">
        <v>0.00432</v>
      </c>
    </row>
    <row r="47" customFormat="false" ht="15" hidden="false" customHeight="false" outlineLevel="0" collapsed="false">
      <c r="A47" s="1" t="n">
        <f aca="false">+A46+1</f>
        <v>45</v>
      </c>
      <c r="B47" s="8" t="n">
        <f aca="false">INDEX('CSO Rates'!$A$5:$P$126,MATCH(A47,'CSO Rates'!$A$5:$A$126,0),MATCH($B$1,'CSO Rates'!$A$4:$P$4,0))</f>
        <v>0.00861</v>
      </c>
      <c r="D47" s="1" t="n">
        <v>45</v>
      </c>
      <c r="E47" s="9" t="n">
        <v>0.00463</v>
      </c>
    </row>
    <row r="48" customFormat="false" ht="15" hidden="false" customHeight="false" outlineLevel="0" collapsed="false">
      <c r="A48" s="1" t="n">
        <f aca="false">+A47+1</f>
        <v>46</v>
      </c>
      <c r="B48" s="8" t="n">
        <f aca="false">INDEX('CSO Rates'!$A$5:$P$126,MATCH(A48,'CSO Rates'!$A$5:$A$126,0),MATCH($B$1,'CSO Rates'!$A$4:$P$4,0))</f>
        <v>0.00923</v>
      </c>
      <c r="D48" s="1" t="n">
        <v>46</v>
      </c>
      <c r="E48" s="9" t="n">
        <v>0.00494</v>
      </c>
    </row>
    <row r="49" customFormat="false" ht="15" hidden="false" customHeight="false" outlineLevel="0" collapsed="false">
      <c r="A49" s="1" t="n">
        <f aca="false">+A48+1</f>
        <v>47</v>
      </c>
      <c r="B49" s="8" t="n">
        <f aca="false">INDEX('CSO Rates'!$A$5:$P$126,MATCH(A49,'CSO Rates'!$A$5:$A$126,0),MATCH($B$1,'CSO Rates'!$A$4:$P$4,0))</f>
        <v>0.00991</v>
      </c>
      <c r="D49" s="1" t="n">
        <v>47</v>
      </c>
      <c r="E49" s="9" t="n">
        <v>0.00527</v>
      </c>
    </row>
    <row r="50" customFormat="false" ht="15" hidden="false" customHeight="false" outlineLevel="0" collapsed="false">
      <c r="A50" s="1" t="n">
        <f aca="false">+A49+1</f>
        <v>48</v>
      </c>
      <c r="B50" s="8" t="n">
        <f aca="false">INDEX('CSO Rates'!$A$5:$P$126,MATCH(A50,'CSO Rates'!$A$5:$A$126,0),MATCH($B$1,'CSO Rates'!$A$4:$P$4,0))</f>
        <v>0.01064</v>
      </c>
      <c r="D50" s="1" t="n">
        <v>48</v>
      </c>
      <c r="E50" s="9" t="n">
        <v>0.00563</v>
      </c>
    </row>
    <row r="51" customFormat="false" ht="15" hidden="false" customHeight="false" outlineLevel="0" collapsed="false">
      <c r="A51" s="1" t="n">
        <f aca="false">+A50+1</f>
        <v>49</v>
      </c>
      <c r="B51" s="8" t="n">
        <f aca="false">INDEX('CSO Rates'!$A$5:$P$126,MATCH(A51,'CSO Rates'!$A$5:$A$126,0),MATCH($B$1,'CSO Rates'!$A$4:$P$4,0))</f>
        <v>0.01145</v>
      </c>
      <c r="D51" s="1" t="n">
        <v>49</v>
      </c>
      <c r="E51" s="9" t="n">
        <v>0.00602</v>
      </c>
    </row>
    <row r="52" customFormat="false" ht="15" hidden="false" customHeight="false" outlineLevel="0" collapsed="false">
      <c r="A52" s="1" t="n">
        <f aca="false">+A51+1</f>
        <v>50</v>
      </c>
      <c r="B52" s="8" t="n">
        <f aca="false">INDEX('CSO Rates'!$A$5:$P$126,MATCH(A52,'CSO Rates'!$A$5:$A$126,0),MATCH($B$1,'CSO Rates'!$A$4:$P$4,0))</f>
        <v>0.01232</v>
      </c>
      <c r="D52" s="1" t="n">
        <v>50</v>
      </c>
      <c r="E52" s="9" t="n">
        <v>0.00645</v>
      </c>
    </row>
    <row r="53" customFormat="false" ht="15" hidden="false" customHeight="false" outlineLevel="0" collapsed="false">
      <c r="A53" s="1" t="n">
        <f aca="false">+A52+1</f>
        <v>51</v>
      </c>
      <c r="B53" s="8" t="n">
        <f aca="false">INDEX('CSO Rates'!$A$5:$P$126,MATCH(A53,'CSO Rates'!$A$5:$A$126,0),MATCH($B$1,'CSO Rates'!$A$4:$P$4,0))</f>
        <v>0.01327</v>
      </c>
      <c r="D53" s="1" t="n">
        <v>51</v>
      </c>
      <c r="E53" s="9" t="n">
        <v>0.0069</v>
      </c>
    </row>
    <row r="54" customFormat="false" ht="15" hidden="false" customHeight="false" outlineLevel="0" collapsed="false">
      <c r="A54" s="1" t="n">
        <f aca="false">+A53+1</f>
        <v>52</v>
      </c>
      <c r="B54" s="8" t="n">
        <f aca="false">INDEX('CSO Rates'!$A$5:$P$126,MATCH(A54,'CSO Rates'!$A$5:$A$126,0),MATCH($B$1,'CSO Rates'!$A$4:$P$4,0))</f>
        <v>0.0143</v>
      </c>
      <c r="D54" s="1" t="n">
        <v>52</v>
      </c>
      <c r="E54" s="9" t="n">
        <v>0.00741</v>
      </c>
    </row>
    <row r="55" customFormat="false" ht="15" hidden="false" customHeight="false" outlineLevel="0" collapsed="false">
      <c r="A55" s="1" t="n">
        <f aca="false">+A54+1</f>
        <v>53</v>
      </c>
      <c r="B55" s="8" t="n">
        <f aca="false">INDEX('CSO Rates'!$A$5:$P$126,MATCH(A55,'CSO Rates'!$A$5:$A$126,0),MATCH($B$1,'CSO Rates'!$A$4:$P$4,0))</f>
        <v>0.01543</v>
      </c>
      <c r="D55" s="1" t="n">
        <v>53</v>
      </c>
      <c r="E55" s="9" t="n">
        <v>0.008</v>
      </c>
    </row>
    <row r="56" customFormat="false" ht="15" hidden="false" customHeight="false" outlineLevel="0" collapsed="false">
      <c r="A56" s="1" t="n">
        <f aca="false">+A55+1</f>
        <v>54</v>
      </c>
      <c r="B56" s="8" t="n">
        <f aca="false">INDEX('CSO Rates'!$A$5:$P$126,MATCH(A56,'CSO Rates'!$A$5:$A$126,0),MATCH($B$1,'CSO Rates'!$A$4:$P$4,0))</f>
        <v>0.01665</v>
      </c>
      <c r="D56" s="1" t="n">
        <v>54</v>
      </c>
      <c r="E56" s="9" t="n">
        <v>0.00859</v>
      </c>
    </row>
    <row r="57" customFormat="false" ht="15" hidden="false" customHeight="false" outlineLevel="0" collapsed="false">
      <c r="A57" s="1" t="n">
        <f aca="false">+A56+1</f>
        <v>55</v>
      </c>
      <c r="B57" s="8" t="n">
        <f aca="false">INDEX('CSO Rates'!$A$5:$P$126,MATCH(A57,'CSO Rates'!$A$5:$A$126,0),MATCH($B$1,'CSO Rates'!$A$4:$P$4,0))</f>
        <v>0.01798</v>
      </c>
      <c r="D57" s="1" t="n">
        <v>55</v>
      </c>
      <c r="E57" s="9" t="n">
        <v>0.00922</v>
      </c>
    </row>
    <row r="58" customFormat="false" ht="15" hidden="false" customHeight="false" outlineLevel="0" collapsed="false">
      <c r="A58" s="1" t="n">
        <f aca="false">+A57+1</f>
        <v>56</v>
      </c>
      <c r="B58" s="8" t="n">
        <f aca="false">INDEX('CSO Rates'!$A$5:$P$126,MATCH(A58,'CSO Rates'!$A$5:$A$126,0),MATCH($B$1,'CSO Rates'!$A$4:$P$4,0))</f>
        <v>0.01943</v>
      </c>
      <c r="D58" s="1" t="n">
        <v>56</v>
      </c>
      <c r="E58" s="9" t="n">
        <v>0.00984</v>
      </c>
    </row>
    <row r="59" customFormat="false" ht="15" hidden="false" customHeight="false" outlineLevel="0" collapsed="false">
      <c r="A59" s="1" t="n">
        <f aca="false">+A58+1</f>
        <v>57</v>
      </c>
      <c r="B59" s="8" t="n">
        <f aca="false">INDEX('CSO Rates'!$A$5:$P$126,MATCH(A59,'CSO Rates'!$A$5:$A$126,0),MATCH($B$1,'CSO Rates'!$A$4:$P$4,0))</f>
        <v>0.021</v>
      </c>
      <c r="D59" s="1" t="n">
        <v>57</v>
      </c>
      <c r="E59" s="9" t="n">
        <v>0.01044</v>
      </c>
    </row>
    <row r="60" customFormat="false" ht="15" hidden="false" customHeight="false" outlineLevel="0" collapsed="false">
      <c r="A60" s="1" t="n">
        <f aca="false">+A59+1</f>
        <v>58</v>
      </c>
      <c r="B60" s="8" t="n">
        <f aca="false">INDEX('CSO Rates'!$A$5:$P$126,MATCH(A60,'CSO Rates'!$A$5:$A$126,0),MATCH($B$1,'CSO Rates'!$A$4:$P$4,0))</f>
        <v>0.02271</v>
      </c>
      <c r="D60" s="1" t="n">
        <v>58</v>
      </c>
      <c r="E60" s="9" t="n">
        <v>0.01101</v>
      </c>
    </row>
    <row r="61" customFormat="false" ht="15" hidden="false" customHeight="false" outlineLevel="0" collapsed="false">
      <c r="A61" s="1" t="n">
        <f aca="false">+A60+1</f>
        <v>59</v>
      </c>
      <c r="B61" s="8" t="n">
        <f aca="false">INDEX('CSO Rates'!$A$5:$P$126,MATCH(A61,'CSO Rates'!$A$5:$A$126,0),MATCH($B$1,'CSO Rates'!$A$4:$P$4,0))</f>
        <v>0.02457</v>
      </c>
      <c r="D61" s="1" t="n">
        <v>59</v>
      </c>
      <c r="E61" s="9" t="n">
        <v>0.01162</v>
      </c>
    </row>
    <row r="62" customFormat="false" ht="15" hidden="false" customHeight="false" outlineLevel="0" collapsed="false">
      <c r="A62" s="1" t="n">
        <f aca="false">+A61+1</f>
        <v>60</v>
      </c>
      <c r="B62" s="8" t="n">
        <f aca="false">INDEX('CSO Rates'!$A$5:$P$126,MATCH(A62,'CSO Rates'!$A$5:$A$126,0),MATCH($B$1,'CSO Rates'!$A$4:$P$4,0))</f>
        <v>0.02659</v>
      </c>
      <c r="D62" s="1" t="n">
        <v>60</v>
      </c>
      <c r="E62" s="9" t="n">
        <v>0.01231</v>
      </c>
    </row>
    <row r="63" customFormat="false" ht="15" hidden="false" customHeight="false" outlineLevel="0" collapsed="false">
      <c r="A63" s="1" t="n">
        <f aca="false">+A62+1</f>
        <v>61</v>
      </c>
      <c r="B63" s="8" t="n">
        <f aca="false">INDEX('CSO Rates'!$A$5:$P$126,MATCH(A63,'CSO Rates'!$A$5:$A$126,0),MATCH($B$1,'CSO Rates'!$A$4:$P$4,0))</f>
        <v>0.02878</v>
      </c>
      <c r="D63" s="1" t="n">
        <v>61</v>
      </c>
      <c r="E63" s="9" t="n">
        <v>0.01317</v>
      </c>
    </row>
    <row r="64" customFormat="false" ht="15" hidden="false" customHeight="false" outlineLevel="0" collapsed="false">
      <c r="A64" s="1" t="n">
        <f aca="false">+A63+1</f>
        <v>62</v>
      </c>
      <c r="B64" s="8" t="n">
        <f aca="false">INDEX('CSO Rates'!$A$5:$P$126,MATCH(A64,'CSO Rates'!$A$5:$A$126,0),MATCH($B$1,'CSO Rates'!$A$4:$P$4,0))</f>
        <v>0.03118</v>
      </c>
      <c r="D64" s="1" t="n">
        <v>62</v>
      </c>
      <c r="E64" s="9" t="n">
        <v>0.01425</v>
      </c>
    </row>
    <row r="65" customFormat="false" ht="15" hidden="false" customHeight="false" outlineLevel="0" collapsed="false">
      <c r="A65" s="1" t="n">
        <f aca="false">+A64+1</f>
        <v>63</v>
      </c>
      <c r="B65" s="8" t="n">
        <f aca="false">INDEX('CSO Rates'!$A$5:$P$126,MATCH(A65,'CSO Rates'!$A$5:$A$126,0),MATCH($B$1,'CSO Rates'!$A$4:$P$4,0))</f>
        <v>0.03376</v>
      </c>
      <c r="D65" s="1" t="n">
        <v>63</v>
      </c>
      <c r="E65" s="9" t="n">
        <v>0.01563</v>
      </c>
    </row>
    <row r="66" customFormat="false" ht="15" hidden="false" customHeight="false" outlineLevel="0" collapsed="false">
      <c r="A66" s="1" t="n">
        <f aca="false">+A65+1</f>
        <v>64</v>
      </c>
      <c r="B66" s="8" t="n">
        <f aca="false">INDEX('CSO Rates'!$A$5:$P$126,MATCH(A66,'CSO Rates'!$A$5:$A$126,0),MATCH($B$1,'CSO Rates'!$A$4:$P$4,0))</f>
        <v>0.03658</v>
      </c>
      <c r="D66" s="1" t="n">
        <v>64</v>
      </c>
      <c r="E66" s="9" t="n">
        <v>0.01723</v>
      </c>
    </row>
    <row r="67" customFormat="false" ht="15" hidden="false" customHeight="false" outlineLevel="0" collapsed="false">
      <c r="A67" s="1" t="n">
        <f aca="false">+A66+1</f>
        <v>65</v>
      </c>
      <c r="B67" s="8" t="n">
        <f aca="false">INDEX('CSO Rates'!$A$5:$P$126,MATCH(A67,'CSO Rates'!$A$5:$A$126,0),MATCH($B$1,'CSO Rates'!$A$4:$P$4,0))</f>
        <v>0.03964</v>
      </c>
      <c r="D67" s="1" t="n">
        <v>65</v>
      </c>
      <c r="E67" s="9" t="n">
        <v>0.01897</v>
      </c>
    </row>
    <row r="68" customFormat="false" ht="15" hidden="false" customHeight="false" outlineLevel="0" collapsed="false">
      <c r="A68" s="1" t="n">
        <f aca="false">+A67+1</f>
        <v>66</v>
      </c>
      <c r="B68" s="8" t="n">
        <f aca="false">INDEX('CSO Rates'!$A$5:$P$126,MATCH(A68,'CSO Rates'!$A$5:$A$126,0),MATCH($B$1,'CSO Rates'!$A$4:$P$4,0))</f>
        <v>0.04296</v>
      </c>
      <c r="D68" s="1" t="n">
        <v>66</v>
      </c>
      <c r="E68" s="9" t="n">
        <v>0.0208</v>
      </c>
    </row>
    <row r="69" customFormat="false" ht="15" hidden="false" customHeight="false" outlineLevel="0" collapsed="false">
      <c r="A69" s="1" t="n">
        <f aca="false">+A68+1</f>
        <v>67</v>
      </c>
      <c r="B69" s="8" t="n">
        <f aca="false">INDEX('CSO Rates'!$A$5:$P$126,MATCH(A69,'CSO Rates'!$A$5:$A$126,0),MATCH($B$1,'CSO Rates'!$A$4:$P$4,0))</f>
        <v>0.04656</v>
      </c>
      <c r="D69" s="1" t="n">
        <v>67</v>
      </c>
      <c r="E69" s="9" t="n">
        <v>0.02266</v>
      </c>
    </row>
    <row r="70" customFormat="false" ht="15" hidden="false" customHeight="false" outlineLevel="0" collapsed="false">
      <c r="A70" s="1" t="n">
        <f aca="false">+A69+1</f>
        <v>68</v>
      </c>
      <c r="B70" s="8" t="n">
        <f aca="false">INDEX('CSO Rates'!$A$5:$P$126,MATCH(A70,'CSO Rates'!$A$5:$A$126,0),MATCH($B$1,'CSO Rates'!$A$4:$P$4,0))</f>
        <v>0.05046</v>
      </c>
      <c r="D70" s="1" t="n">
        <v>68</v>
      </c>
      <c r="E70" s="9" t="n">
        <v>0.02449</v>
      </c>
    </row>
    <row r="71" customFormat="false" ht="15" hidden="false" customHeight="false" outlineLevel="0" collapsed="false">
      <c r="A71" s="1" t="n">
        <f aca="false">+A70+1</f>
        <v>69</v>
      </c>
      <c r="B71" s="8" t="n">
        <f aca="false">INDEX('CSO Rates'!$A$5:$P$126,MATCH(A71,'CSO Rates'!$A$5:$A$126,0),MATCH($B$1,'CSO Rates'!$A$4:$P$4,0))</f>
        <v>0.0547</v>
      </c>
      <c r="D71" s="1" t="n">
        <v>69</v>
      </c>
      <c r="E71" s="9" t="n">
        <v>0.02647</v>
      </c>
    </row>
    <row r="72" customFormat="false" ht="15" hidden="false" customHeight="false" outlineLevel="0" collapsed="false">
      <c r="A72" s="1" t="n">
        <f aca="false">+A71+1</f>
        <v>70</v>
      </c>
      <c r="B72" s="8" t="n">
        <f aca="false">INDEX('CSO Rates'!$A$5:$P$126,MATCH(A72,'CSO Rates'!$A$5:$A$126,0),MATCH($B$1,'CSO Rates'!$A$4:$P$4,0))</f>
        <v>0.0593</v>
      </c>
      <c r="D72" s="1" t="n">
        <v>70</v>
      </c>
      <c r="E72" s="9" t="n">
        <v>0.02874</v>
      </c>
    </row>
    <row r="73" customFormat="false" ht="15" hidden="false" customHeight="false" outlineLevel="0" collapsed="false">
      <c r="A73" s="1" t="n">
        <f aca="false">+A72+1</f>
        <v>71</v>
      </c>
      <c r="B73" s="8" t="n">
        <f aca="false">INDEX('CSO Rates'!$A$5:$P$126,MATCH(A73,'CSO Rates'!$A$5:$A$126,0),MATCH($B$1,'CSO Rates'!$A$4:$P$4,0))</f>
        <v>0.06427</v>
      </c>
      <c r="D73" s="1" t="n">
        <v>71</v>
      </c>
      <c r="E73" s="9" t="n">
        <v>0.0315</v>
      </c>
    </row>
    <row r="74" customFormat="false" ht="15" hidden="false" customHeight="false" outlineLevel="0" collapsed="false">
      <c r="A74" s="1" t="n">
        <f aca="false">+A73+1</f>
        <v>72</v>
      </c>
      <c r="B74" s="8" t="n">
        <f aca="false">INDEX('CSO Rates'!$A$5:$P$126,MATCH(A74,'CSO Rates'!$A$5:$A$126,0),MATCH($B$1,'CSO Rates'!$A$4:$P$4,0))</f>
        <v>0.06966</v>
      </c>
      <c r="D74" s="1" t="n">
        <v>72</v>
      </c>
      <c r="E74" s="9" t="n">
        <v>0.03493</v>
      </c>
    </row>
    <row r="75" customFormat="false" ht="15" hidden="false" customHeight="false" outlineLevel="0" collapsed="false">
      <c r="A75" s="1" t="n">
        <f aca="false">+A74+1</f>
        <v>73</v>
      </c>
      <c r="B75" s="8" t="n">
        <f aca="false">INDEX('CSO Rates'!$A$5:$P$126,MATCH(A75,'CSO Rates'!$A$5:$A$126,0),MATCH($B$1,'CSO Rates'!$A$4:$P$4,0))</f>
        <v>0.0755</v>
      </c>
      <c r="D75" s="1" t="n">
        <v>73</v>
      </c>
      <c r="E75" s="9" t="n">
        <v>0.03914</v>
      </c>
    </row>
    <row r="76" customFormat="false" ht="15" hidden="false" customHeight="false" outlineLevel="0" collapsed="false">
      <c r="A76" s="1" t="n">
        <f aca="false">+A75+1</f>
        <v>74</v>
      </c>
      <c r="B76" s="8" t="n">
        <f aca="false">INDEX('CSO Rates'!$A$5:$P$126,MATCH(A76,'CSO Rates'!$A$5:$A$126,0),MATCH($B$1,'CSO Rates'!$A$4:$P$4,0))</f>
        <v>0.08181</v>
      </c>
      <c r="D76" s="1" t="n">
        <v>74</v>
      </c>
      <c r="E76" s="9" t="n">
        <v>0.04411</v>
      </c>
    </row>
    <row r="77" customFormat="false" ht="15" hidden="false" customHeight="false" outlineLevel="0" collapsed="false">
      <c r="A77" s="1" t="n">
        <f aca="false">+A76+1</f>
        <v>75</v>
      </c>
      <c r="B77" s="8" t="n">
        <f aca="false">INDEX('CSO Rates'!$A$5:$P$126,MATCH(A77,'CSO Rates'!$A$5:$A$126,0),MATCH($B$1,'CSO Rates'!$A$4:$P$4,0))</f>
        <v>0.08864</v>
      </c>
      <c r="D77" s="1" t="n">
        <v>75</v>
      </c>
      <c r="E77" s="9" t="n">
        <v>0.04971</v>
      </c>
    </row>
    <row r="78" customFormat="false" ht="15" hidden="false" customHeight="false" outlineLevel="0" collapsed="false">
      <c r="A78" s="1" t="n">
        <f aca="false">+A77+1</f>
        <v>76</v>
      </c>
      <c r="B78" s="8" t="n">
        <f aca="false">INDEX('CSO Rates'!$A$5:$P$126,MATCH(A78,'CSO Rates'!$A$5:$A$126,0),MATCH($B$1,'CSO Rates'!$A$4:$P$4,0))</f>
        <v>0.09602</v>
      </c>
      <c r="D78" s="1" t="n">
        <v>76</v>
      </c>
      <c r="E78" s="9" t="n">
        <v>0.05586</v>
      </c>
    </row>
    <row r="79" customFormat="false" ht="15" hidden="false" customHeight="false" outlineLevel="0" collapsed="false">
      <c r="A79" s="1" t="n">
        <f aca="false">+A78+1</f>
        <v>77</v>
      </c>
      <c r="B79" s="8" t="n">
        <f aca="false">INDEX('CSO Rates'!$A$5:$P$126,MATCH(A79,'CSO Rates'!$A$5:$A$126,0),MATCH($B$1,'CSO Rates'!$A$4:$P$4,0))</f>
        <v>0.10399</v>
      </c>
      <c r="D79" s="1" t="n">
        <v>77</v>
      </c>
      <c r="E79" s="9" t="n">
        <v>0.06245</v>
      </c>
    </row>
    <row r="80" customFormat="false" ht="15" hidden="false" customHeight="false" outlineLevel="0" collapsed="false">
      <c r="A80" s="1" t="n">
        <f aca="false">+A79+1</f>
        <v>78</v>
      </c>
      <c r="B80" s="8" t="n">
        <f aca="false">INDEX('CSO Rates'!$A$5:$P$126,MATCH(A80,'CSO Rates'!$A$5:$A$126,0),MATCH($B$1,'CSO Rates'!$A$4:$P$4,0))</f>
        <v>0.11259</v>
      </c>
      <c r="D80" s="1" t="n">
        <v>78</v>
      </c>
      <c r="E80" s="9" t="n">
        <v>0.06949</v>
      </c>
    </row>
    <row r="81" customFormat="false" ht="15" hidden="false" customHeight="false" outlineLevel="0" collapsed="false">
      <c r="A81" s="1" t="n">
        <f aca="false">+A80+1</f>
        <v>79</v>
      </c>
      <c r="B81" s="8" t="n">
        <f aca="false">INDEX('CSO Rates'!$A$5:$P$126,MATCH(A81,'CSO Rates'!$A$5:$A$126,0),MATCH($B$1,'CSO Rates'!$A$4:$P$4,0))</f>
        <v>0.12186</v>
      </c>
      <c r="D81" s="1" t="n">
        <v>79</v>
      </c>
      <c r="E81" s="9" t="n">
        <v>0.07716</v>
      </c>
    </row>
    <row r="82" customFormat="false" ht="15" hidden="false" customHeight="false" outlineLevel="0" collapsed="false">
      <c r="A82" s="1" t="n">
        <f aca="false">+A81+1</f>
        <v>80</v>
      </c>
      <c r="B82" s="8" t="n">
        <f aca="false">INDEX('CSO Rates'!$A$5:$P$126,MATCH(A82,'CSO Rates'!$A$5:$A$126,0),MATCH($B$1,'CSO Rates'!$A$4:$P$4,0))</f>
        <v>0.13185</v>
      </c>
      <c r="D82" s="1" t="n">
        <v>80</v>
      </c>
      <c r="E82" s="9" t="n">
        <v>0.08579</v>
      </c>
    </row>
    <row r="83" customFormat="false" ht="15" hidden="false" customHeight="false" outlineLevel="0" collapsed="false">
      <c r="A83" s="1" t="n">
        <f aca="false">+A82+1</f>
        <v>81</v>
      </c>
      <c r="B83" s="8" t="n">
        <f aca="false">INDEX('CSO Rates'!$A$5:$P$126,MATCH(A83,'CSO Rates'!$A$5:$A$126,0),MATCH($B$1,'CSO Rates'!$A$4:$P$4,0))</f>
        <v>0.1426</v>
      </c>
      <c r="D83" s="1" t="n">
        <v>81</v>
      </c>
      <c r="E83" s="9" t="n">
        <v>0.09568</v>
      </c>
    </row>
    <row r="84" customFormat="false" ht="15" hidden="false" customHeight="false" outlineLevel="0" collapsed="false">
      <c r="A84" s="1" t="n">
        <f aca="false">+A83+1</f>
        <v>82</v>
      </c>
      <c r="B84" s="8" t="n">
        <f aca="false">INDEX('CSO Rates'!$A$5:$P$126,MATCH(A84,'CSO Rates'!$A$5:$A$126,0),MATCH($B$1,'CSO Rates'!$A$4:$P$4,0))</f>
        <v>0.15416</v>
      </c>
      <c r="D84" s="1" t="n">
        <v>82</v>
      </c>
      <c r="E84" s="9" t="n">
        <v>0.10712</v>
      </c>
    </row>
    <row r="85" customFormat="false" ht="15" hidden="false" customHeight="false" outlineLevel="0" collapsed="false">
      <c r="A85" s="1" t="n">
        <f aca="false">+A84+1</f>
        <v>83</v>
      </c>
      <c r="B85" s="8" t="n">
        <f aca="false">INDEX('CSO Rates'!$A$5:$P$126,MATCH(A85,'CSO Rates'!$A$5:$A$126,0),MATCH($B$1,'CSO Rates'!$A$4:$P$4,0))</f>
        <v>0.16657</v>
      </c>
      <c r="D85" s="1" t="n">
        <v>83</v>
      </c>
      <c r="E85" s="9" t="n">
        <v>0.12029</v>
      </c>
    </row>
    <row r="86" customFormat="false" ht="15" hidden="false" customHeight="false" outlineLevel="0" collapsed="false">
      <c r="A86" s="1" t="n">
        <f aca="false">+A85+1</f>
        <v>84</v>
      </c>
      <c r="B86" s="8" t="n">
        <f aca="false">INDEX('CSO Rates'!$A$5:$P$126,MATCH(A86,'CSO Rates'!$A$5:$A$126,0),MATCH($B$1,'CSO Rates'!$A$4:$P$4,0))</f>
        <v>0.17988</v>
      </c>
      <c r="D86" s="1" t="n">
        <v>84</v>
      </c>
      <c r="E86" s="9" t="n">
        <v>0.13495</v>
      </c>
    </row>
    <row r="87" customFormat="false" ht="15" hidden="false" customHeight="false" outlineLevel="0" collapsed="false">
      <c r="A87" s="1" t="n">
        <f aca="false">+A86+1</f>
        <v>85</v>
      </c>
      <c r="B87" s="8" t="n">
        <f aca="false">INDEX('CSO Rates'!$A$5:$P$126,MATCH(A87,'CSO Rates'!$A$5:$A$126,0),MATCH($B$1,'CSO Rates'!$A$4:$P$4,0))</f>
        <v>0.19413</v>
      </c>
      <c r="D87" s="1" t="n">
        <v>85</v>
      </c>
      <c r="E87" s="9" t="n">
        <v>0.15093</v>
      </c>
    </row>
    <row r="88" customFormat="false" ht="15" hidden="false" customHeight="false" outlineLevel="0" collapsed="false">
      <c r="A88" s="1" t="n">
        <f aca="false">+A87+1</f>
        <v>86</v>
      </c>
      <c r="B88" s="8" t="n">
        <f aca="false">INDEX('CSO Rates'!$A$5:$P$126,MATCH(A88,'CSO Rates'!$A$5:$A$126,0),MATCH($B$1,'CSO Rates'!$A$4:$P$4,0))</f>
        <v>0.20937</v>
      </c>
      <c r="D88" s="1" t="n">
        <v>86</v>
      </c>
      <c r="E88" s="9" t="n">
        <v>0.16808</v>
      </c>
    </row>
    <row r="89" customFormat="false" ht="15" hidden="false" customHeight="false" outlineLevel="0" collapsed="false">
      <c r="A89" s="1" t="n">
        <f aca="false">+A88+1</f>
        <v>87</v>
      </c>
      <c r="B89" s="8" t="n">
        <f aca="false">INDEX('CSO Rates'!$A$5:$P$126,MATCH(A89,'CSO Rates'!$A$5:$A$126,0),MATCH($B$1,'CSO Rates'!$A$4:$P$4,0))</f>
        <v>0.22563</v>
      </c>
      <c r="D89" s="1" t="n">
        <v>87</v>
      </c>
      <c r="E89" s="9" t="n">
        <v>0.18632</v>
      </c>
    </row>
    <row r="90" customFormat="false" ht="15" hidden="false" customHeight="false" outlineLevel="0" collapsed="false">
      <c r="A90" s="1" t="n">
        <f aca="false">+A89+1</f>
        <v>88</v>
      </c>
      <c r="B90" s="8" t="n">
        <f aca="false">INDEX('CSO Rates'!$A$5:$P$126,MATCH(A90,'CSO Rates'!$A$5:$A$126,0),MATCH($B$1,'CSO Rates'!$A$4:$P$4,0))</f>
        <v>0.243</v>
      </c>
      <c r="D90" s="1" t="n">
        <v>88</v>
      </c>
      <c r="E90" s="9" t="n">
        <v>0.20563</v>
      </c>
    </row>
    <row r="91" customFormat="false" ht="15" hidden="false" customHeight="false" outlineLevel="0" collapsed="false">
      <c r="A91" s="1" t="n">
        <f aca="false">+A90+1</f>
        <v>89</v>
      </c>
      <c r="B91" s="8" t="n">
        <f aca="false">INDEX('CSO Rates'!$A$5:$P$126,MATCH(A91,'CSO Rates'!$A$5:$A$126,0),MATCH($B$1,'CSO Rates'!$A$4:$P$4,0))</f>
        <v>0.26144</v>
      </c>
      <c r="D91" s="1" t="n">
        <v>89</v>
      </c>
      <c r="E91" s="9" t="n">
        <v>0.22612</v>
      </c>
    </row>
    <row r="92" customFormat="false" ht="15" hidden="false" customHeight="false" outlineLevel="0" collapsed="false">
      <c r="A92" s="1" t="n">
        <f aca="false">+A91+1</f>
        <v>90</v>
      </c>
      <c r="B92" s="8" t="n">
        <f aca="false">INDEX('CSO Rates'!$A$5:$P$126,MATCH(A92,'CSO Rates'!$A$5:$A$126,0),MATCH($B$1,'CSO Rates'!$A$4:$P$4,0))</f>
        <v>0.28099</v>
      </c>
      <c r="D92" s="1" t="n">
        <v>90</v>
      </c>
      <c r="E92" s="9" t="n">
        <v>0.24798</v>
      </c>
    </row>
    <row r="93" customFormat="false" ht="15" hidden="false" customHeight="false" outlineLevel="0" collapsed="false">
      <c r="A93" s="1" t="n">
        <f aca="false">+A92+1</f>
        <v>91</v>
      </c>
      <c r="B93" s="8" t="n">
        <f aca="false">INDEX('CSO Rates'!$A$5:$P$126,MATCH(A93,'CSO Rates'!$A$5:$A$126,0),MATCH($B$1,'CSO Rates'!$A$4:$P$4,0))</f>
        <v>0.30173</v>
      </c>
      <c r="D93" s="1" t="n">
        <v>91</v>
      </c>
      <c r="E93" s="9" t="n">
        <v>0.27153</v>
      </c>
    </row>
    <row r="94" customFormat="false" ht="15" hidden="false" customHeight="false" outlineLevel="0" collapsed="false">
      <c r="A94" s="1" t="n">
        <f aca="false">+A93+1</f>
        <v>92</v>
      </c>
      <c r="B94" s="8" t="n">
        <f aca="false">INDEX('CSO Rates'!$A$5:$P$126,MATCH(A94,'CSO Rates'!$A$5:$A$126,0),MATCH($B$1,'CSO Rates'!$A$4:$P$4,0))</f>
        <v>0.32364</v>
      </c>
      <c r="D94" s="1" t="n">
        <v>92</v>
      </c>
      <c r="E94" s="9" t="n">
        <v>0.29745</v>
      </c>
    </row>
    <row r="95" customFormat="false" ht="15" hidden="false" customHeight="false" outlineLevel="0" collapsed="false">
      <c r="A95" s="1" t="n">
        <f aca="false">+A94+1</f>
        <v>93</v>
      </c>
      <c r="B95" s="8" t="n">
        <f aca="false">INDEX('CSO Rates'!$A$5:$P$126,MATCH(A95,'CSO Rates'!$A$5:$A$126,0),MATCH($B$1,'CSO Rates'!$A$4:$P$4,0))</f>
        <v>0.34666</v>
      </c>
      <c r="D95" s="1" t="n">
        <v>93</v>
      </c>
      <c r="E95" s="9" t="n">
        <v>0.32696</v>
      </c>
    </row>
    <row r="96" customFormat="false" ht="15" hidden="false" customHeight="false" outlineLevel="0" collapsed="false">
      <c r="A96" s="1" t="n">
        <f aca="false">+A95+1</f>
        <v>94</v>
      </c>
      <c r="B96" s="8" t="n">
        <f aca="false">INDEX('CSO Rates'!$A$5:$P$126,MATCH(A96,'CSO Rates'!$A$5:$A$126,0),MATCH($B$1,'CSO Rates'!$A$4:$P$4,0))</f>
        <v>0.371</v>
      </c>
      <c r="D96" s="1" t="n">
        <v>94</v>
      </c>
      <c r="E96" s="9" t="n">
        <v>0.3631</v>
      </c>
    </row>
    <row r="97" customFormat="false" ht="15" hidden="false" customHeight="false" outlineLevel="0" collapsed="false">
      <c r="A97" s="1" t="n">
        <f aca="false">+A96+1</f>
        <v>95</v>
      </c>
      <c r="B97" s="8" t="n">
        <f aca="false">INDEX('CSO Rates'!$A$5:$P$126,MATCH(A97,'CSO Rates'!$A$5:$A$126,0),MATCH($B$1,'CSO Rates'!$A$4:$P$4,0))</f>
        <v>0.39621</v>
      </c>
      <c r="D97" s="1" t="n">
        <v>95</v>
      </c>
      <c r="E97" s="9" t="n">
        <v>0.41252</v>
      </c>
    </row>
    <row r="98" customFormat="false" ht="15" hidden="false" customHeight="false" outlineLevel="0" collapsed="false">
      <c r="A98" s="1" t="n">
        <f aca="false">+A97+1</f>
        <v>96</v>
      </c>
      <c r="B98" s="8" t="n">
        <f aca="false">INDEX('CSO Rates'!$A$5:$P$126,MATCH(A98,'CSO Rates'!$A$5:$A$126,0),MATCH($B$1,'CSO Rates'!$A$4:$P$4,0))</f>
        <v>0.44719</v>
      </c>
      <c r="D98" s="1" t="n">
        <v>96</v>
      </c>
      <c r="E98" s="9" t="n">
        <v>0.48846</v>
      </c>
    </row>
    <row r="99" customFormat="false" ht="15" hidden="false" customHeight="false" outlineLevel="0" collapsed="false">
      <c r="A99" s="1" t="n">
        <f aca="false">+A98+1</f>
        <v>97</v>
      </c>
      <c r="B99" s="8" t="n">
        <f aca="false">INDEX('CSO Rates'!$A$5:$P$126,MATCH(A99,'CSO Rates'!$A$5:$A$126,0),MATCH($B$1,'CSO Rates'!$A$4:$P$4,0))</f>
        <v>0.54826</v>
      </c>
      <c r="D99" s="1" t="n">
        <v>97</v>
      </c>
      <c r="E99" s="9" t="n">
        <v>0.61746</v>
      </c>
    </row>
    <row r="100" customFormat="false" ht="15" hidden="false" customHeight="false" outlineLevel="0" collapsed="false">
      <c r="A100" s="1" t="n">
        <f aca="false">+A99+1</f>
        <v>98</v>
      </c>
      <c r="B100" s="8" t="n">
        <f aca="false">INDEX('CSO Rates'!$A$5:$P$126,MATCH(A100,'CSO Rates'!$A$5:$A$126,0),MATCH($B$1,'CSO Rates'!$A$4:$P$4,0))</f>
        <v>0.72467</v>
      </c>
      <c r="D100" s="1" t="n">
        <v>98</v>
      </c>
      <c r="E100" s="9" t="n">
        <v>0.85261</v>
      </c>
    </row>
    <row r="101" customFormat="false" ht="15" hidden="false" customHeight="false" outlineLevel="0" collapsed="false">
      <c r="A101" s="1" t="n">
        <f aca="false">+A100+1</f>
        <v>99</v>
      </c>
      <c r="B101" s="8" t="n">
        <f aca="false">INDEX('CSO Rates'!$A$5:$P$126,MATCH(A101,'CSO Rates'!$A$5:$A$126,0),MATCH($B$1,'CSO Rates'!$A$4:$P$4,0))</f>
        <v>1</v>
      </c>
      <c r="D101" s="1" t="n">
        <v>99</v>
      </c>
      <c r="E101" s="9" t="n">
        <v>1</v>
      </c>
    </row>
    <row r="102" customFormat="false" ht="15" hidden="false" customHeight="false" outlineLevel="0" collapsed="false">
      <c r="D102" s="1" t="n">
        <v>100</v>
      </c>
      <c r="E102" s="9" t="n">
        <v>0</v>
      </c>
    </row>
    <row r="103" customFormat="false" ht="15" hidden="false" customHeight="false" outlineLevel="0" collapsed="false">
      <c r="D103" s="1" t="n">
        <v>101</v>
      </c>
      <c r="E103" s="9" t="n">
        <v>0</v>
      </c>
    </row>
    <row r="104" customFormat="false" ht="15" hidden="false" customHeight="false" outlineLevel="0" collapsed="false">
      <c r="D104" s="1" t="n">
        <v>102</v>
      </c>
      <c r="E104" s="9" t="n">
        <v>0</v>
      </c>
    </row>
    <row r="105" customFormat="false" ht="15" hidden="false" customHeight="false" outlineLevel="0" collapsed="false">
      <c r="D105" s="1" t="n">
        <v>103</v>
      </c>
      <c r="E105" s="9" t="n">
        <v>0</v>
      </c>
    </row>
    <row r="106" customFormat="false" ht="15" hidden="false" customHeight="false" outlineLevel="0" collapsed="false">
      <c r="D106" s="1" t="n">
        <v>104</v>
      </c>
      <c r="E106" s="9" t="n">
        <v>0</v>
      </c>
    </row>
    <row r="107" customFormat="false" ht="15" hidden="false" customHeight="false" outlineLevel="0" collapsed="false">
      <c r="D107" s="1" t="n">
        <v>105</v>
      </c>
      <c r="E107" s="9" t="n">
        <v>0</v>
      </c>
    </row>
    <row r="108" customFormat="false" ht="15" hidden="false" customHeight="false" outlineLevel="0" collapsed="false">
      <c r="D108" s="1" t="n">
        <v>106</v>
      </c>
      <c r="E108" s="9" t="n">
        <v>0</v>
      </c>
    </row>
    <row r="109" customFormat="false" ht="15" hidden="false" customHeight="false" outlineLevel="0" collapsed="false">
      <c r="D109" s="1" t="n">
        <v>107</v>
      </c>
      <c r="E109" s="9" t="n">
        <v>0</v>
      </c>
    </row>
    <row r="110" customFormat="false" ht="15" hidden="false" customHeight="false" outlineLevel="0" collapsed="false">
      <c r="D110" s="1" t="n">
        <v>108</v>
      </c>
      <c r="E110" s="9" t="n">
        <v>0</v>
      </c>
    </row>
    <row r="111" customFormat="false" ht="15" hidden="false" customHeight="false" outlineLevel="0" collapsed="false">
      <c r="D111" s="1" t="n">
        <v>109</v>
      </c>
      <c r="E111" s="9" t="n">
        <v>0</v>
      </c>
    </row>
    <row r="112" customFormat="false" ht="15" hidden="false" customHeight="false" outlineLevel="0" collapsed="false">
      <c r="D112" s="1" t="n">
        <v>110</v>
      </c>
      <c r="E112" s="9" t="n">
        <v>0</v>
      </c>
    </row>
    <row r="113" customFormat="false" ht="15" hidden="false" customHeight="false" outlineLevel="0" collapsed="false">
      <c r="D113" s="1" t="n">
        <v>111</v>
      </c>
      <c r="E113" s="9" t="n">
        <v>0</v>
      </c>
    </row>
    <row r="114" customFormat="false" ht="15" hidden="false" customHeight="false" outlineLevel="0" collapsed="false">
      <c r="D114" s="1" t="n">
        <v>112</v>
      </c>
      <c r="E114" s="9" t="n">
        <v>0</v>
      </c>
    </row>
    <row r="115" customFormat="false" ht="15" hidden="false" customHeight="false" outlineLevel="0" collapsed="false">
      <c r="D115" s="1" t="n">
        <v>113</v>
      </c>
      <c r="E115" s="9" t="n">
        <v>0</v>
      </c>
    </row>
    <row r="116" customFormat="false" ht="15" hidden="false" customHeight="false" outlineLevel="0" collapsed="false">
      <c r="D116" s="1" t="n">
        <v>114</v>
      </c>
      <c r="E116" s="9" t="n">
        <v>0</v>
      </c>
    </row>
    <row r="117" customFormat="false" ht="15" hidden="false" customHeight="false" outlineLevel="0" collapsed="false">
      <c r="D117" s="1" t="n">
        <v>115</v>
      </c>
      <c r="E117" s="9" t="n">
        <v>0</v>
      </c>
    </row>
    <row r="118" customFormat="false" ht="15" hidden="false" customHeight="false" outlineLevel="0" collapsed="false">
      <c r="D118" s="1" t="n">
        <v>116</v>
      </c>
      <c r="E118" s="9" t="n">
        <v>0</v>
      </c>
    </row>
    <row r="119" customFormat="false" ht="15" hidden="false" customHeight="false" outlineLevel="0" collapsed="false">
      <c r="D119" s="1" t="n">
        <v>117</v>
      </c>
      <c r="E119" s="9" t="n">
        <v>0</v>
      </c>
    </row>
    <row r="120" customFormat="false" ht="15" hidden="false" customHeight="false" outlineLevel="0" collapsed="false">
      <c r="D120" s="1" t="n">
        <v>118</v>
      </c>
      <c r="E120" s="9" t="n">
        <v>0</v>
      </c>
    </row>
    <row r="121" customFormat="false" ht="15" hidden="false" customHeight="false" outlineLevel="0" collapsed="false">
      <c r="D121" s="1" t="n">
        <v>119</v>
      </c>
      <c r="E121" s="9" t="n">
        <v>0</v>
      </c>
    </row>
    <row r="122" customFormat="false" ht="15" hidden="false" customHeight="false" outlineLevel="0" collapsed="false">
      <c r="D122" s="1" t="n">
        <v>120</v>
      </c>
      <c r="E122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9.73"/>
    <col collapsed="false" customWidth="true" hidden="false" outlineLevel="0" max="3" min="3" style="1" width="9.45"/>
    <col collapsed="false" customWidth="true" hidden="false" outlineLevel="0" max="4" min="4" style="1" width="5.54"/>
    <col collapsed="false" customWidth="true" hidden="false" outlineLevel="0" max="5" min="5" style="1" width="7"/>
    <col collapsed="false" customWidth="true" hidden="false" outlineLevel="0" max="6" min="6" style="1" width="8.18"/>
    <col collapsed="false" customWidth="true" hidden="false" outlineLevel="0" max="7" min="7" style="1" width="13.45"/>
    <col collapsed="false" customWidth="true" hidden="false" outlineLevel="0" max="9" min="9" style="1" width="21.54"/>
    <col collapsed="false" customWidth="true" hidden="false" outlineLevel="0" max="10" min="10" style="1" width="10.18"/>
    <col collapsed="false" customWidth="true" hidden="false" outlineLevel="0" max="11" min="11" style="1" width="12.18"/>
  </cols>
  <sheetData>
    <row r="1" customFormat="false" ht="15" hidden="false" customHeight="false" outlineLevel="0" collapsed="false">
      <c r="A1" s="1" t="s">
        <v>27</v>
      </c>
      <c r="B1" s="1" t="s">
        <v>95</v>
      </c>
      <c r="C1" s="3" t="s">
        <v>96</v>
      </c>
      <c r="D1" s="1" t="s">
        <v>97</v>
      </c>
      <c r="E1" s="1" t="s">
        <v>93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</row>
    <row r="2" customFormat="false" ht="15" hidden="false" customHeight="false" outlineLevel="0" collapsed="false">
      <c r="A2" s="1" t="str">
        <f aca="false">Inputs!$B$5</f>
        <v>07340050</v>
      </c>
      <c r="B2" s="1" t="n">
        <f aca="false">Inputs!$B$4</f>
        <v>34</v>
      </c>
      <c r="C2" s="3" t="n">
        <f aca="false">Inputs!$B$12</f>
        <v>46178</v>
      </c>
      <c r="D2" s="1" t="n">
        <v>0</v>
      </c>
      <c r="E2" s="1" t="n">
        <f aca="false">Inputs!$B$7</f>
        <v>16</v>
      </c>
      <c r="F2" s="6" t="n">
        <f aca="false">Inputs!$B$16</f>
        <v>67</v>
      </c>
      <c r="G2" s="10" t="n">
        <f aca="false">IFERROR(INDEX(CV_RATES!$K:$K,MATCH(F2+1,CV_RATES!$C:$C,0)),0)</f>
        <v>904.65633455197</v>
      </c>
      <c r="H2" s="10" t="n">
        <f aca="false">IFERROR(INDEX(CV_RATES!$K:$K,MATCH(F2,CV_RATES!$C:$C,0)),0)</f>
        <v>899.323661553913</v>
      </c>
      <c r="I2" s="11" t="n">
        <v>68</v>
      </c>
      <c r="J2" s="10" t="n">
        <f aca="false">(H2*Inputs!$B$9)+(G2-H2)*Inputs!$B$9*I2/365</f>
        <v>45015.8572919241</v>
      </c>
    </row>
    <row r="3" customFormat="false" ht="15" hidden="false" customHeight="false" outlineLevel="0" collapsed="false">
      <c r="A3" s="1" t="str">
        <f aca="false">Inputs!$B$5</f>
        <v>07340050</v>
      </c>
      <c r="B3" s="1" t="n">
        <f aca="false">Inputs!$B$4</f>
        <v>34</v>
      </c>
      <c r="C3" s="3" t="n">
        <f aca="false">DATE(YEAR(C2)+1,MONTH(C2),DAY(C2))</f>
        <v>46543</v>
      </c>
      <c r="D3" s="1" t="n">
        <f aca="false">IF(E3&lt;&gt;"",D2+1)</f>
        <v>1</v>
      </c>
      <c r="E3" s="1" t="n">
        <f aca="false">IF(E2&lt;=100,E2+1,"")</f>
        <v>17</v>
      </c>
      <c r="F3" s="1" t="n">
        <f aca="false">IF(D3&lt;&gt;"",F2+1,"")</f>
        <v>68</v>
      </c>
      <c r="G3" s="10" t="n">
        <f aca="false">IFERROR(INDEX(CV_RATES!$K:$K,MATCH(F3+1,CV_RATES!$C:$C,0)),0)</f>
        <v>909.753115162208</v>
      </c>
      <c r="H3" s="10" t="n">
        <f aca="false">IFERROR(INDEX(CV_RATES!$K:$K,MATCH(F3,CV_RATES!$C:$C,0)),0)</f>
        <v>904.65633455197</v>
      </c>
      <c r="I3" s="11" t="n">
        <v>365</v>
      </c>
      <c r="J3" s="10" t="n">
        <f aca="false">(H3*Inputs!$B$9)+(G3-H3)*Inputs!$B$9*I3/365</f>
        <v>45487.6557581104</v>
      </c>
    </row>
    <row r="4" customFormat="false" ht="15" hidden="false" customHeight="false" outlineLevel="0" collapsed="false">
      <c r="A4" s="1" t="str">
        <f aca="false">Inputs!$B$5</f>
        <v>07340050</v>
      </c>
      <c r="B4" s="1" t="n">
        <f aca="false">Inputs!$B$4</f>
        <v>34</v>
      </c>
      <c r="C4" s="3" t="n">
        <f aca="false">DATE(YEAR(C3)+1,MONTH(C3),DAY(C3))</f>
        <v>46909</v>
      </c>
      <c r="D4" s="1" t="n">
        <f aca="false">IF(E4&lt;&gt;"",D3+1)</f>
        <v>2</v>
      </c>
      <c r="E4" s="1" t="n">
        <f aca="false">IF(E3&lt;=100,E3+1,"")</f>
        <v>18</v>
      </c>
      <c r="F4" s="1" t="n">
        <f aca="false">IF(D4&lt;&gt;"",F3+1,"")</f>
        <v>69</v>
      </c>
      <c r="G4" s="10" t="n">
        <f aca="false">IFERROR(INDEX(CV_RATES!$K:$K,MATCH(F4+1,CV_RATES!$C:$C,0)),0)</f>
        <v>914.62117936489</v>
      </c>
      <c r="H4" s="10" t="n">
        <f aca="false">IFERROR(INDEX(CV_RATES!$K:$K,MATCH(F4,CV_RATES!$C:$C,0)),0)</f>
        <v>909.753115162208</v>
      </c>
      <c r="I4" s="11" t="n">
        <v>365</v>
      </c>
      <c r="J4" s="10" t="n">
        <f aca="false">(H4*Inputs!$B$9)+(G4-H4)*Inputs!$B$9*I4/365</f>
        <v>45731.0589682445</v>
      </c>
    </row>
    <row r="5" customFormat="false" ht="15" hidden="false" customHeight="false" outlineLevel="0" collapsed="false">
      <c r="A5" s="1" t="str">
        <f aca="false">Inputs!$B$5</f>
        <v>07340050</v>
      </c>
      <c r="B5" s="1" t="n">
        <f aca="false">Inputs!$B$4</f>
        <v>34</v>
      </c>
      <c r="C5" s="3" t="n">
        <f aca="false">DATE(YEAR(C4)+1,MONTH(C4),DAY(C4))</f>
        <v>47274</v>
      </c>
      <c r="D5" s="1" t="n">
        <f aca="false">IF(E5&lt;&gt;"",D4+1)</f>
        <v>3</v>
      </c>
      <c r="E5" s="1" t="n">
        <f aca="false">IF(E4&lt;=100,E4+1,"")</f>
        <v>19</v>
      </c>
      <c r="F5" s="1" t="n">
        <f aca="false">IF(D5&lt;&gt;"",F4+1,"")</f>
        <v>70</v>
      </c>
      <c r="G5" s="10" t="n">
        <f aca="false">IFERROR(INDEX(CV_RATES!$K:$K,MATCH(F5+1,CV_RATES!$C:$C,0)),0)</f>
        <v>919.27206483853</v>
      </c>
      <c r="H5" s="10" t="n">
        <f aca="false">IFERROR(INDEX(CV_RATES!$K:$K,MATCH(F5,CV_RATES!$C:$C,0)),0)</f>
        <v>914.62117936489</v>
      </c>
      <c r="I5" s="11" t="n">
        <v>365</v>
      </c>
      <c r="J5" s="10" t="n">
        <f aca="false">(H5*Inputs!$B$9)+(G5-H5)*Inputs!$B$9*I5/365</f>
        <v>45963.6032419265</v>
      </c>
    </row>
    <row r="6" customFormat="false" ht="15" hidden="false" customHeight="false" outlineLevel="0" collapsed="false">
      <c r="A6" s="1" t="str">
        <f aca="false">Inputs!$B$5</f>
        <v>07340050</v>
      </c>
      <c r="B6" s="1" t="n">
        <f aca="false">Inputs!$B$4</f>
        <v>34</v>
      </c>
      <c r="C6" s="3" t="n">
        <f aca="false">DATE(YEAR(C5)+1,MONTH(C5),DAY(C5))</f>
        <v>47639</v>
      </c>
      <c r="D6" s="1" t="n">
        <f aca="false">IF(E6&lt;&gt;"",D5+1)</f>
        <v>4</v>
      </c>
      <c r="E6" s="1" t="n">
        <f aca="false">IF(E5&lt;=100,E5+1,"")</f>
        <v>20</v>
      </c>
      <c r="F6" s="1" t="n">
        <f aca="false">IF(D6&lt;&gt;"",F5+1,"")</f>
        <v>71</v>
      </c>
      <c r="G6" s="10" t="n">
        <f aca="false">IFERROR(INDEX(CV_RATES!$K:$K,MATCH(F6+1,CV_RATES!$C:$C,0)),0)</f>
        <v>923.717128744377</v>
      </c>
      <c r="H6" s="10" t="n">
        <f aca="false">IFERROR(INDEX(CV_RATES!$K:$K,MATCH(F6,CV_RATES!$C:$C,0)),0)</f>
        <v>919.27206483853</v>
      </c>
      <c r="I6" s="11" t="n">
        <v>365</v>
      </c>
      <c r="J6" s="10" t="n">
        <f aca="false">(H6*Inputs!$B$9)+(G6-H6)*Inputs!$B$9*I6/365</f>
        <v>46185.8564372188</v>
      </c>
    </row>
    <row r="7" customFormat="false" ht="15" hidden="false" customHeight="false" outlineLevel="0" collapsed="false">
      <c r="A7" s="1" t="str">
        <f aca="false">Inputs!$B$5</f>
        <v>07340050</v>
      </c>
      <c r="B7" s="1" t="n">
        <f aca="false">Inputs!$B$4</f>
        <v>34</v>
      </c>
      <c r="C7" s="3" t="n">
        <f aca="false">DATE(YEAR(C6)+1,MONTH(C6),DAY(C6))</f>
        <v>48004</v>
      </c>
      <c r="D7" s="1" t="n">
        <f aca="false">IF(E7&lt;&gt;"",D6+1)</f>
        <v>5</v>
      </c>
      <c r="E7" s="1" t="n">
        <f aca="false">IF(E6&lt;=100,E6+1,"")</f>
        <v>21</v>
      </c>
      <c r="F7" s="1" t="n">
        <f aca="false">IF(D7&lt;&gt;"",F6+1,"")</f>
        <v>72</v>
      </c>
      <c r="G7" s="10" t="n">
        <f aca="false">IFERROR(INDEX(CV_RATES!$K:$K,MATCH(F7+1,CV_RATES!$C:$C,0)),0)</f>
        <v>927.981554596764</v>
      </c>
      <c r="H7" s="10" t="n">
        <f aca="false">IFERROR(INDEX(CV_RATES!$K:$K,MATCH(F7,CV_RATES!$C:$C,0)),0)</f>
        <v>923.717128744377</v>
      </c>
      <c r="I7" s="11" t="n">
        <v>365</v>
      </c>
      <c r="J7" s="10" t="n">
        <f aca="false">(H7*Inputs!$B$9)+(G7-H7)*Inputs!$B$9*I7/365</f>
        <v>46399.0777298382</v>
      </c>
    </row>
    <row r="8" customFormat="false" ht="15" hidden="false" customHeight="false" outlineLevel="0" collapsed="false">
      <c r="A8" s="1" t="str">
        <f aca="false">Inputs!$B$5</f>
        <v>07340050</v>
      </c>
      <c r="B8" s="1" t="n">
        <f aca="false">Inputs!$B$4</f>
        <v>34</v>
      </c>
      <c r="C8" s="3" t="n">
        <f aca="false">DATE(YEAR(C7)+1,MONTH(C7),DAY(C7))</f>
        <v>48370</v>
      </c>
      <c r="D8" s="1" t="n">
        <f aca="false">IF(E8&lt;&gt;"",D7+1)</f>
        <v>6</v>
      </c>
      <c r="E8" s="1" t="n">
        <f aca="false">IF(E7&lt;=100,E7+1,"")</f>
        <v>22</v>
      </c>
      <c r="F8" s="1" t="n">
        <f aca="false">IF(D8&lt;&gt;"",F7+1,"")</f>
        <v>73</v>
      </c>
      <c r="G8" s="10" t="n">
        <f aca="false">IFERROR(INDEX(CV_RATES!$K:$K,MATCH(F8+1,CV_RATES!$C:$C,0)),0)</f>
        <v>932.102604222032</v>
      </c>
      <c r="H8" s="10" t="n">
        <f aca="false">IFERROR(INDEX(CV_RATES!$K:$K,MATCH(F8,CV_RATES!$C:$C,0)),0)</f>
        <v>927.981554596764</v>
      </c>
      <c r="I8" s="11" t="n">
        <v>365</v>
      </c>
      <c r="J8" s="10" t="n">
        <f aca="false">(H8*Inputs!$B$9)+(G8-H8)*Inputs!$B$9*I8/365</f>
        <v>46605.1302111016</v>
      </c>
    </row>
    <row r="9" customFormat="false" ht="15" hidden="false" customHeight="false" outlineLevel="0" collapsed="false">
      <c r="A9" s="1" t="str">
        <f aca="false">Inputs!$B$5</f>
        <v>07340050</v>
      </c>
      <c r="B9" s="1" t="n">
        <f aca="false">Inputs!$B$4</f>
        <v>34</v>
      </c>
      <c r="C9" s="3" t="n">
        <f aca="false">DATE(YEAR(C8)+1,MONTH(C8),DAY(C8))</f>
        <v>48735</v>
      </c>
      <c r="D9" s="1" t="n">
        <f aca="false">IF(E9&lt;&gt;"",D8+1)</f>
        <v>7</v>
      </c>
      <c r="E9" s="1" t="n">
        <f aca="false">IF(E8&lt;=100,E8+1,"")</f>
        <v>23</v>
      </c>
      <c r="F9" s="1" t="n">
        <f aca="false">IF(D9&lt;&gt;"",F8+1,"")</f>
        <v>74</v>
      </c>
      <c r="G9" s="10" t="n">
        <f aca="false">IFERROR(INDEX(CV_RATES!$K:$K,MATCH(F9+1,CV_RATES!$C:$C,0)),0)</f>
        <v>936.135261900959</v>
      </c>
      <c r="H9" s="10" t="n">
        <f aca="false">IFERROR(INDEX(CV_RATES!$K:$K,MATCH(F9,CV_RATES!$C:$C,0)),0)</f>
        <v>932.102604222032</v>
      </c>
      <c r="I9" s="11" t="n">
        <v>365</v>
      </c>
      <c r="J9" s="10" t="n">
        <f aca="false">(H9*Inputs!$B$9)+(G9-H9)*Inputs!$B$9*I9/365</f>
        <v>46806.763095048</v>
      </c>
    </row>
    <row r="10" customFormat="false" ht="15" hidden="false" customHeight="false" outlineLevel="0" collapsed="false">
      <c r="A10" s="1" t="str">
        <f aca="false">Inputs!$B$5</f>
        <v>07340050</v>
      </c>
      <c r="B10" s="1" t="n">
        <f aca="false">Inputs!$B$4</f>
        <v>34</v>
      </c>
      <c r="C10" s="3" t="n">
        <f aca="false">DATE(YEAR(C9)+1,MONTH(C9),DAY(C9))</f>
        <v>49100</v>
      </c>
      <c r="D10" s="1" t="n">
        <f aca="false">IF(E10&lt;&gt;"",D9+1)</f>
        <v>8</v>
      </c>
      <c r="E10" s="1" t="n">
        <f aca="false">IF(E9&lt;=100,E9+1,"")</f>
        <v>24</v>
      </c>
      <c r="F10" s="1" t="n">
        <f aca="false">IF(D10&lt;&gt;"",F9+1,"")</f>
        <v>75</v>
      </c>
      <c r="G10" s="10" t="n">
        <f aca="false">IFERROR(INDEX(CV_RATES!$K:$K,MATCH(F10+1,CV_RATES!$C:$C,0)),0)</f>
        <v>940.17778024792</v>
      </c>
      <c r="H10" s="10" t="n">
        <f aca="false">IFERROR(INDEX(CV_RATES!$K:$K,MATCH(F10,CV_RATES!$C:$C,0)),0)</f>
        <v>936.135261900959</v>
      </c>
      <c r="I10" s="11" t="n">
        <v>365</v>
      </c>
      <c r="J10" s="10" t="n">
        <f aca="false">(H10*Inputs!$B$9)+(G10-H10)*Inputs!$B$9*I10/365</f>
        <v>47008.889012396</v>
      </c>
    </row>
    <row r="11" customFormat="false" ht="15" hidden="false" customHeight="false" outlineLevel="0" collapsed="false">
      <c r="A11" s="1" t="str">
        <f aca="false">Inputs!$B$5</f>
        <v>07340050</v>
      </c>
      <c r="B11" s="1" t="n">
        <f aca="false">Inputs!$B$4</f>
        <v>34</v>
      </c>
      <c r="C11" s="3" t="n">
        <f aca="false">DATE(YEAR(C10)+1,MONTH(C10),DAY(C10))</f>
        <v>49465</v>
      </c>
      <c r="D11" s="1" t="n">
        <f aca="false">IF(E11&lt;&gt;"",D10+1)</f>
        <v>9</v>
      </c>
      <c r="E11" s="1" t="n">
        <f aca="false">IF(E10&lt;=100,E10+1,"")</f>
        <v>25</v>
      </c>
      <c r="F11" s="1" t="n">
        <f aca="false">IF(D11&lt;&gt;"",F10+1,"")</f>
        <v>76</v>
      </c>
      <c r="G11" s="10" t="n">
        <f aca="false">IFERROR(INDEX(CV_RATES!$K:$K,MATCH(F11+1,CV_RATES!$C:$C,0)),0)</f>
        <v>944.412135724305</v>
      </c>
      <c r="H11" s="10" t="n">
        <f aca="false">IFERROR(INDEX(CV_RATES!$K:$K,MATCH(F11,CV_RATES!$C:$C,0)),0)</f>
        <v>940.17778024792</v>
      </c>
      <c r="I11" s="11" t="n">
        <v>365</v>
      </c>
      <c r="J11" s="10" t="n">
        <f aca="false">(H11*Inputs!$B$9)+(G11-H11)*Inputs!$B$9*I11/365</f>
        <v>47220.6067862153</v>
      </c>
    </row>
    <row r="12" customFormat="false" ht="15" hidden="false" customHeight="false" outlineLevel="0" collapsed="false">
      <c r="A12" s="1" t="str">
        <f aca="false">Inputs!$B$5</f>
        <v>07340050</v>
      </c>
      <c r="B12" s="1" t="n">
        <f aca="false">Inputs!$B$4</f>
        <v>34</v>
      </c>
      <c r="C12" s="3" t="n">
        <f aca="false">DATE(YEAR(C11)+1,MONTH(C11),DAY(C11))</f>
        <v>49831</v>
      </c>
      <c r="D12" s="1" t="n">
        <f aca="false">IF(E12&lt;&gt;"",D11+1)</f>
        <v>10</v>
      </c>
      <c r="E12" s="1" t="n">
        <f aca="false">IF(E11&lt;=100,E11+1,"")</f>
        <v>26</v>
      </c>
      <c r="F12" s="1" t="n">
        <f aca="false">IF(D12&lt;&gt;"",F11+1,"")</f>
        <v>77</v>
      </c>
      <c r="G12" s="10" t="n">
        <f aca="false">IFERROR(INDEX(CV_RATES!$K:$K,MATCH(F12+1,CV_RATES!$C:$C,0)),0)</f>
        <v>949.161270456937</v>
      </c>
      <c r="H12" s="10" t="n">
        <f aca="false">IFERROR(INDEX(CV_RATES!$K:$K,MATCH(F12,CV_RATES!$C:$C,0)),0)</f>
        <v>944.412135724305</v>
      </c>
      <c r="I12" s="11" t="n">
        <v>365</v>
      </c>
      <c r="J12" s="10" t="n">
        <f aca="false">(H12*Inputs!$B$9)+(G12-H12)*Inputs!$B$9*I12/365</f>
        <v>47458.0635228468</v>
      </c>
    </row>
    <row r="13" customFormat="false" ht="15" hidden="false" customHeight="false" outlineLevel="0" collapsed="false">
      <c r="A13" s="1" t="str">
        <f aca="false">Inputs!$B$5</f>
        <v>07340050</v>
      </c>
      <c r="B13" s="1" t="n">
        <f aca="false">Inputs!$B$4</f>
        <v>34</v>
      </c>
      <c r="C13" s="3" t="n">
        <f aca="false">DATE(YEAR(C12)+1,MONTH(C12),DAY(C12))</f>
        <v>50196</v>
      </c>
      <c r="D13" s="1" t="n">
        <f aca="false">IF(E13&lt;&gt;"",D12+1)</f>
        <v>11</v>
      </c>
      <c r="E13" s="1" t="n">
        <f aca="false">IF(E12&lt;=100,E12+1,"")</f>
        <v>27</v>
      </c>
      <c r="F13" s="1" t="n">
        <f aca="false">IF(D13&lt;&gt;"",F12+1,"")</f>
        <v>78</v>
      </c>
      <c r="G13" s="10" t="n">
        <f aca="false">IFERROR(INDEX(CV_RATES!$K:$K,MATCH(F13+1,CV_RATES!$C:$C,0)),0)</f>
        <v>955.1007837466</v>
      </c>
      <c r="H13" s="10" t="n">
        <f aca="false">IFERROR(INDEX(CV_RATES!$K:$K,MATCH(F13,CV_RATES!$C:$C,0)),0)</f>
        <v>949.161270456937</v>
      </c>
      <c r="I13" s="11" t="n">
        <v>365</v>
      </c>
      <c r="J13" s="10" t="n">
        <f aca="false">(H13*Inputs!$B$9)+(G13-H13)*Inputs!$B$9*I13/365</f>
        <v>47755.03918733</v>
      </c>
    </row>
    <row r="14" customFormat="false" ht="15" hidden="false" customHeight="false" outlineLevel="0" collapsed="false">
      <c r="A14" s="1" t="str">
        <f aca="false">Inputs!$B$5</f>
        <v>07340050</v>
      </c>
      <c r="B14" s="1" t="n">
        <f aca="false">Inputs!$B$4</f>
        <v>34</v>
      </c>
      <c r="C14" s="3" t="n">
        <f aca="false">DATE(YEAR(C13)+1,MONTH(C13),DAY(C13))</f>
        <v>50561</v>
      </c>
      <c r="D14" s="1" t="n">
        <f aca="false">IF(E14&lt;&gt;"",D13+1)</f>
        <v>12</v>
      </c>
      <c r="E14" s="1" t="n">
        <f aca="false">IF(E13&lt;=100,E13+1,"")</f>
        <v>28</v>
      </c>
      <c r="F14" s="1" t="n">
        <f aca="false">IF(D14&lt;&gt;"",F13+1,"")</f>
        <v>79</v>
      </c>
      <c r="G14" s="10" t="n">
        <f aca="false">IFERROR(INDEX(CV_RATES!$K:$K,MATCH(F14+1,CV_RATES!$C:$C,0)),0)</f>
        <v>961.973016660815</v>
      </c>
      <c r="H14" s="10" t="n">
        <f aca="false">IFERROR(INDEX(CV_RATES!$K:$K,MATCH(F14,CV_RATES!$C:$C,0)),0)</f>
        <v>955.1007837466</v>
      </c>
      <c r="I14" s="11" t="n">
        <v>365</v>
      </c>
      <c r="J14" s="10" t="n">
        <f aca="false">(H14*Inputs!$B$9)+(G14-H14)*Inputs!$B$9*I14/365</f>
        <v>48098.6508330407</v>
      </c>
    </row>
    <row r="15" customFormat="false" ht="15" hidden="false" customHeight="false" outlineLevel="0" collapsed="false">
      <c r="A15" s="1" t="str">
        <f aca="false">Inputs!$B$5</f>
        <v>07340050</v>
      </c>
      <c r="B15" s="1" t="n">
        <f aca="false">Inputs!$B$4</f>
        <v>34</v>
      </c>
      <c r="C15" s="3" t="n">
        <f aca="false">DATE(YEAR(C14)+1,MONTH(C14),DAY(C14))</f>
        <v>50926</v>
      </c>
      <c r="D15" s="1" t="n">
        <f aca="false">IF(E15&lt;&gt;"",D14+1)</f>
        <v>13</v>
      </c>
      <c r="E15" s="1" t="n">
        <f aca="false">IF(E14&lt;=100,E14+1,"")</f>
        <v>29</v>
      </c>
      <c r="F15" s="1" t="n">
        <f aca="false">IF(D15&lt;&gt;"",F14+1,"")</f>
        <v>80</v>
      </c>
      <c r="G15" s="10" t="n">
        <f aca="false">IFERROR(INDEX(CV_RATES!$K:$K,MATCH(F15+1,CV_RATES!$C:$C,0)),0)</f>
        <v>969.058179654968</v>
      </c>
      <c r="H15" s="10" t="n">
        <f aca="false">IFERROR(INDEX(CV_RATES!$K:$K,MATCH(F15,CV_RATES!$C:$C,0)),0)</f>
        <v>961.973016660815</v>
      </c>
      <c r="I15" s="11" t="n">
        <v>365</v>
      </c>
      <c r="J15" s="10" t="n">
        <f aca="false">(H15*Inputs!$B$9)+(G15-H15)*Inputs!$B$9*I15/365</f>
        <v>48452.9089827484</v>
      </c>
    </row>
    <row r="16" customFormat="false" ht="15" hidden="false" customHeight="false" outlineLevel="0" collapsed="false">
      <c r="A16" s="1" t="str">
        <f aca="false">Inputs!$B$5</f>
        <v>07340050</v>
      </c>
      <c r="B16" s="1" t="n">
        <f aca="false">Inputs!$B$4</f>
        <v>34</v>
      </c>
      <c r="C16" s="3" t="n">
        <f aca="false">DATE(YEAR(C15)+1,MONTH(C15),DAY(C15))</f>
        <v>51292</v>
      </c>
      <c r="D16" s="1" t="n">
        <f aca="false">IF(E16&lt;&gt;"",D15+1)</f>
        <v>14</v>
      </c>
      <c r="E16" s="1" t="n">
        <f aca="false">IF(E15&lt;=100,E15+1,"")</f>
        <v>30</v>
      </c>
      <c r="F16" s="1" t="n">
        <f aca="false">IF(D16&lt;&gt;"",F15+1,"")</f>
        <v>81</v>
      </c>
      <c r="G16" s="10" t="n">
        <f aca="false">IFERROR(INDEX(CV_RATES!$K:$K,MATCH(F16+1,CV_RATES!$C:$C,0)),0)</f>
        <v>975.609756097561</v>
      </c>
      <c r="H16" s="10" t="n">
        <f aca="false">IFERROR(INDEX(CV_RATES!$K:$K,MATCH(F16,CV_RATES!$C:$C,0)),0)</f>
        <v>969.058179654968</v>
      </c>
      <c r="I16" s="11" t="n">
        <v>365</v>
      </c>
      <c r="J16" s="10" t="n">
        <f aca="false">(H16*Inputs!$B$9)+(G16-H16)*Inputs!$B$9*I16/365</f>
        <v>48780.4878048781</v>
      </c>
    </row>
    <row r="17" customFormat="false" ht="15" hidden="false" customHeight="false" outlineLevel="0" collapsed="false">
      <c r="A17" s="1" t="str">
        <f aca="false">Inputs!$B$5</f>
        <v>07340050</v>
      </c>
      <c r="B17" s="1" t="n">
        <f aca="false">Inputs!$B$4</f>
        <v>34</v>
      </c>
      <c r="C17" s="3" t="n">
        <f aca="false">DATE(YEAR(C16)+1,MONTH(C16),DAY(C16))</f>
        <v>51657</v>
      </c>
      <c r="D17" s="1" t="n">
        <f aca="false">IF(E17&lt;&gt;"",D16+1)</f>
        <v>15</v>
      </c>
      <c r="E17" s="1" t="n">
        <f aca="false">IF(E16&lt;=100,E16+1,"")</f>
        <v>31</v>
      </c>
      <c r="F17" s="1" t="n">
        <f aca="false">IF(D17&lt;&gt;"",F16+1,"")</f>
        <v>82</v>
      </c>
      <c r="G17" s="10" t="n">
        <f aca="false">IFERROR(INDEX(CV_RATES!$K:$K,MATCH(F17+1,CV_RATES!$C:$C,0)),0)</f>
        <v>1000</v>
      </c>
      <c r="H17" s="10" t="n">
        <f aca="false">IFERROR(INDEX(CV_RATES!$K:$K,MATCH(F17,CV_RATES!$C:$C,0)),0)</f>
        <v>975.609756097561</v>
      </c>
      <c r="I17" s="11" t="n">
        <v>365</v>
      </c>
      <c r="J17" s="10" t="n">
        <f aca="false">(H17*Inputs!$B$9)+(G17-H17)*Inputs!$B$9*I17/365</f>
        <v>50000</v>
      </c>
    </row>
    <row r="18" customFormat="false" ht="15" hidden="false" customHeight="false" outlineLevel="0" collapsed="false">
      <c r="A18" s="1" t="str">
        <f aca="false">Inputs!$B$5</f>
        <v>07340050</v>
      </c>
      <c r="B18" s="1" t="n">
        <f aca="false">Inputs!$B$4</f>
        <v>34</v>
      </c>
      <c r="C18" s="3" t="n">
        <f aca="false">DATE(YEAR(C17)+1,MONTH(C17),DAY(C17))</f>
        <v>52022</v>
      </c>
      <c r="D18" s="1" t="n">
        <f aca="false">IF(E18&lt;&gt;"",D17+1)</f>
        <v>16</v>
      </c>
      <c r="E18" s="1" t="n">
        <f aca="false">IF(E17&lt;=100,E17+1,"")</f>
        <v>32</v>
      </c>
      <c r="F18" s="1" t="n">
        <f aca="false">IF(D18&lt;&gt;"",F17+1,"")</f>
        <v>83</v>
      </c>
      <c r="G18" s="10" t="n">
        <f aca="false">IFERROR(INDEX(CV_RATES!$K:$K,MATCH(F18+1,CV_RATES!$C:$C,0)),0)</f>
        <v>0</v>
      </c>
      <c r="H18" s="10" t="n">
        <f aca="false">IFERROR(INDEX(CV_RATES!$K:$K,MATCH(F18,CV_RATES!$C:$C,0)),0)</f>
        <v>1000</v>
      </c>
      <c r="I18" s="11" t="n">
        <v>365</v>
      </c>
      <c r="J18" s="10" t="n">
        <f aca="false">(H18*Inputs!$B$9)+(G18-H18)*Inputs!$B$9*I18/365</f>
        <v>0</v>
      </c>
    </row>
    <row r="19" customFormat="false" ht="15" hidden="false" customHeight="false" outlineLevel="0" collapsed="false">
      <c r="A19" s="1" t="str">
        <f aca="false">Inputs!$B$5</f>
        <v>07340050</v>
      </c>
      <c r="B19" s="1" t="n">
        <f aca="false">Inputs!$B$4</f>
        <v>34</v>
      </c>
      <c r="C19" s="3" t="n">
        <f aca="false">DATE(YEAR(C18)+1,MONTH(C18),DAY(C18))</f>
        <v>52387</v>
      </c>
      <c r="D19" s="1" t="n">
        <f aca="false">IF(E19&lt;&gt;"",D18+1)</f>
        <v>17</v>
      </c>
      <c r="E19" s="1" t="n">
        <f aca="false">IF(E18&lt;=100,E18+1,"")</f>
        <v>33</v>
      </c>
      <c r="F19" s="1" t="n">
        <f aca="false">IF(D19&lt;&gt;"",F18+1,"")</f>
        <v>84</v>
      </c>
      <c r="G19" s="10" t="n">
        <f aca="false">IFERROR(INDEX(CV_RATES!$K:$K,MATCH(F19+1,CV_RATES!$C:$C,0)),0)</f>
        <v>0</v>
      </c>
      <c r="H19" s="10" t="n">
        <f aca="false">IFERROR(INDEX(CV_RATES!$K:$K,MATCH(F19,CV_RATES!$C:$C,0)),0)</f>
        <v>0</v>
      </c>
      <c r="I19" s="11" t="n">
        <v>365</v>
      </c>
      <c r="J19" s="10" t="n">
        <f aca="false">(H19*Inputs!$B$9)+(G19-H19)*Inputs!$B$9*I19/365</f>
        <v>0</v>
      </c>
    </row>
    <row r="20" customFormat="false" ht="15" hidden="false" customHeight="false" outlineLevel="0" collapsed="false">
      <c r="A20" s="1" t="str">
        <f aca="false">Inputs!$B$5</f>
        <v>07340050</v>
      </c>
      <c r="B20" s="1" t="n">
        <f aca="false">Inputs!$B$4</f>
        <v>34</v>
      </c>
      <c r="C20" s="3" t="n">
        <f aca="false">DATE(YEAR(C19)+1,MONTH(C19),DAY(C19))</f>
        <v>52753</v>
      </c>
      <c r="D20" s="1" t="n">
        <f aca="false">IF(E20&lt;&gt;"",D19+1)</f>
        <v>18</v>
      </c>
      <c r="E20" s="1" t="n">
        <f aca="false">IF(E19&lt;=100,E19+1,"")</f>
        <v>34</v>
      </c>
      <c r="F20" s="1" t="n">
        <f aca="false">IF(D20&lt;&gt;"",F19+1,"")</f>
        <v>85</v>
      </c>
      <c r="G20" s="10" t="n">
        <f aca="false">IFERROR(INDEX(CV_RATES!$K:$K,MATCH(F20+1,CV_RATES!$C:$C,0)),0)</f>
        <v>0</v>
      </c>
      <c r="H20" s="10" t="n">
        <f aca="false">IFERROR(INDEX(CV_RATES!$K:$K,MATCH(F20,CV_RATES!$C:$C,0)),0)</f>
        <v>0</v>
      </c>
      <c r="I20" s="11" t="n">
        <v>365</v>
      </c>
      <c r="J20" s="10" t="n">
        <f aca="false">(H20*Inputs!$B$9)+(G20-H20)*Inputs!$B$9*I20/365</f>
        <v>0</v>
      </c>
    </row>
    <row r="21" customFormat="false" ht="15" hidden="false" customHeight="false" outlineLevel="0" collapsed="false">
      <c r="A21" s="1" t="str">
        <f aca="false">Inputs!$B$5</f>
        <v>07340050</v>
      </c>
      <c r="B21" s="1" t="n">
        <f aca="false">Inputs!$B$4</f>
        <v>34</v>
      </c>
      <c r="C21" s="3" t="n">
        <f aca="false">DATE(YEAR(C20)+1,MONTH(C20),DAY(C20))</f>
        <v>53118</v>
      </c>
      <c r="D21" s="1" t="n">
        <f aca="false">IF(E21&lt;&gt;"",D20+1)</f>
        <v>19</v>
      </c>
      <c r="E21" s="1" t="n">
        <f aca="false">IF(E20&lt;=100,E20+1,"")</f>
        <v>35</v>
      </c>
      <c r="F21" s="1" t="n">
        <f aca="false">IF(D21&lt;&gt;"",F20+1,"")</f>
        <v>86</v>
      </c>
      <c r="G21" s="10" t="n">
        <f aca="false">IFERROR(INDEX(CV_RATES!$K:$K,MATCH(F21+1,CV_RATES!$C:$C,0)),0)</f>
        <v>0</v>
      </c>
      <c r="H21" s="10" t="n">
        <f aca="false">IFERROR(INDEX(CV_RATES!$K:$K,MATCH(F21,CV_RATES!$C:$C,0)),0)</f>
        <v>0</v>
      </c>
      <c r="I21" s="11" t="n">
        <v>365</v>
      </c>
      <c r="J21" s="10" t="n">
        <f aca="false">(H21*Inputs!$B$9)+(G21-H21)*Inputs!$B$9*I21/365</f>
        <v>0</v>
      </c>
    </row>
    <row r="22" customFormat="false" ht="15" hidden="false" customHeight="false" outlineLevel="0" collapsed="false">
      <c r="A22" s="1" t="str">
        <f aca="false">Inputs!$B$5</f>
        <v>07340050</v>
      </c>
      <c r="B22" s="1" t="n">
        <f aca="false">Inputs!$B$4</f>
        <v>34</v>
      </c>
      <c r="C22" s="3" t="n">
        <f aca="false">DATE(YEAR(C21)+1,MONTH(C21),DAY(C21))</f>
        <v>53483</v>
      </c>
      <c r="D22" s="1" t="n">
        <f aca="false">IF(E22&lt;&gt;"",D21+1)</f>
        <v>20</v>
      </c>
      <c r="E22" s="1" t="n">
        <f aca="false">IF(E21&lt;=100,E21+1,"")</f>
        <v>36</v>
      </c>
      <c r="F22" s="1" t="n">
        <f aca="false">IF(D22&lt;&gt;"",F21+1,"")</f>
        <v>87</v>
      </c>
      <c r="G22" s="10" t="n">
        <f aca="false">IFERROR(INDEX(CV_RATES!$K:$K,MATCH(F22+1,CV_RATES!$C:$C,0)),0)</f>
        <v>0</v>
      </c>
      <c r="H22" s="10" t="n">
        <f aca="false">IFERROR(INDEX(CV_RATES!$K:$K,MATCH(F22,CV_RATES!$C:$C,0)),0)</f>
        <v>0</v>
      </c>
      <c r="I22" s="11" t="n">
        <v>365</v>
      </c>
      <c r="J22" s="10" t="n">
        <f aca="false">(H22*Inputs!$B$9)+(G22-H22)*Inputs!$B$9*I22/365</f>
        <v>0</v>
      </c>
    </row>
    <row r="23" customFormat="false" ht="15" hidden="false" customHeight="false" outlineLevel="0" collapsed="false">
      <c r="A23" s="1" t="str">
        <f aca="false">Inputs!$B$5</f>
        <v>07340050</v>
      </c>
      <c r="B23" s="1" t="n">
        <f aca="false">Inputs!$B$4</f>
        <v>34</v>
      </c>
      <c r="C23" s="3" t="n">
        <f aca="false">DATE(YEAR(C22)+1,MONTH(C22),DAY(C22))</f>
        <v>53848</v>
      </c>
      <c r="D23" s="1" t="n">
        <f aca="false">IF(E23&lt;&gt;"",D22+1)</f>
        <v>21</v>
      </c>
      <c r="E23" s="1" t="n">
        <f aca="false">IF(E22&lt;=100,E22+1,"")</f>
        <v>37</v>
      </c>
      <c r="F23" s="1" t="n">
        <f aca="false">IF(D23&lt;&gt;"",F22+1,"")</f>
        <v>88</v>
      </c>
      <c r="G23" s="10" t="n">
        <f aca="false">IFERROR(INDEX(CV_RATES!$K:$K,MATCH(F23+1,CV_RATES!$C:$C,0)),0)</f>
        <v>0</v>
      </c>
      <c r="H23" s="10" t="n">
        <f aca="false">IFERROR(INDEX(CV_RATES!$K:$K,MATCH(F23,CV_RATES!$C:$C,0)),0)</f>
        <v>0</v>
      </c>
      <c r="I23" s="11" t="n">
        <v>365</v>
      </c>
      <c r="J23" s="10" t="n">
        <f aca="false">(H23*Inputs!$B$9)+(G23-H23)*Inputs!$B$9*I23/365</f>
        <v>0</v>
      </c>
    </row>
    <row r="24" customFormat="false" ht="15" hidden="false" customHeight="false" outlineLevel="0" collapsed="false">
      <c r="A24" s="1" t="str">
        <f aca="false">Inputs!$B$5</f>
        <v>07340050</v>
      </c>
      <c r="B24" s="1" t="n">
        <f aca="false">Inputs!$B$4</f>
        <v>34</v>
      </c>
      <c r="C24" s="3" t="n">
        <f aca="false">DATE(YEAR(C23)+1,MONTH(C23),DAY(C23))</f>
        <v>54214</v>
      </c>
      <c r="D24" s="1" t="n">
        <f aca="false">IF(E24&lt;&gt;"",D23+1)</f>
        <v>22</v>
      </c>
      <c r="E24" s="1" t="n">
        <f aca="false">IF(E23&lt;=100,E23+1,"")</f>
        <v>38</v>
      </c>
      <c r="F24" s="1" t="n">
        <f aca="false">IF(D24&lt;&gt;"",F23+1,"")</f>
        <v>89</v>
      </c>
      <c r="G24" s="10" t="n">
        <f aca="false">IFERROR(INDEX(CV_RATES!$K:$K,MATCH(F24+1,CV_RATES!$C:$C,0)),0)</f>
        <v>0</v>
      </c>
      <c r="H24" s="10" t="n">
        <f aca="false">IFERROR(INDEX(CV_RATES!$K:$K,MATCH(F24,CV_RATES!$C:$C,0)),0)</f>
        <v>0</v>
      </c>
      <c r="I24" s="11" t="n">
        <v>365</v>
      </c>
      <c r="J24" s="10" t="n">
        <f aca="false">(H24*Inputs!$B$9)+(G24-H24)*Inputs!$B$9*I24/365</f>
        <v>0</v>
      </c>
    </row>
    <row r="25" customFormat="false" ht="15" hidden="false" customHeight="false" outlineLevel="0" collapsed="false">
      <c r="A25" s="1" t="str">
        <f aca="false">Inputs!$B$5</f>
        <v>07340050</v>
      </c>
      <c r="B25" s="1" t="n">
        <f aca="false">Inputs!$B$4</f>
        <v>34</v>
      </c>
      <c r="C25" s="3" t="n">
        <f aca="false">DATE(YEAR(C24)+1,MONTH(C24),DAY(C24))</f>
        <v>54579</v>
      </c>
      <c r="D25" s="1" t="n">
        <f aca="false">IF(E25&lt;&gt;"",D24+1)</f>
        <v>23</v>
      </c>
      <c r="E25" s="1" t="n">
        <f aca="false">IF(E24&lt;=100,E24+1,"")</f>
        <v>39</v>
      </c>
      <c r="F25" s="1" t="n">
        <f aca="false">IF(D25&lt;&gt;"",F24+1,"")</f>
        <v>90</v>
      </c>
      <c r="G25" s="10" t="n">
        <f aca="false">IFERROR(INDEX(CV_RATES!$K:$K,MATCH(F25+1,CV_RATES!$C:$C,0)),0)</f>
        <v>0</v>
      </c>
      <c r="H25" s="10" t="n">
        <f aca="false">IFERROR(INDEX(CV_RATES!$K:$K,MATCH(F25,CV_RATES!$C:$C,0)),0)</f>
        <v>0</v>
      </c>
      <c r="I25" s="11" t="n">
        <v>365</v>
      </c>
      <c r="J25" s="10" t="n">
        <f aca="false">(H25*Inputs!$B$9)+(G25-H25)*Inputs!$B$9*I25/365</f>
        <v>0</v>
      </c>
    </row>
    <row r="26" customFormat="false" ht="15" hidden="false" customHeight="false" outlineLevel="0" collapsed="false">
      <c r="A26" s="1" t="str">
        <f aca="false">Inputs!$B$5</f>
        <v>07340050</v>
      </c>
      <c r="B26" s="1" t="n">
        <f aca="false">Inputs!$B$4</f>
        <v>34</v>
      </c>
      <c r="C26" s="3" t="n">
        <f aca="false">DATE(YEAR(C25)+1,MONTH(C25),DAY(C25))</f>
        <v>54944</v>
      </c>
      <c r="D26" s="1" t="n">
        <f aca="false">IF(E26&lt;&gt;"",D25+1)</f>
        <v>24</v>
      </c>
      <c r="E26" s="1" t="n">
        <f aca="false">IF(E25&lt;=100,E25+1,"")</f>
        <v>40</v>
      </c>
      <c r="F26" s="1" t="n">
        <f aca="false">IF(D26&lt;&gt;"",F25+1,"")</f>
        <v>91</v>
      </c>
      <c r="G26" s="10" t="n">
        <f aca="false">IFERROR(INDEX(CV_RATES!$K:$K,MATCH(F26+1,CV_RATES!$C:$C,0)),0)</f>
        <v>0</v>
      </c>
      <c r="H26" s="10" t="n">
        <f aca="false">IFERROR(INDEX(CV_RATES!$K:$K,MATCH(F26,CV_RATES!$C:$C,0)),0)</f>
        <v>0</v>
      </c>
      <c r="I26" s="11" t="n">
        <v>365</v>
      </c>
      <c r="J26" s="10" t="n">
        <f aca="false">(H26*Inputs!$B$9)+(G26-H26)*Inputs!$B$9*I26/365</f>
        <v>0</v>
      </c>
    </row>
    <row r="27" customFormat="false" ht="15" hidden="false" customHeight="false" outlineLevel="0" collapsed="false">
      <c r="A27" s="1" t="str">
        <f aca="false">Inputs!$B$5</f>
        <v>07340050</v>
      </c>
      <c r="B27" s="1" t="n">
        <f aca="false">Inputs!$B$4</f>
        <v>34</v>
      </c>
      <c r="C27" s="3" t="n">
        <f aca="false">DATE(YEAR(C26)+1,MONTH(C26),DAY(C26))</f>
        <v>55309</v>
      </c>
      <c r="D27" s="1" t="n">
        <f aca="false">IF(E27&lt;&gt;"",D26+1)</f>
        <v>25</v>
      </c>
      <c r="E27" s="1" t="n">
        <f aca="false">IF(E26&lt;=100,E26+1,"")</f>
        <v>41</v>
      </c>
      <c r="F27" s="1" t="n">
        <f aca="false">IF(D27&lt;&gt;"",F26+1,"")</f>
        <v>92</v>
      </c>
      <c r="G27" s="10" t="n">
        <f aca="false">IFERROR(INDEX(CV_RATES!$K:$K,MATCH(F27+1,CV_RATES!$C:$C,0)),0)</f>
        <v>0</v>
      </c>
      <c r="H27" s="10" t="n">
        <f aca="false">IFERROR(INDEX(CV_RATES!$K:$K,MATCH(F27,CV_RATES!$C:$C,0)),0)</f>
        <v>0</v>
      </c>
      <c r="I27" s="11" t="n">
        <v>365</v>
      </c>
      <c r="J27" s="10" t="n">
        <f aca="false">(H27*Inputs!$B$9)+(G27-H27)*Inputs!$B$9*I27/365</f>
        <v>0</v>
      </c>
    </row>
    <row r="28" customFormat="false" ht="15" hidden="false" customHeight="false" outlineLevel="0" collapsed="false">
      <c r="A28" s="1" t="str">
        <f aca="false">Inputs!$B$5</f>
        <v>07340050</v>
      </c>
      <c r="B28" s="1" t="n">
        <f aca="false">Inputs!$B$4</f>
        <v>34</v>
      </c>
      <c r="C28" s="3" t="n">
        <f aca="false">DATE(YEAR(C27)+1,MONTH(C27),DAY(C27))</f>
        <v>55675</v>
      </c>
      <c r="D28" s="1" t="n">
        <f aca="false">IF(E28&lt;&gt;"",D27+1)</f>
        <v>26</v>
      </c>
      <c r="E28" s="1" t="n">
        <f aca="false">IF(E27&lt;=100,E27+1,"")</f>
        <v>42</v>
      </c>
      <c r="F28" s="1" t="n">
        <f aca="false">IF(D28&lt;&gt;"",F27+1,"")</f>
        <v>93</v>
      </c>
      <c r="G28" s="10" t="n">
        <f aca="false">IFERROR(INDEX(CV_RATES!$K:$K,MATCH(F28+1,CV_RATES!$C:$C,0)),0)</f>
        <v>0</v>
      </c>
      <c r="H28" s="10" t="n">
        <f aca="false">IFERROR(INDEX(CV_RATES!$K:$K,MATCH(F28,CV_RATES!$C:$C,0)),0)</f>
        <v>0</v>
      </c>
      <c r="I28" s="11" t="n">
        <v>365</v>
      </c>
      <c r="J28" s="10" t="n">
        <f aca="false">(H28*Inputs!$B$9)+(G28-H28)*Inputs!$B$9*I28/365</f>
        <v>0</v>
      </c>
    </row>
    <row r="29" customFormat="false" ht="15" hidden="false" customHeight="false" outlineLevel="0" collapsed="false">
      <c r="A29" s="1" t="str">
        <f aca="false">Inputs!$B$5</f>
        <v>07340050</v>
      </c>
      <c r="B29" s="1" t="n">
        <f aca="false">Inputs!$B$4</f>
        <v>34</v>
      </c>
      <c r="C29" s="3" t="n">
        <f aca="false">DATE(YEAR(C28)+1,MONTH(C28),DAY(C28))</f>
        <v>56040</v>
      </c>
      <c r="D29" s="1" t="n">
        <f aca="false">IF(E29&lt;&gt;"",D28+1)</f>
        <v>27</v>
      </c>
      <c r="E29" s="1" t="n">
        <f aca="false">IF(E28&lt;=100,E28+1,"")</f>
        <v>43</v>
      </c>
      <c r="F29" s="1" t="n">
        <f aca="false">IF(D29&lt;&gt;"",F28+1,"")</f>
        <v>94</v>
      </c>
      <c r="G29" s="10" t="n">
        <f aca="false">IFERROR(INDEX(CV_RATES!$K:$K,MATCH(F29+1,CV_RATES!$C:$C,0)),0)</f>
        <v>0</v>
      </c>
      <c r="H29" s="10" t="n">
        <f aca="false">IFERROR(INDEX(CV_RATES!$K:$K,MATCH(F29,CV_RATES!$C:$C,0)),0)</f>
        <v>0</v>
      </c>
      <c r="I29" s="11" t="n">
        <v>365</v>
      </c>
      <c r="J29" s="10" t="n">
        <f aca="false">(H29*Inputs!$B$9)+(G29-H29)*Inputs!$B$9*I29/365</f>
        <v>0</v>
      </c>
    </row>
    <row r="30" customFormat="false" ht="15" hidden="false" customHeight="false" outlineLevel="0" collapsed="false">
      <c r="A30" s="1" t="str">
        <f aca="false">Inputs!$B$5</f>
        <v>07340050</v>
      </c>
      <c r="B30" s="1" t="n">
        <f aca="false">Inputs!$B$4</f>
        <v>34</v>
      </c>
      <c r="C30" s="3" t="n">
        <f aca="false">DATE(YEAR(C29)+1,MONTH(C29),DAY(C29))</f>
        <v>56405</v>
      </c>
      <c r="D30" s="1" t="n">
        <f aca="false">IF(E30&lt;&gt;"",D29+1)</f>
        <v>28</v>
      </c>
      <c r="E30" s="1" t="n">
        <f aca="false">IF(E29&lt;=100,E29+1,"")</f>
        <v>44</v>
      </c>
      <c r="F30" s="1" t="n">
        <f aca="false">IF(D30&lt;&gt;"",F29+1,"")</f>
        <v>95</v>
      </c>
      <c r="G30" s="10" t="n">
        <f aca="false">IFERROR(INDEX(CV_RATES!$K:$K,MATCH(F30+1,CV_RATES!$C:$C,0)),0)</f>
        <v>0</v>
      </c>
      <c r="H30" s="10" t="n">
        <f aca="false">IFERROR(INDEX(CV_RATES!$K:$K,MATCH(F30,CV_RATES!$C:$C,0)),0)</f>
        <v>0</v>
      </c>
      <c r="I30" s="11" t="n">
        <v>365</v>
      </c>
      <c r="J30" s="10" t="n">
        <f aca="false">(H30*Inputs!$B$9)+(G30-H30)*Inputs!$B$9*I30/365</f>
        <v>0</v>
      </c>
    </row>
    <row r="31" customFormat="false" ht="15" hidden="false" customHeight="false" outlineLevel="0" collapsed="false">
      <c r="A31" s="1" t="str">
        <f aca="false">Inputs!$B$5</f>
        <v>07340050</v>
      </c>
      <c r="B31" s="1" t="n">
        <f aca="false">Inputs!$B$4</f>
        <v>34</v>
      </c>
      <c r="C31" s="3" t="n">
        <f aca="false">DATE(YEAR(C30)+1,MONTH(C30),DAY(C30))</f>
        <v>56770</v>
      </c>
      <c r="D31" s="1" t="n">
        <f aca="false">IF(E31&lt;&gt;"",D30+1)</f>
        <v>29</v>
      </c>
      <c r="E31" s="1" t="n">
        <f aca="false">IF(E30&lt;=100,E30+1,"")</f>
        <v>45</v>
      </c>
      <c r="F31" s="1" t="n">
        <f aca="false">IF(D31&lt;&gt;"",F30+1,"")</f>
        <v>96</v>
      </c>
      <c r="G31" s="10" t="n">
        <f aca="false">IFERROR(INDEX(CV_RATES!$K:$K,MATCH(F31+1,CV_RATES!$C:$C,0)),0)</f>
        <v>0</v>
      </c>
      <c r="H31" s="10" t="n">
        <f aca="false">IFERROR(INDEX(CV_RATES!$K:$K,MATCH(F31,CV_RATES!$C:$C,0)),0)</f>
        <v>0</v>
      </c>
      <c r="I31" s="11" t="n">
        <v>365</v>
      </c>
      <c r="J31" s="10" t="n">
        <f aca="false">(H31*Inputs!$B$9)+(G31-H31)*Inputs!$B$9*I31/365</f>
        <v>0</v>
      </c>
    </row>
    <row r="32" customFormat="false" ht="15" hidden="false" customHeight="false" outlineLevel="0" collapsed="false">
      <c r="A32" s="1" t="str">
        <f aca="false">Inputs!$B$5</f>
        <v>07340050</v>
      </c>
      <c r="B32" s="1" t="n">
        <f aca="false">Inputs!$B$4</f>
        <v>34</v>
      </c>
      <c r="C32" s="3" t="n">
        <f aca="false">DATE(YEAR(C31)+1,MONTH(C31),DAY(C31))</f>
        <v>57136</v>
      </c>
      <c r="D32" s="1" t="n">
        <f aca="false">IF(E32&lt;&gt;"",D31+1)</f>
        <v>30</v>
      </c>
      <c r="E32" s="1" t="n">
        <f aca="false">IF(E31&lt;=100,E31+1,"")</f>
        <v>46</v>
      </c>
      <c r="F32" s="1" t="n">
        <f aca="false">IF(D32&lt;&gt;"",F31+1,"")</f>
        <v>97</v>
      </c>
      <c r="G32" s="10" t="n">
        <f aca="false">IFERROR(INDEX(CV_RATES!$K:$K,MATCH(F32+1,CV_RATES!$C:$C,0)),0)</f>
        <v>0</v>
      </c>
      <c r="H32" s="10" t="n">
        <f aca="false">IFERROR(INDEX(CV_RATES!$K:$K,MATCH(F32,CV_RATES!$C:$C,0)),0)</f>
        <v>0</v>
      </c>
      <c r="I32" s="11" t="n">
        <v>365</v>
      </c>
      <c r="J32" s="10" t="n">
        <f aca="false">(H32*Inputs!$B$9)+(G32-H32)*Inputs!$B$9*I32/365</f>
        <v>0</v>
      </c>
    </row>
    <row r="33" customFormat="false" ht="15" hidden="false" customHeight="false" outlineLevel="0" collapsed="false">
      <c r="A33" s="1" t="str">
        <f aca="false">Inputs!$B$5</f>
        <v>07340050</v>
      </c>
      <c r="B33" s="1" t="n">
        <f aca="false">Inputs!$B$4</f>
        <v>34</v>
      </c>
      <c r="C33" s="3" t="n">
        <f aca="false">DATE(YEAR(C32)+1,MONTH(C32),DAY(C32))</f>
        <v>57501</v>
      </c>
      <c r="D33" s="1" t="n">
        <f aca="false">IF(E33&lt;&gt;"",D32+1)</f>
        <v>31</v>
      </c>
      <c r="E33" s="1" t="n">
        <f aca="false">IF(E32&lt;=100,E32+1,"")</f>
        <v>47</v>
      </c>
      <c r="F33" s="1" t="n">
        <f aca="false">IF(D33&lt;&gt;"",F32+1,"")</f>
        <v>98</v>
      </c>
      <c r="G33" s="10" t="n">
        <f aca="false">IFERROR(INDEX(CV_RATES!$K:$K,MATCH(F33+1,CV_RATES!$C:$C,0)),0)</f>
        <v>0</v>
      </c>
      <c r="H33" s="10" t="n">
        <f aca="false">IFERROR(INDEX(CV_RATES!$K:$K,MATCH(F33,CV_RATES!$C:$C,0)),0)</f>
        <v>0</v>
      </c>
      <c r="I33" s="11" t="n">
        <v>365</v>
      </c>
      <c r="J33" s="10" t="n">
        <f aca="false">(H33*Inputs!$B$9)+(G33-H33)*Inputs!$B$9*I33/365</f>
        <v>0</v>
      </c>
    </row>
    <row r="34" customFormat="false" ht="15" hidden="false" customHeight="false" outlineLevel="0" collapsed="false">
      <c r="A34" s="1" t="str">
        <f aca="false">Inputs!$B$5</f>
        <v>07340050</v>
      </c>
      <c r="B34" s="1" t="n">
        <f aca="false">Inputs!$B$4</f>
        <v>34</v>
      </c>
      <c r="C34" s="3" t="n">
        <f aca="false">DATE(YEAR(C33)+1,MONTH(C33),DAY(C33))</f>
        <v>57866</v>
      </c>
      <c r="D34" s="1" t="n">
        <f aca="false">IF(E34&lt;&gt;"",D33+1)</f>
        <v>32</v>
      </c>
      <c r="E34" s="1" t="n">
        <f aca="false">IF(E33&lt;=100,E33+1,"")</f>
        <v>48</v>
      </c>
      <c r="F34" s="1" t="n">
        <f aca="false">IF(D34&lt;&gt;"",F33+1,"")</f>
        <v>99</v>
      </c>
      <c r="G34" s="10" t="n">
        <f aca="false">IFERROR(INDEX(CV_RATES!$K:$K,MATCH(F34+1,CV_RATES!$C:$C,0)),0)</f>
        <v>0</v>
      </c>
      <c r="H34" s="10" t="n">
        <f aca="false">IFERROR(INDEX(CV_RATES!$K:$K,MATCH(F34,CV_RATES!$C:$C,0)),0)</f>
        <v>0</v>
      </c>
      <c r="I34" s="11" t="n">
        <v>365</v>
      </c>
      <c r="J34" s="10" t="n">
        <f aca="false">(H34*Inputs!$B$9)+(G34-H34)*Inputs!$B$9*I34/365</f>
        <v>0</v>
      </c>
    </row>
    <row r="35" customFormat="false" ht="15" hidden="false" customHeight="false" outlineLevel="0" collapsed="false">
      <c r="A35" s="1" t="str">
        <f aca="false">Inputs!$B$5</f>
        <v>07340050</v>
      </c>
      <c r="B35" s="1" t="n">
        <f aca="false">Inputs!$B$4</f>
        <v>34</v>
      </c>
      <c r="C35" s="3" t="n">
        <f aca="false">DATE(YEAR(C34)+1,MONTH(C34),DAY(C34))</f>
        <v>58231</v>
      </c>
      <c r="D35" s="1" t="n">
        <f aca="false">IF(E35&lt;&gt;"",D34+1)</f>
        <v>33</v>
      </c>
      <c r="E35" s="1" t="n">
        <f aca="false">IF(E34&lt;=100,E34+1,"")</f>
        <v>49</v>
      </c>
      <c r="F35" s="1" t="n">
        <f aca="false">IF(D35&lt;&gt;"",F34+1,"")</f>
        <v>100</v>
      </c>
      <c r="G35" s="10" t="n">
        <f aca="false">IFERROR(INDEX(CV_RATES!$K:$K,MATCH(F35+1,CV_RATES!$C:$C,0)),0)</f>
        <v>0</v>
      </c>
      <c r="H35" s="10" t="n">
        <f aca="false">IFERROR(INDEX(CV_RATES!$K:$K,MATCH(F35,CV_RATES!$C:$C,0)),0)</f>
        <v>0</v>
      </c>
      <c r="I35" s="11" t="n">
        <v>365</v>
      </c>
      <c r="J35" s="10" t="n">
        <f aca="false">(H35*Inputs!$B$9)+(G35-H35)*Inputs!$B$9*I35/365</f>
        <v>0</v>
      </c>
    </row>
    <row r="36" customFormat="false" ht="15" hidden="false" customHeight="false" outlineLevel="0" collapsed="false">
      <c r="A36" s="1" t="str">
        <f aca="false">Inputs!$B$5</f>
        <v>07340050</v>
      </c>
      <c r="B36" s="1" t="n">
        <f aca="false">Inputs!$B$4</f>
        <v>34</v>
      </c>
      <c r="C36" s="3" t="n">
        <f aca="false">DATE(YEAR(C35)+1,MONTH(C35),DAY(C35))</f>
        <v>58597</v>
      </c>
      <c r="D36" s="1" t="n">
        <f aca="false">IF(E36&lt;&gt;"",D35+1)</f>
        <v>34</v>
      </c>
      <c r="E36" s="1" t="n">
        <f aca="false">IF(E35&lt;=100,E35+1,"")</f>
        <v>50</v>
      </c>
      <c r="F36" s="1" t="n">
        <f aca="false">IF(D36&lt;&gt;"",F35+1,"")</f>
        <v>101</v>
      </c>
      <c r="G36" s="10" t="n">
        <f aca="false">IFERROR(INDEX(CV_RATES!$K:$K,MATCH(F36+1,CV_RATES!$C:$C,0)),0)</f>
        <v>0</v>
      </c>
      <c r="H36" s="10" t="n">
        <f aca="false">IFERROR(INDEX(CV_RATES!$K:$K,MATCH(F36,CV_RATES!$C:$C,0)),0)</f>
        <v>0</v>
      </c>
      <c r="I36" s="11" t="n">
        <v>365</v>
      </c>
      <c r="J36" s="10" t="n">
        <f aca="false">(H36*Inputs!$B$9)+(G36-H36)*Inputs!$B$9*I36/365</f>
        <v>0</v>
      </c>
    </row>
    <row r="37" customFormat="false" ht="15" hidden="false" customHeight="false" outlineLevel="0" collapsed="false">
      <c r="A37" s="1" t="str">
        <f aca="false">Inputs!$B$5</f>
        <v>07340050</v>
      </c>
      <c r="B37" s="1" t="n">
        <f aca="false">Inputs!$B$4</f>
        <v>34</v>
      </c>
      <c r="C37" s="3" t="n">
        <f aca="false">DATE(YEAR(C36)+1,MONTH(C36),DAY(C36))</f>
        <v>58962</v>
      </c>
      <c r="D37" s="1" t="n">
        <f aca="false">IF(E37&lt;&gt;"",D36+1)</f>
        <v>35</v>
      </c>
      <c r="E37" s="1" t="n">
        <f aca="false">IF(E36&lt;=100,E36+1,"")</f>
        <v>51</v>
      </c>
      <c r="F37" s="1" t="n">
        <f aca="false">IF(D37&lt;&gt;"",F36+1,"")</f>
        <v>102</v>
      </c>
      <c r="G37" s="10" t="n">
        <f aca="false">IFERROR(INDEX(CV_RATES!$K:$K,MATCH(F37+1,CV_RATES!$C:$C,0)),0)</f>
        <v>0</v>
      </c>
      <c r="H37" s="10" t="n">
        <f aca="false">IFERROR(INDEX(CV_RATES!$K:$K,MATCH(F37,CV_RATES!$C:$C,0)),0)</f>
        <v>0</v>
      </c>
      <c r="I37" s="11" t="n">
        <v>365</v>
      </c>
      <c r="J37" s="10" t="n">
        <f aca="false">(H37*Inputs!$B$9)+(G37-H37)*Inputs!$B$9*I37/365</f>
        <v>0</v>
      </c>
    </row>
    <row r="38" customFormat="false" ht="15" hidden="false" customHeight="false" outlineLevel="0" collapsed="false">
      <c r="A38" s="1" t="str">
        <f aca="false">Inputs!$B$5</f>
        <v>07340050</v>
      </c>
      <c r="B38" s="1" t="n">
        <f aca="false">Inputs!$B$4</f>
        <v>34</v>
      </c>
      <c r="C38" s="3" t="n">
        <f aca="false">DATE(YEAR(C37)+1,MONTH(C37),DAY(C37))</f>
        <v>59327</v>
      </c>
      <c r="D38" s="1" t="n">
        <f aca="false">IF(E38&lt;&gt;"",D37+1)</f>
        <v>36</v>
      </c>
      <c r="E38" s="1" t="n">
        <f aca="false">IF(E37&lt;=100,E37+1,"")</f>
        <v>52</v>
      </c>
      <c r="F38" s="1" t="n">
        <f aca="false">IF(D38&lt;&gt;"",F37+1,"")</f>
        <v>103</v>
      </c>
      <c r="G38" s="10" t="n">
        <f aca="false">IFERROR(INDEX(CV_RATES!$K:$K,MATCH(F38+1,CV_RATES!$C:$C,0)),0)</f>
        <v>0</v>
      </c>
      <c r="H38" s="10" t="n">
        <f aca="false">IFERROR(INDEX(CV_RATES!$K:$K,MATCH(F38,CV_RATES!$C:$C,0)),0)</f>
        <v>0</v>
      </c>
      <c r="I38" s="11" t="n">
        <v>365</v>
      </c>
      <c r="J38" s="10" t="n">
        <f aca="false">(H38*Inputs!$B$9)+(G38-H38)*Inputs!$B$9*I38/365</f>
        <v>0</v>
      </c>
    </row>
    <row r="39" customFormat="false" ht="15" hidden="false" customHeight="false" outlineLevel="0" collapsed="false">
      <c r="A39" s="1" t="str">
        <f aca="false">Inputs!$B$5</f>
        <v>07340050</v>
      </c>
      <c r="B39" s="1" t="n">
        <f aca="false">Inputs!$B$4</f>
        <v>34</v>
      </c>
      <c r="C39" s="3" t="n">
        <f aca="false">DATE(YEAR(C38)+1,MONTH(C38),DAY(C38))</f>
        <v>59692</v>
      </c>
      <c r="D39" s="1" t="n">
        <f aca="false">IF(E39&lt;&gt;"",D38+1)</f>
        <v>37</v>
      </c>
      <c r="E39" s="1" t="n">
        <f aca="false">IF(E38&lt;=100,E38+1,"")</f>
        <v>53</v>
      </c>
      <c r="F39" s="1" t="n">
        <f aca="false">IF(D39&lt;&gt;"",F38+1,"")</f>
        <v>104</v>
      </c>
      <c r="G39" s="10" t="n">
        <f aca="false">IFERROR(INDEX(CV_RATES!$K:$K,MATCH(F39+1,CV_RATES!$C:$C,0)),0)</f>
        <v>0</v>
      </c>
      <c r="H39" s="10" t="n">
        <f aca="false">IFERROR(INDEX(CV_RATES!$K:$K,MATCH(F39,CV_RATES!$C:$C,0)),0)</f>
        <v>0</v>
      </c>
      <c r="I39" s="11" t="n">
        <v>365</v>
      </c>
      <c r="J39" s="10" t="n">
        <f aca="false">(H39*Inputs!$B$9)+(G39-H39)*Inputs!$B$9*I39/365</f>
        <v>0</v>
      </c>
    </row>
    <row r="40" customFormat="false" ht="15" hidden="false" customHeight="false" outlineLevel="0" collapsed="false">
      <c r="A40" s="1" t="str">
        <f aca="false">Inputs!$B$5</f>
        <v>07340050</v>
      </c>
      <c r="B40" s="1" t="n">
        <f aca="false">Inputs!$B$4</f>
        <v>34</v>
      </c>
      <c r="C40" s="3" t="n">
        <f aca="false">DATE(YEAR(C39)+1,MONTH(C39),DAY(C39))</f>
        <v>60058</v>
      </c>
      <c r="D40" s="1" t="n">
        <f aca="false">IF(E40&lt;&gt;"",D39+1)</f>
        <v>38</v>
      </c>
      <c r="E40" s="1" t="n">
        <f aca="false">IF(E39&lt;=100,E39+1,"")</f>
        <v>54</v>
      </c>
      <c r="F40" s="1" t="n">
        <f aca="false">IF(D40&lt;&gt;"",F39+1,"")</f>
        <v>105</v>
      </c>
      <c r="G40" s="10" t="n">
        <f aca="false">IFERROR(INDEX(CV_RATES!$K:$K,MATCH(F40+1,CV_RATES!$C:$C,0)),0)</f>
        <v>0</v>
      </c>
      <c r="H40" s="10" t="n">
        <f aca="false">IFERROR(INDEX(CV_RATES!$K:$K,MATCH(F40,CV_RATES!$C:$C,0)),0)</f>
        <v>0</v>
      </c>
      <c r="I40" s="11" t="n">
        <v>365</v>
      </c>
      <c r="J40" s="10" t="n">
        <f aca="false">(H40*Inputs!$B$9)+(G40-H40)*Inputs!$B$9*I40/365</f>
        <v>0</v>
      </c>
    </row>
    <row r="41" customFormat="false" ht="15" hidden="false" customHeight="false" outlineLevel="0" collapsed="false">
      <c r="A41" s="1" t="str">
        <f aca="false">Inputs!$B$5</f>
        <v>07340050</v>
      </c>
      <c r="B41" s="1" t="n">
        <f aca="false">Inputs!$B$4</f>
        <v>34</v>
      </c>
      <c r="C41" s="3" t="n">
        <f aca="false">DATE(YEAR(C40)+1,MONTH(C40),DAY(C40))</f>
        <v>60423</v>
      </c>
      <c r="D41" s="1" t="n">
        <f aca="false">IF(E41&lt;&gt;"",D40+1)</f>
        <v>39</v>
      </c>
      <c r="E41" s="1" t="n">
        <f aca="false">IF(E40&lt;=100,E40+1,"")</f>
        <v>55</v>
      </c>
      <c r="F41" s="1" t="n">
        <f aca="false">IF(D41&lt;&gt;"",F40+1,"")</f>
        <v>106</v>
      </c>
      <c r="G41" s="10" t="n">
        <f aca="false">IFERROR(INDEX(CV_RATES!$K:$K,MATCH(F41+1,CV_RATES!$C:$C,0)),0)</f>
        <v>0</v>
      </c>
      <c r="H41" s="10" t="n">
        <f aca="false">IFERROR(INDEX(CV_RATES!$K:$K,MATCH(F41,CV_RATES!$C:$C,0)),0)</f>
        <v>0</v>
      </c>
      <c r="I41" s="11" t="n">
        <v>365</v>
      </c>
      <c r="J41" s="10" t="n">
        <f aca="false">(H41*Inputs!$B$9)+(G41-H41)*Inputs!$B$9*I41/365</f>
        <v>0</v>
      </c>
    </row>
    <row r="42" customFormat="false" ht="15" hidden="false" customHeight="false" outlineLevel="0" collapsed="false">
      <c r="A42" s="1" t="str">
        <f aca="false">Inputs!$B$5</f>
        <v>07340050</v>
      </c>
      <c r="B42" s="1" t="n">
        <f aca="false">Inputs!$B$4</f>
        <v>34</v>
      </c>
      <c r="C42" s="3" t="n">
        <f aca="false">DATE(YEAR(C41)+1,MONTH(C41),DAY(C41))</f>
        <v>60788</v>
      </c>
      <c r="D42" s="1" t="n">
        <f aca="false">IF(E42&lt;&gt;"",D41+1)</f>
        <v>40</v>
      </c>
      <c r="E42" s="1" t="n">
        <f aca="false">IF(E41&lt;=100,E41+1,"")</f>
        <v>56</v>
      </c>
      <c r="F42" s="1" t="n">
        <f aca="false">IF(D42&lt;&gt;"",F41+1,"")</f>
        <v>107</v>
      </c>
      <c r="G42" s="10" t="n">
        <f aca="false">IFERROR(INDEX(CV_RATES!$K:$K,MATCH(F42+1,CV_RATES!$C:$C,0)),0)</f>
        <v>0</v>
      </c>
      <c r="H42" s="10" t="n">
        <f aca="false">IFERROR(INDEX(CV_RATES!$K:$K,MATCH(F42,CV_RATES!$C:$C,0)),0)</f>
        <v>0</v>
      </c>
      <c r="I42" s="11" t="n">
        <v>365</v>
      </c>
      <c r="J42" s="10" t="n">
        <f aca="false">(H42*Inputs!$B$9)+(G42-H42)*Inputs!$B$9*I42/365</f>
        <v>0</v>
      </c>
    </row>
    <row r="43" customFormat="false" ht="15" hidden="false" customHeight="false" outlineLevel="0" collapsed="false">
      <c r="A43" s="1" t="str">
        <f aca="false">Inputs!$B$5</f>
        <v>07340050</v>
      </c>
      <c r="B43" s="1" t="n">
        <f aca="false">Inputs!$B$4</f>
        <v>34</v>
      </c>
      <c r="C43" s="3" t="n">
        <f aca="false">DATE(YEAR(C42)+1,MONTH(C42),DAY(C42))</f>
        <v>61153</v>
      </c>
      <c r="D43" s="1" t="n">
        <f aca="false">IF(E43&lt;&gt;"",D42+1)</f>
        <v>41</v>
      </c>
      <c r="E43" s="1" t="n">
        <f aca="false">IF(E42&lt;=100,E42+1,"")</f>
        <v>57</v>
      </c>
      <c r="F43" s="1" t="n">
        <f aca="false">IF(D43&lt;&gt;"",F42+1,"")</f>
        <v>108</v>
      </c>
      <c r="G43" s="10" t="n">
        <f aca="false">IFERROR(INDEX(CV_RATES!$K:$K,MATCH(F43+1,CV_RATES!$C:$C,0)),0)</f>
        <v>0</v>
      </c>
      <c r="H43" s="10" t="n">
        <f aca="false">IFERROR(INDEX(CV_RATES!$K:$K,MATCH(F43,CV_RATES!$C:$C,0)),0)</f>
        <v>0</v>
      </c>
      <c r="I43" s="11" t="n">
        <v>365</v>
      </c>
      <c r="J43" s="10" t="n">
        <f aca="false">(H43*Inputs!$B$9)+(G43-H43)*Inputs!$B$9*I43/365</f>
        <v>0</v>
      </c>
    </row>
    <row r="44" customFormat="false" ht="15" hidden="false" customHeight="false" outlineLevel="0" collapsed="false">
      <c r="A44" s="1" t="str">
        <f aca="false">Inputs!$B$5</f>
        <v>07340050</v>
      </c>
      <c r="B44" s="1" t="n">
        <f aca="false">Inputs!$B$4</f>
        <v>34</v>
      </c>
      <c r="C44" s="3" t="n">
        <f aca="false">DATE(YEAR(C43)+1,MONTH(C43),DAY(C43))</f>
        <v>61519</v>
      </c>
      <c r="D44" s="1" t="n">
        <f aca="false">IF(E44&lt;&gt;"",D43+1)</f>
        <v>42</v>
      </c>
      <c r="E44" s="1" t="n">
        <f aca="false">IF(E43&lt;=100,E43+1,"")</f>
        <v>58</v>
      </c>
      <c r="F44" s="1" t="n">
        <f aca="false">IF(D44&lt;&gt;"",F43+1,"")</f>
        <v>109</v>
      </c>
      <c r="G44" s="10" t="n">
        <f aca="false">IFERROR(INDEX(CV_RATES!$K:$K,MATCH(F44+1,CV_RATES!$C:$C,0)),0)</f>
        <v>0</v>
      </c>
      <c r="H44" s="10" t="n">
        <f aca="false">IFERROR(INDEX(CV_RATES!$K:$K,MATCH(F44,CV_RATES!$C:$C,0)),0)</f>
        <v>0</v>
      </c>
      <c r="I44" s="11" t="n">
        <v>365</v>
      </c>
      <c r="J44" s="10" t="n">
        <f aca="false">(H44*Inputs!$B$9)+(G44-H44)*Inputs!$B$9*I44/365</f>
        <v>0</v>
      </c>
    </row>
    <row r="45" customFormat="false" ht="15" hidden="false" customHeight="false" outlineLevel="0" collapsed="false">
      <c r="A45" s="1" t="str">
        <f aca="false">Inputs!$B$5</f>
        <v>07340050</v>
      </c>
      <c r="B45" s="1" t="n">
        <f aca="false">Inputs!$B$4</f>
        <v>34</v>
      </c>
      <c r="C45" s="3" t="n">
        <f aca="false">DATE(YEAR(C44)+1,MONTH(C44),DAY(C44))</f>
        <v>61884</v>
      </c>
      <c r="D45" s="1" t="n">
        <f aca="false">IF(E45&lt;&gt;"",D44+1)</f>
        <v>43</v>
      </c>
      <c r="E45" s="1" t="n">
        <f aca="false">IF(E44&lt;=100,E44+1,"")</f>
        <v>59</v>
      </c>
      <c r="F45" s="1" t="n">
        <f aca="false">IF(D45&lt;&gt;"",F44+1,"")</f>
        <v>110</v>
      </c>
      <c r="G45" s="1" t="n">
        <f aca="false">IFERROR(INDEX(CV_RATES!$K:$K,MATCH(F45+1,CV_RATES!$C:$C,0)),0)</f>
        <v>0</v>
      </c>
      <c r="H45" s="10" t="n">
        <f aca="false">IFERROR(INDEX(CV_RATES!$K:$K,MATCH(F45,CV_RATES!$C:$C,0)),0)</f>
        <v>0</v>
      </c>
      <c r="I45" s="11" t="n">
        <v>365</v>
      </c>
    </row>
    <row r="46" customFormat="false" ht="15" hidden="false" customHeight="false" outlineLevel="0" collapsed="false">
      <c r="A46" s="1" t="str">
        <f aca="false">Inputs!$B$5</f>
        <v>07340050</v>
      </c>
      <c r="B46" s="1" t="n">
        <f aca="false">Inputs!$B$4</f>
        <v>34</v>
      </c>
      <c r="C46" s="3" t="n">
        <f aca="false">DATE(YEAR(C45)+1,MONTH(C45),DAY(C45))</f>
        <v>62249</v>
      </c>
      <c r="D46" s="1" t="n">
        <f aca="false">IF(E46&lt;&gt;"",D45+1)</f>
        <v>44</v>
      </c>
      <c r="E46" s="1" t="n">
        <f aca="false">IF(E45&lt;=100,E45+1,"")</f>
        <v>60</v>
      </c>
      <c r="F46" s="1" t="n">
        <f aca="false">IF(D46&lt;&gt;"",F45+1,"")</f>
        <v>111</v>
      </c>
      <c r="G46" s="1" t="n">
        <f aca="false">IFERROR(INDEX(CV_RATES!$K:$K,MATCH(F46+1,CV_RATES!$C:$C,0)),0)</f>
        <v>0</v>
      </c>
      <c r="H46" s="1" t="n">
        <f aca="false">IFERROR(INDEX(CV_RATES!$K:$K,MATCH(F46,CV_RATES!$C:$C,0)),0)</f>
        <v>0</v>
      </c>
      <c r="I46" s="11" t="n">
        <v>365</v>
      </c>
    </row>
    <row r="47" customFormat="false" ht="15" hidden="false" customHeight="false" outlineLevel="0" collapsed="false">
      <c r="A47" s="1" t="str">
        <f aca="false">Inputs!$B$5</f>
        <v>07340050</v>
      </c>
      <c r="B47" s="1" t="n">
        <f aca="false">Inputs!$B$4</f>
        <v>34</v>
      </c>
      <c r="C47" s="3" t="n">
        <f aca="false">DATE(YEAR(C46)+1,MONTH(C46),DAY(C46))</f>
        <v>62614</v>
      </c>
      <c r="D47" s="1" t="n">
        <f aca="false">IF(E47&lt;&gt;"",D46+1)</f>
        <v>45</v>
      </c>
      <c r="E47" s="1" t="n">
        <f aca="false">IF(E46&lt;=100,E46+1,"")</f>
        <v>61</v>
      </c>
      <c r="F47" s="1" t="n">
        <f aca="false">IF(D47&lt;&gt;"",F46+1,"")</f>
        <v>112</v>
      </c>
      <c r="G47" s="1" t="n">
        <f aca="false">IFERROR(INDEX(CV_RATES!$K:$K,MATCH(F47+1,CV_RATES!$C:$C,0)),0)</f>
        <v>0</v>
      </c>
      <c r="H47" s="1" t="n">
        <f aca="false">IFERROR(INDEX(CV_RATES!$K:$K,MATCH(F47,CV_RATES!$C:$C,0)),0)</f>
        <v>0</v>
      </c>
      <c r="I47" s="11" t="n">
        <v>365</v>
      </c>
    </row>
    <row r="48" customFormat="false" ht="15" hidden="false" customHeight="false" outlineLevel="0" collapsed="false">
      <c r="A48" s="1" t="str">
        <f aca="false">Inputs!$B$5</f>
        <v>07340050</v>
      </c>
      <c r="B48" s="1" t="n">
        <f aca="false">Inputs!$B$4</f>
        <v>34</v>
      </c>
      <c r="C48" s="3" t="n">
        <f aca="false">DATE(YEAR(C47)+1,MONTH(C47),DAY(C47))</f>
        <v>62980</v>
      </c>
      <c r="D48" s="1" t="n">
        <f aca="false">IF(E48&lt;&gt;"",D47+1)</f>
        <v>46</v>
      </c>
      <c r="E48" s="1" t="n">
        <f aca="false">IF(E47&lt;=100,E47+1,"")</f>
        <v>62</v>
      </c>
      <c r="F48" s="1" t="n">
        <f aca="false">IF(D48&lt;&gt;"",F47+1,"")</f>
        <v>113</v>
      </c>
      <c r="G48" s="1" t="n">
        <f aca="false">IFERROR(INDEX(CV_RATES!$K:$K,MATCH(F48+1,CV_RATES!$C:$C,0)),0)</f>
        <v>0</v>
      </c>
      <c r="H48" s="1" t="n">
        <f aca="false">IFERROR(INDEX(CV_RATES!$K:$K,MATCH(F48,CV_RATES!$C:$C,0)),0)</f>
        <v>0</v>
      </c>
      <c r="I48" s="11" t="n">
        <v>365</v>
      </c>
    </row>
    <row r="49" customFormat="false" ht="15" hidden="false" customHeight="false" outlineLevel="0" collapsed="false">
      <c r="A49" s="1" t="str">
        <f aca="false">Inputs!$B$5</f>
        <v>07340050</v>
      </c>
      <c r="B49" s="1" t="n">
        <f aca="false">Inputs!$B$4</f>
        <v>34</v>
      </c>
      <c r="C49" s="3" t="n">
        <f aca="false">DATE(YEAR(C48)+1,MONTH(C48),DAY(C48))</f>
        <v>63345</v>
      </c>
      <c r="D49" s="1" t="n">
        <f aca="false">IF(E49&lt;&gt;"",D48+1)</f>
        <v>47</v>
      </c>
      <c r="E49" s="1" t="n">
        <f aca="false">IF(E48&lt;=100,E48+1,"")</f>
        <v>63</v>
      </c>
      <c r="F49" s="1" t="n">
        <f aca="false">IF(D49&lt;&gt;"",F48+1,"")</f>
        <v>114</v>
      </c>
      <c r="G49" s="1" t="n">
        <f aca="false">IFERROR(INDEX(CV_RATES!$K:$K,MATCH(F49+1,CV_RATES!$C:$C,0)),0)</f>
        <v>0</v>
      </c>
      <c r="H49" s="1" t="n">
        <f aca="false">IFERROR(INDEX(CV_RATES!$K:$K,MATCH(F49,CV_RATES!$C:$C,0)),0)</f>
        <v>0</v>
      </c>
      <c r="I49" s="11" t="n">
        <v>365</v>
      </c>
    </row>
    <row r="50" customFormat="false" ht="15" hidden="false" customHeight="false" outlineLevel="0" collapsed="false">
      <c r="A50" s="1" t="str">
        <f aca="false">Inputs!$B$5</f>
        <v>07340050</v>
      </c>
      <c r="B50" s="1" t="n">
        <f aca="false">Inputs!$B$4</f>
        <v>34</v>
      </c>
      <c r="C50" s="3" t="n">
        <f aca="false">DATE(YEAR(C49)+1,MONTH(C49),DAY(C49))</f>
        <v>63710</v>
      </c>
      <c r="D50" s="1" t="n">
        <f aca="false">IF(E50&lt;&gt;"",D49+1)</f>
        <v>48</v>
      </c>
      <c r="E50" s="1" t="n">
        <f aca="false">IF(E49&lt;=100,E49+1,"")</f>
        <v>64</v>
      </c>
      <c r="F50" s="1" t="n">
        <f aca="false">IF(D50&lt;&gt;"",F49+1,"")</f>
        <v>115</v>
      </c>
      <c r="G50" s="1" t="n">
        <f aca="false">IFERROR(INDEX(CV_RATES!$K:$K,MATCH(F50+1,CV_RATES!$C:$C,0)),0)</f>
        <v>0</v>
      </c>
      <c r="H50" s="1" t="n">
        <f aca="false">IFERROR(INDEX(CV_RATES!$K:$K,MATCH(F50,CV_RATES!$C:$C,0)),0)</f>
        <v>0</v>
      </c>
      <c r="I50" s="11" t="n">
        <v>365</v>
      </c>
    </row>
    <row r="51" customFormat="false" ht="15" hidden="false" customHeight="false" outlineLevel="0" collapsed="false">
      <c r="A51" s="1" t="str">
        <f aca="false">Inputs!$B$5</f>
        <v>07340050</v>
      </c>
      <c r="B51" s="1" t="n">
        <f aca="false">Inputs!$B$4</f>
        <v>34</v>
      </c>
      <c r="C51" s="3" t="n">
        <f aca="false">DATE(YEAR(C50)+1,MONTH(C50),DAY(C50))</f>
        <v>64075</v>
      </c>
      <c r="D51" s="1" t="n">
        <f aca="false">IF(E51&lt;&gt;"",D50+1)</f>
        <v>49</v>
      </c>
      <c r="E51" s="1" t="n">
        <f aca="false">IF(E50&lt;=100,E50+1,"")</f>
        <v>65</v>
      </c>
      <c r="F51" s="1" t="n">
        <f aca="false">IF(D51&lt;&gt;"",F50+1,"")</f>
        <v>116</v>
      </c>
      <c r="G51" s="1" t="n">
        <f aca="false">IFERROR(INDEX(CV_RATES!$K:$K,MATCH(F51+1,CV_RATES!$C:$C,0)),0)</f>
        <v>0</v>
      </c>
      <c r="H51" s="1" t="n">
        <f aca="false">IFERROR(INDEX(CV_RATES!$K:$K,MATCH(F51,CV_RATES!$C:$C,0)),0)</f>
        <v>0</v>
      </c>
      <c r="I51" s="11" t="n">
        <v>365</v>
      </c>
    </row>
    <row r="52" customFormat="false" ht="15" hidden="false" customHeight="false" outlineLevel="0" collapsed="false">
      <c r="A52" s="1" t="str">
        <f aca="false">Inputs!$B$5</f>
        <v>07340050</v>
      </c>
      <c r="B52" s="1" t="n">
        <f aca="false">Inputs!$B$4</f>
        <v>34</v>
      </c>
      <c r="C52" s="3" t="n">
        <f aca="false">DATE(YEAR(C51)+1,MONTH(C51),DAY(C51))</f>
        <v>64441</v>
      </c>
      <c r="D52" s="1" t="n">
        <f aca="false">IF(E52&lt;&gt;"",D51+1)</f>
        <v>50</v>
      </c>
      <c r="E52" s="1" t="n">
        <f aca="false">IF(E51&lt;=100,E51+1,"")</f>
        <v>66</v>
      </c>
      <c r="F52" s="1" t="n">
        <f aca="false">IF(D52&lt;&gt;"",F51+1,"")</f>
        <v>117</v>
      </c>
      <c r="G52" s="1" t="n">
        <f aca="false">IFERROR(INDEX(CV_RATES!$K:$K,MATCH(F52+1,CV_RATES!$C:$C,0)),0)</f>
        <v>0</v>
      </c>
      <c r="H52" s="1" t="n">
        <f aca="false">IFERROR(INDEX(CV_RATES!$K:$K,MATCH(F52,CV_RATES!$C:$C,0)),0)</f>
        <v>0</v>
      </c>
      <c r="I52" s="11" t="n">
        <v>365</v>
      </c>
    </row>
    <row r="53" customFormat="false" ht="15" hidden="false" customHeight="false" outlineLevel="0" collapsed="false">
      <c r="A53" s="1" t="str">
        <f aca="false">Inputs!$B$5</f>
        <v>07340050</v>
      </c>
      <c r="B53" s="1" t="n">
        <f aca="false">Inputs!$B$4</f>
        <v>34</v>
      </c>
      <c r="C53" s="3" t="n">
        <f aca="false">DATE(YEAR(C52)+1,MONTH(C52),DAY(C52))</f>
        <v>64806</v>
      </c>
      <c r="D53" s="1" t="n">
        <f aca="false">IF(E53&lt;&gt;"",D52+1)</f>
        <v>51</v>
      </c>
      <c r="E53" s="1" t="n">
        <f aca="false">IF(E52&lt;=100,E52+1,"")</f>
        <v>67</v>
      </c>
      <c r="F53" s="1" t="n">
        <f aca="false">IF(D53&lt;&gt;"",F52+1,"")</f>
        <v>118</v>
      </c>
      <c r="G53" s="1" t="n">
        <f aca="false">IFERROR(INDEX(CV_RATES!$K:$K,MATCH(F53+1,CV_RATES!$C:$C,0)),0)</f>
        <v>0</v>
      </c>
      <c r="H53" s="1" t="n">
        <f aca="false">IFERROR(INDEX(CV_RATES!$K:$K,MATCH(F53,CV_RATES!$C:$C,0)),0)</f>
        <v>0</v>
      </c>
      <c r="I53" s="11" t="n">
        <v>365</v>
      </c>
    </row>
    <row r="54" customFormat="false" ht="15" hidden="false" customHeight="false" outlineLevel="0" collapsed="false">
      <c r="A54" s="1" t="str">
        <f aca="false">Inputs!$B$5</f>
        <v>07340050</v>
      </c>
      <c r="B54" s="1" t="n">
        <f aca="false">Inputs!$B$4</f>
        <v>34</v>
      </c>
      <c r="C54" s="3" t="n">
        <f aca="false">DATE(YEAR(C53)+1,MONTH(C53),DAY(C53))</f>
        <v>65171</v>
      </c>
      <c r="D54" s="1" t="n">
        <f aca="false">IF(E54&lt;&gt;"",D53+1)</f>
        <v>52</v>
      </c>
      <c r="E54" s="1" t="n">
        <f aca="false">IF(E53&lt;=100,E53+1,"")</f>
        <v>68</v>
      </c>
      <c r="F54" s="1" t="n">
        <f aca="false">IF(D54&lt;&gt;"",F53+1,"")</f>
        <v>119</v>
      </c>
      <c r="G54" s="1" t="n">
        <f aca="false">IFERROR(INDEX(CV_RATES!$K:$K,MATCH(F54+1,CV_RATES!$C:$C,0)),0)</f>
        <v>0</v>
      </c>
      <c r="H54" s="1" t="n">
        <f aca="false">IFERROR(INDEX(CV_RATES!$K:$K,MATCH(F54,CV_RATES!$C:$C,0)),0)</f>
        <v>0</v>
      </c>
      <c r="I54" s="11" t="n">
        <v>365</v>
      </c>
    </row>
    <row r="55" customFormat="false" ht="15" hidden="false" customHeight="false" outlineLevel="0" collapsed="false">
      <c r="A55" s="1" t="str">
        <f aca="false">Inputs!$B$5</f>
        <v>07340050</v>
      </c>
      <c r="B55" s="1" t="n">
        <f aca="false">Inputs!$B$4</f>
        <v>34</v>
      </c>
      <c r="C55" s="3" t="n">
        <f aca="false">DATE(YEAR(C54)+1,MONTH(C54),DAY(C54))</f>
        <v>65536</v>
      </c>
      <c r="D55" s="1" t="n">
        <f aca="false">IF(E55&lt;&gt;"",D54+1)</f>
        <v>53</v>
      </c>
      <c r="E55" s="1" t="n">
        <f aca="false">IF(E54&lt;=100,E54+1,"")</f>
        <v>69</v>
      </c>
      <c r="F55" s="1" t="n">
        <f aca="false">IF(D55&lt;&gt;"",F54+1,"")</f>
        <v>120</v>
      </c>
      <c r="G55" s="1" t="n">
        <f aca="false">IFERROR(INDEX(CV_RATES!$K:$K,MATCH(F55+1,CV_RATES!$C:$C,0)),0)</f>
        <v>0</v>
      </c>
      <c r="H55" s="1" t="n">
        <f aca="false">IFERROR(INDEX(CV_RATES!$K:$K,MATCH(F55,CV_RATES!$C:$C,0)),0)</f>
        <v>0</v>
      </c>
      <c r="I55" s="11" t="n">
        <v>365</v>
      </c>
    </row>
    <row r="56" customFormat="false" ht="15" hidden="false" customHeight="false" outlineLevel="0" collapsed="false">
      <c r="A56" s="1" t="str">
        <f aca="false">Inputs!$B$5</f>
        <v>07340050</v>
      </c>
      <c r="B56" s="1" t="n">
        <f aca="false">Inputs!$B$4</f>
        <v>34</v>
      </c>
      <c r="C56" s="3" t="n">
        <f aca="false">DATE(YEAR(C55)+1,MONTH(C55),DAY(C55))</f>
        <v>65902</v>
      </c>
      <c r="D56" s="1" t="n">
        <f aca="false">IF(E56&lt;&gt;"",D55+1)</f>
        <v>54</v>
      </c>
      <c r="E56" s="1" t="n">
        <f aca="false">IF(E55&lt;=100,E55+1,"")</f>
        <v>70</v>
      </c>
      <c r="F56" s="1" t="n">
        <f aca="false">IF(D56&lt;&gt;"",F55+1,"")</f>
        <v>121</v>
      </c>
      <c r="G56" s="1" t="n">
        <f aca="false">IFERROR(INDEX(CV_RATES!$K:$K,MATCH(F56+1,CV_RATES!$C:$C,0)),0)</f>
        <v>0</v>
      </c>
      <c r="H56" s="1" t="n">
        <f aca="false">IFERROR(INDEX(CV_RATES!$K:$K,MATCH(F56,CV_RATES!$C:$C,0)),0)</f>
        <v>0</v>
      </c>
      <c r="I56" s="11" t="n">
        <v>365</v>
      </c>
    </row>
    <row r="57" customFormat="false" ht="15" hidden="false" customHeight="false" outlineLevel="0" collapsed="false">
      <c r="A57" s="1" t="str">
        <f aca="false">Inputs!$B$5</f>
        <v>07340050</v>
      </c>
      <c r="B57" s="1" t="n">
        <f aca="false">Inputs!$B$4</f>
        <v>34</v>
      </c>
      <c r="C57" s="3" t="n">
        <f aca="false">DATE(YEAR(C56)+1,MONTH(C56),DAY(C56))</f>
        <v>66267</v>
      </c>
      <c r="D57" s="1" t="n">
        <f aca="false">IF(E57&lt;&gt;"",D56+1)</f>
        <v>55</v>
      </c>
      <c r="E57" s="1" t="n">
        <f aca="false">IF(E56&lt;=100,E56+1,"")</f>
        <v>71</v>
      </c>
      <c r="F57" s="1" t="n">
        <f aca="false">IF(D57&lt;&gt;"",F56+1,"")</f>
        <v>122</v>
      </c>
      <c r="G57" s="1" t="n">
        <f aca="false">IFERROR(INDEX(CV_RATES!$K:$K,MATCH(F57+1,CV_RATES!$C:$C,0)),0)</f>
        <v>0</v>
      </c>
      <c r="H57" s="1" t="n">
        <f aca="false">IFERROR(INDEX(CV_RATES!$K:$K,MATCH(F57,CV_RATES!$C:$C,0)),0)</f>
        <v>0</v>
      </c>
      <c r="I57" s="11" t="n">
        <v>365</v>
      </c>
    </row>
    <row r="58" customFormat="false" ht="15" hidden="false" customHeight="false" outlineLevel="0" collapsed="false">
      <c r="A58" s="1" t="str">
        <f aca="false">Inputs!$B$5</f>
        <v>07340050</v>
      </c>
      <c r="B58" s="1" t="n">
        <f aca="false">Inputs!$B$4</f>
        <v>34</v>
      </c>
      <c r="C58" s="3" t="n">
        <f aca="false">DATE(YEAR(C57)+1,MONTH(C57),DAY(C57))</f>
        <v>66632</v>
      </c>
      <c r="D58" s="1" t="n">
        <f aca="false">IF(E58&lt;&gt;"",D57+1)</f>
        <v>56</v>
      </c>
      <c r="E58" s="1" t="n">
        <f aca="false">IF(E57&lt;=100,E57+1,"")</f>
        <v>72</v>
      </c>
      <c r="F58" s="1" t="n">
        <f aca="false">IF(D58&lt;&gt;"",F57+1,"")</f>
        <v>123</v>
      </c>
      <c r="G58" s="1" t="n">
        <f aca="false">IFERROR(INDEX(CV_RATES!$K:$K,MATCH(F58+1,CV_RATES!$C:$C,0)),0)</f>
        <v>0</v>
      </c>
      <c r="H58" s="1" t="n">
        <f aca="false">IFERROR(INDEX(CV_RATES!$K:$K,MATCH(F58,CV_RATES!$C:$C,0)),0)</f>
        <v>0</v>
      </c>
      <c r="I58" s="11" t="n">
        <v>365</v>
      </c>
    </row>
    <row r="59" customFormat="false" ht="15" hidden="false" customHeight="false" outlineLevel="0" collapsed="false">
      <c r="A59" s="1" t="str">
        <f aca="false">Inputs!$B$5</f>
        <v>07340050</v>
      </c>
      <c r="B59" s="1" t="n">
        <f aca="false">Inputs!$B$4</f>
        <v>34</v>
      </c>
      <c r="C59" s="3" t="n">
        <f aca="false">DATE(YEAR(C58)+1,MONTH(C58),DAY(C58))</f>
        <v>66997</v>
      </c>
      <c r="D59" s="1" t="n">
        <f aca="false">IF(E59&lt;&gt;"",D58+1)</f>
        <v>57</v>
      </c>
      <c r="E59" s="1" t="n">
        <f aca="false">IF(E58&lt;=100,E58+1,"")</f>
        <v>73</v>
      </c>
      <c r="F59" s="1" t="n">
        <f aca="false">IF(D59&lt;&gt;"",F58+1,"")</f>
        <v>124</v>
      </c>
      <c r="G59" s="1" t="n">
        <f aca="false">IFERROR(INDEX(CV_RATES!$K:$K,MATCH(F59+1,CV_RATES!$C:$C,0)),0)</f>
        <v>0</v>
      </c>
      <c r="H59" s="1" t="n">
        <f aca="false">IFERROR(INDEX(CV_RATES!$K:$K,MATCH(F59,CV_RATES!$C:$C,0)),0)</f>
        <v>0</v>
      </c>
      <c r="I59" s="11" t="n">
        <v>365</v>
      </c>
    </row>
    <row r="60" customFormat="false" ht="15" hidden="false" customHeight="false" outlineLevel="0" collapsed="false">
      <c r="A60" s="1" t="str">
        <f aca="false">Inputs!$B$5</f>
        <v>07340050</v>
      </c>
      <c r="B60" s="1" t="n">
        <f aca="false">Inputs!$B$4</f>
        <v>34</v>
      </c>
      <c r="C60" s="3" t="n">
        <f aca="false">DATE(YEAR(C59)+1,MONTH(C59),DAY(C59))</f>
        <v>67363</v>
      </c>
      <c r="D60" s="1" t="n">
        <f aca="false">IF(E60&lt;&gt;"",D59+1)</f>
        <v>58</v>
      </c>
      <c r="E60" s="1" t="n">
        <f aca="false">IF(E59&lt;=100,E59+1,"")</f>
        <v>74</v>
      </c>
      <c r="F60" s="1" t="n">
        <f aca="false">IF(D60&lt;&gt;"",F59+1,"")</f>
        <v>125</v>
      </c>
      <c r="G60" s="1" t="n">
        <f aca="false">IFERROR(INDEX(CV_RATES!$K:$K,MATCH(F60+1,CV_RATES!$C:$C,0)),0)</f>
        <v>0</v>
      </c>
      <c r="H60" s="1" t="n">
        <f aca="false">IFERROR(INDEX(CV_RATES!$K:$K,MATCH(F60,CV_RATES!$C:$C,0)),0)</f>
        <v>0</v>
      </c>
      <c r="I60" s="11" t="n">
        <v>365</v>
      </c>
    </row>
    <row r="61" customFormat="false" ht="15" hidden="false" customHeight="false" outlineLevel="0" collapsed="false">
      <c r="A61" s="1" t="str">
        <f aca="false">Inputs!$B$5</f>
        <v>07340050</v>
      </c>
      <c r="B61" s="1" t="n">
        <f aca="false">Inputs!$B$4</f>
        <v>34</v>
      </c>
      <c r="C61" s="3" t="n">
        <f aca="false">DATE(YEAR(C60)+1,MONTH(C60),DAY(C60))</f>
        <v>67728</v>
      </c>
      <c r="D61" s="1" t="n">
        <f aca="false">IF(E61&lt;&gt;"",D60+1)</f>
        <v>59</v>
      </c>
      <c r="E61" s="1" t="n">
        <f aca="false">IF(E60&lt;=100,E60+1,"")</f>
        <v>75</v>
      </c>
      <c r="F61" s="1" t="n">
        <f aca="false">IF(D61&lt;&gt;"",F60+1,"")</f>
        <v>126</v>
      </c>
      <c r="G61" s="1" t="n">
        <f aca="false">IFERROR(INDEX(CV_RATES!$K:$K,MATCH(F61+1,CV_RATES!$C:$C,0)),0)</f>
        <v>0</v>
      </c>
      <c r="H61" s="1" t="n">
        <f aca="false">IFERROR(INDEX(CV_RATES!$K:$K,MATCH(F61,CV_RATES!$C:$C,0)),0)</f>
        <v>0</v>
      </c>
      <c r="I61" s="11" t="n">
        <v>365</v>
      </c>
    </row>
    <row r="62" customFormat="false" ht="15" hidden="false" customHeight="false" outlineLevel="0" collapsed="false">
      <c r="A62" s="1" t="str">
        <f aca="false">Inputs!$B$5</f>
        <v>07340050</v>
      </c>
      <c r="B62" s="1" t="n">
        <f aca="false">Inputs!$B$4</f>
        <v>34</v>
      </c>
      <c r="C62" s="3" t="n">
        <f aca="false">DATE(YEAR(C61)+1,MONTH(C61),DAY(C61))</f>
        <v>68093</v>
      </c>
      <c r="D62" s="1" t="n">
        <f aca="false">IF(E62&lt;&gt;"",D61+1)</f>
        <v>60</v>
      </c>
      <c r="E62" s="1" t="n">
        <f aca="false">IF(E61&lt;=100,E61+1,"")</f>
        <v>76</v>
      </c>
      <c r="F62" s="1" t="n">
        <f aca="false">IF(D62&lt;&gt;"",F61+1,"")</f>
        <v>127</v>
      </c>
      <c r="G62" s="1" t="n">
        <f aca="false">IFERROR(INDEX(CV_RATES!$K:$K,MATCH(F62+1,CV_RATES!$C:$C,0)),0)</f>
        <v>0</v>
      </c>
      <c r="H62" s="1" t="n">
        <f aca="false">IFERROR(INDEX(CV_RATES!$K:$K,MATCH(F62,CV_RATES!$C:$C,0)),0)</f>
        <v>0</v>
      </c>
      <c r="I62" s="11" t="n">
        <v>365</v>
      </c>
    </row>
    <row r="63" customFormat="false" ht="15" hidden="false" customHeight="false" outlineLevel="0" collapsed="false">
      <c r="A63" s="1" t="str">
        <f aca="false">Inputs!$B$5</f>
        <v>07340050</v>
      </c>
      <c r="B63" s="1" t="n">
        <f aca="false">Inputs!$B$4</f>
        <v>34</v>
      </c>
      <c r="C63" s="3" t="n">
        <f aca="false">DATE(YEAR(C62)+1,MONTH(C62),DAY(C62))</f>
        <v>68458</v>
      </c>
      <c r="D63" s="1" t="n">
        <f aca="false">IF(E63&lt;&gt;"",D62+1)</f>
        <v>61</v>
      </c>
      <c r="E63" s="1" t="n">
        <f aca="false">IF(E62&lt;=100,E62+1,"")</f>
        <v>77</v>
      </c>
      <c r="F63" s="1" t="n">
        <f aca="false">IF(D63&lt;&gt;"",F62+1,"")</f>
        <v>128</v>
      </c>
      <c r="G63" s="1" t="n">
        <f aca="false">IFERROR(INDEX(CV_RATES!$K:$K,MATCH(F63+1,CV_RATES!$C:$C,0)),0)</f>
        <v>0</v>
      </c>
      <c r="H63" s="1" t="n">
        <f aca="false">IFERROR(INDEX(CV_RATES!$K:$K,MATCH(F63,CV_RATES!$C:$C,0)),0)</f>
        <v>0</v>
      </c>
      <c r="I63" s="11" t="n">
        <v>365</v>
      </c>
    </row>
    <row r="64" customFormat="false" ht="15" hidden="false" customHeight="false" outlineLevel="0" collapsed="false">
      <c r="A64" s="1" t="str">
        <f aca="false">Inputs!$B$5</f>
        <v>07340050</v>
      </c>
      <c r="B64" s="1" t="n">
        <f aca="false">Inputs!$B$4</f>
        <v>34</v>
      </c>
      <c r="C64" s="3" t="n">
        <f aca="false">DATE(YEAR(C63)+1,MONTH(C63),DAY(C63))</f>
        <v>68824</v>
      </c>
      <c r="D64" s="1" t="n">
        <f aca="false">IF(E64&lt;&gt;"",D63+1)</f>
        <v>62</v>
      </c>
      <c r="E64" s="1" t="n">
        <f aca="false">IF(E63&lt;=100,E63+1,"")</f>
        <v>78</v>
      </c>
      <c r="F64" s="1" t="n">
        <f aca="false">IF(D64&lt;&gt;"",F63+1,"")</f>
        <v>129</v>
      </c>
      <c r="G64" s="1" t="n">
        <f aca="false">IFERROR(INDEX(CV_RATES!$K:$K,MATCH(F64+1,CV_RATES!$C:$C,0)),0)</f>
        <v>0</v>
      </c>
      <c r="H64" s="1" t="n">
        <f aca="false">IFERROR(INDEX(CV_RATES!$K:$K,MATCH(F64,CV_RATES!$C:$C,0)),0)</f>
        <v>0</v>
      </c>
      <c r="I64" s="11" t="n">
        <v>365</v>
      </c>
    </row>
    <row r="65" customFormat="false" ht="15" hidden="false" customHeight="false" outlineLevel="0" collapsed="false">
      <c r="A65" s="1" t="str">
        <f aca="false">Inputs!$B$5</f>
        <v>07340050</v>
      </c>
      <c r="B65" s="1" t="n">
        <f aca="false">Inputs!$B$4</f>
        <v>34</v>
      </c>
      <c r="C65" s="3" t="n">
        <f aca="false">DATE(YEAR(C64)+1,MONTH(C64),DAY(C64))</f>
        <v>69189</v>
      </c>
      <c r="D65" s="1" t="n">
        <f aca="false">IF(E65&lt;&gt;"",D64+1)</f>
        <v>63</v>
      </c>
      <c r="E65" s="1" t="n">
        <f aca="false">IF(E64&lt;=100,E64+1,"")</f>
        <v>79</v>
      </c>
      <c r="F65" s="1" t="n">
        <f aca="false">IF(D65&lt;&gt;"",F64+1,"")</f>
        <v>130</v>
      </c>
      <c r="G65" s="1" t="n">
        <f aca="false">IFERROR(INDEX(CV_RATES!$K:$K,MATCH(F65+1,CV_RATES!$C:$C,0)),0)</f>
        <v>0</v>
      </c>
      <c r="H65" s="1" t="n">
        <f aca="false">IFERROR(INDEX(CV_RATES!$K:$K,MATCH(F65,CV_RATES!$C:$C,0)),0)</f>
        <v>0</v>
      </c>
      <c r="I65" s="11" t="n">
        <v>365</v>
      </c>
    </row>
    <row r="66" customFormat="false" ht="15" hidden="false" customHeight="false" outlineLevel="0" collapsed="false">
      <c r="A66" s="1" t="str">
        <f aca="false">Inputs!$B$5</f>
        <v>07340050</v>
      </c>
      <c r="B66" s="1" t="n">
        <f aca="false">Inputs!$B$4</f>
        <v>34</v>
      </c>
      <c r="C66" s="3" t="n">
        <f aca="false">DATE(YEAR(C65)+1,MONTH(C65),DAY(C65))</f>
        <v>69554</v>
      </c>
      <c r="D66" s="1" t="n">
        <f aca="false">IF(E66&lt;&gt;"",D65+1)</f>
        <v>64</v>
      </c>
      <c r="E66" s="1" t="n">
        <f aca="false">IF(E65&lt;=100,E65+1,"")</f>
        <v>80</v>
      </c>
      <c r="F66" s="1" t="n">
        <f aca="false">IF(D66&lt;&gt;"",F65+1,"")</f>
        <v>131</v>
      </c>
      <c r="G66" s="1" t="n">
        <f aca="false">IFERROR(INDEX(CV_RATES!$K:$K,MATCH(F66+1,CV_RATES!$C:$C,0)),0)</f>
        <v>0</v>
      </c>
      <c r="H66" s="1" t="n">
        <f aca="false">IFERROR(INDEX(CV_RATES!$K:$K,MATCH(F66,CV_RATES!$C:$C,0)),0)</f>
        <v>0</v>
      </c>
      <c r="I66" s="11" t="n">
        <v>365</v>
      </c>
    </row>
    <row r="67" customFormat="false" ht="15" hidden="false" customHeight="false" outlineLevel="0" collapsed="false">
      <c r="A67" s="1" t="str">
        <f aca="false">Inputs!$B$5</f>
        <v>07340050</v>
      </c>
      <c r="B67" s="1" t="n">
        <f aca="false">Inputs!$B$4</f>
        <v>34</v>
      </c>
      <c r="C67" s="3" t="n">
        <f aca="false">DATE(YEAR(C66)+1,MONTH(C66),DAY(C66))</f>
        <v>69919</v>
      </c>
      <c r="D67" s="1" t="n">
        <f aca="false">IF(E67&lt;&gt;"",D66+1)</f>
        <v>65</v>
      </c>
      <c r="E67" s="1" t="n">
        <f aca="false">IF(E66&lt;=100,E66+1,"")</f>
        <v>81</v>
      </c>
      <c r="F67" s="1" t="n">
        <f aca="false">IF(D67&lt;&gt;"",F66+1,"")</f>
        <v>132</v>
      </c>
      <c r="G67" s="1" t="n">
        <f aca="false">IFERROR(INDEX(CV_RATES!$K:$K,MATCH(F67+1,CV_RATES!$C:$C,0)),0)</f>
        <v>0</v>
      </c>
      <c r="H67" s="1" t="n">
        <f aca="false">IFERROR(INDEX(CV_RATES!$K:$K,MATCH(F67,CV_RATES!$C:$C,0)),0)</f>
        <v>0</v>
      </c>
      <c r="I67" s="11" t="n">
        <v>365</v>
      </c>
    </row>
    <row r="68" customFormat="false" ht="15" hidden="false" customHeight="false" outlineLevel="0" collapsed="false">
      <c r="A68" s="1" t="str">
        <f aca="false">Inputs!$B$5</f>
        <v>07340050</v>
      </c>
      <c r="B68" s="1" t="n">
        <f aca="false">Inputs!$B$4</f>
        <v>34</v>
      </c>
      <c r="C68" s="3" t="n">
        <f aca="false">DATE(YEAR(C67)+1,MONTH(C67),DAY(C67))</f>
        <v>70285</v>
      </c>
      <c r="D68" s="1" t="n">
        <f aca="false">IF(E68&lt;&gt;"",D67+1)</f>
        <v>66</v>
      </c>
      <c r="E68" s="1" t="n">
        <f aca="false">IF(E67&lt;=100,E67+1,"")</f>
        <v>82</v>
      </c>
      <c r="F68" s="1" t="n">
        <f aca="false">IF(D68&lt;&gt;"",F67+1,"")</f>
        <v>133</v>
      </c>
      <c r="G68" s="1" t="n">
        <f aca="false">IFERROR(INDEX(CV_RATES!$K:$K,MATCH(F68+1,CV_RATES!$C:$C,0)),0)</f>
        <v>0</v>
      </c>
      <c r="H68" s="1" t="n">
        <f aca="false">IFERROR(INDEX(CV_RATES!$K:$K,MATCH(F68,CV_RATES!$C:$C,0)),0)</f>
        <v>0</v>
      </c>
      <c r="I68" s="11" t="n">
        <v>365</v>
      </c>
    </row>
    <row r="69" customFormat="false" ht="15" hidden="false" customHeight="false" outlineLevel="0" collapsed="false">
      <c r="A69" s="1" t="str">
        <f aca="false">Inputs!$B$5</f>
        <v>07340050</v>
      </c>
      <c r="B69" s="1" t="n">
        <f aca="false">Inputs!$B$4</f>
        <v>34</v>
      </c>
      <c r="C69" s="3" t="n">
        <f aca="false">DATE(YEAR(C68)+1,MONTH(C68),DAY(C68))</f>
        <v>70650</v>
      </c>
      <c r="D69" s="1" t="n">
        <f aca="false">IF(E69&lt;&gt;"",D68+1)</f>
        <v>67</v>
      </c>
      <c r="E69" s="1" t="n">
        <f aca="false">IF(E68&lt;=100,E68+1,"")</f>
        <v>83</v>
      </c>
      <c r="F69" s="1" t="n">
        <f aca="false">IF(D69&lt;&gt;"",F68+1,"")</f>
        <v>134</v>
      </c>
      <c r="G69" s="1" t="n">
        <f aca="false">IFERROR(INDEX(CV_RATES!$K:$K,MATCH(F69+1,CV_RATES!$C:$C,0)),0)</f>
        <v>0</v>
      </c>
      <c r="H69" s="1" t="n">
        <f aca="false">IFERROR(INDEX(CV_RATES!$K:$K,MATCH(F69,CV_RATES!$C:$C,0)),0)</f>
        <v>0</v>
      </c>
      <c r="I69" s="11" t="n">
        <v>365</v>
      </c>
    </row>
    <row r="70" customFormat="false" ht="15" hidden="false" customHeight="false" outlineLevel="0" collapsed="false">
      <c r="A70" s="1" t="str">
        <f aca="false">Inputs!$B$5</f>
        <v>07340050</v>
      </c>
      <c r="B70" s="1" t="n">
        <f aca="false">Inputs!$B$4</f>
        <v>34</v>
      </c>
      <c r="C70" s="3" t="n">
        <f aca="false">DATE(YEAR(C69)+1,MONTH(C69),DAY(C69))</f>
        <v>71015</v>
      </c>
      <c r="D70" s="1" t="n">
        <f aca="false">IF(E70&lt;&gt;"",D69+1)</f>
        <v>68</v>
      </c>
      <c r="E70" s="1" t="n">
        <f aca="false">IF(E69&lt;=100,E69+1,"")</f>
        <v>84</v>
      </c>
      <c r="F70" s="1" t="n">
        <f aca="false">IF(D70&lt;&gt;"",F69+1,"")</f>
        <v>135</v>
      </c>
      <c r="G70" s="1" t="n">
        <f aca="false">IFERROR(INDEX(CV_RATES!$K:$K,MATCH(F70+1,CV_RATES!$C:$C,0)),0)</f>
        <v>0</v>
      </c>
      <c r="H70" s="1" t="n">
        <f aca="false">IFERROR(INDEX(CV_RATES!$K:$K,MATCH(F70,CV_RATES!$C:$C,0)),0)</f>
        <v>0</v>
      </c>
      <c r="I70" s="11" t="n">
        <v>365</v>
      </c>
    </row>
    <row r="71" customFormat="false" ht="15" hidden="false" customHeight="false" outlineLevel="0" collapsed="false">
      <c r="A71" s="1" t="str">
        <f aca="false">Inputs!$B$5</f>
        <v>07340050</v>
      </c>
      <c r="B71" s="1" t="n">
        <f aca="false">Inputs!$B$4</f>
        <v>34</v>
      </c>
      <c r="C71" s="3" t="n">
        <f aca="false">DATE(YEAR(C70)+1,MONTH(C70),DAY(C70))</f>
        <v>71380</v>
      </c>
      <c r="D71" s="1" t="n">
        <f aca="false">IF(E71&lt;&gt;"",D70+1)</f>
        <v>69</v>
      </c>
      <c r="E71" s="1" t="n">
        <f aca="false">IF(E70&lt;=100,E70+1,"")</f>
        <v>85</v>
      </c>
      <c r="F71" s="1" t="n">
        <f aca="false">IF(D71&lt;&gt;"",F70+1,"")</f>
        <v>136</v>
      </c>
      <c r="G71" s="1" t="n">
        <f aca="false">IFERROR(INDEX(CV_RATES!$K:$K,MATCH(F71+1,CV_RATES!$C:$C,0)),0)</f>
        <v>0</v>
      </c>
      <c r="H71" s="1" t="n">
        <f aca="false">IFERROR(INDEX(CV_RATES!$K:$K,MATCH(F71,CV_RATES!$C:$C,0)),0)</f>
        <v>0</v>
      </c>
      <c r="I71" s="11" t="n">
        <v>365</v>
      </c>
    </row>
    <row r="72" customFormat="false" ht="15" hidden="false" customHeight="false" outlineLevel="0" collapsed="false">
      <c r="A72" s="1" t="str">
        <f aca="false">Inputs!$B$5</f>
        <v>07340050</v>
      </c>
      <c r="B72" s="1" t="n">
        <f aca="false">Inputs!$B$4</f>
        <v>34</v>
      </c>
      <c r="C72" s="3" t="n">
        <f aca="false">DATE(YEAR(C71)+1,MONTH(C71),DAY(C71))</f>
        <v>71746</v>
      </c>
      <c r="D72" s="1" t="n">
        <f aca="false">IF(E72&lt;&gt;"",D71+1)</f>
        <v>70</v>
      </c>
      <c r="E72" s="1" t="n">
        <f aca="false">IF(E71&lt;=100,E71+1,"")</f>
        <v>86</v>
      </c>
      <c r="F72" s="1" t="n">
        <f aca="false">IF(D72&lt;&gt;"",F71+1,"")</f>
        <v>137</v>
      </c>
      <c r="G72" s="1" t="n">
        <f aca="false">IFERROR(INDEX(CV_RATES!$K:$K,MATCH(F72+1,CV_RATES!$C:$C,0)),0)</f>
        <v>0</v>
      </c>
      <c r="H72" s="1" t="n">
        <f aca="false">IFERROR(INDEX(CV_RATES!$K:$K,MATCH(F72,CV_RATES!$C:$C,0)),0)</f>
        <v>0</v>
      </c>
      <c r="I72" s="11" t="n">
        <v>365</v>
      </c>
    </row>
    <row r="73" customFormat="false" ht="15" hidden="false" customHeight="false" outlineLevel="0" collapsed="false">
      <c r="A73" s="1" t="str">
        <f aca="false">Inputs!$B$5</f>
        <v>07340050</v>
      </c>
      <c r="B73" s="1" t="n">
        <f aca="false">Inputs!$B$4</f>
        <v>34</v>
      </c>
      <c r="C73" s="3" t="n">
        <f aca="false">DATE(YEAR(C72)+1,MONTH(C72),DAY(C72))</f>
        <v>72111</v>
      </c>
      <c r="D73" s="1" t="n">
        <f aca="false">IF(E73&lt;&gt;"",D72+1)</f>
        <v>71</v>
      </c>
      <c r="E73" s="1" t="n">
        <f aca="false">IF(E72&lt;=100,E72+1,"")</f>
        <v>87</v>
      </c>
      <c r="F73" s="1" t="n">
        <f aca="false">IF(D73&lt;&gt;"",F72+1,"")</f>
        <v>138</v>
      </c>
      <c r="G73" s="1" t="n">
        <f aca="false">IFERROR(INDEX(CV_RATES!$K:$K,MATCH(F73+1,CV_RATES!$C:$C,0)),0)</f>
        <v>0</v>
      </c>
      <c r="H73" s="1" t="n">
        <f aca="false">IFERROR(INDEX(CV_RATES!$K:$K,MATCH(F73,CV_RATES!$C:$C,0)),0)</f>
        <v>0</v>
      </c>
      <c r="I73" s="11" t="n">
        <v>365</v>
      </c>
    </row>
    <row r="74" customFormat="false" ht="15" hidden="false" customHeight="false" outlineLevel="0" collapsed="false">
      <c r="A74" s="1" t="str">
        <f aca="false">Inputs!$B$5</f>
        <v>07340050</v>
      </c>
      <c r="B74" s="1" t="n">
        <f aca="false">Inputs!$B$4</f>
        <v>34</v>
      </c>
      <c r="C74" s="3" t="n">
        <f aca="false">DATE(YEAR(C73)+1,MONTH(C73),DAY(C73))</f>
        <v>72476</v>
      </c>
      <c r="D74" s="1" t="n">
        <f aca="false">IF(E74&lt;&gt;"",D73+1)</f>
        <v>72</v>
      </c>
      <c r="E74" s="1" t="n">
        <f aca="false">IF(E73&lt;=100,E73+1,"")</f>
        <v>88</v>
      </c>
      <c r="F74" s="1" t="n">
        <f aca="false">IF(D74&lt;&gt;"",F73+1,"")</f>
        <v>139</v>
      </c>
      <c r="G74" s="1" t="n">
        <f aca="false">IFERROR(INDEX(CV_RATES!$K:$K,MATCH(F74+1,CV_RATES!$C:$C,0)),0)</f>
        <v>0</v>
      </c>
      <c r="H74" s="1" t="n">
        <f aca="false">IFERROR(INDEX(CV_RATES!$K:$K,MATCH(F74,CV_RATES!$C:$C,0)),0)</f>
        <v>0</v>
      </c>
      <c r="I74" s="11" t="n">
        <v>365</v>
      </c>
    </row>
    <row r="75" customFormat="false" ht="15" hidden="false" customHeight="false" outlineLevel="0" collapsed="false">
      <c r="A75" s="1" t="str">
        <f aca="false">Inputs!$B$5</f>
        <v>07340050</v>
      </c>
      <c r="B75" s="1" t="n">
        <f aca="false">Inputs!$B$4</f>
        <v>34</v>
      </c>
      <c r="C75" s="3" t="n">
        <f aca="false">DATE(YEAR(C74)+1,MONTH(C74),DAY(C74))</f>
        <v>72841</v>
      </c>
      <c r="D75" s="1" t="n">
        <f aca="false">IF(E75&lt;&gt;"",D74+1)</f>
        <v>73</v>
      </c>
      <c r="E75" s="1" t="n">
        <f aca="false">IF(E74&lt;=100,E74+1,"")</f>
        <v>89</v>
      </c>
      <c r="F75" s="1" t="n">
        <f aca="false">IF(D75&lt;&gt;"",F74+1,"")</f>
        <v>140</v>
      </c>
      <c r="G75" s="1" t="n">
        <f aca="false">IFERROR(INDEX(CV_RATES!$K:$K,MATCH(F75+1,CV_RATES!$C:$C,0)),0)</f>
        <v>0</v>
      </c>
      <c r="H75" s="1" t="n">
        <f aca="false">IFERROR(INDEX(CV_RATES!$K:$K,MATCH(F75,CV_RATES!$C:$C,0)),0)</f>
        <v>0</v>
      </c>
      <c r="I75" s="11" t="n">
        <v>365</v>
      </c>
    </row>
    <row r="76" customFormat="false" ht="15" hidden="false" customHeight="false" outlineLevel="0" collapsed="false">
      <c r="A76" s="1" t="str">
        <f aca="false">Inputs!$B$5</f>
        <v>07340050</v>
      </c>
      <c r="B76" s="1" t="n">
        <f aca="false">Inputs!$B$4</f>
        <v>34</v>
      </c>
      <c r="C76" s="3" t="n">
        <f aca="false">DATE(YEAR(C75)+1,MONTH(C75),DAY(C75))</f>
        <v>73206</v>
      </c>
      <c r="D76" s="1" t="n">
        <f aca="false">IF(E76&lt;&gt;"",D75+1)</f>
        <v>74</v>
      </c>
      <c r="E76" s="1" t="n">
        <f aca="false">IF(E75&lt;=100,E75+1,"")</f>
        <v>90</v>
      </c>
      <c r="F76" s="1" t="n">
        <f aca="false">IF(D76&lt;&gt;"",F75+1,"")</f>
        <v>141</v>
      </c>
      <c r="G76" s="1" t="n">
        <f aca="false">IFERROR(INDEX(CV_RATES!$K:$K,MATCH(F76+1,CV_RATES!$C:$C,0)),0)</f>
        <v>0</v>
      </c>
      <c r="H76" s="1" t="n">
        <f aca="false">IFERROR(INDEX(CV_RATES!$K:$K,MATCH(F76,CV_RATES!$C:$C,0)),0)</f>
        <v>0</v>
      </c>
      <c r="I76" s="11" t="n">
        <v>365</v>
      </c>
    </row>
    <row r="77" customFormat="false" ht="15" hidden="false" customHeight="false" outlineLevel="0" collapsed="false">
      <c r="A77" s="1" t="str">
        <f aca="false">Inputs!$B$5</f>
        <v>07340050</v>
      </c>
      <c r="B77" s="1" t="n">
        <f aca="false">Inputs!$B$4</f>
        <v>34</v>
      </c>
      <c r="C77" s="3" t="n">
        <f aca="false">DATE(YEAR(C76)+1,MONTH(C76),DAY(C76))</f>
        <v>73571</v>
      </c>
      <c r="D77" s="1" t="n">
        <f aca="false">IF(E77&lt;&gt;"",D76+1)</f>
        <v>75</v>
      </c>
      <c r="E77" s="1" t="n">
        <f aca="false">IF(E76&lt;=100,E76+1,"")</f>
        <v>91</v>
      </c>
      <c r="F77" s="1" t="n">
        <f aca="false">IF(D77&lt;&gt;"",F76+1,"")</f>
        <v>142</v>
      </c>
      <c r="G77" s="1" t="n">
        <f aca="false">IFERROR(INDEX(CV_RATES!$K:$K,MATCH(F77+1,CV_RATES!$C:$C,0)),0)</f>
        <v>0</v>
      </c>
      <c r="H77" s="1" t="n">
        <f aca="false">IFERROR(INDEX(CV_RATES!$K:$K,MATCH(F77,CV_RATES!$C:$C,0)),0)</f>
        <v>0</v>
      </c>
      <c r="I77" s="11" t="n">
        <v>365</v>
      </c>
    </row>
    <row r="78" customFormat="false" ht="15" hidden="false" customHeight="false" outlineLevel="0" collapsed="false">
      <c r="A78" s="1" t="str">
        <f aca="false">Inputs!$B$5</f>
        <v>07340050</v>
      </c>
      <c r="B78" s="1" t="n">
        <f aca="false">Inputs!$B$4</f>
        <v>34</v>
      </c>
      <c r="C78" s="3" t="n">
        <f aca="false">DATE(YEAR(C77)+1,MONTH(C77),DAY(C77))</f>
        <v>73936</v>
      </c>
      <c r="D78" s="1" t="n">
        <f aca="false">IF(E78&lt;&gt;"",D77+1)</f>
        <v>76</v>
      </c>
      <c r="E78" s="1" t="n">
        <f aca="false">IF(E77&lt;=100,E77+1,"")</f>
        <v>92</v>
      </c>
      <c r="F78" s="1" t="n">
        <f aca="false">IF(D78&lt;&gt;"",F77+1,"")</f>
        <v>143</v>
      </c>
      <c r="G78" s="1" t="n">
        <f aca="false">IFERROR(INDEX(CV_RATES!$K:$K,MATCH(F78+1,CV_RATES!$C:$C,0)),0)</f>
        <v>0</v>
      </c>
      <c r="H78" s="1" t="n">
        <f aca="false">IFERROR(INDEX(CV_RATES!$K:$K,MATCH(F78,CV_RATES!$C:$C,0)),0)</f>
        <v>0</v>
      </c>
      <c r="I78" s="11" t="n">
        <v>365</v>
      </c>
    </row>
    <row r="79" customFormat="false" ht="15" hidden="false" customHeight="false" outlineLevel="0" collapsed="false">
      <c r="A79" s="1" t="str">
        <f aca="false">Inputs!$B$5</f>
        <v>07340050</v>
      </c>
      <c r="B79" s="1" t="n">
        <f aca="false">Inputs!$B$4</f>
        <v>34</v>
      </c>
      <c r="C79" s="3" t="n">
        <f aca="false">DATE(YEAR(C78)+1,MONTH(C78),DAY(C78))</f>
        <v>74301</v>
      </c>
      <c r="D79" s="1" t="n">
        <f aca="false">IF(E79&lt;&gt;"",D78+1)</f>
        <v>77</v>
      </c>
      <c r="E79" s="1" t="n">
        <f aca="false">IF(E78&lt;=100,E78+1,"")</f>
        <v>93</v>
      </c>
      <c r="F79" s="1" t="n">
        <f aca="false">IF(D79&lt;&gt;"",F78+1,"")</f>
        <v>144</v>
      </c>
      <c r="G79" s="1" t="n">
        <f aca="false">IFERROR(INDEX(CV_RATES!$K:$K,MATCH(F79+1,CV_RATES!$C:$C,0)),0)</f>
        <v>0</v>
      </c>
      <c r="H79" s="1" t="n">
        <f aca="false">IFERROR(INDEX(CV_RATES!$K:$K,MATCH(F79,CV_RATES!$C:$C,0)),0)</f>
        <v>0</v>
      </c>
      <c r="I79" s="11" t="n">
        <v>365</v>
      </c>
    </row>
    <row r="80" customFormat="false" ht="15" hidden="false" customHeight="false" outlineLevel="0" collapsed="false">
      <c r="A80" s="1" t="str">
        <f aca="false">Inputs!$B$5</f>
        <v>07340050</v>
      </c>
      <c r="B80" s="1" t="n">
        <f aca="false">Inputs!$B$4</f>
        <v>34</v>
      </c>
      <c r="C80" s="3" t="n">
        <f aca="false">DATE(YEAR(C79)+1,MONTH(C79),DAY(C79))</f>
        <v>74667</v>
      </c>
      <c r="D80" s="1" t="n">
        <f aca="false">IF(E80&lt;&gt;"",D79+1)</f>
        <v>78</v>
      </c>
      <c r="E80" s="1" t="n">
        <f aca="false">IF(E79&lt;=100,E79+1,"")</f>
        <v>94</v>
      </c>
      <c r="F80" s="1" t="n">
        <f aca="false">IF(D80&lt;&gt;"",F79+1,"")</f>
        <v>145</v>
      </c>
      <c r="G80" s="1" t="n">
        <f aca="false">IFERROR(INDEX(CV_RATES!$K:$K,MATCH(F80+1,CV_RATES!$C:$C,0)),0)</f>
        <v>0</v>
      </c>
      <c r="H80" s="1" t="n">
        <f aca="false">IFERROR(INDEX(CV_RATES!$K:$K,MATCH(F80,CV_RATES!$C:$C,0)),0)</f>
        <v>0</v>
      </c>
      <c r="I80" s="11" t="n">
        <v>365</v>
      </c>
    </row>
    <row r="81" customFormat="false" ht="15" hidden="false" customHeight="false" outlineLevel="0" collapsed="false">
      <c r="A81" s="1" t="str">
        <f aca="false">Inputs!$B$5</f>
        <v>07340050</v>
      </c>
      <c r="B81" s="1" t="n">
        <f aca="false">Inputs!$B$4</f>
        <v>34</v>
      </c>
      <c r="C81" s="3" t="n">
        <f aca="false">DATE(YEAR(C80)+1,MONTH(C80),DAY(C80))</f>
        <v>75032</v>
      </c>
      <c r="D81" s="1" t="n">
        <f aca="false">IF(E81&lt;&gt;"",D80+1)</f>
        <v>79</v>
      </c>
      <c r="E81" s="1" t="n">
        <f aca="false">IF(E80&lt;=100,E80+1,"")</f>
        <v>95</v>
      </c>
      <c r="F81" s="1" t="n">
        <f aca="false">IF(D81&lt;&gt;"",F80+1,"")</f>
        <v>146</v>
      </c>
      <c r="G81" s="1" t="n">
        <f aca="false">IFERROR(INDEX(CV_RATES!$K:$K,MATCH(F81+1,CV_RATES!$C:$C,0)),0)</f>
        <v>0</v>
      </c>
      <c r="H81" s="1" t="n">
        <f aca="false">IFERROR(INDEX(CV_RATES!$K:$K,MATCH(F81,CV_RATES!$C:$C,0)),0)</f>
        <v>0</v>
      </c>
      <c r="I81" s="11" t="n">
        <v>365</v>
      </c>
    </row>
    <row r="82" customFormat="false" ht="15" hidden="false" customHeight="false" outlineLevel="0" collapsed="false">
      <c r="A82" s="1" t="str">
        <f aca="false">Inputs!$B$5</f>
        <v>07340050</v>
      </c>
      <c r="B82" s="1" t="n">
        <f aca="false">Inputs!$B$4</f>
        <v>34</v>
      </c>
      <c r="C82" s="3" t="n">
        <f aca="false">DATE(YEAR(C81)+1,MONTH(C81),DAY(C81))</f>
        <v>75397</v>
      </c>
      <c r="D82" s="1" t="n">
        <f aca="false">IF(E82&lt;&gt;"",D81+1)</f>
        <v>80</v>
      </c>
      <c r="E82" s="1" t="n">
        <f aca="false">IF(E81&lt;=100,E81+1,"")</f>
        <v>96</v>
      </c>
      <c r="F82" s="1" t="n">
        <f aca="false">IF(D82&lt;&gt;"",F81+1,"")</f>
        <v>147</v>
      </c>
      <c r="G82" s="1" t="n">
        <f aca="false">IFERROR(INDEX(CV_RATES!$K:$K,MATCH(F82+1,CV_RATES!$C:$C,0)),0)</f>
        <v>0</v>
      </c>
      <c r="H82" s="1" t="n">
        <f aca="false">IFERROR(INDEX(CV_RATES!$K:$K,MATCH(F82,CV_RATES!$C:$C,0)),0)</f>
        <v>0</v>
      </c>
      <c r="I82" s="11" t="n">
        <v>365</v>
      </c>
    </row>
    <row r="83" customFormat="false" ht="15" hidden="false" customHeight="false" outlineLevel="0" collapsed="false">
      <c r="A83" s="1" t="str">
        <f aca="false">Inputs!$B$5</f>
        <v>07340050</v>
      </c>
      <c r="B83" s="1" t="n">
        <f aca="false">Inputs!$B$4</f>
        <v>34</v>
      </c>
      <c r="C83" s="3" t="n">
        <f aca="false">DATE(YEAR(C82)+1,MONTH(C82),DAY(C82))</f>
        <v>75762</v>
      </c>
      <c r="D83" s="1" t="n">
        <f aca="false">IF(E83&lt;&gt;"",D82+1)</f>
        <v>81</v>
      </c>
      <c r="E83" s="1" t="n">
        <f aca="false">IF(E82&lt;=100,E82+1,"")</f>
        <v>97</v>
      </c>
      <c r="F83" s="1" t="n">
        <f aca="false">IF(D83&lt;&gt;"",F82+1,"")</f>
        <v>148</v>
      </c>
      <c r="G83" s="1" t="n">
        <f aca="false">IFERROR(INDEX(CV_RATES!$K:$K,MATCH(F83+1,CV_RATES!$C:$C,0)),0)</f>
        <v>0</v>
      </c>
      <c r="H83" s="1" t="n">
        <f aca="false">IFERROR(INDEX(CV_RATES!$K:$K,MATCH(F83,CV_RATES!$C:$C,0)),0)</f>
        <v>0</v>
      </c>
      <c r="I83" s="11" t="n">
        <v>365</v>
      </c>
    </row>
    <row r="84" customFormat="false" ht="15" hidden="false" customHeight="false" outlineLevel="0" collapsed="false">
      <c r="A84" s="1" t="str">
        <f aca="false">Inputs!$B$5</f>
        <v>07340050</v>
      </c>
      <c r="B84" s="1" t="n">
        <f aca="false">Inputs!$B$4</f>
        <v>34</v>
      </c>
      <c r="C84" s="3" t="n">
        <f aca="false">DATE(YEAR(C83)+1,MONTH(C83),DAY(C83))</f>
        <v>76128</v>
      </c>
      <c r="D84" s="1" t="n">
        <f aca="false">IF(E84&lt;&gt;"",D83+1)</f>
        <v>82</v>
      </c>
      <c r="E84" s="1" t="n">
        <f aca="false">IF(E83&lt;=100,E83+1,"")</f>
        <v>98</v>
      </c>
      <c r="F84" s="1" t="n">
        <f aca="false">IF(D84&lt;&gt;"",F83+1,"")</f>
        <v>149</v>
      </c>
      <c r="G84" s="1" t="n">
        <f aca="false">IFERROR(INDEX(CV_RATES!$K:$K,MATCH(F84+1,CV_RATES!$C:$C,0)),0)</f>
        <v>0</v>
      </c>
      <c r="H84" s="1" t="n">
        <f aca="false">IFERROR(INDEX(CV_RATES!$K:$K,MATCH(F84,CV_RATES!$C:$C,0)),0)</f>
        <v>0</v>
      </c>
      <c r="I84" s="11" t="n">
        <v>365</v>
      </c>
    </row>
    <row r="85" customFormat="false" ht="15" hidden="false" customHeight="false" outlineLevel="0" collapsed="false">
      <c r="A85" s="1" t="str">
        <f aca="false">Inputs!$B$5</f>
        <v>07340050</v>
      </c>
      <c r="B85" s="1" t="n">
        <f aca="false">Inputs!$B$4</f>
        <v>34</v>
      </c>
      <c r="C85" s="3" t="n">
        <f aca="false">DATE(YEAR(C84)+1,MONTH(C84),DAY(C84))</f>
        <v>76493</v>
      </c>
      <c r="D85" s="1" t="n">
        <f aca="false">IF(E85&lt;&gt;"",D84+1)</f>
        <v>83</v>
      </c>
      <c r="E85" s="1" t="n">
        <f aca="false">IF(E84&lt;=100,E84+1,"")</f>
        <v>99</v>
      </c>
      <c r="F85" s="1" t="n">
        <f aca="false">IF(D85&lt;&gt;"",F84+1,"")</f>
        <v>150</v>
      </c>
      <c r="G85" s="1" t="n">
        <f aca="false">IFERROR(INDEX(CV_RATES!$K:$K,MATCH(F85+1,CV_RATES!$C:$C,0)),0)</f>
        <v>0</v>
      </c>
      <c r="H85" s="1" t="n">
        <f aca="false">IFERROR(INDEX(CV_RATES!$K:$K,MATCH(F85,CV_RATES!$C:$C,0)),0)</f>
        <v>0</v>
      </c>
      <c r="I85" s="11" t="n">
        <v>365</v>
      </c>
    </row>
    <row r="86" customFormat="false" ht="15" hidden="false" customHeight="false" outlineLevel="0" collapsed="false">
      <c r="A86" s="1" t="str">
        <f aca="false">Inputs!$B$5</f>
        <v>07340050</v>
      </c>
      <c r="B86" s="1" t="n">
        <f aca="false">Inputs!$B$4</f>
        <v>34</v>
      </c>
      <c r="C86" s="3" t="n">
        <f aca="false">DATE(YEAR(C85)+1,MONTH(C85),DAY(C85))</f>
        <v>76858</v>
      </c>
      <c r="D86" s="1" t="n">
        <f aca="false">IF(E86&lt;&gt;"",D85+1)</f>
        <v>84</v>
      </c>
      <c r="E86" s="1" t="n">
        <f aca="false">IF(E85&lt;=100,E85+1,"")</f>
        <v>100</v>
      </c>
      <c r="F86" s="1" t="n">
        <f aca="false">IF(D86&lt;&gt;"",F85+1,"")</f>
        <v>151</v>
      </c>
      <c r="G86" s="1" t="n">
        <f aca="false">IFERROR(INDEX(CV_RATES!$K:$K,MATCH(F86+1,CV_RATES!$C:$C,0)),0)</f>
        <v>0</v>
      </c>
      <c r="H86" s="1" t="n">
        <f aca="false">IFERROR(INDEX(CV_RATES!$K:$K,MATCH(F86,CV_RATES!$C:$C,0)),0)</f>
        <v>0</v>
      </c>
      <c r="I86" s="11" t="n">
        <v>365</v>
      </c>
    </row>
    <row r="87" customFormat="false" ht="15" hidden="false" customHeight="false" outlineLevel="0" collapsed="false">
      <c r="A87" s="1" t="str">
        <f aca="false">Inputs!$B$5</f>
        <v>07340050</v>
      </c>
      <c r="B87" s="1" t="n">
        <f aca="false">Inputs!$B$4</f>
        <v>34</v>
      </c>
      <c r="C87" s="3" t="n">
        <f aca="false">DATE(YEAR(C86)+1,MONTH(C86),DAY(C86))</f>
        <v>77223</v>
      </c>
      <c r="D87" s="1" t="n">
        <f aca="false">IF(E87&lt;&gt;"",D86+1)</f>
        <v>85</v>
      </c>
      <c r="E87" s="1" t="n">
        <f aca="false">IF(E86&lt;=100,E86+1,"")</f>
        <v>101</v>
      </c>
      <c r="F87" s="1" t="n">
        <f aca="false">IF(D87&lt;&gt;"",F86+1,"")</f>
        <v>152</v>
      </c>
      <c r="G87" s="1" t="n">
        <f aca="false">IFERROR(INDEX(CV_RATES!$K:$K,MATCH(F87+1,CV_RATES!$C:$C,0)),0)</f>
        <v>0</v>
      </c>
      <c r="H87" s="1" t="n">
        <f aca="false">IFERROR(INDEX(CV_RATES!$K:$K,MATCH(F87,CV_RATES!$C:$C,0)),0)</f>
        <v>0</v>
      </c>
      <c r="I87" s="11" t="n">
        <v>365</v>
      </c>
    </row>
    <row r="88" customFormat="false" ht="15" hidden="false" customHeight="false" outlineLevel="0" collapsed="false">
      <c r="A88" s="1" t="str">
        <f aca="false">Inputs!$B$5</f>
        <v>07340050</v>
      </c>
      <c r="B88" s="1" t="n">
        <f aca="false">Inputs!$B$4</f>
        <v>34</v>
      </c>
      <c r="C88" s="3" t="n">
        <f aca="false">DATE(YEAR(C87)+1,MONTH(C87),DAY(C87))</f>
        <v>77589</v>
      </c>
      <c r="D88" s="7" t="b">
        <f aca="false">IF(E88&lt;&gt;"",D87+1)</f>
        <v>0</v>
      </c>
      <c r="E88" s="1" t="str">
        <f aca="false">IF(E87&lt;=100,E87+1,"")</f>
        <v/>
      </c>
      <c r="F88" s="1" t="n">
        <f aca="false">IF(D88&lt;&gt;"",F87+1,"")</f>
        <v>153</v>
      </c>
      <c r="G88" s="1" t="n">
        <f aca="false">IFERROR(INDEX(CV_RATES!$K:$K,MATCH(F88+1,CV_RATES!$C:$C,0)),0)</f>
        <v>0</v>
      </c>
      <c r="H88" s="1" t="n">
        <f aca="false">IFERROR(INDEX(CV_RATES!$K:$K,MATCH(F88,CV_RATES!$C:$C,0)),0)</f>
        <v>0</v>
      </c>
      <c r="I88" s="11" t="n">
        <v>365</v>
      </c>
    </row>
    <row r="89" customFormat="false" ht="15" hidden="false" customHeight="false" outlineLevel="0" collapsed="false">
      <c r="A89" s="1" t="str">
        <f aca="false">Inputs!$B$5</f>
        <v>07340050</v>
      </c>
      <c r="B89" s="1" t="n">
        <f aca="false">Inputs!$B$4</f>
        <v>34</v>
      </c>
      <c r="C89" s="3" t="n">
        <f aca="false">DATE(YEAR(C88)+1,MONTH(C88),DAY(C88))</f>
        <v>77954</v>
      </c>
      <c r="D89" s="7" t="b">
        <f aca="false">IF(E89&lt;&gt;"",D88+1)</f>
        <v>0</v>
      </c>
      <c r="E89" s="1" t="str">
        <f aca="false">IF(E88&lt;=100,E88+1,"")</f>
        <v/>
      </c>
      <c r="F89" s="1" t="n">
        <f aca="false">IF(D89&lt;&gt;"",F88+1,"")</f>
        <v>154</v>
      </c>
      <c r="G89" s="1" t="n">
        <f aca="false">IFERROR(INDEX(CV_RATES!$K:$K,MATCH(F89+1,CV_RATES!$C:$C,0)),0)</f>
        <v>0</v>
      </c>
      <c r="H89" s="1" t="n">
        <f aca="false">IFERROR(INDEX(CV_RATES!$K:$K,MATCH(F89,CV_RATES!$C:$C,0)),0)</f>
        <v>0</v>
      </c>
      <c r="I89" s="11" t="n">
        <v>365</v>
      </c>
    </row>
    <row r="90" customFormat="false" ht="15" hidden="false" customHeight="false" outlineLevel="0" collapsed="false">
      <c r="A90" s="1" t="str">
        <f aca="false">Inputs!$B$5</f>
        <v>07340050</v>
      </c>
      <c r="B90" s="1" t="n">
        <f aca="false">Inputs!$B$4</f>
        <v>34</v>
      </c>
      <c r="C90" s="3" t="n">
        <f aca="false">DATE(YEAR(C89)+1,MONTH(C89),DAY(C89))</f>
        <v>78319</v>
      </c>
      <c r="D90" s="7" t="b">
        <f aca="false">IF(E90&lt;&gt;"",D89+1)</f>
        <v>0</v>
      </c>
      <c r="E90" s="1" t="str">
        <f aca="false">IF(E89&lt;=100,E89+1,"")</f>
        <v/>
      </c>
      <c r="F90" s="1" t="n">
        <f aca="false">IF(D90&lt;&gt;"",F89+1,"")</f>
        <v>155</v>
      </c>
      <c r="G90" s="1" t="n">
        <f aca="false">IFERROR(INDEX(CV_RATES!$K:$K,MATCH(F90+1,CV_RATES!$C:$C,0)),0)</f>
        <v>0</v>
      </c>
      <c r="H90" s="1" t="n">
        <f aca="false">IFERROR(INDEX(CV_RATES!$K:$K,MATCH(F90,CV_RATES!$C:$C,0)),0)</f>
        <v>0</v>
      </c>
      <c r="I90" s="11" t="n">
        <v>365</v>
      </c>
    </row>
    <row r="91" customFormat="false" ht="15" hidden="false" customHeight="false" outlineLevel="0" collapsed="false">
      <c r="A91" s="1" t="str">
        <f aca="false">Inputs!$B$5</f>
        <v>07340050</v>
      </c>
      <c r="B91" s="1" t="n">
        <f aca="false">Inputs!$B$4</f>
        <v>34</v>
      </c>
      <c r="C91" s="3" t="n">
        <f aca="false">DATE(YEAR(C90)+1,MONTH(C90),DAY(C90))</f>
        <v>78684</v>
      </c>
      <c r="D91" s="7" t="b">
        <f aca="false">IF(E91&lt;&gt;"",D90+1)</f>
        <v>0</v>
      </c>
      <c r="E91" s="1" t="str">
        <f aca="false">IF(E90&lt;=100,E90+1,"")</f>
        <v/>
      </c>
      <c r="F91" s="1" t="n">
        <f aca="false">IF(D91&lt;&gt;"",F90+1,"")</f>
        <v>156</v>
      </c>
      <c r="G91" s="1" t="n">
        <f aca="false">IFERROR(INDEX(CV_RATES!$K:$K,MATCH(F91+1,CV_RATES!$C:$C,0)),0)</f>
        <v>0</v>
      </c>
      <c r="H91" s="1" t="n">
        <f aca="false">IFERROR(INDEX(CV_RATES!$K:$K,MATCH(F91,CV_RATES!$C:$C,0)),0)</f>
        <v>0</v>
      </c>
      <c r="I91" s="11" t="n">
        <v>365</v>
      </c>
    </row>
    <row r="92" customFormat="false" ht="15" hidden="false" customHeight="false" outlineLevel="0" collapsed="false">
      <c r="A92" s="1" t="str">
        <f aca="false">Inputs!$B$5</f>
        <v>07340050</v>
      </c>
      <c r="B92" s="1" t="n">
        <f aca="false">Inputs!$B$4</f>
        <v>34</v>
      </c>
      <c r="C92" s="3" t="n">
        <f aca="false">DATE(YEAR(C91)+1,MONTH(C91),DAY(C91))</f>
        <v>79050</v>
      </c>
      <c r="D92" s="7" t="b">
        <f aca="false">IF(E92&lt;&gt;"",D91+1)</f>
        <v>0</v>
      </c>
      <c r="E92" s="1" t="str">
        <f aca="false">IF(E91&lt;=100,E91+1,"")</f>
        <v/>
      </c>
      <c r="F92" s="1" t="n">
        <f aca="false">IF(D92&lt;&gt;"",F91+1,"")</f>
        <v>157</v>
      </c>
      <c r="G92" s="1" t="n">
        <f aca="false">IFERROR(INDEX(CV_RATES!$K:$K,MATCH(F92+1,CV_RATES!$C:$C,0)),0)</f>
        <v>0</v>
      </c>
      <c r="H92" s="1" t="n">
        <f aca="false">IFERROR(INDEX(CV_RATES!$K:$K,MATCH(F92,CV_RATES!$C:$C,0)),0)</f>
        <v>0</v>
      </c>
      <c r="I92" s="11" t="n">
        <v>365</v>
      </c>
    </row>
    <row r="93" customFormat="false" ht="15" hidden="false" customHeight="false" outlineLevel="0" collapsed="false">
      <c r="A93" s="1" t="str">
        <f aca="false">Inputs!$B$5</f>
        <v>07340050</v>
      </c>
      <c r="B93" s="1" t="n">
        <f aca="false">Inputs!$B$4</f>
        <v>34</v>
      </c>
      <c r="C93" s="3" t="n">
        <f aca="false">DATE(YEAR(C92)+1,MONTH(C92),DAY(C92))</f>
        <v>79415</v>
      </c>
      <c r="D93" s="7" t="b">
        <f aca="false">IF(E93&lt;&gt;"",D92+1)</f>
        <v>0</v>
      </c>
      <c r="E93" s="1" t="str">
        <f aca="false">IF(E92&lt;=100,E92+1,"")</f>
        <v/>
      </c>
      <c r="F93" s="1" t="n">
        <f aca="false">IF(D93&lt;&gt;"",F92+1,"")</f>
        <v>158</v>
      </c>
      <c r="G93" s="1" t="n">
        <f aca="false">IFERROR(INDEX(CV_RATES!$K:$K,MATCH(F93+1,CV_RATES!$C:$C,0)),0)</f>
        <v>0</v>
      </c>
      <c r="H93" s="1" t="n">
        <f aca="false">IFERROR(INDEX(CV_RATES!$K:$K,MATCH(F93,CV_RATES!$C:$C,0)),0)</f>
        <v>0</v>
      </c>
      <c r="I93" s="11" t="n">
        <v>365</v>
      </c>
    </row>
    <row r="94" customFormat="false" ht="15" hidden="false" customHeight="false" outlineLevel="0" collapsed="false">
      <c r="A94" s="1" t="str">
        <f aca="false">Inputs!$B$5</f>
        <v>07340050</v>
      </c>
      <c r="B94" s="1" t="n">
        <f aca="false">Inputs!$B$4</f>
        <v>34</v>
      </c>
      <c r="C94" s="3" t="n">
        <f aca="false">DATE(YEAR(C93)+1,MONTH(C93),DAY(C93))</f>
        <v>79780</v>
      </c>
      <c r="D94" s="7" t="b">
        <f aca="false">IF(E94&lt;&gt;"",D93+1)</f>
        <v>0</v>
      </c>
      <c r="E94" s="1" t="str">
        <f aca="false">IF(E93&lt;=100,E93+1,"")</f>
        <v/>
      </c>
      <c r="F94" s="1" t="n">
        <f aca="false">IF(D94&lt;&gt;"",F93+1,"")</f>
        <v>159</v>
      </c>
      <c r="G94" s="1" t="n">
        <f aca="false">IFERROR(INDEX(CV_RATES!$K:$K,MATCH(F94+1,CV_RATES!$C:$C,0)),0)</f>
        <v>0</v>
      </c>
      <c r="H94" s="1" t="n">
        <f aca="false">IFERROR(INDEX(CV_RATES!$K:$K,MATCH(F94,CV_RATES!$C:$C,0)),0)</f>
        <v>0</v>
      </c>
      <c r="I94" s="11" t="n">
        <v>365</v>
      </c>
    </row>
    <row r="95" customFormat="false" ht="15" hidden="false" customHeight="false" outlineLevel="0" collapsed="false">
      <c r="A95" s="1" t="str">
        <f aca="false">Inputs!$B$5</f>
        <v>07340050</v>
      </c>
      <c r="B95" s="1" t="n">
        <f aca="false">Inputs!$B$4</f>
        <v>34</v>
      </c>
      <c r="C95" s="3" t="n">
        <f aca="false">DATE(YEAR(C94)+1,MONTH(C94),DAY(C94))</f>
        <v>80145</v>
      </c>
      <c r="D95" s="7" t="b">
        <f aca="false">IF(E95&lt;&gt;"",D94+1)</f>
        <v>0</v>
      </c>
      <c r="E95" s="1" t="str">
        <f aca="false">IF(E94&lt;=100,E94+1,"")</f>
        <v/>
      </c>
      <c r="F95" s="1" t="n">
        <f aca="false">IF(D95&lt;&gt;"",F94+1,"")</f>
        <v>160</v>
      </c>
      <c r="G95" s="1" t="n">
        <f aca="false">IFERROR(INDEX(CV_RATES!$K:$K,MATCH(F95+1,CV_RATES!$C:$C,0)),0)</f>
        <v>0</v>
      </c>
      <c r="H95" s="1" t="n">
        <f aca="false">IFERROR(INDEX(CV_RATES!$K:$K,MATCH(F95,CV_RATES!$C:$C,0)),0)</f>
        <v>0</v>
      </c>
      <c r="I95" s="11" t="n">
        <v>365</v>
      </c>
    </row>
    <row r="96" customFormat="false" ht="15" hidden="false" customHeight="false" outlineLevel="0" collapsed="false">
      <c r="A96" s="1" t="str">
        <f aca="false">Inputs!$B$5</f>
        <v>07340050</v>
      </c>
      <c r="B96" s="1" t="n">
        <f aca="false">Inputs!$B$4</f>
        <v>34</v>
      </c>
      <c r="C96" s="3" t="n">
        <f aca="false">DATE(YEAR(C95)+1,MONTH(C95),DAY(C95))</f>
        <v>80511</v>
      </c>
      <c r="D96" s="7" t="b">
        <f aca="false">IF(E96&lt;&gt;"",D95+1)</f>
        <v>0</v>
      </c>
      <c r="E96" s="1" t="str">
        <f aca="false">IF(E95&lt;=100,E95+1,"")</f>
        <v/>
      </c>
      <c r="F96" s="1" t="n">
        <f aca="false">IF(D96&lt;&gt;"",F95+1,"")</f>
        <v>161</v>
      </c>
      <c r="G96" s="1" t="n">
        <f aca="false">IFERROR(INDEX(CV_RATES!$K:$K,MATCH(F96+1,CV_RATES!$C:$C,0)),0)</f>
        <v>0</v>
      </c>
      <c r="H96" s="1" t="n">
        <f aca="false">IFERROR(INDEX(CV_RATES!$K:$K,MATCH(F96,CV_RATES!$C:$C,0)),0)</f>
        <v>0</v>
      </c>
      <c r="I96" s="11" t="n">
        <v>365</v>
      </c>
    </row>
    <row r="97" customFormat="false" ht="15" hidden="false" customHeight="false" outlineLevel="0" collapsed="false">
      <c r="A97" s="1" t="str">
        <f aca="false">Inputs!$B$5</f>
        <v>07340050</v>
      </c>
      <c r="B97" s="1" t="n">
        <f aca="false">Inputs!$B$4</f>
        <v>34</v>
      </c>
      <c r="C97" s="3" t="n">
        <f aca="false">DATE(YEAR(C96)+1,MONTH(C96),DAY(C96))</f>
        <v>80876</v>
      </c>
      <c r="D97" s="7" t="b">
        <f aca="false">IF(E97&lt;&gt;"",D96+1)</f>
        <v>0</v>
      </c>
      <c r="E97" s="1" t="str">
        <f aca="false">IF(E96&lt;=100,E96+1,"")</f>
        <v/>
      </c>
      <c r="F97" s="1" t="n">
        <f aca="false">IF(D97&lt;&gt;"",F96+1,"")</f>
        <v>162</v>
      </c>
      <c r="G97" s="1" t="n">
        <f aca="false">IFERROR(INDEX(CV_RATES!$K:$K,MATCH(F97+1,CV_RATES!$C:$C,0)),0)</f>
        <v>0</v>
      </c>
      <c r="H97" s="1" t="n">
        <f aca="false">IFERROR(INDEX(CV_RATES!$K:$K,MATCH(F97,CV_RATES!$C:$C,0)),0)</f>
        <v>0</v>
      </c>
      <c r="I97" s="11" t="n">
        <v>365</v>
      </c>
    </row>
    <row r="98" customFormat="false" ht="15" hidden="false" customHeight="false" outlineLevel="0" collapsed="false">
      <c r="A98" s="1" t="str">
        <f aca="false">Inputs!$B$5</f>
        <v>07340050</v>
      </c>
      <c r="B98" s="1" t="n">
        <f aca="false">Inputs!$B$4</f>
        <v>34</v>
      </c>
      <c r="C98" s="3" t="n">
        <f aca="false">DATE(YEAR(C97)+1,MONTH(C97),DAY(C97))</f>
        <v>81241</v>
      </c>
      <c r="D98" s="7" t="b">
        <f aca="false">IF(E98&lt;&gt;"",D97+1)</f>
        <v>0</v>
      </c>
      <c r="E98" s="1" t="str">
        <f aca="false">IF(E97&lt;=100,E97+1,"")</f>
        <v/>
      </c>
      <c r="F98" s="1" t="n">
        <f aca="false">IF(D98&lt;&gt;"",F97+1,"")</f>
        <v>163</v>
      </c>
      <c r="G98" s="1" t="n">
        <f aca="false">IFERROR(INDEX(CV_RATES!$K:$K,MATCH(F98+1,CV_RATES!$C:$C,0)),0)</f>
        <v>0</v>
      </c>
      <c r="H98" s="1" t="n">
        <f aca="false">IFERROR(INDEX(CV_RATES!$K:$K,MATCH(F98,CV_RATES!$C:$C,0)),0)</f>
        <v>0</v>
      </c>
      <c r="I98" s="11" t="n">
        <v>365</v>
      </c>
    </row>
    <row r="99" customFormat="false" ht="15" hidden="false" customHeight="false" outlineLevel="0" collapsed="false">
      <c r="A99" s="1" t="str">
        <f aca="false">Inputs!$B$5</f>
        <v>07340050</v>
      </c>
      <c r="B99" s="1" t="n">
        <f aca="false">Inputs!$B$4</f>
        <v>34</v>
      </c>
      <c r="C99" s="3" t="n">
        <f aca="false">DATE(YEAR(C98)+1,MONTH(C98),DAY(C98))</f>
        <v>81606</v>
      </c>
      <c r="D99" s="7" t="b">
        <f aca="false">IF(E99&lt;&gt;"",D98+1)</f>
        <v>0</v>
      </c>
      <c r="E99" s="1" t="str">
        <f aca="false">IF(E98&lt;=100,E98+1,"")</f>
        <v/>
      </c>
      <c r="F99" s="1" t="n">
        <f aca="false">IF(D99&lt;&gt;"",F98+1,"")</f>
        <v>164</v>
      </c>
      <c r="G99" s="1" t="n">
        <f aca="false">IFERROR(INDEX(CV_RATES!$K:$K,MATCH(F99+1,CV_RATES!$C:$C,0)),0)</f>
        <v>0</v>
      </c>
      <c r="H99" s="1" t="n">
        <f aca="false">IFERROR(INDEX(CV_RATES!$K:$K,MATCH(F99,CV_RATES!$C:$C,0)),0)</f>
        <v>0</v>
      </c>
      <c r="I99" s="11" t="n">
        <v>365</v>
      </c>
    </row>
    <row r="100" customFormat="false" ht="15" hidden="false" customHeight="false" outlineLevel="0" collapsed="false">
      <c r="A100" s="1" t="str">
        <f aca="false">Inputs!$B$5</f>
        <v>07340050</v>
      </c>
      <c r="B100" s="1" t="n">
        <f aca="false">Inputs!$B$4</f>
        <v>34</v>
      </c>
      <c r="C100" s="3" t="n">
        <f aca="false">DATE(YEAR(C99)+1,MONTH(C99),DAY(C99))</f>
        <v>81972</v>
      </c>
      <c r="D100" s="7" t="b">
        <f aca="false">IF(E100&lt;&gt;"",D99+1)</f>
        <v>0</v>
      </c>
      <c r="E100" s="1" t="str">
        <f aca="false">IF(E99&lt;=100,E99+1,"")</f>
        <v/>
      </c>
      <c r="F100" s="1" t="n">
        <f aca="false">IF(D100&lt;&gt;"",F99+1,"")</f>
        <v>165</v>
      </c>
      <c r="G100" s="1" t="n">
        <f aca="false">IFERROR(INDEX(CV_RATES!$K:$K,MATCH(F100+1,CV_RATES!$C:$C,0)),0)</f>
        <v>0</v>
      </c>
      <c r="H100" s="1" t="n">
        <f aca="false">IFERROR(INDEX(CV_RATES!$K:$K,MATCH(F100,CV_RATES!$C:$C,0)),0)</f>
        <v>0</v>
      </c>
      <c r="I100" s="11" t="n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0.18"/>
    <col collapsed="false" customWidth="true" hidden="false" outlineLevel="0" max="3" min="3" style="1" width="11.82"/>
    <col collapsed="false" customWidth="true" hidden="false" outlineLevel="0" max="12" min="12" style="1" width="12.73"/>
    <col collapsed="false" customWidth="true" hidden="false" outlineLevel="0" max="13" min="13" style="1" width="16.54"/>
  </cols>
  <sheetData>
    <row r="1" customFormat="false" ht="15" hidden="false" customHeight="false" outlineLevel="0" collapsed="false">
      <c r="A1" s="1" t="s">
        <v>93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customFormat="false" ht="15" hidden="false" customHeight="false" outlineLevel="0" collapsed="false">
      <c r="A2" s="1" t="n">
        <v>0</v>
      </c>
      <c r="B2" s="8" t="n">
        <f aca="false">IF(A2="","",IFERROR(INDEX(MORTALITY!$B:$B,MATCH(A2,MORTALITY!$A:$A,0)),0))</f>
        <v>0.02258</v>
      </c>
      <c r="C2" s="1" t="n">
        <v>10000000</v>
      </c>
      <c r="D2" s="1" t="n">
        <f aca="false">IF(A2="","",IFERROR(C2*B2,0))</f>
        <v>225800</v>
      </c>
      <c r="E2" s="1" t="n">
        <f aca="false">IF(A2="","",IFERROR((1/(1+Inputs!$B$23))^A2,0))</f>
        <v>1</v>
      </c>
      <c r="F2" s="1" t="n">
        <f aca="false">IF(A2="","",IFERROR(C2*E2,0))</f>
        <v>10000000</v>
      </c>
      <c r="G2" s="1" t="n">
        <f aca="false">IF(A2="","",IFERROR(D2*(1/(1+Inputs!$B$23))^(A2+1),0))</f>
        <v>220292.682926829</v>
      </c>
      <c r="H2" s="1" t="n">
        <f aca="false">IF(A2="","",IFERROR(IF(B2=1,F2,F2+H3),0))</f>
        <v>306658053.671404</v>
      </c>
      <c r="I2" s="1" t="n">
        <f aca="false">IF(A2="","",IFERROR(IF(B2=1,G2,G2+I3),0))</f>
        <v>2520535.27630726</v>
      </c>
      <c r="J2" s="1" t="n">
        <f aca="false">IF(A2="","",IFERROR(H2/F2,0))</f>
        <v>30.6658053671404</v>
      </c>
      <c r="K2" s="1" t="n">
        <f aca="false">IF(A2="","",IFERROR(I2/F2,0))</f>
        <v>0.252053527630726</v>
      </c>
      <c r="L2" s="1" t="n">
        <f aca="false">IF(A2="","",IFERROR(1000*I2/H2,0))</f>
        <v>8.21936761852703</v>
      </c>
      <c r="M2" s="1" t="n">
        <f aca="false">IF(A2="","",IFERROR(1000*I2/(H2-INDEX(H:H,MATCH(A2+Inputs!$B$8,$A:$A,0))),0))</f>
        <v>12.4098660005352</v>
      </c>
    </row>
    <row r="3" customFormat="false" ht="15" hidden="false" customHeight="false" outlineLevel="0" collapsed="false">
      <c r="A3" s="1" t="n">
        <f aca="false">IF(OR(A2="",A2&gt;=MAX(MORTALITY!$A:$A)),"",A2+1)</f>
        <v>1</v>
      </c>
      <c r="B3" s="8" t="n">
        <f aca="false">IF(A3="","",IFERROR(INDEX(MORTALITY!$B:$B,MATCH(A3,MORTALITY!$A:$A,0)),0))</f>
        <v>0.00577</v>
      </c>
      <c r="C3" s="1" t="n">
        <f aca="false">IF(A3="","",IFERROR(C2*(1-B2),0))</f>
        <v>9774200</v>
      </c>
      <c r="D3" s="1" t="n">
        <f aca="false">IF(A3="","",IFERROR(C3*B3,0))</f>
        <v>56397.134</v>
      </c>
      <c r="E3" s="1" t="n">
        <f aca="false">IF(A3="","",IFERROR((1/(1+Inputs!$B$23))^A3,0))</f>
        <v>0.975609756097561</v>
      </c>
      <c r="F3" s="1" t="n">
        <f aca="false">IF(A3="","",IFERROR(C3*E3,0))</f>
        <v>9535804.87804878</v>
      </c>
      <c r="G3" s="1" t="n">
        <f aca="false">IF(A3="","",IFERROR(D3*(1/(1+Inputs!$B$23))^(A3+1),0))</f>
        <v>53679.6040452112</v>
      </c>
      <c r="H3" s="1" t="n">
        <f aca="false">IF(A3="","",IFERROR(IF(B3=1,F3,F3+H4),0))</f>
        <v>296658053.671404</v>
      </c>
      <c r="I3" s="1" t="n">
        <f aca="false">IF(A3="","",IFERROR(IF(B3=1,G3,G3+I4),0))</f>
        <v>2300242.59338043</v>
      </c>
      <c r="J3" s="1" t="n">
        <f aca="false">IF(A3="","",IFERROR(H3/F3,0))</f>
        <v>31.1099123215392</v>
      </c>
      <c r="K3" s="1" t="n">
        <f aca="false">IF(A3="","",IFERROR(I3/F3,0))</f>
        <v>0.241221650694168</v>
      </c>
      <c r="L3" s="1" t="n">
        <f aca="false">IF(A3="","",IFERROR(1000*I3/H3,0))</f>
        <v>7.75385183349284</v>
      </c>
      <c r="M3" s="1" t="n">
        <f aca="false">IF(A3="","",IFERROR(1000*I3/(H3-INDEX(H:H,MATCH(A3+Inputs!$B$8,$A:$A,0))),0))</f>
        <v>11.6517628184082</v>
      </c>
    </row>
    <row r="4" customFormat="false" ht="15" hidden="false" customHeight="false" outlineLevel="0" collapsed="false">
      <c r="A4" s="1" t="n">
        <f aca="false">IF(OR(A3="",A3&gt;=MAX(MORTALITY!$A:$A)),"",A3+1)</f>
        <v>2</v>
      </c>
      <c r="B4" s="8" t="n">
        <f aca="false">IF(A4="","",IFERROR(INDEX(MORTALITY!$B:$B,MATCH(A4,MORTALITY!$A:$A,0)),0))</f>
        <v>0.00414</v>
      </c>
      <c r="C4" s="1" t="n">
        <f aca="false">IF(A4="","",IFERROR(C3*(1-B3),0))</f>
        <v>9717802.866</v>
      </c>
      <c r="D4" s="1" t="n">
        <f aca="false">IF(A4="","",IFERROR(C4*B4,0))</f>
        <v>40231.70386524</v>
      </c>
      <c r="E4" s="1" t="n">
        <f aca="false">IF(A4="","",IFERROR((1/(1+Inputs!$B$23))^A4,0))</f>
        <v>0.951814396192743</v>
      </c>
      <c r="F4" s="1" t="n">
        <f aca="false">IF(A4="","",IFERROR(C4*E4,0))</f>
        <v>9249544.66722189</v>
      </c>
      <c r="G4" s="1" t="n">
        <f aca="false">IF(A4="","",IFERROR(D4*(1/(1+Inputs!$B$23))^(A4+1),0))</f>
        <v>37359.1365095597</v>
      </c>
      <c r="H4" s="1" t="n">
        <f aca="false">IF(A4="","",IFERROR(IF(B4=1,F4,F4+H5),0))</f>
        <v>287122248.793355</v>
      </c>
      <c r="I4" s="1" t="n">
        <f aca="false">IF(A4="","",IFERROR(IF(B4=1,G4,G4+I5),0))</f>
        <v>2246562.98933522</v>
      </c>
      <c r="J4" s="1" t="n">
        <f aca="false">IF(A4="","",IFERROR(H4/F4,0))</f>
        <v>31.0417711491081</v>
      </c>
      <c r="K4" s="1" t="n">
        <f aca="false">IF(A4="","",IFERROR(I4/F4,0))</f>
        <v>0.242883630509563</v>
      </c>
      <c r="L4" s="1" t="n">
        <f aca="false">IF(A4="","",IFERROR(1000*I4/H4,0))</f>
        <v>7.82441276765039</v>
      </c>
      <c r="M4" s="1" t="n">
        <f aca="false">IF(A4="","",IFERROR(1000*I4/(H4-INDEX(H:H,MATCH(A4+Inputs!$B$8,$A:$A,0))),0))</f>
        <v>11.6966781641869</v>
      </c>
    </row>
    <row r="5" customFormat="false" ht="15" hidden="false" customHeight="false" outlineLevel="0" collapsed="false">
      <c r="A5" s="1" t="n">
        <f aca="false">IF(OR(A4="",A4&gt;=MAX(MORTALITY!$A:$A)),"",A4+1)</f>
        <v>3</v>
      </c>
      <c r="B5" s="8" t="n">
        <f aca="false">IF(A5="","",IFERROR(INDEX(MORTALITY!$B:$B,MATCH(A5,MORTALITY!$A:$A,0)),0))</f>
        <v>0.00338</v>
      </c>
      <c r="C5" s="1" t="n">
        <f aca="false">IF(A5="","",IFERROR(C4*(1-B4),0))</f>
        <v>9677571.16213476</v>
      </c>
      <c r="D5" s="1" t="n">
        <f aca="false">IF(A5="","",IFERROR(C5*B5,0))</f>
        <v>32710.1905280155</v>
      </c>
      <c r="E5" s="1" t="n">
        <f aca="false">IF(A5="","",IFERROR((1/(1+Inputs!$B$23))^A5,0))</f>
        <v>0.928599410919749</v>
      </c>
      <c r="F5" s="1" t="n">
        <f aca="false">IF(A5="","",IFERROR(C5*E5,0))</f>
        <v>8986586.88029229</v>
      </c>
      <c r="G5" s="1" t="n">
        <f aca="false">IF(A5="","",IFERROR(D5*(1/(1+Inputs!$B$23))^(A5+1),0))</f>
        <v>29633.8182003785</v>
      </c>
      <c r="H5" s="1" t="n">
        <f aca="false">IF(A5="","",IFERROR(IF(B5=1,F5,F5+H6),0))</f>
        <v>277872704.126133</v>
      </c>
      <c r="I5" s="1" t="n">
        <f aca="false">IF(A5="","",IFERROR(IF(B5=1,G5,G5+I6),0))</f>
        <v>2209203.85282566</v>
      </c>
      <c r="J5" s="1" t="n">
        <f aca="false">IF(A5="","",IFERROR(H5/F5,0))</f>
        <v>30.9208276543247</v>
      </c>
      <c r="K5" s="1" t="n">
        <f aca="false">IF(A5="","",IFERROR(I5/F5,0))</f>
        <v>0.245833471845743</v>
      </c>
      <c r="L5" s="1" t="n">
        <f aca="false">IF(A5="","",IFERROR(1000*I5/H5,0))</f>
        <v>7.95041693560102</v>
      </c>
      <c r="M5" s="1" t="n">
        <f aca="false">IF(A5="","",IFERROR(1000*I5/(H5-INDEX(H:H,MATCH(A5+Inputs!$B$8,$A:$A,0))),0))</f>
        <v>11.8208814588151</v>
      </c>
    </row>
    <row r="6" customFormat="false" ht="15" hidden="false" customHeight="false" outlineLevel="0" collapsed="false">
      <c r="A6" s="1" t="n">
        <f aca="false">IF(OR(A5="",A5&gt;=MAX(MORTALITY!$A:$A)),"",A5+1)</f>
        <v>4</v>
      </c>
      <c r="B6" s="8" t="n">
        <f aca="false">IF(A6="","",IFERROR(INDEX(MORTALITY!$B:$B,MATCH(A6,MORTALITY!$A:$A,0)),0))</f>
        <v>0.00299</v>
      </c>
      <c r="C6" s="1" t="n">
        <f aca="false">IF(A6="","",IFERROR(C5*(1-B5),0))</f>
        <v>9644860.97160674</v>
      </c>
      <c r="D6" s="1" t="n">
        <f aca="false">IF(A6="","",IFERROR(C6*B6,0))</f>
        <v>28838.1343051042</v>
      </c>
      <c r="E6" s="1" t="n">
        <f aca="false">IF(A6="","",IFERROR((1/(1+Inputs!$B$23))^A6,0))</f>
        <v>0.905950644799755</v>
      </c>
      <c r="F6" s="1" t="n">
        <f aca="false">IF(A6="","",IFERROR(C6*E6,0))</f>
        <v>8737768.01623112</v>
      </c>
      <c r="G6" s="1" t="n">
        <f aca="false">IF(A6="","",IFERROR(D6*(1/(1+Inputs!$B$23))^(A6+1),0))</f>
        <v>25488.7086522254</v>
      </c>
      <c r="H6" s="1" t="n">
        <f aca="false">IF(A6="","",IFERROR(IF(B6=1,F6,F6+H7),0))</f>
        <v>268886117.245841</v>
      </c>
      <c r="I6" s="1" t="n">
        <f aca="false">IF(A6="","",IFERROR(IF(B6=1,G6,G6+I7),0))</f>
        <v>2179570.03462528</v>
      </c>
      <c r="J6" s="1" t="n">
        <f aca="false">IF(A6="","",IFERROR(H6/F6,0))</f>
        <v>30.77286061456</v>
      </c>
      <c r="K6" s="1" t="n">
        <f aca="false">IF(A6="","",IFERROR(I6/F6,0))</f>
        <v>0.249442424035125</v>
      </c>
      <c r="L6" s="1" t="n">
        <f aca="false">IF(A6="","",IFERROR(1000*I6/H6,0))</f>
        <v>8.10592252567846</v>
      </c>
      <c r="M6" s="1" t="n">
        <f aca="false">IF(A6="","",IFERROR(1000*I6/(H6-INDEX(H:H,MATCH(A6+Inputs!$B$8,$A:$A,0))),0))</f>
        <v>11.9849104705639</v>
      </c>
    </row>
    <row r="7" customFormat="false" ht="15" hidden="false" customHeight="false" outlineLevel="0" collapsed="false">
      <c r="A7" s="1" t="n">
        <f aca="false">IF(OR(A6="",A6&gt;=MAX(MORTALITY!$A:$A)),"",A6+1)</f>
        <v>5</v>
      </c>
      <c r="B7" s="8" t="n">
        <f aca="false">IF(A7="","",IFERROR(INDEX(MORTALITY!$B:$B,MATCH(A7,MORTALITY!$A:$A,0)),0))</f>
        <v>0.00276</v>
      </c>
      <c r="C7" s="1" t="n">
        <f aca="false">IF(A7="","",IFERROR(C6*(1-B6),0))</f>
        <v>9616022.83730164</v>
      </c>
      <c r="D7" s="1" t="n">
        <f aca="false">IF(A7="","",IFERROR(C7*B7,0))</f>
        <v>26540.2230309525</v>
      </c>
      <c r="E7" s="1" t="n">
        <f aca="false">IF(A7="","",IFERROR((1/(1+Inputs!$B$23))^A7,0))</f>
        <v>0.883854287609517</v>
      </c>
      <c r="F7" s="1" t="n">
        <f aca="false">IF(A7="","",IFERROR(C7*E7,0))</f>
        <v>8499163.01450009</v>
      </c>
      <c r="G7" s="1" t="n">
        <f aca="false">IF(A7="","",IFERROR(D7*(1/(1+Inputs!$B$23))^(A7+1),0))</f>
        <v>22885.5511414832</v>
      </c>
      <c r="H7" s="1" t="n">
        <f aca="false">IF(A7="","",IFERROR(IF(B7=1,F7,F7+H8),0))</f>
        <v>260148349.22961</v>
      </c>
      <c r="I7" s="1" t="n">
        <f aca="false">IF(A7="","",IFERROR(IF(B7=1,G7,G7+I8),0))</f>
        <v>2154081.32597305</v>
      </c>
      <c r="J7" s="1" t="n">
        <f aca="false">IF(A7="","",IFERROR(H7/F7,0))</f>
        <v>30.6087021493505</v>
      </c>
      <c r="K7" s="1" t="n">
        <f aca="false">IF(A7="","",IFERROR(I7/F7,0))</f>
        <v>0.253446289040234</v>
      </c>
      <c r="L7" s="1" t="n">
        <f aca="false">IF(A7="","",IFERROR(1000*I7/H7,0))</f>
        <v>8.28020370819974</v>
      </c>
      <c r="M7" s="1" t="n">
        <f aca="false">IF(A7="","",IFERROR(1000*I7/(H7-INDEX(H:H,MATCH(A7+Inputs!$B$8,$A:$A,0))),0))</f>
        <v>12.1723223341529</v>
      </c>
    </row>
    <row r="8" customFormat="false" ht="15" hidden="false" customHeight="false" outlineLevel="0" collapsed="false">
      <c r="A8" s="1" t="n">
        <f aca="false">IF(OR(A7="",A7&gt;=MAX(MORTALITY!$A:$A)),"",A7+1)</f>
        <v>6</v>
      </c>
      <c r="B8" s="8" t="n">
        <f aca="false">IF(A8="","",IFERROR(INDEX(MORTALITY!$B:$B,MATCH(A8,MORTALITY!$A:$A,0)),0))</f>
        <v>0.00261</v>
      </c>
      <c r="C8" s="1" t="n">
        <f aca="false">IF(A8="","",IFERROR(C7*(1-B7),0))</f>
        <v>9589482.61427069</v>
      </c>
      <c r="D8" s="1" t="n">
        <f aca="false">IF(A8="","",IFERROR(C8*B8,0))</f>
        <v>25028.5496232465</v>
      </c>
      <c r="E8" s="1" t="n">
        <f aca="false">IF(A8="","",IFERROR((1/(1+Inputs!$B$23))^A8,0))</f>
        <v>0.862296865960505</v>
      </c>
      <c r="F8" s="1" t="n">
        <f aca="false">IF(A8="","",IFERROR(C8*E8,0))</f>
        <v>8268980.80446836</v>
      </c>
      <c r="G8" s="1" t="n">
        <f aca="false">IF(A8="","",IFERROR(D8*(1/(1+Inputs!$B$23))^(A8+1),0))</f>
        <v>21055.6486825975</v>
      </c>
      <c r="H8" s="1" t="n">
        <f aca="false">IF(A8="","",IFERROR(IF(B8=1,F8,F8+H9),0))</f>
        <v>251649186.215109</v>
      </c>
      <c r="I8" s="1" t="n">
        <f aca="false">IF(A8="","",IFERROR(IF(B8=1,G8,G8+I9),0))</f>
        <v>2131195.77483157</v>
      </c>
      <c r="J8" s="1" t="n">
        <f aca="false">IF(A8="","",IFERROR(H8/F8,0))</f>
        <v>30.4329145472347</v>
      </c>
      <c r="K8" s="1" t="n">
        <f aca="false">IF(A8="","",IFERROR(I8/F8,0))</f>
        <v>0.257733791530865</v>
      </c>
      <c r="L8" s="1" t="n">
        <f aca="false">IF(A8="","",IFERROR(1000*I8/H8,0))</f>
        <v>8.46891582240138</v>
      </c>
      <c r="M8" s="1" t="n">
        <f aca="false">IF(A8="","",IFERROR(1000*I8/(H8-INDEX(H:H,MATCH(A8+Inputs!$B$8,$A:$A,0))),0))</f>
        <v>12.3762777462019</v>
      </c>
    </row>
    <row r="9" customFormat="false" ht="15" hidden="false" customHeight="false" outlineLevel="0" collapsed="false">
      <c r="A9" s="1" t="n">
        <f aca="false">IF(OR(A8="",A8&gt;=MAX(MORTALITY!$A:$A)),"",A8+1)</f>
        <v>7</v>
      </c>
      <c r="B9" s="8" t="n">
        <f aca="false">IF(A9="","",IFERROR(INDEX(MORTALITY!$B:$B,MATCH(A9,MORTALITY!$A:$A,0)),0))</f>
        <v>0.00247</v>
      </c>
      <c r="C9" s="1" t="n">
        <f aca="false">IF(A9="","",IFERROR(C8*(1-B8),0))</f>
        <v>9564454.06464744</v>
      </c>
      <c r="D9" s="1" t="n">
        <f aca="false">IF(A9="","",IFERROR(C9*B9,0))</f>
        <v>23624.2015396792</v>
      </c>
      <c r="E9" s="1" t="n">
        <f aca="false">IF(A9="","",IFERROR((1/(1+Inputs!$B$23))^A9,0))</f>
        <v>0.841265235083419</v>
      </c>
      <c r="F9" s="1" t="n">
        <f aca="false">IF(A9="","",IFERROR(C9*E9,0))</f>
        <v>8046242.69714019</v>
      </c>
      <c r="G9" s="1" t="n">
        <f aca="false">IF(A9="","",IFERROR(D9*(1/(1+Inputs!$B$23))^(A9+1),0))</f>
        <v>19389.4824018891</v>
      </c>
      <c r="H9" s="1" t="n">
        <f aca="false">IF(A9="","",IFERROR(IF(B9=1,F9,F9+H10),0))</f>
        <v>243380205.410641</v>
      </c>
      <c r="I9" s="1" t="n">
        <f aca="false">IF(A9="","",IFERROR(IF(B9=1,G9,G9+I10),0))</f>
        <v>2110140.12614897</v>
      </c>
      <c r="J9" s="1" t="n">
        <f aca="false">IF(A9="","",IFERROR(H9/F9,0))</f>
        <v>30.2476838658053</v>
      </c>
      <c r="K9" s="1" t="n">
        <f aca="false">IF(A9="","",IFERROR(I9/F9,0))</f>
        <v>0.262251613029142</v>
      </c>
      <c r="L9" s="1" t="n">
        <f aca="false">IF(A9="","",IFERROR(1000*I9/H9,0))</f>
        <v>8.67013865235531</v>
      </c>
      <c r="M9" s="1" t="n">
        <f aca="false">IF(A9="","",IFERROR(1000*I9/(H9-INDEX(H:H,MATCH(A9+Inputs!$B$8,$A:$A,0))),0))</f>
        <v>12.5935659797843</v>
      </c>
    </row>
    <row r="10" customFormat="false" ht="15" hidden="false" customHeight="false" outlineLevel="0" collapsed="false">
      <c r="A10" s="1" t="n">
        <f aca="false">IF(OR(A9="",A9&gt;=MAX(MORTALITY!$A:$A)),"",A9+1)</f>
        <v>8</v>
      </c>
      <c r="B10" s="8" t="n">
        <f aca="false">IF(A10="","",IFERROR(INDEX(MORTALITY!$B:$B,MATCH(A10,MORTALITY!$A:$A,0)),0))</f>
        <v>0.00231</v>
      </c>
      <c r="C10" s="1" t="n">
        <f aca="false">IF(A10="","",IFERROR(C9*(1-B9),0))</f>
        <v>9540829.86310776</v>
      </c>
      <c r="D10" s="1" t="n">
        <f aca="false">IF(A10="","",IFERROR(C10*B10,0))</f>
        <v>22039.3169837789</v>
      </c>
      <c r="E10" s="1" t="n">
        <f aca="false">IF(A10="","",IFERROR((1/(1+Inputs!$B$23))^A10,0))</f>
        <v>0.820746570813092</v>
      </c>
      <c r="F10" s="1" t="n">
        <f aca="false">IF(A10="","",IFERROR(C10*E10,0))</f>
        <v>7830603.39285684</v>
      </c>
      <c r="G10" s="1" t="n">
        <f aca="false">IF(A10="","",IFERROR(D10*(1/(1+Inputs!$B$23))^(A10+1),0))</f>
        <v>17647.5061829261</v>
      </c>
      <c r="H10" s="1" t="n">
        <f aca="false">IF(A10="","",IFERROR(IF(B10=1,F10,F10+H11),0))</f>
        <v>235333962.713501</v>
      </c>
      <c r="I10" s="1" t="n">
        <f aca="false">IF(A10="","",IFERROR(IF(B10=1,G10,G10+I11),0))</f>
        <v>2090750.64374708</v>
      </c>
      <c r="J10" s="1" t="n">
        <f aca="false">IF(A10="","",IFERROR(H10/F10,0))</f>
        <v>30.053107137079</v>
      </c>
      <c r="K10" s="1" t="n">
        <f aca="false">IF(A10="","",IFERROR(I10/F10,0))</f>
        <v>0.266997386900515</v>
      </c>
      <c r="L10" s="1" t="n">
        <f aca="false">IF(A10="","",IFERROR(1000*I10/H10,0))</f>
        <v>8.88418577429215</v>
      </c>
      <c r="M10" s="1" t="n">
        <f aca="false">IF(A10="","",IFERROR(1000*I10/(H10-INDEX(H:H,MATCH(A10+Inputs!$B$8,$A:$A,0))),0))</f>
        <v>12.8242483899431</v>
      </c>
    </row>
    <row r="11" customFormat="false" ht="15" hidden="false" customHeight="false" outlineLevel="0" collapsed="false">
      <c r="A11" s="1" t="n">
        <f aca="false">IF(OR(A10="",A10&gt;=MAX(MORTALITY!$A:$A)),"",A10+1)</f>
        <v>9</v>
      </c>
      <c r="B11" s="8" t="n">
        <f aca="false">IF(A11="","",IFERROR(INDEX(MORTALITY!$B:$B,MATCH(A11,MORTALITY!$A:$A,0)),0))</f>
        <v>0.00212</v>
      </c>
      <c r="C11" s="1" t="n">
        <f aca="false">IF(A11="","",IFERROR(C10*(1-B10),0))</f>
        <v>9518790.54612398</v>
      </c>
      <c r="D11" s="1" t="n">
        <f aca="false">IF(A11="","",IFERROR(C11*B11,0))</f>
        <v>20179.8359577828</v>
      </c>
      <c r="E11" s="1" t="n">
        <f aca="false">IF(A11="","",IFERROR((1/(1+Inputs!$B$23))^A11,0))</f>
        <v>0.80072836176887</v>
      </c>
      <c r="F11" s="1" t="n">
        <f aca="false">IF(A11="","",IFERROR(C11*E11,0))</f>
        <v>7621965.56001887</v>
      </c>
      <c r="G11" s="1" t="n">
        <f aca="false">IF(A11="","",IFERROR(D11*(1/(1+Inputs!$B$23))^(A11+1),0))</f>
        <v>15764.4555973073</v>
      </c>
      <c r="H11" s="1" t="n">
        <f aca="false">IF(A11="","",IFERROR(IF(B11=1,F11,F11+H12),0))</f>
        <v>227503359.320644</v>
      </c>
      <c r="I11" s="1" t="n">
        <f aca="false">IF(A11="","",IFERROR(IF(B11=1,G11,G11+I12),0))</f>
        <v>2073103.13756416</v>
      </c>
      <c r="J11" s="1" t="n">
        <f aca="false">IF(A11="","",IFERROR(H11/F11,0))</f>
        <v>29.8483845838948</v>
      </c>
      <c r="K11" s="1" t="n">
        <f aca="false">IF(A11="","",IFERROR(I11/F11,0))</f>
        <v>0.271990619905009</v>
      </c>
      <c r="L11" s="1" t="n">
        <f aca="false">IF(A11="","",IFERROR(1000*I11/H11,0))</f>
        <v>9.11240670799203</v>
      </c>
      <c r="M11" s="1" t="n">
        <f aca="false">IF(A11="","",IFERROR(1000*I11/(H11-INDEX(H:H,MATCH(A11+Inputs!$B$8,$A:$A,0))),0))</f>
        <v>13.069851931418</v>
      </c>
    </row>
    <row r="12" customFormat="false" ht="15" hidden="false" customHeight="false" outlineLevel="0" collapsed="false">
      <c r="A12" s="1" t="n">
        <f aca="false">IF(OR(A11="",A11&gt;=MAX(MORTALITY!$A:$A)),"",A11+1)</f>
        <v>10</v>
      </c>
      <c r="B12" s="8" t="n">
        <f aca="false">IF(A12="","",IFERROR(INDEX(MORTALITY!$B:$B,MATCH(A12,MORTALITY!$A:$A,0)),0))</f>
        <v>0.00197</v>
      </c>
      <c r="C12" s="1" t="n">
        <f aca="false">IF(A12="","",IFERROR(C11*(1-B11),0))</f>
        <v>9498610.7101662</v>
      </c>
      <c r="D12" s="1" t="n">
        <f aca="false">IF(A12="","",IFERROR(C12*B12,0))</f>
        <v>18712.2630990274</v>
      </c>
      <c r="E12" s="1" t="n">
        <f aca="false">IF(A12="","",IFERROR((1/(1+Inputs!$B$23))^A12,0))</f>
        <v>0.781198401725727</v>
      </c>
      <c r="F12" s="1" t="n">
        <f aca="false">IF(A12="","",IFERROR(C12*E12,0))</f>
        <v>7420299.50539671</v>
      </c>
      <c r="G12" s="1" t="n">
        <f aca="false">IF(A12="","",IFERROR(D12*(1/(1+Inputs!$B$23))^(A12+1),0))</f>
        <v>14261.4536835429</v>
      </c>
      <c r="H12" s="1" t="n">
        <f aca="false">IF(A12="","",IFERROR(IF(B12=1,F12,F12+H13),0))</f>
        <v>219881393.760625</v>
      </c>
      <c r="I12" s="1" t="n">
        <f aca="false">IF(A12="","",IFERROR(IF(B12=1,G12,G12+I13),0))</f>
        <v>2057338.68196685</v>
      </c>
      <c r="J12" s="1" t="n">
        <f aca="false">IF(A12="","",IFERROR(H12/F12,0))</f>
        <v>29.6324149181185</v>
      </c>
      <c r="K12" s="1" t="n">
        <f aca="false">IF(A12="","",IFERROR(I12/F12,0))</f>
        <v>0.277258172728819</v>
      </c>
      <c r="L12" s="1" t="n">
        <f aca="false">IF(A12="","",IFERROR(1000*I12/H12,0))</f>
        <v>9.35658377810076</v>
      </c>
      <c r="M12" s="1" t="n">
        <f aca="false">IF(A12="","",IFERROR(1000*I12/(H12-INDEX(H:H,MATCH(A12+Inputs!$B$8,$A:$A,0))),0))</f>
        <v>13.3324669942606</v>
      </c>
    </row>
    <row r="13" customFormat="false" ht="15" hidden="false" customHeight="false" outlineLevel="0" collapsed="false">
      <c r="A13" s="1" t="n">
        <f aca="false">IF(OR(A12="",A12&gt;=MAX(MORTALITY!$A:$A)),"",A12+1)</f>
        <v>11</v>
      </c>
      <c r="B13" s="8" t="n">
        <f aca="false">IF(A13="","",IFERROR(INDEX(MORTALITY!$B:$B,MATCH(A13,MORTALITY!$A:$A,0)),0))</f>
        <v>0.00191</v>
      </c>
      <c r="C13" s="1" t="n">
        <f aca="false">IF(A13="","",IFERROR(C12*(1-B12),0))</f>
        <v>9479898.44706717</v>
      </c>
      <c r="D13" s="1" t="n">
        <f aca="false">IF(A13="","",IFERROR(C13*B13,0))</f>
        <v>18106.6060338983</v>
      </c>
      <c r="E13" s="1" t="n">
        <f aca="false">IF(A13="","",IFERROR((1/(1+Inputs!$B$23))^A13,0))</f>
        <v>0.762144782171441</v>
      </c>
      <c r="F13" s="1" t="n">
        <f aca="false">IF(A13="","",IFERROR(C13*E13,0))</f>
        <v>7225055.13694739</v>
      </c>
      <c r="G13" s="1" t="n">
        <f aca="false">IF(A13="","",IFERROR(D13*(1/(1+Inputs!$B$23))^(A13+1),0))</f>
        <v>13463.273474702</v>
      </c>
      <c r="H13" s="1" t="n">
        <f aca="false">IF(A13="","",IFERROR(IF(B13=1,F13,F13+H14),0))</f>
        <v>212461094.255228</v>
      </c>
      <c r="I13" s="1" t="n">
        <f aca="false">IF(A13="","",IFERROR(IF(B13=1,G13,G13+I14),0))</f>
        <v>2043077.22828331</v>
      </c>
      <c r="J13" s="1" t="n">
        <f aca="false">IF(A13="","",IFERROR(H13/F13,0))</f>
        <v>29.4061554172435</v>
      </c>
      <c r="K13" s="1" t="n">
        <f aca="false">IF(A13="","",IFERROR(I13/F13,0))</f>
        <v>0.282776697140406</v>
      </c>
      <c r="L13" s="1" t="n">
        <f aca="false">IF(A13="","",IFERROR(1000*I13/H13,0))</f>
        <v>9.61624167212925</v>
      </c>
      <c r="M13" s="1" t="n">
        <f aca="false">IF(A13="","",IFERROR(1000*I13/(H13-INDEX(H:H,MATCH(A13+Inputs!$B$8,$A:$A,0))),0))</f>
        <v>13.6109250834486</v>
      </c>
    </row>
    <row r="14" customFormat="false" ht="15" hidden="false" customHeight="false" outlineLevel="0" collapsed="false">
      <c r="A14" s="1" t="n">
        <f aca="false">IF(OR(A13="",A13&gt;=MAX(MORTALITY!$A:$A)),"",A13+1)</f>
        <v>12</v>
      </c>
      <c r="B14" s="8" t="n">
        <f aca="false">IF(A14="","",IFERROR(INDEX(MORTALITY!$B:$B,MATCH(A14,MORTALITY!$A:$A,0)),0))</f>
        <v>0.00192</v>
      </c>
      <c r="C14" s="1" t="n">
        <f aca="false">IF(A14="","",IFERROR(C13*(1-B13),0))</f>
        <v>9461791.84103327</v>
      </c>
      <c r="D14" s="1" t="n">
        <f aca="false">IF(A14="","",IFERROR(C14*B14,0))</f>
        <v>18166.6403347839</v>
      </c>
      <c r="E14" s="1" t="n">
        <f aca="false">IF(A14="","",IFERROR((1/(1+Inputs!$B$23))^A14,0))</f>
        <v>0.743555885045309</v>
      </c>
      <c r="F14" s="1" t="n">
        <f aca="false">IF(A14="","",IFERROR(C14*E14,0))</f>
        <v>7035371.00647398</v>
      </c>
      <c r="G14" s="1" t="n">
        <f aca="false">IF(A14="","",IFERROR(D14*(1/(1+Inputs!$B$23))^(A14+1),0))</f>
        <v>13178.4510560293</v>
      </c>
      <c r="H14" s="1" t="n">
        <f aca="false">IF(A14="","",IFERROR(IF(B14=1,F14,F14+H15),0))</f>
        <v>205236039.118281</v>
      </c>
      <c r="I14" s="1" t="n">
        <f aca="false">IF(A14="","",IFERROR(IF(B14=1,G14,G14+I15),0))</f>
        <v>2029613.95480861</v>
      </c>
      <c r="J14" s="1" t="n">
        <f aca="false">IF(A14="","",IFERROR(H14/F14,0))</f>
        <v>29.1720278759176</v>
      </c>
      <c r="K14" s="1" t="n">
        <f aca="false">IF(A14="","",IFERROR(I14/F14,0))</f>
        <v>0.288487124977623</v>
      </c>
      <c r="L14" s="1" t="n">
        <f aca="false">IF(A14="","",IFERROR(1000*I14/H14,0))</f>
        <v>9.88916938529936</v>
      </c>
      <c r="M14" s="1" t="n">
        <f aca="false">IF(A14="","",IFERROR(1000*I14/(H14-INDEX(H:H,MATCH(A14+Inputs!$B$8,$A:$A,0))),0))</f>
        <v>13.901620603315</v>
      </c>
    </row>
    <row r="15" customFormat="false" ht="15" hidden="false" customHeight="false" outlineLevel="0" collapsed="false">
      <c r="A15" s="1" t="n">
        <f aca="false">IF(OR(A14="",A14&gt;=MAX(MORTALITY!$A:$A)),"",A14+1)</f>
        <v>13</v>
      </c>
      <c r="B15" s="8" t="n">
        <f aca="false">IF(A15="","",IFERROR(INDEX(MORTALITY!$B:$B,MATCH(A15,MORTALITY!$A:$A,0)),0))</f>
        <v>0.00198</v>
      </c>
      <c r="C15" s="1" t="n">
        <f aca="false">IF(A15="","",IFERROR(C14*(1-B14),0))</f>
        <v>9443625.20069849</v>
      </c>
      <c r="D15" s="1" t="n">
        <f aca="false">IF(A15="","",IFERROR(C15*B15,0))</f>
        <v>18698.377897383</v>
      </c>
      <c r="E15" s="1" t="n">
        <f aca="false">IF(A15="","",IFERROR((1/(1+Inputs!$B$23))^A15,0))</f>
        <v>0.72542037565396</v>
      </c>
      <c r="F15" s="1" t="n">
        <f aca="false">IF(A15="","",IFERROR(C15*E15,0))</f>
        <v>6850598.1406259</v>
      </c>
      <c r="G15" s="1" t="n">
        <f aca="false">IF(A15="","",IFERROR(D15*(1/(1+Inputs!$B$23))^(A15+1),0))</f>
        <v>13233.3505545749</v>
      </c>
      <c r="H15" s="1" t="n">
        <f aca="false">IF(A15="","",IFERROR(IF(B15=1,F15,F15+H16),0))</f>
        <v>198200668.111807</v>
      </c>
      <c r="I15" s="1" t="n">
        <f aca="false">IF(A15="","",IFERROR(IF(B15=1,G15,G15+I16),0))</f>
        <v>2016435.50375258</v>
      </c>
      <c r="J15" s="1" t="n">
        <f aca="false">IF(A15="","",IFERROR(H15/F15,0))</f>
        <v>28.9318777781496</v>
      </c>
      <c r="K15" s="1" t="n">
        <f aca="false">IF(A15="","",IFERROR(I15/F15,0))</f>
        <v>0.29434444443538</v>
      </c>
      <c r="L15" s="1" t="n">
        <f aca="false">IF(A15="","",IFERROR(1000*I15/H15,0))</f>
        <v>10.1737068949489</v>
      </c>
      <c r="M15" s="1" t="n">
        <f aca="false">IF(A15="","",IFERROR(1000*I15/(H15-INDEX(H:H,MATCH(A15+Inputs!$B$8,$A:$A,0))),0))</f>
        <v>14.2017849045795</v>
      </c>
    </row>
    <row r="16" customFormat="false" ht="15" hidden="false" customHeight="false" outlineLevel="0" collapsed="false">
      <c r="A16" s="1" t="n">
        <f aca="false">IF(OR(A15="",A15&gt;=MAX(MORTALITY!$A:$A)),"",A15+1)</f>
        <v>14</v>
      </c>
      <c r="B16" s="8" t="n">
        <f aca="false">IF(A16="","",IFERROR(INDEX(MORTALITY!$B:$B,MATCH(A16,MORTALITY!$A:$A,0)),0))</f>
        <v>0.00207</v>
      </c>
      <c r="C16" s="1" t="n">
        <f aca="false">IF(A16="","",IFERROR(C15*(1-B15),0))</f>
        <v>9424926.8228011</v>
      </c>
      <c r="D16" s="1" t="n">
        <f aca="false">IF(A16="","",IFERROR(C16*B16,0))</f>
        <v>19509.5985231983</v>
      </c>
      <c r="E16" s="1" t="n">
        <f aca="false">IF(A16="","",IFERROR((1/(1+Inputs!$B$23))^A16,0))</f>
        <v>0.707727195759961</v>
      </c>
      <c r="F16" s="1" t="n">
        <f aca="false">IF(A16="","",IFERROR(C16*E16,0))</f>
        <v>6670277.03054386</v>
      </c>
      <c r="G16" s="1" t="n">
        <f aca="false">IF(A16="","",IFERROR(D16*(1/(1+Inputs!$B$23))^(A16+1),0))</f>
        <v>13470.7058080252</v>
      </c>
      <c r="H16" s="1" t="n">
        <f aca="false">IF(A16="","",IFERROR(IF(B16=1,F16,F16+H17),0))</f>
        <v>191350069.971181</v>
      </c>
      <c r="I16" s="1" t="n">
        <f aca="false">IF(A16="","",IFERROR(IF(B16=1,G16,G16+I17),0))</f>
        <v>2003202.153198</v>
      </c>
      <c r="J16" s="1" t="n">
        <f aca="false">IF(A16="","",IFERROR(H16/F16,0))</f>
        <v>28.6869749329706</v>
      </c>
      <c r="K16" s="1" t="n">
        <f aca="false">IF(A16="","",IFERROR(I16/F16,0))</f>
        <v>0.300317684561697</v>
      </c>
      <c r="L16" s="1" t="n">
        <f aca="false">IF(A16="","",IFERROR(1000*I16/H16,0))</f>
        <v>10.468781921531</v>
      </c>
      <c r="M16" s="1" t="n">
        <f aca="false">IF(A16="","",IFERROR(1000*I16/(H16-INDEX(H:H,MATCH(A16+Inputs!$B$8,$A:$A,0))),0))</f>
        <v>14.5095139661896</v>
      </c>
    </row>
    <row r="17" customFormat="false" ht="15" hidden="false" customHeight="false" outlineLevel="0" collapsed="false">
      <c r="A17" s="1" t="n">
        <f aca="false">IF(OR(A16="",A16&gt;=MAX(MORTALITY!$A:$A)),"",A16+1)</f>
        <v>15</v>
      </c>
      <c r="B17" s="8" t="n">
        <f aca="false">IF(A17="","",IFERROR(INDEX(MORTALITY!$B:$B,MATCH(A17,MORTALITY!$A:$A,0)),0))</f>
        <v>0.00215</v>
      </c>
      <c r="C17" s="1" t="n">
        <f aca="false">IF(A17="","",IFERROR(C16*(1-B16),0))</f>
        <v>9405417.22427791</v>
      </c>
      <c r="D17" s="1" t="n">
        <f aca="false">IF(A17="","",IFERROR(C17*B17,0))</f>
        <v>20221.6470321975</v>
      </c>
      <c r="E17" s="1" t="n">
        <f aca="false">IF(A17="","",IFERROR((1/(1+Inputs!$B$23))^A17,0))</f>
        <v>0.690465556838986</v>
      </c>
      <c r="F17" s="1" t="n">
        <f aca="false">IF(A17="","",IFERROR(C17*E17,0))</f>
        <v>6494116.64106404</v>
      </c>
      <c r="G17" s="1" t="n">
        <f aca="false">IF(A17="","",IFERROR(D17*(1/(1+Inputs!$B$23))^(A17+1),0))</f>
        <v>13621.8056373538</v>
      </c>
      <c r="H17" s="1" t="n">
        <f aca="false">IF(A17="","",IFERROR(IF(B17=1,F17,F17+H18),0))</f>
        <v>184679792.940637</v>
      </c>
      <c r="I17" s="1" t="n">
        <f aca="false">IF(A17="","",IFERROR(IF(B17=1,G17,G17+I18),0))</f>
        <v>1989731.44738998</v>
      </c>
      <c r="J17" s="1" t="n">
        <f aca="false">IF(A17="","",IFERROR(H17/F17,0))</f>
        <v>28.4380159994136</v>
      </c>
      <c r="K17" s="1" t="n">
        <f aca="false">IF(A17="","",IFERROR(I17/F17,0))</f>
        <v>0.306389853672842</v>
      </c>
      <c r="L17" s="1" t="n">
        <f aca="false">IF(A17="","",IFERROR(1000*I17/H17,0))</f>
        <v>10.7739532068327</v>
      </c>
      <c r="M17" s="1" t="n">
        <f aca="false">IF(A17="","",IFERROR(1000*I17/(H17-INDEX(H:H,MATCH(A17+Inputs!$B$8,$A:$A,0))),0))</f>
        <v>14.8238075940878</v>
      </c>
    </row>
    <row r="18" customFormat="false" ht="15" hidden="false" customHeight="false" outlineLevel="0" collapsed="false">
      <c r="A18" s="1" t="n">
        <f aca="false">IF(OR(A17="",A17&gt;=MAX(MORTALITY!$A:$A)),"",A17+1)</f>
        <v>16</v>
      </c>
      <c r="B18" s="8" t="n">
        <f aca="false">IF(A18="","",IFERROR(INDEX(MORTALITY!$B:$B,MATCH(A18,MORTALITY!$A:$A,0)),0))</f>
        <v>0.00219</v>
      </c>
      <c r="C18" s="1" t="n">
        <f aca="false">IF(A18="","",IFERROR(C17*(1-B17),0))</f>
        <v>9385195.57724571</v>
      </c>
      <c r="D18" s="1" t="n">
        <f aca="false">IF(A18="","",IFERROR(C18*B18,0))</f>
        <v>20553.5783141681</v>
      </c>
      <c r="E18" s="1" t="n">
        <f aca="false">IF(A18="","",IFERROR((1/(1+Inputs!$B$23))^A18,0))</f>
        <v>0.67362493350145</v>
      </c>
      <c r="F18" s="1" t="n">
        <f aca="false">IF(A18="","",IFERROR(C18*E18,0))</f>
        <v>6322101.74662024</v>
      </c>
      <c r="G18" s="1" t="n">
        <f aca="false">IF(A18="","",IFERROR(D18*(1/(1+Inputs!$B$23))^(A18+1),0))</f>
        <v>13507.7100732667</v>
      </c>
      <c r="H18" s="1" t="n">
        <f aca="false">IF(A18="","",IFERROR(IF(B18=1,F18,F18+H19),0))</f>
        <v>178185676.299573</v>
      </c>
      <c r="I18" s="1" t="n">
        <f aca="false">IF(A18="","",IFERROR(IF(B18=1,G18,G18+I19),0))</f>
        <v>1976109.64175262</v>
      </c>
      <c r="J18" s="1" t="n">
        <f aca="false">IF(A18="","",IFERROR(H18/F18,0))</f>
        <v>28.1845632103011</v>
      </c>
      <c r="K18" s="1" t="n">
        <f aca="false">IF(A18="","",IFERROR(I18/F18,0))</f>
        <v>0.312571629017049</v>
      </c>
      <c r="L18" s="1" t="n">
        <f aca="false">IF(A18="","",IFERROR(1000*I18/H18,0))</f>
        <v>11.0901711225671</v>
      </c>
      <c r="M18" s="1" t="n">
        <f aca="false">IF(A18="","",IFERROR(1000*I18/(H18-INDEX(H:H,MATCH(A18+Inputs!$B$8,$A:$A,0))),0))</f>
        <v>15.1455849641729</v>
      </c>
    </row>
    <row r="19" customFormat="false" ht="15" hidden="false" customHeight="false" outlineLevel="0" collapsed="false">
      <c r="A19" s="1" t="n">
        <f aca="false">IF(OR(A18="",A18&gt;=MAX(MORTALITY!$A:$A)),"",A18+1)</f>
        <v>17</v>
      </c>
      <c r="B19" s="8" t="n">
        <f aca="false">IF(A19="","",IFERROR(INDEX(MORTALITY!$B:$B,MATCH(A19,MORTALITY!$A:$A,0)),0))</f>
        <v>0.00225</v>
      </c>
      <c r="C19" s="1" t="n">
        <f aca="false">IF(A19="","",IFERROR(C18*(1-B18),0))</f>
        <v>9364641.99893154</v>
      </c>
      <c r="D19" s="1" t="n">
        <f aca="false">IF(A19="","",IFERROR(C19*B19,0))</f>
        <v>21070.444497596</v>
      </c>
      <c r="E19" s="1" t="n">
        <f aca="false">IF(A19="","",IFERROR((1/(1+Inputs!$B$23))^A19,0))</f>
        <v>0.657195057074586</v>
      </c>
      <c r="F19" s="1" t="n">
        <f aca="false">IF(A19="","",IFERROR(C19*E19,0))</f>
        <v>6154396.43297087</v>
      </c>
      <c r="G19" s="1" t="n">
        <f aca="false">IF(A19="","",IFERROR(D19*(1/(1+Inputs!$B$23))^(A19+1),0))</f>
        <v>13509.6507065214</v>
      </c>
      <c r="H19" s="1" t="n">
        <f aca="false">IF(A19="","",IFERROR(IF(B19=1,F19,F19+H20),0))</f>
        <v>171863574.552953</v>
      </c>
      <c r="I19" s="1" t="n">
        <f aca="false">IF(A19="","",IFERROR(IF(B19=1,G19,G19+I20),0))</f>
        <v>1962601.93167936</v>
      </c>
      <c r="J19" s="1" t="n">
        <f aca="false">IF(A19="","",IFERROR(H19/F19,0))</f>
        <v>27.9253337715183</v>
      </c>
      <c r="K19" s="1" t="n">
        <f aca="false">IF(A19="","",IFERROR(I19/F19,0))</f>
        <v>0.318894298255655</v>
      </c>
      <c r="L19" s="1" t="n">
        <f aca="false">IF(A19="","",IFERROR(1000*I19/H19,0))</f>
        <v>11.4195339924962</v>
      </c>
      <c r="M19" s="1" t="n">
        <f aca="false">IF(A19="","",IFERROR(1000*I19/(H19-INDEX(H:H,MATCH(A19+Inputs!$B$8,$A:$A,0))),0))</f>
        <v>15.4772886986294</v>
      </c>
    </row>
    <row r="20" customFormat="false" ht="15" hidden="false" customHeight="false" outlineLevel="0" collapsed="false">
      <c r="A20" s="1" t="n">
        <f aca="false">IF(OR(A19="",A19&gt;=MAX(MORTALITY!$A:$A)),"",A19+1)</f>
        <v>18</v>
      </c>
      <c r="B20" s="8" t="n">
        <f aca="false">IF(A20="","",IFERROR(INDEX(MORTALITY!$B:$B,MATCH(A20,MORTALITY!$A:$A,0)),0))</f>
        <v>0.0023</v>
      </c>
      <c r="C20" s="1" t="n">
        <f aca="false">IF(A20="","",IFERROR(C19*(1-B19),0))</f>
        <v>9343571.55443394</v>
      </c>
      <c r="D20" s="1" t="n">
        <f aca="false">IF(A20="","",IFERROR(C20*B20,0))</f>
        <v>21490.2145751981</v>
      </c>
      <c r="E20" s="1" t="n">
        <f aca="false">IF(A20="","",IFERROR((1/(1+Inputs!$B$23))^A20,0))</f>
        <v>0.641165909341059</v>
      </c>
      <c r="F20" s="1" t="n">
        <f aca="false">IF(A20="","",IFERROR(C20*E20,0))</f>
        <v>5990779.55219189</v>
      </c>
      <c r="G20" s="1" t="n">
        <f aca="false">IF(A20="","",IFERROR(D20*(1/(1+Inputs!$B$23))^(A20+1),0))</f>
        <v>13442.7248488208</v>
      </c>
      <c r="H20" s="1" t="n">
        <f aca="false">IF(A20="","",IFERROR(IF(B20=1,F20,F20+H21),0))</f>
        <v>165709178.119982</v>
      </c>
      <c r="I20" s="1" t="n">
        <f aca="false">IF(A20="","",IFERROR(IF(B20=1,G20,G20+I21),0))</f>
        <v>1949092.28097283</v>
      </c>
      <c r="J20" s="1" t="n">
        <f aca="false">IF(A20="","",IFERROR(H20/F20,0))</f>
        <v>27.6607036991292</v>
      </c>
      <c r="K20" s="1" t="n">
        <f aca="false">IF(A20="","",IFERROR(I20/F20,0))</f>
        <v>0.325348690265143</v>
      </c>
      <c r="L20" s="1" t="n">
        <f aca="false">IF(A20="","",IFERROR(1000*I20/H20,0))</f>
        <v>11.7621262930988</v>
      </c>
      <c r="M20" s="1" t="n">
        <f aca="false">IF(A20="","",IFERROR(1000*I20/(H20-INDEX(H:H,MATCH(A20+Inputs!$B$8,$A:$A,0))),0))</f>
        <v>15.8185816554738</v>
      </c>
    </row>
    <row r="21" customFormat="false" ht="15" hidden="false" customHeight="false" outlineLevel="0" collapsed="false">
      <c r="A21" s="1" t="n">
        <f aca="false">IF(OR(A20="",A20&gt;=MAX(MORTALITY!$A:$A)),"",A20+1)</f>
        <v>19</v>
      </c>
      <c r="B21" s="8" t="n">
        <f aca="false">IF(A21="","",IFERROR(INDEX(MORTALITY!$B:$B,MATCH(A21,MORTALITY!$A:$A,0)),0))</f>
        <v>0.00237</v>
      </c>
      <c r="C21" s="1" t="n">
        <f aca="false">IF(A21="","",IFERROR(C20*(1-B20),0))</f>
        <v>9322081.33985875</v>
      </c>
      <c r="D21" s="1" t="n">
        <f aca="false">IF(A21="","",IFERROR(C21*B21,0))</f>
        <v>22093.3327754652</v>
      </c>
      <c r="E21" s="1" t="n">
        <f aca="false">IF(A21="","",IFERROR((1/(1+Inputs!$B$23))^A21,0))</f>
        <v>0.625527716430302</v>
      </c>
      <c r="F21" s="1" t="n">
        <f aca="false">IF(A21="","",IFERROR(C21*E21,0))</f>
        <v>5831220.25289937</v>
      </c>
      <c r="G21" s="1" t="n">
        <f aca="false">IF(A21="","",IFERROR(D21*(1/(1+Inputs!$B$23))^(A21+1),0))</f>
        <v>13482.9190237771</v>
      </c>
      <c r="H21" s="1" t="n">
        <f aca="false">IF(A21="","",IFERROR(IF(B21=1,F21,F21+H22),0))</f>
        <v>159718398.56779</v>
      </c>
      <c r="I21" s="1" t="n">
        <f aca="false">IF(A21="","",IFERROR(IF(B21=1,G21,G21+I22),0))</f>
        <v>1935649.55612401</v>
      </c>
      <c r="J21" s="1" t="n">
        <f aca="false">IF(A21="","",IFERROR(H21/F21,0))</f>
        <v>27.3902187948356</v>
      </c>
      <c r="K21" s="1" t="n">
        <f aca="false">IF(A21="","",IFERROR(I21/F21,0))</f>
        <v>0.331945883052793</v>
      </c>
      <c r="L21" s="1" t="n">
        <f aca="false">IF(A21="","",IFERROR(1000*I21/H21,0))</f>
        <v>12.1191395198121</v>
      </c>
      <c r="M21" s="1" t="n">
        <f aca="false">IF(A21="","",IFERROR(1000*I21/(H21-INDEX(H:H,MATCH(A21+Inputs!$B$8,$A:$A,0))),0))</f>
        <v>16.1706076819169</v>
      </c>
    </row>
    <row r="22" customFormat="false" ht="15" hidden="false" customHeight="false" outlineLevel="0" collapsed="false">
      <c r="A22" s="1" t="n">
        <f aca="false">IF(OR(A21="",A21&gt;=MAX(MORTALITY!$A:$A)),"",A21+1)</f>
        <v>20</v>
      </c>
      <c r="B22" s="8" t="n">
        <f aca="false">IF(A22="","",IFERROR(INDEX(MORTALITY!$B:$B,MATCH(A22,MORTALITY!$A:$A,0)),0))</f>
        <v>0.00243</v>
      </c>
      <c r="C22" s="1" t="n">
        <f aca="false">IF(A22="","",IFERROR(C21*(1-B21),0))</f>
        <v>9299988.00708328</v>
      </c>
      <c r="D22" s="1" t="n">
        <f aca="false">IF(A22="","",IFERROR(C22*B22,0))</f>
        <v>22598.9708572124</v>
      </c>
      <c r="E22" s="1" t="n">
        <f aca="false">IF(A22="","",IFERROR((1/(1+Inputs!$B$23))^A22,0))</f>
        <v>0.610270942858831</v>
      </c>
      <c r="F22" s="1" t="n">
        <f aca="false">IF(A22="","",IFERROR(C22*E22,0))</f>
        <v>5675512.44965853</v>
      </c>
      <c r="G22" s="1" t="n">
        <f aca="false">IF(A22="","",IFERROR(D22*(1/(1+Inputs!$B$23))^(A22+1),0))</f>
        <v>13455.1173196783</v>
      </c>
      <c r="H22" s="1" t="n">
        <f aca="false">IF(A22="","",IFERROR(IF(B22=1,F22,F22+H23),0))</f>
        <v>153887178.314891</v>
      </c>
      <c r="I22" s="1" t="n">
        <f aca="false">IF(A22="","",IFERROR(IF(B22=1,G22,G22+I23),0))</f>
        <v>1922166.63710024</v>
      </c>
      <c r="J22" s="1" t="n">
        <f aca="false">IF(A22="","",IFERROR(H22/F22,0))</f>
        <v>27.1142350016604</v>
      </c>
      <c r="K22" s="1" t="n">
        <f aca="false">IF(A22="","",IFERROR(I22/F22,0))</f>
        <v>0.338677195081456</v>
      </c>
      <c r="L22" s="1" t="n">
        <f aca="false">IF(A22="","",IFERROR(1000*I22/H22,0))</f>
        <v>12.4907523690311</v>
      </c>
      <c r="M22" s="1" t="n">
        <f aca="false">IF(A22="","",IFERROR(1000*I22/(H22-INDEX(H:H,MATCH(A22+Inputs!$B$8,$A:$A,0))),0))</f>
        <v>16.5331305493298</v>
      </c>
    </row>
    <row r="23" customFormat="false" ht="15" hidden="false" customHeight="false" outlineLevel="0" collapsed="false">
      <c r="A23" s="1" t="n">
        <f aca="false">IF(OR(A22="",A22&gt;=MAX(MORTALITY!$A:$A)),"",A22+1)</f>
        <v>21</v>
      </c>
      <c r="B23" s="8" t="n">
        <f aca="false">IF(A23="","",IFERROR(INDEX(MORTALITY!$B:$B,MATCH(A23,MORTALITY!$A:$A,0)),0))</f>
        <v>0.00251</v>
      </c>
      <c r="C23" s="1" t="n">
        <f aca="false">IF(A23="","",IFERROR(C22*(1-B22),0))</f>
        <v>9277389.03622607</v>
      </c>
      <c r="D23" s="1" t="n">
        <f aca="false">IF(A23="","",IFERROR(C23*B23,0))</f>
        <v>23286.2464809274</v>
      </c>
      <c r="E23" s="1" t="n">
        <f aca="false">IF(A23="","",IFERROR((1/(1+Inputs!$B$23))^A23,0))</f>
        <v>0.595386285715933</v>
      </c>
      <c r="F23" s="1" t="n">
        <f aca="false">IF(A23="","",IFERROR(C23*E23,0))</f>
        <v>5523630.19942036</v>
      </c>
      <c r="G23" s="1" t="n">
        <f aca="false">IF(A23="","",IFERROR(D23*(1/(1+Inputs!$B$23))^(A23+1),0))</f>
        <v>13526.1578541903</v>
      </c>
      <c r="H23" s="1" t="n">
        <f aca="false">IF(A23="","",IFERROR(IF(B23=1,F23,F23+H24),0))</f>
        <v>148211665.865232</v>
      </c>
      <c r="I23" s="1" t="n">
        <f aca="false">IF(A23="","",IFERROR(IF(B23=1,G23,G23+I24),0))</f>
        <v>1908711.51978056</v>
      </c>
      <c r="J23" s="1" t="n">
        <f aca="false">IF(A23="","",IFERROR(H23/F23,0))</f>
        <v>26.8322933495413</v>
      </c>
      <c r="K23" s="1" t="n">
        <f aca="false">IF(A23="","",IFERROR(I23/F23,0))</f>
        <v>0.345553820742898</v>
      </c>
      <c r="L23" s="1" t="n">
        <f aca="false">IF(A23="","",IFERROR(1000*I23/H23,0))</f>
        <v>12.8782812650938</v>
      </c>
      <c r="M23" s="1" t="n">
        <f aca="false">IF(A23="","",IFERROR(1000*I23/(H23-INDEX(H:H,MATCH(A23+Inputs!$B$8,$A:$A,0))),0))</f>
        <v>16.9074160585355</v>
      </c>
    </row>
    <row r="24" customFormat="false" ht="15" hidden="false" customHeight="false" outlineLevel="0" collapsed="false">
      <c r="A24" s="1" t="n">
        <f aca="false">IF(OR(A23="",A23&gt;=MAX(MORTALITY!$A:$A)),"",A23+1)</f>
        <v>22</v>
      </c>
      <c r="B24" s="8" t="n">
        <f aca="false">IF(A24="","",IFERROR(INDEX(MORTALITY!$B:$B,MATCH(A24,MORTALITY!$A:$A,0)),0))</f>
        <v>0.00259</v>
      </c>
      <c r="C24" s="1" t="n">
        <f aca="false">IF(A24="","",IFERROR(C23*(1-B23),0))</f>
        <v>9254102.78974514</v>
      </c>
      <c r="D24" s="1" t="n">
        <f aca="false">IF(A24="","",IFERROR(C24*B24,0))</f>
        <v>23968.1262254399</v>
      </c>
      <c r="E24" s="1" t="n">
        <f aca="false">IF(A24="","",IFERROR((1/(1+Inputs!$B$23))^A24,0))</f>
        <v>0.580864668991154</v>
      </c>
      <c r="F24" s="1" t="n">
        <f aca="false">IF(A24="","",IFERROR(C24*E24,0))</f>
        <v>5375381.35377543</v>
      </c>
      <c r="G24" s="1" t="n">
        <f aca="false">IF(A24="","",IFERROR(D24*(1/(1+Inputs!$B$23))^(A24+1),0))</f>
        <v>13582.6709329545</v>
      </c>
      <c r="H24" s="1" t="n">
        <f aca="false">IF(A24="","",IFERROR(IF(B24=1,F24,F24+H25),0))</f>
        <v>142688035.665812</v>
      </c>
      <c r="I24" s="1" t="n">
        <f aca="false">IF(A24="","",IFERROR(IF(B24=1,G24,G24+I25),0))</f>
        <v>1895185.36192637</v>
      </c>
      <c r="J24" s="1" t="n">
        <f aca="false">IF(A24="","",IFERROR(H24/F24,0))</f>
        <v>26.5447279504354</v>
      </c>
      <c r="K24" s="1" t="n">
        <f aca="false">IF(A24="","",IFERROR(I24/F24,0))</f>
        <v>0.352567610964992</v>
      </c>
      <c r="L24" s="1" t="n">
        <f aca="false">IF(A24="","",IFERROR(1000*I24/H24,0))</f>
        <v>13.2820201293195</v>
      </c>
      <c r="M24" s="1" t="n">
        <f aca="false">IF(A24="","",IFERROR(1000*I24/(H24-INDEX(H:H,MATCH(A24+Inputs!$B$8,$A:$A,0))),0))</f>
        <v>17.2933584769213</v>
      </c>
    </row>
    <row r="25" customFormat="false" ht="15" hidden="false" customHeight="false" outlineLevel="0" collapsed="false">
      <c r="A25" s="1" t="n">
        <f aca="false">IF(OR(A24="",A24&gt;=MAX(MORTALITY!$A:$A)),"",A24+1)</f>
        <v>23</v>
      </c>
      <c r="B25" s="8" t="n">
        <f aca="false">IF(A25="","",IFERROR(INDEX(MORTALITY!$B:$B,MATCH(A25,MORTALITY!$A:$A,0)),0))</f>
        <v>0.00268</v>
      </c>
      <c r="C25" s="1" t="n">
        <f aca="false">IF(A25="","",IFERROR(C24*(1-B24),0))</f>
        <v>9230134.6635197</v>
      </c>
      <c r="D25" s="1" t="n">
        <f aca="false">IF(A25="","",IFERROR(C25*B25,0))</f>
        <v>24736.7608982328</v>
      </c>
      <c r="E25" s="1" t="n">
        <f aca="false">IF(A25="","",IFERROR((1/(1+Inputs!$B$23))^A25,0))</f>
        <v>0.56669723804015</v>
      </c>
      <c r="F25" s="1" t="n">
        <f aca="false">IF(A25="","",IFERROR(C25*E25,0))</f>
        <v>5230691.82055527</v>
      </c>
      <c r="G25" s="1" t="n">
        <f aca="false">IF(A25="","",IFERROR(D25*(1/(1+Inputs!$B$23))^(A25+1),0))</f>
        <v>13676.3454430128</v>
      </c>
      <c r="H25" s="1" t="n">
        <f aca="false">IF(A25="","",IFERROR(IF(B25=1,F25,F25+H26),0))</f>
        <v>137312654.312037</v>
      </c>
      <c r="I25" s="1" t="n">
        <f aca="false">IF(A25="","",IFERROR(IF(B25=1,G25,G25+I26),0))</f>
        <v>1881602.69099341</v>
      </c>
      <c r="J25" s="1" t="n">
        <f aca="false">IF(A25="","",IFERROR(H25/F25,0))</f>
        <v>26.2513371123172</v>
      </c>
      <c r="K25" s="1" t="n">
        <f aca="false">IF(A25="","",IFERROR(I25/F25,0))</f>
        <v>0.359723485065437</v>
      </c>
      <c r="L25" s="1" t="n">
        <f aca="false">IF(A25="","",IFERROR(1000*I25/H25,0))</f>
        <v>13.7030538111772</v>
      </c>
      <c r="M25" s="1" t="n">
        <f aca="false">IF(A25="","",IFERROR(1000*I25/(H25-INDEX(H:H,MATCH(A25+Inputs!$B$8,$A:$A,0))),0))</f>
        <v>17.6918790311379</v>
      </c>
    </row>
    <row r="26" customFormat="false" ht="15" hidden="false" customHeight="false" outlineLevel="0" collapsed="false">
      <c r="A26" s="1" t="n">
        <f aca="false">IF(OR(A25="",A25&gt;=MAX(MORTALITY!$A:$A)),"",A25+1)</f>
        <v>24</v>
      </c>
      <c r="B26" s="8" t="n">
        <f aca="false">IF(A26="","",IFERROR(INDEX(MORTALITY!$B:$B,MATCH(A26,MORTALITY!$A:$A,0)),0))</f>
        <v>0.00277</v>
      </c>
      <c r="C26" s="1" t="n">
        <f aca="false">IF(A26="","",IFERROR(C25*(1-B25),0))</f>
        <v>9205397.90262147</v>
      </c>
      <c r="D26" s="1" t="n">
        <f aca="false">IF(A26="","",IFERROR(C26*B26,0))</f>
        <v>25498.9521902615</v>
      </c>
      <c r="E26" s="1" t="n">
        <f aca="false">IF(A26="","",IFERROR((1/(1+Inputs!$B$23))^A26,0))</f>
        <v>0.552875354185512</v>
      </c>
      <c r="F26" s="1" t="n">
        <f aca="false">IF(A26="","",IFERROR(C26*E26,0))</f>
        <v>5089437.62583042</v>
      </c>
      <c r="G26" s="1" t="n">
        <f aca="false">IF(A26="","",IFERROR(D26*(1/(1+Inputs!$B$23))^(A26+1),0))</f>
        <v>13753.8948522442</v>
      </c>
      <c r="H26" s="1" t="n">
        <f aca="false">IF(A26="","",IFERROR(IF(B26=1,F26,F26+H27),0))</f>
        <v>132081962.491481</v>
      </c>
      <c r="I26" s="1" t="n">
        <f aca="false">IF(A26="","",IFERROR(IF(B26=1,G26,G26+I27),0))</f>
        <v>1867926.3455504</v>
      </c>
      <c r="J26" s="1" t="n">
        <f aca="false">IF(A26="","",IFERROR(H26/F26,0))</f>
        <v>25.9521723620554</v>
      </c>
      <c r="K26" s="1" t="n">
        <f aca="false">IF(A26="","",IFERROR(I26/F26,0))</f>
        <v>0.367020186291333</v>
      </c>
      <c r="L26" s="1" t="n">
        <f aca="false">IF(A26="","",IFERROR(1000*I26/H26,0))</f>
        <v>14.1421758907532</v>
      </c>
      <c r="M26" s="1" t="n">
        <f aca="false">IF(A26="","",IFERROR(1000*I26/(H26-INDEX(H:H,MATCH(A26+Inputs!$B$8,$A:$A,0))),0))</f>
        <v>18.103502794625</v>
      </c>
    </row>
    <row r="27" customFormat="false" ht="15" hidden="false" customHeight="false" outlineLevel="0" collapsed="false">
      <c r="A27" s="1" t="n">
        <f aca="false">IF(OR(A26="",A26&gt;=MAX(MORTALITY!$A:$A)),"",A26+1)</f>
        <v>25</v>
      </c>
      <c r="B27" s="8" t="n">
        <f aca="false">IF(A27="","",IFERROR(INDEX(MORTALITY!$B:$B,MATCH(A27,MORTALITY!$A:$A,0)),0))</f>
        <v>0.00288</v>
      </c>
      <c r="C27" s="1" t="n">
        <f aca="false">IF(A27="","",IFERROR(C26*(1-B26),0))</f>
        <v>9179898.95043121</v>
      </c>
      <c r="D27" s="1" t="n">
        <f aca="false">IF(A27="","",IFERROR(C27*B27,0))</f>
        <v>26438.1089772419</v>
      </c>
      <c r="E27" s="1" t="n">
        <f aca="false">IF(A27="","",IFERROR((1/(1+Inputs!$B$23))^A27,0))</f>
        <v>0.53939058944928</v>
      </c>
      <c r="F27" s="1" t="n">
        <f aca="false">IF(A27="","",IFERROR(C27*E27,0))</f>
        <v>4951551.10595792</v>
      </c>
      <c r="G27" s="1" t="n">
        <f aca="false">IF(A27="","",IFERROR(D27*(1/(1+Inputs!$B$23))^(A27+1),0))</f>
        <v>13912.6509123501</v>
      </c>
      <c r="H27" s="1" t="n">
        <f aca="false">IF(A27="","",IFERROR(IF(B27=1,F27,F27+H28),0))</f>
        <v>126992524.865651</v>
      </c>
      <c r="I27" s="1" t="n">
        <f aca="false">IF(A27="","",IFERROR(IF(B27=1,G27,G27+I28),0))</f>
        <v>1854172.45069816</v>
      </c>
      <c r="J27" s="1" t="n">
        <f aca="false">IF(A27="","",IFERROR(H27/F27,0))</f>
        <v>25.6470189134972</v>
      </c>
      <c r="K27" s="1" t="n">
        <f aca="false">IF(A27="","",IFERROR(I27/F27,0))</f>
        <v>0.374462953329339</v>
      </c>
      <c r="L27" s="1" t="n">
        <f aca="false">IF(A27="","",IFERROR(1000*I27/H27,0))</f>
        <v>14.6006424603317</v>
      </c>
      <c r="M27" s="1" t="n">
        <f aca="false">IF(A27="","",IFERROR(1000*I27/(H27-INDEX(H:H,MATCH(A27+Inputs!$B$8,$A:$A,0))),0))</f>
        <v>18.529337925104</v>
      </c>
    </row>
    <row r="28" customFormat="false" ht="15" hidden="false" customHeight="false" outlineLevel="0" collapsed="false">
      <c r="A28" s="1" t="n">
        <f aca="false">IF(OR(A27="",A27&gt;=MAX(MORTALITY!$A:$A)),"",A27+1)</f>
        <v>26</v>
      </c>
      <c r="B28" s="8" t="n">
        <f aca="false">IF(A28="","",IFERROR(INDEX(MORTALITY!$B:$B,MATCH(A28,MORTALITY!$A:$A,0)),0))</f>
        <v>0.00299</v>
      </c>
      <c r="C28" s="1" t="n">
        <f aca="false">IF(A28="","",IFERROR(C27*(1-B27),0))</f>
        <v>9153460.84145397</v>
      </c>
      <c r="D28" s="1" t="n">
        <f aca="false">IF(A28="","",IFERROR(C28*B28,0))</f>
        <v>27368.8479159474</v>
      </c>
      <c r="E28" s="1" t="n">
        <f aca="false">IF(A28="","",IFERROR((1/(1+Inputs!$B$23))^A28,0))</f>
        <v>0.526234721413932</v>
      </c>
      <c r="F28" s="1" t="n">
        <f aca="false">IF(A28="","",IFERROR(C28*E28,0))</f>
        <v>4816868.91587587</v>
      </c>
      <c r="G28" s="1" t="n">
        <f aca="false">IF(A28="","",IFERROR(D28*(1/(1+Inputs!$B$23))^(A28+1),0))</f>
        <v>14051.159081433</v>
      </c>
      <c r="H28" s="1" t="n">
        <f aca="false">IF(A28="","",IFERROR(IF(B28=1,F28,F28+H29),0))</f>
        <v>122040973.759693</v>
      </c>
      <c r="I28" s="1" t="n">
        <f aca="false">IF(A28="","",IFERROR(IF(B28=1,G28,G28+I29),0))</f>
        <v>1840259.79978581</v>
      </c>
      <c r="J28" s="1" t="n">
        <f aca="false">IF(A28="","",IFERROR(H28/F28,0))</f>
        <v>25.3361625344338</v>
      </c>
      <c r="K28" s="1" t="n">
        <f aca="false">IF(A28="","",IFERROR(I28/F28,0))</f>
        <v>0.382044816233324</v>
      </c>
      <c r="L28" s="1" t="n">
        <f aca="false">IF(A28="","",IFERROR(1000*I28/H28,0))</f>
        <v>15.0790324191399</v>
      </c>
      <c r="M28" s="1" t="n">
        <f aca="false">IF(A28="","",IFERROR(1000*I28/(H28-INDEX(H:H,MATCH(A28+Inputs!$B$8,$A:$A,0))),0))</f>
        <v>18.9696165884127</v>
      </c>
    </row>
    <row r="29" customFormat="false" ht="15" hidden="false" customHeight="false" outlineLevel="0" collapsed="false">
      <c r="A29" s="1" t="n">
        <f aca="false">IF(OR(A28="",A28&gt;=MAX(MORTALITY!$A:$A)),"",A28+1)</f>
        <v>27</v>
      </c>
      <c r="B29" s="8" t="n">
        <f aca="false">IF(A29="","",IFERROR(INDEX(MORTALITY!$B:$B,MATCH(A29,MORTALITY!$A:$A,0)),0))</f>
        <v>0.00311</v>
      </c>
      <c r="C29" s="1" t="n">
        <f aca="false">IF(A29="","",IFERROR(C28*(1-B28),0))</f>
        <v>9126091.99353802</v>
      </c>
      <c r="D29" s="1" t="n">
        <f aca="false">IF(A29="","",IFERROR(C29*B29,0))</f>
        <v>28382.1460999032</v>
      </c>
      <c r="E29" s="1" t="n">
        <f aca="false">IF(A29="","",IFERROR((1/(1+Inputs!$B$23))^A29,0))</f>
        <v>0.513399728208714</v>
      </c>
      <c r="F29" s="1" t="n">
        <f aca="false">IF(A29="","",IFERROR(C29*E29,0))</f>
        <v>4685333.14909014</v>
      </c>
      <c r="G29" s="1" t="n">
        <f aca="false">IF(A29="","",IFERROR(D29*(1/(1+Inputs!$B$23))^(A29+1),0))</f>
        <v>14215.9864328491</v>
      </c>
      <c r="H29" s="1" t="n">
        <f aca="false">IF(A29="","",IFERROR(IF(B29=1,F29,F29+H30),0))</f>
        <v>117224104.843817</v>
      </c>
      <c r="I29" s="1" t="n">
        <f aca="false">IF(A29="","",IFERROR(IF(B29=1,G29,G29+I30),0))</f>
        <v>1826208.64070437</v>
      </c>
      <c r="J29" s="1" t="n">
        <f aca="false">IF(A29="","",IFERROR(H29/F29,0))</f>
        <v>25.0193745276323</v>
      </c>
      <c r="K29" s="1" t="n">
        <f aca="false">IF(A29="","",IFERROR(I29/F29,0))</f>
        <v>0.389771352984581</v>
      </c>
      <c r="L29" s="1" t="n">
        <f aca="false">IF(A29="","",IFERROR(1000*I29/H29,0))</f>
        <v>15.5787808585744</v>
      </c>
      <c r="M29" s="1" t="n">
        <f aca="false">IF(A29="","",IFERROR(1000*I29/(H29-INDEX(H:H,MATCH(A29+Inputs!$B$8,$A:$A,0))),0))</f>
        <v>19.4256496511823</v>
      </c>
    </row>
    <row r="30" customFormat="false" ht="15" hidden="false" customHeight="false" outlineLevel="0" collapsed="false">
      <c r="A30" s="1" t="n">
        <f aca="false">IF(OR(A29="",A29&gt;=MAX(MORTALITY!$A:$A)),"",A29+1)</f>
        <v>28</v>
      </c>
      <c r="B30" s="8" t="n">
        <f aca="false">IF(A30="","",IFERROR(INDEX(MORTALITY!$B:$B,MATCH(A30,MORTALITY!$A:$A,0)),0))</f>
        <v>0.00325</v>
      </c>
      <c r="C30" s="1" t="n">
        <f aca="false">IF(A30="","",IFERROR(C29*(1-B29),0))</f>
        <v>9097709.84743812</v>
      </c>
      <c r="D30" s="1" t="n">
        <f aca="false">IF(A30="","",IFERROR(C30*B30,0))</f>
        <v>29567.5570041739</v>
      </c>
      <c r="E30" s="1" t="n">
        <f aca="false">IF(A30="","",IFERROR((1/(1+Inputs!$B$23))^A30,0))</f>
        <v>0.500877783618258</v>
      </c>
      <c r="F30" s="1" t="n">
        <f aca="false">IF(A30="","",IFERROR(C30*E30,0))</f>
        <v>4556840.7443868</v>
      </c>
      <c r="G30" s="1" t="n">
        <f aca="false">IF(A30="","",IFERROR(D30*(1/(1+Inputs!$B$23))^(A30+1),0))</f>
        <v>14448.5194334216</v>
      </c>
      <c r="H30" s="1" t="n">
        <f aca="false">IF(A30="","",IFERROR(IF(B30=1,F30,F30+H31),0))</f>
        <v>112538771.694727</v>
      </c>
      <c r="I30" s="1" t="n">
        <f aca="false">IF(A30="","",IFERROR(IF(B30=1,G30,G30+I31),0))</f>
        <v>1811992.65427152</v>
      </c>
      <c r="J30" s="1" t="n">
        <f aca="false">IF(A30="","",IFERROR(H30/F30,0))</f>
        <v>24.6966655205921</v>
      </c>
      <c r="K30" s="1" t="n">
        <f aca="false">IF(A30="","",IFERROR(I30/F30,0))</f>
        <v>0.397642304375804</v>
      </c>
      <c r="L30" s="1" t="n">
        <f aca="false">IF(A30="","",IFERROR(1000*I30/H30,0))</f>
        <v>16.1010523483119</v>
      </c>
      <c r="M30" s="1" t="n">
        <f aca="false">IF(A30="","",IFERROR(1000*I30/(H30-INDEX(H:H,MATCH(A30+Inputs!$B$8,$A:$A,0))),0))</f>
        <v>19.8983968889408</v>
      </c>
    </row>
    <row r="31" customFormat="false" ht="15" hidden="false" customHeight="false" outlineLevel="0" collapsed="false">
      <c r="A31" s="1" t="n">
        <f aca="false">IF(OR(A30="",A30&gt;=MAX(MORTALITY!$A:$A)),"",A30+1)</f>
        <v>29</v>
      </c>
      <c r="B31" s="8" t="n">
        <f aca="false">IF(A31="","",IFERROR(INDEX(MORTALITY!$B:$B,MATCH(A31,MORTALITY!$A:$A,0)),0))</f>
        <v>0.0034</v>
      </c>
      <c r="C31" s="1" t="n">
        <f aca="false">IF(A31="","",IFERROR(C30*(1-B30),0))</f>
        <v>9068142.29043394</v>
      </c>
      <c r="D31" s="1" t="n">
        <f aca="false">IF(A31="","",IFERROR(C31*B31,0))</f>
        <v>30831.6837874754</v>
      </c>
      <c r="E31" s="1" t="n">
        <f aca="false">IF(A31="","",IFERROR((1/(1+Inputs!$B$23))^A31,0))</f>
        <v>0.488661252310496</v>
      </c>
      <c r="F31" s="1" t="n">
        <f aca="false">IF(A31="","",IFERROR(C31*E31,0))</f>
        <v>4431249.76777322</v>
      </c>
      <c r="G31" s="1" t="n">
        <f aca="false">IF(A31="","",IFERROR(D31*(1/(1+Inputs!$B$23))^(A31+1),0))</f>
        <v>14698.7797174916</v>
      </c>
      <c r="H31" s="1" t="n">
        <f aca="false">IF(A31="","",IFERROR(IF(B31=1,F31,F31+H32),0))</f>
        <v>107981930.95034</v>
      </c>
      <c r="I31" s="1" t="n">
        <f aca="false">IF(A31="","",IFERROR(IF(B31=1,G31,G31+I32),0))</f>
        <v>1797544.1348381</v>
      </c>
      <c r="J31" s="1" t="n">
        <f aca="false">IF(A31="","",IFERROR(H31/F31,0))</f>
        <v>24.36827906557</v>
      </c>
      <c r="K31" s="1" t="n">
        <f aca="false">IF(A31="","",IFERROR(I31/F31,0))</f>
        <v>0.405651730108051</v>
      </c>
      <c r="L31" s="1" t="n">
        <f aca="false">IF(A31="","",IFERROR(1000*I31/H31,0))</f>
        <v>16.6467122695257</v>
      </c>
      <c r="M31" s="1" t="n">
        <f aca="false">IF(A31="","",IFERROR(1000*I31/(H31-INDEX(H:H,MATCH(A31+Inputs!$B$8,$A:$A,0))),0))</f>
        <v>20.3884474537896</v>
      </c>
    </row>
    <row r="32" customFormat="false" ht="15" hidden="false" customHeight="false" outlineLevel="0" collapsed="false">
      <c r="A32" s="1" t="n">
        <f aca="false">IF(OR(A31="",A31&gt;=MAX(MORTALITY!$A:$A)),"",A31+1)</f>
        <v>30</v>
      </c>
      <c r="B32" s="8" t="n">
        <f aca="false">IF(A32="","",IFERROR(INDEX(MORTALITY!$B:$B,MATCH(A32,MORTALITY!$A:$A,0)),0))</f>
        <v>0.00356</v>
      </c>
      <c r="C32" s="1" t="n">
        <f aca="false">IF(A32="","",IFERROR(C31*(1-B31),0))</f>
        <v>9037310.60664647</v>
      </c>
      <c r="D32" s="1" t="n">
        <f aca="false">IF(A32="","",IFERROR(C32*B32,0))</f>
        <v>32172.8257596614</v>
      </c>
      <c r="E32" s="1" t="n">
        <f aca="false">IF(A32="","",IFERROR((1/(1+Inputs!$B$23))^A32,0))</f>
        <v>0.476742685180971</v>
      </c>
      <c r="F32" s="1" t="n">
        <f aca="false">IF(A32="","",IFERROR(C32*E32,0))</f>
        <v>4308471.72542711</v>
      </c>
      <c r="G32" s="1" t="n">
        <f aca="false">IF(A32="","",IFERROR(D32*(1/(1+Inputs!$B$23))^(A32+1),0))</f>
        <v>14964.057895142</v>
      </c>
      <c r="H32" s="1" t="n">
        <f aca="false">IF(A32="","",IFERROR(IF(B32=1,F32,F32+H33),0))</f>
        <v>103550681.182567</v>
      </c>
      <c r="I32" s="1" t="n">
        <f aca="false">IF(A32="","",IFERROR(IF(B32=1,G32,G32+I33),0))</f>
        <v>1782845.35512061</v>
      </c>
      <c r="J32" s="1" t="n">
        <f aca="false">IF(A32="","",IFERROR(H32/F32,0))</f>
        <v>24.0342023301317</v>
      </c>
      <c r="K32" s="1" t="n">
        <f aca="false">IF(A32="","",IFERROR(I32/F32,0))</f>
        <v>0.413799943167521</v>
      </c>
      <c r="L32" s="1" t="n">
        <f aca="false">IF(A32="","",IFERROR(1000*I32/H32,0))</f>
        <v>17.2171282193435</v>
      </c>
      <c r="M32" s="1" t="n">
        <f aca="false">IF(A32="","",IFERROR(1000*I32/(H32-INDEX(H:H,MATCH(A32+Inputs!$B$8,$A:$A,0))),0))</f>
        <v>20.8970175434984</v>
      </c>
    </row>
    <row r="33" customFormat="false" ht="15" hidden="false" customHeight="false" outlineLevel="0" collapsed="false">
      <c r="A33" s="1" t="n">
        <f aca="false">IF(OR(A32="",A32&gt;=MAX(MORTALITY!$A:$A)),"",A32+1)</f>
        <v>31</v>
      </c>
      <c r="B33" s="8" t="n">
        <f aca="false">IF(A33="","",IFERROR(INDEX(MORTALITY!$B:$B,MATCH(A33,MORTALITY!$A:$A,0)),0))</f>
        <v>0.00373</v>
      </c>
      <c r="C33" s="1" t="n">
        <f aca="false">IF(A33="","",IFERROR(C32*(1-B32),0))</f>
        <v>9005137.78088681</v>
      </c>
      <c r="D33" s="1" t="n">
        <f aca="false">IF(A33="","",IFERROR(C33*B33,0))</f>
        <v>33589.1639227078</v>
      </c>
      <c r="E33" s="1" t="n">
        <f aca="false">IF(A33="","",IFERROR((1/(1+Inputs!$B$23))^A33,0))</f>
        <v>0.465114814810704</v>
      </c>
      <c r="F33" s="1" t="n">
        <f aca="false">IF(A33="","",IFERROR(C33*E33,0))</f>
        <v>4188422.99130204</v>
      </c>
      <c r="G33" s="1" t="n">
        <f aca="false">IF(A33="","",IFERROR(D33*(1/(1+Inputs!$B$23))^(A33+1),0))</f>
        <v>15241.7734220064</v>
      </c>
      <c r="H33" s="1" t="n">
        <f aca="false">IF(A33="","",IFERROR(IF(B33=1,F33,F33+H34),0))</f>
        <v>99242209.4571398</v>
      </c>
      <c r="I33" s="1" t="n">
        <f aca="false">IF(A33="","",IFERROR(IF(B33=1,G33,G33+I34),0))</f>
        <v>1767881.29722547</v>
      </c>
      <c r="J33" s="1" t="n">
        <f aca="false">IF(A33="","",IFERROR(H33/F33,0))</f>
        <v>23.6944094861557</v>
      </c>
      <c r="K33" s="1" t="n">
        <f aca="false">IF(A33="","",IFERROR(I33/F33,0))</f>
        <v>0.422087573508399</v>
      </c>
      <c r="L33" s="1" t="n">
        <f aca="false">IF(A33="","",IFERROR(1000*I33/H33,0))</f>
        <v>17.8138042965375</v>
      </c>
      <c r="M33" s="1" t="n">
        <f aca="false">IF(A33="","",IFERROR(1000*I33/(H33-INDEX(H:H,MATCH(A33+Inputs!$B$8,$A:$A,0))),0))</f>
        <v>21.4254918244201</v>
      </c>
    </row>
    <row r="34" customFormat="false" ht="15" hidden="false" customHeight="false" outlineLevel="0" collapsed="false">
      <c r="A34" s="1" t="n">
        <f aca="false">IF(OR(A33="",A33&gt;=MAX(MORTALITY!$A:$A)),"",A33+1)</f>
        <v>32</v>
      </c>
      <c r="B34" s="8" t="n">
        <f aca="false">IF(A34="","",IFERROR(INDEX(MORTALITY!$B:$B,MATCH(A34,MORTALITY!$A:$A,0)),0))</f>
        <v>0.00392</v>
      </c>
      <c r="C34" s="1" t="n">
        <f aca="false">IF(A34="","",IFERROR(C33*(1-B33),0))</f>
        <v>8971548.6169641</v>
      </c>
      <c r="D34" s="1" t="n">
        <f aca="false">IF(A34="","",IFERROR(C34*B34,0))</f>
        <v>35168.4705784993</v>
      </c>
      <c r="E34" s="1" t="n">
        <f aca="false">IF(A34="","",IFERROR((1/(1+Inputs!$B$23))^A34,0))</f>
        <v>0.453770551034833</v>
      </c>
      <c r="F34" s="1" t="n">
        <f aca="false">IF(A34="","",IFERROR(C34*E34,0))</f>
        <v>4071024.55955559</v>
      </c>
      <c r="G34" s="1" t="n">
        <f aca="false">IF(A34="","",IFERROR(D34*(1/(1+Inputs!$B$23))^(A34+1),0))</f>
        <v>15569.1866082516</v>
      </c>
      <c r="H34" s="1" t="n">
        <f aca="false">IF(A34="","",IFERROR(IF(B34=1,F34,F34+H35),0))</f>
        <v>95053786.4658378</v>
      </c>
      <c r="I34" s="1" t="n">
        <f aca="false">IF(A34="","",IFERROR(IF(B34=1,G34,G34+I35),0))</f>
        <v>1752639.52380346</v>
      </c>
      <c r="J34" s="1" t="n">
        <f aca="false">IF(A34="","",IFERROR(H34/F34,0))</f>
        <v>23.3488609747454</v>
      </c>
      <c r="K34" s="1" t="n">
        <f aca="false">IF(A34="","",IFERROR(I34/F34,0))</f>
        <v>0.430515585981821</v>
      </c>
      <c r="L34" s="1" t="n">
        <f aca="false">IF(A34="","",IFERROR(1000*I34/H34,0))</f>
        <v>18.4383977637057</v>
      </c>
      <c r="M34" s="1" t="n">
        <f aca="false">IF(A34="","",IFERROR(1000*I34/(H34-INDEX(H:H,MATCH(A34+Inputs!$B$8,$A:$A,0))),0))</f>
        <v>21.9754431793485</v>
      </c>
    </row>
    <row r="35" customFormat="false" ht="15" hidden="false" customHeight="false" outlineLevel="0" collapsed="false">
      <c r="A35" s="1" t="n">
        <f aca="false">IF(OR(A34="",A34&gt;=MAX(MORTALITY!$A:$A)),"",A34+1)</f>
        <v>33</v>
      </c>
      <c r="B35" s="8" t="n">
        <f aca="false">IF(A35="","",IFERROR(INDEX(MORTALITY!$B:$B,MATCH(A35,MORTALITY!$A:$A,0)),0))</f>
        <v>0.00412</v>
      </c>
      <c r="C35" s="1" t="n">
        <f aca="false">IF(A35="","",IFERROR(C34*(1-B34),0))</f>
        <v>8936380.1463856</v>
      </c>
      <c r="D35" s="1" t="n">
        <f aca="false">IF(A35="","",IFERROR(C35*B35,0))</f>
        <v>36817.8862031087</v>
      </c>
      <c r="E35" s="1" t="n">
        <f aca="false">IF(A35="","",IFERROR((1/(1+Inputs!$B$23))^A35,0))</f>
        <v>0.442702976619349</v>
      </c>
      <c r="F35" s="1" t="n">
        <f aca="false">IF(A35="","",IFERROR(C35*E35,0))</f>
        <v>3956162.09100696</v>
      </c>
      <c r="G35" s="1" t="n">
        <f aca="false">IF(A35="","",IFERROR(D35*(1/(1+Inputs!$B$23))^(A35+1),0))</f>
        <v>15901.8417706816</v>
      </c>
      <c r="H35" s="1" t="n">
        <f aca="false">IF(A35="","",IFERROR(IF(B35=1,F35,F35+H36),0))</f>
        <v>90982761.9062822</v>
      </c>
      <c r="I35" s="1" t="n">
        <f aca="false">IF(A35="","",IFERROR(IF(B35=1,G35,G35+I36),0))</f>
        <v>1737070.33719521</v>
      </c>
      <c r="J35" s="1" t="n">
        <f aca="false">IF(A35="","",IFERROR(H35/F35,0))</f>
        <v>22.9977336148844</v>
      </c>
      <c r="K35" s="1" t="n">
        <f aca="false">IF(A35="","",IFERROR(I35/F35,0))</f>
        <v>0.439079667929651</v>
      </c>
      <c r="L35" s="1" t="n">
        <f aca="false">IF(A35="","",IFERROR(1000*I35/H35,0))</f>
        <v>19.0923016712166</v>
      </c>
      <c r="M35" s="1" t="n">
        <f aca="false">IF(A35="","",IFERROR(1000*I35/(H35-INDEX(H:H,MATCH(A35+Inputs!$B$8,$A:$A,0))),0))</f>
        <v>22.5481390868564</v>
      </c>
    </row>
    <row r="36" customFormat="false" ht="15" hidden="false" customHeight="false" outlineLevel="0" collapsed="false">
      <c r="A36" s="1" t="n">
        <f aca="false">IF(OR(A35="",A35&gt;=MAX(MORTALITY!$A:$A)),"",A35+1)</f>
        <v>34</v>
      </c>
      <c r="B36" s="8" t="n">
        <f aca="false">IF(A36="","",IFERROR(INDEX(MORTALITY!$B:$B,MATCH(A36,MORTALITY!$A:$A,0)),0))</f>
        <v>0.00435</v>
      </c>
      <c r="C36" s="1" t="n">
        <f aca="false">IF(A36="","",IFERROR(C35*(1-B35),0))</f>
        <v>8899562.26018249</v>
      </c>
      <c r="D36" s="1" t="n">
        <f aca="false">IF(A36="","",IFERROR(C36*B36,0))</f>
        <v>38713.0958317938</v>
      </c>
      <c r="E36" s="1" t="n">
        <f aca="false">IF(A36="","",IFERROR((1/(1+Inputs!$B$23))^A36,0))</f>
        <v>0.431905343043268</v>
      </c>
      <c r="F36" s="1" t="n">
        <f aca="false">IF(A36="","",IFERROR(C36*E36,0))</f>
        <v>3843768.49091904</v>
      </c>
      <c r="G36" s="1" t="n">
        <f aca="false">IF(A36="","",IFERROR(D36*(1/(1+Inputs!$B$23))^(A36+1),0))</f>
        <v>16312.5784736564</v>
      </c>
      <c r="H36" s="1" t="n">
        <f aca="false">IF(A36="","",IFERROR(IF(B36=1,F36,F36+H37),0))</f>
        <v>87026599.8152752</v>
      </c>
      <c r="I36" s="1" t="n">
        <f aca="false">IF(A36="","",IFERROR(IF(B36=1,G36,G36+I37),0))</f>
        <v>1721168.49542453</v>
      </c>
      <c r="J36" s="1" t="n">
        <f aca="false">IF(A36="","",IFERROR(H36/F36,0))</f>
        <v>22.6409577009846</v>
      </c>
      <c r="K36" s="1" t="n">
        <f aca="false">IF(A36="","",IFERROR(I36/F36,0))</f>
        <v>0.447781519488184</v>
      </c>
      <c r="L36" s="1" t="n">
        <f aca="false">IF(A36="","",IFERROR(1000*I36/H36,0))</f>
        <v>19.7774990529094</v>
      </c>
      <c r="M36" s="1" t="n">
        <f aca="false">IF(A36="","",IFERROR(1000*I36/(H36-INDEX(H:H,MATCH(A36+Inputs!$B$8,$A:$A,0))),0))</f>
        <v>23.1455737947719</v>
      </c>
    </row>
    <row r="37" customFormat="false" ht="15" hidden="false" customHeight="false" outlineLevel="0" collapsed="false">
      <c r="A37" s="1" t="n">
        <f aca="false">IF(OR(A36="",A36&gt;=MAX(MORTALITY!$A:$A)),"",A36+1)</f>
        <v>35</v>
      </c>
      <c r="B37" s="8" t="n">
        <f aca="false">IF(A37="","",IFERROR(INDEX(MORTALITY!$B:$B,MATCH(A37,MORTALITY!$A:$A,0)),0))</f>
        <v>0.00459</v>
      </c>
      <c r="C37" s="1" t="n">
        <f aca="false">IF(A37="","",IFERROR(C36*(1-B36),0))</f>
        <v>8860849.1643507</v>
      </c>
      <c r="D37" s="1" t="n">
        <f aca="false">IF(A37="","",IFERROR(C37*B37,0))</f>
        <v>40671.2976643697</v>
      </c>
      <c r="E37" s="1" t="n">
        <f aca="false">IF(A37="","",IFERROR((1/(1+Inputs!$B$23))^A37,0))</f>
        <v>0.421371066383676</v>
      </c>
      <c r="F37" s="1" t="n">
        <f aca="false">IF(A37="","",IFERROR(C37*E37,0))</f>
        <v>3733705.46144736</v>
      </c>
      <c r="G37" s="1" t="n">
        <f aca="false">IF(A37="","",IFERROR(D37*(1/(1+Inputs!$B$23))^(A37+1),0))</f>
        <v>16719.715188335</v>
      </c>
      <c r="H37" s="1" t="n">
        <f aca="false">IF(A37="","",IFERROR(IF(B37=1,F37,F37+H38),0))</f>
        <v>83182831.3243562</v>
      </c>
      <c r="I37" s="1" t="n">
        <f aca="false">IF(A37="","",IFERROR(IF(B37=1,G37,G37+I38),0))</f>
        <v>1704855.91695087</v>
      </c>
      <c r="J37" s="1" t="n">
        <f aca="false">IF(A37="","",IFERROR(H37/F37,0))</f>
        <v>22.278894836046</v>
      </c>
      <c r="K37" s="1" t="n">
        <f aca="false">IF(A37="","",IFERROR(I37/F37,0))</f>
        <v>0.456612321072052</v>
      </c>
      <c r="L37" s="1" t="n">
        <f aca="false">IF(A37="","",IFERROR(1000*I37/H37,0))</f>
        <v>20.4952859839923</v>
      </c>
      <c r="M37" s="1" t="n">
        <f aca="false">IF(A37="","",IFERROR(1000*I37/(H37-INDEX(H:H,MATCH(A37+Inputs!$B$8,$A:$A,0))),0))</f>
        <v>23.7689500674132</v>
      </c>
    </row>
    <row r="38" customFormat="false" ht="15" hidden="false" customHeight="false" outlineLevel="0" collapsed="false">
      <c r="A38" s="1" t="n">
        <f aca="false">IF(OR(A37="",A37&gt;=MAX(MORTALITY!$A:$A)),"",A37+1)</f>
        <v>36</v>
      </c>
      <c r="B38" s="8" t="n">
        <f aca="false">IF(A38="","",IFERROR(INDEX(MORTALITY!$B:$B,MATCH(A38,MORTALITY!$A:$A,0)),0))</f>
        <v>0.00486</v>
      </c>
      <c r="C38" s="1" t="n">
        <f aca="false">IF(A38="","",IFERROR(C37*(1-B37),0))</f>
        <v>8820177.86668633</v>
      </c>
      <c r="D38" s="1" t="n">
        <f aca="false">IF(A38="","",IFERROR(C38*B38,0))</f>
        <v>42866.0644320956</v>
      </c>
      <c r="E38" s="1" t="n">
        <f aca="false">IF(A38="","",IFERROR((1/(1+Inputs!$B$23))^A38,0))</f>
        <v>0.411093723301147</v>
      </c>
      <c r="F38" s="1" t="n">
        <f aca="false">IF(A38="","",IFERROR(C38*E38,0))</f>
        <v>3625919.75939445</v>
      </c>
      <c r="G38" s="1" t="n">
        <f aca="false">IF(A38="","",IFERROR(D38*(1/(1+Inputs!$B$23))^(A38+1),0))</f>
        <v>17192.1658835678</v>
      </c>
      <c r="H38" s="1" t="n">
        <f aca="false">IF(A38="","",IFERROR(IF(B38=1,F38,F38+H39),0))</f>
        <v>79449125.8629088</v>
      </c>
      <c r="I38" s="1" t="n">
        <f aca="false">IF(A38="","",IFERROR(IF(B38=1,G38,G38+I39),0))</f>
        <v>1688136.20176254</v>
      </c>
      <c r="J38" s="1" t="n">
        <f aca="false">IF(A38="","",IFERROR(H38/F38,0))</f>
        <v>21.9114407198512</v>
      </c>
      <c r="K38" s="1" t="n">
        <f aca="false">IF(A38="","",IFERROR(I38/F38,0))</f>
        <v>0.465574616588996</v>
      </c>
      <c r="L38" s="1" t="n">
        <f aca="false">IF(A38="","",IFERROR(1000*I38/H38,0))</f>
        <v>21.2480147947185</v>
      </c>
      <c r="M38" s="1" t="n">
        <f aca="false">IF(A38="","",IFERROR(1000*I38/(H38-INDEX(H:H,MATCH(A38+Inputs!$B$8,$A:$A,0))),0))</f>
        <v>24.4207435553078</v>
      </c>
    </row>
    <row r="39" customFormat="false" ht="15" hidden="false" customHeight="false" outlineLevel="0" collapsed="false">
      <c r="A39" s="1" t="n">
        <f aca="false">IF(OR(A38="",A38&gt;=MAX(MORTALITY!$A:$A)),"",A38+1)</f>
        <v>37</v>
      </c>
      <c r="B39" s="8" t="n">
        <f aca="false">IF(A39="","",IFERROR(INDEX(MORTALITY!$B:$B,MATCH(A39,MORTALITY!$A:$A,0)),0))</f>
        <v>0.00515</v>
      </c>
      <c r="C39" s="1" t="n">
        <f aca="false">IF(A39="","",IFERROR(C38*(1-B38),0))</f>
        <v>8777311.80225423</v>
      </c>
      <c r="D39" s="1" t="n">
        <f aca="false">IF(A39="","",IFERROR(C39*B39,0))</f>
        <v>45203.1557816093</v>
      </c>
      <c r="E39" s="1" t="n">
        <f aca="false">IF(A39="","",IFERROR((1/(1+Inputs!$B$23))^A39,0))</f>
        <v>0.40106704712307</v>
      </c>
      <c r="F39" s="1" t="n">
        <f aca="false">IF(A39="","",IFERROR(C39*E39,0))</f>
        <v>3520290.52620858</v>
      </c>
      <c r="G39" s="1" t="n">
        <f aca="false">IF(A39="","",IFERROR(D39*(1/(1+Inputs!$B$23))^(A39+1),0))</f>
        <v>17687.3133755846</v>
      </c>
      <c r="H39" s="1" t="n">
        <f aca="false">IF(A39="","",IFERROR(IF(B39=1,F39,F39+H40),0))</f>
        <v>75823206.1035144</v>
      </c>
      <c r="I39" s="1" t="n">
        <f aca="false">IF(A39="","",IFERROR(IF(B39=1,G39,G39+I40),0))</f>
        <v>1670944.03587897</v>
      </c>
      <c r="J39" s="1" t="n">
        <f aca="false">IF(A39="","",IFERROR(H39/F39,0))</f>
        <v>21.5389058201334</v>
      </c>
      <c r="K39" s="1" t="n">
        <f aca="false">IF(A39="","",IFERROR(I39/F39,0))</f>
        <v>0.474660833655286</v>
      </c>
      <c r="L39" s="1" t="n">
        <f aca="false">IF(A39="","",IFERROR(1000*I39/H39,0))</f>
        <v>22.0373698468749</v>
      </c>
      <c r="M39" s="1" t="n">
        <f aca="false">IF(A39="","",IFERROR(1000*I39/(H39-INDEX(H:H,MATCH(A39+Inputs!$B$8,$A:$A,0))),0))</f>
        <v>25.1026921063233</v>
      </c>
    </row>
    <row r="40" customFormat="false" ht="15" hidden="false" customHeight="false" outlineLevel="0" collapsed="false">
      <c r="A40" s="1" t="n">
        <f aca="false">IF(OR(A39="",A39&gt;=MAX(MORTALITY!$A:$A)),"",A39+1)</f>
        <v>38</v>
      </c>
      <c r="B40" s="8" t="n">
        <f aca="false">IF(A40="","",IFERROR(INDEX(MORTALITY!$B:$B,MATCH(A40,MORTALITY!$A:$A,0)),0))</f>
        <v>0.00546</v>
      </c>
      <c r="C40" s="1" t="n">
        <f aca="false">IF(A40="","",IFERROR(C39*(1-B39),0))</f>
        <v>8732108.64647262</v>
      </c>
      <c r="D40" s="1" t="n">
        <f aca="false">IF(A40="","",IFERROR(C40*B40,0))</f>
        <v>47677.3132097405</v>
      </c>
      <c r="E40" s="1" t="n">
        <f aca="false">IF(A40="","",IFERROR((1/(1+Inputs!$B$23))^A40,0))</f>
        <v>0.391284924022508</v>
      </c>
      <c r="F40" s="1" t="n">
        <f aca="false">IF(A40="","",IFERROR(C40*E40,0))</f>
        <v>3416742.46829132</v>
      </c>
      <c r="G40" s="1" t="n">
        <f aca="false">IF(A40="","",IFERROR(D40*(1/(1+Inputs!$B$23))^(A40+1),0))</f>
        <v>18200.4037823128</v>
      </c>
      <c r="H40" s="1" t="n">
        <f aca="false">IF(A40="","",IFERROR(IF(B40=1,F40,F40+H41),0))</f>
        <v>72302915.5773058</v>
      </c>
      <c r="I40" s="1" t="n">
        <f aca="false">IF(A40="","",IFERROR(IF(B40=1,G40,G40+I41),0))</f>
        <v>1653256.72250339</v>
      </c>
      <c r="J40" s="1" t="n">
        <f aca="false">IF(A40="","",IFERROR(H40/F40,0))</f>
        <v>21.1613594668912</v>
      </c>
      <c r="K40" s="1" t="n">
        <f aca="false">IF(A40="","",IFERROR(I40/F40,0))</f>
        <v>0.483869281295339</v>
      </c>
      <c r="L40" s="1" t="n">
        <f aca="false">IF(A40="","",IFERROR(1000*I40/H40,0))</f>
        <v>22.8656992502015</v>
      </c>
      <c r="M40" s="1" t="n">
        <f aca="false">IF(A40="","",IFERROR(1000*I40/(H40-INDEX(H:H,MATCH(A40+Inputs!$B$8,$A:$A,0))),0))</f>
        <v>25.8173426589402</v>
      </c>
    </row>
    <row r="41" customFormat="false" ht="15" hidden="false" customHeight="false" outlineLevel="0" collapsed="false">
      <c r="A41" s="1" t="n">
        <f aca="false">IF(OR(A40="",A40&gt;=MAX(MORTALITY!$A:$A)),"",A40+1)</f>
        <v>39</v>
      </c>
      <c r="B41" s="8" t="n">
        <f aca="false">IF(A41="","",IFERROR(INDEX(MORTALITY!$B:$B,MATCH(A41,MORTALITY!$A:$A,0)),0))</f>
        <v>0.00581</v>
      </c>
      <c r="C41" s="1" t="n">
        <f aca="false">IF(A41="","",IFERROR(C40*(1-B40),0))</f>
        <v>8684431.33326288</v>
      </c>
      <c r="D41" s="1" t="n">
        <f aca="false">IF(A41="","",IFERROR(C41*B41,0))</f>
        <v>50456.5460462573</v>
      </c>
      <c r="E41" s="1" t="n">
        <f aca="false">IF(A41="","",IFERROR((1/(1+Inputs!$B$23))^A41,0))</f>
        <v>0.381741389290252</v>
      </c>
      <c r="F41" s="1" t="n">
        <f aca="false">IF(A41="","",IFERROR(C41*E41,0))</f>
        <v>3315206.88235556</v>
      </c>
      <c r="G41" s="1" t="n">
        <f aca="false">IF(A41="","",IFERROR(D41*(1/(1+Inputs!$B$23))^(A41+1),0))</f>
        <v>18791.5629136447</v>
      </c>
      <c r="H41" s="1" t="n">
        <f aca="false">IF(A41="","",IFERROR(IF(B41=1,F41,F41+H42),0))</f>
        <v>68886173.1090145</v>
      </c>
      <c r="I41" s="1" t="n">
        <f aca="false">IF(A41="","",IFERROR(IF(B41=1,G41,G41+I42),0))</f>
        <v>1635056.31872107</v>
      </c>
      <c r="J41" s="1" t="n">
        <f aca="false">IF(A41="","",IFERROR(H41/F41,0))</f>
        <v>20.7788459524639</v>
      </c>
      <c r="K41" s="1" t="n">
        <f aca="false">IF(A41="","",IFERROR(I41/F41,0))</f>
        <v>0.493198879208199</v>
      </c>
      <c r="L41" s="1" t="n">
        <f aca="false">IF(A41="","",IFERROR(1000*I41/H41,0))</f>
        <v>23.7356242178463</v>
      </c>
      <c r="M41" s="1" t="n">
        <f aca="false">IF(A41="","",IFERROR(1000*I41/(H41-INDEX(H:H,MATCH(A41+Inputs!$B$8,$A:$A,0))),0))</f>
        <v>26.5675946707347</v>
      </c>
    </row>
    <row r="42" customFormat="false" ht="15" hidden="false" customHeight="false" outlineLevel="0" collapsed="false">
      <c r="A42" s="1" t="n">
        <f aca="false">IF(OR(A41="",A41&gt;=MAX(MORTALITY!$A:$A)),"",A41+1)</f>
        <v>40</v>
      </c>
      <c r="B42" s="8" t="n">
        <f aca="false">IF(A42="","",IFERROR(INDEX(MORTALITY!$B:$B,MATCH(A42,MORTALITY!$A:$A,0)),0))</f>
        <v>0.00618</v>
      </c>
      <c r="C42" s="1" t="n">
        <f aca="false">IF(A42="","",IFERROR(C41*(1-B41),0))</f>
        <v>8633974.78721662</v>
      </c>
      <c r="D42" s="1" t="n">
        <f aca="false">IF(A42="","",IFERROR(C42*B42,0))</f>
        <v>53357.9641849987</v>
      </c>
      <c r="E42" s="1" t="n">
        <f aca="false">IF(A42="","",IFERROR((1/(1+Inputs!$B$23))^A42,0))</f>
        <v>0.372430623697806</v>
      </c>
      <c r="F42" s="1" t="n">
        <f aca="false">IF(A42="","",IFERROR(C42*E42,0))</f>
        <v>3215556.61499422</v>
      </c>
      <c r="G42" s="1" t="n">
        <f aca="false">IF(A42="","",IFERROR(D42*(1/(1+Inputs!$B$23))^(A42+1),0))</f>
        <v>19387.4535421115</v>
      </c>
      <c r="H42" s="1" t="n">
        <f aca="false">IF(A42="","",IFERROR(IF(B42=1,F42,F42+H43),0))</f>
        <v>65570966.2266589</v>
      </c>
      <c r="I42" s="1" t="n">
        <f aca="false">IF(A42="","",IFERROR(IF(B42=1,G42,G42+I43),0))</f>
        <v>1616264.75580743</v>
      </c>
      <c r="J42" s="1" t="n">
        <f aca="false">IF(A42="","",IFERROR(H42/F42,0))</f>
        <v>20.3917934210518</v>
      </c>
      <c r="K42" s="1" t="n">
        <f aca="false">IF(A42="","",IFERROR(I42/F42,0))</f>
        <v>0.502639184852397</v>
      </c>
      <c r="L42" s="1" t="n">
        <f aca="false">IF(A42="","",IFERROR(1000*I42/H42,0))</f>
        <v>24.6490916455386</v>
      </c>
      <c r="M42" s="1" t="n">
        <f aca="false">IF(A42="","",IFERROR(1000*I42/(H42-INDEX(H:H,MATCH(A42+Inputs!$B$8,$A:$A,0))),0))</f>
        <v>27.3556477345062</v>
      </c>
    </row>
    <row r="43" customFormat="false" ht="15" hidden="false" customHeight="false" outlineLevel="0" collapsed="false">
      <c r="A43" s="1" t="n">
        <f aca="false">IF(OR(A42="",A42&gt;=MAX(MORTALITY!$A:$A)),"",A42+1)</f>
        <v>41</v>
      </c>
      <c r="B43" s="8" t="n">
        <f aca="false">IF(A43="","",IFERROR(INDEX(MORTALITY!$B:$B,MATCH(A43,MORTALITY!$A:$A,0)),0))</f>
        <v>0.00659</v>
      </c>
      <c r="C43" s="1" t="n">
        <f aca="false">IF(A43="","",IFERROR(C42*(1-B42),0))</f>
        <v>8580616.82303163</v>
      </c>
      <c r="D43" s="1" t="n">
        <f aca="false">IF(A43="","",IFERROR(C43*B43,0))</f>
        <v>56546.2648637784</v>
      </c>
      <c r="E43" s="1" t="n">
        <f aca="false">IF(A43="","",IFERROR((1/(1+Inputs!$B$23))^A43,0))</f>
        <v>0.363346949949079</v>
      </c>
      <c r="F43" s="1" t="n">
        <f aca="false">IF(A43="","",IFERROR(C43*E43,0))</f>
        <v>3117740.9513303</v>
      </c>
      <c r="G43" s="1" t="n">
        <f aca="false">IF(A43="","",IFERROR(D43*(1/(1+Inputs!$B$23))^(A43+1),0))</f>
        <v>20044.793043187</v>
      </c>
      <c r="H43" s="1" t="n">
        <f aca="false">IF(A43="","",IFERROR(IF(B43=1,F43,F43+H44),0))</f>
        <v>62355409.6116647</v>
      </c>
      <c r="I43" s="1" t="n">
        <f aca="false">IF(A43="","",IFERROR(IF(B43=1,G43,G43+I44),0))</f>
        <v>1596877.30226532</v>
      </c>
      <c r="J43" s="1" t="n">
        <f aca="false">IF(A43="","",IFERROR(H43/F43,0))</f>
        <v>20.0001894272385</v>
      </c>
      <c r="K43" s="1" t="n">
        <f aca="false">IF(A43="","",IFERROR(I43/F43,0))</f>
        <v>0.512190501774674</v>
      </c>
      <c r="L43" s="1" t="n">
        <f aca="false">IF(A43="","",IFERROR(1000*I43/H43,0))</f>
        <v>25.6092825339502</v>
      </c>
      <c r="M43" s="1" t="n">
        <f aca="false">IF(A43="","",IFERROR(1000*I43/(H43-INDEX(H:H,MATCH(A43+Inputs!$B$8,$A:$A,0))),0))</f>
        <v>28.185150083832</v>
      </c>
    </row>
    <row r="44" customFormat="false" ht="15" hidden="false" customHeight="false" outlineLevel="0" collapsed="false">
      <c r="A44" s="1" t="n">
        <f aca="false">IF(OR(A43="",A43&gt;=MAX(MORTALITY!$A:$A)),"",A43+1)</f>
        <v>42</v>
      </c>
      <c r="B44" s="8" t="n">
        <f aca="false">IF(A44="","",IFERROR(INDEX(MORTALITY!$B:$B,MATCH(A44,MORTALITY!$A:$A,0)),0))</f>
        <v>0.00703</v>
      </c>
      <c r="C44" s="1" t="n">
        <f aca="false">IF(A44="","",IFERROR(C43*(1-B43),0))</f>
        <v>8524070.55816785</v>
      </c>
      <c r="D44" s="1" t="n">
        <f aca="false">IF(A44="","",IFERROR(C44*B44,0))</f>
        <v>59924.21602392</v>
      </c>
      <c r="E44" s="1" t="n">
        <f aca="false">IF(A44="","",IFERROR((1/(1+Inputs!$B$23))^A44,0))</f>
        <v>0.354484829218614</v>
      </c>
      <c r="F44" s="1" t="n">
        <f aca="false">IF(A44="","",IFERROR(C44*E44,0))</f>
        <v>3021653.69605955</v>
      </c>
      <c r="G44" s="1" t="n">
        <f aca="false">IF(A44="","",IFERROR(D44*(1/(1+Inputs!$B$23))^(A44+1),0))</f>
        <v>20724.1224227304</v>
      </c>
      <c r="H44" s="1" t="n">
        <f aca="false">IF(A44="","",IFERROR(IF(B44=1,F44,F44+H45),0))</f>
        <v>59237668.6603344</v>
      </c>
      <c r="I44" s="1" t="n">
        <f aca="false">IF(A44="","",IFERROR(IF(B44=1,G44,G44+I45),0))</f>
        <v>1576832.50922213</v>
      </c>
      <c r="J44" s="1" t="n">
        <f aca="false">IF(A44="","",IFERROR(H44/F44,0))</f>
        <v>19.6043870737353</v>
      </c>
      <c r="K44" s="1" t="n">
        <f aca="false">IF(A44="","",IFERROR(I44/F44,0))</f>
        <v>0.521844217713775</v>
      </c>
      <c r="L44" s="1" t="n">
        <f aca="false">IF(A44="","",IFERROR(1000*I44/H44,0))</f>
        <v>26.6187469034881</v>
      </c>
      <c r="M44" s="1" t="n">
        <f aca="false">IF(A44="","",IFERROR(1000*I44/(H44-INDEX(H:H,MATCH(A44+Inputs!$B$8,$A:$A,0))),0))</f>
        <v>29.0591192947524</v>
      </c>
    </row>
    <row r="45" customFormat="false" ht="15" hidden="false" customHeight="false" outlineLevel="0" collapsed="false">
      <c r="A45" s="1" t="n">
        <f aca="false">IF(OR(A44="",A44&gt;=MAX(MORTALITY!$A:$A)),"",A44+1)</f>
        <v>43</v>
      </c>
      <c r="B45" s="8" t="n">
        <f aca="false">IF(A45="","",IFERROR(INDEX(MORTALITY!$B:$B,MATCH(A45,MORTALITY!$A:$A,0)),0))</f>
        <v>0.00751</v>
      </c>
      <c r="C45" s="1" t="n">
        <f aca="false">IF(A45="","",IFERROR(C44*(1-B44),0))</f>
        <v>8464146.34214393</v>
      </c>
      <c r="D45" s="1" t="n">
        <f aca="false">IF(A45="","",IFERROR(C45*B45,0))</f>
        <v>63565.7390295009</v>
      </c>
      <c r="E45" s="1" t="n">
        <f aca="false">IF(A45="","",IFERROR((1/(1+Inputs!$B$23))^A45,0))</f>
        <v>0.345838857774258</v>
      </c>
      <c r="F45" s="1" t="n">
        <f aca="false">IF(A45="","",IFERROR(C45*E45,0))</f>
        <v>2927230.70300122</v>
      </c>
      <c r="G45" s="1" t="n">
        <f aca="false">IF(A45="","",IFERROR(D45*(1/(1+Inputs!$B$23))^(A45+1),0))</f>
        <v>21447.3195897943</v>
      </c>
      <c r="H45" s="1" t="n">
        <f aca="false">IF(A45="","",IFERROR(IF(B45=1,F45,F45+H46),0))</f>
        <v>56216014.9642748</v>
      </c>
      <c r="I45" s="1" t="n">
        <f aca="false">IF(A45="","",IFERROR(IF(B45=1,G45,G45+I46),0))</f>
        <v>1556108.3867994</v>
      </c>
      <c r="J45" s="1" t="n">
        <f aca="false">IF(A45="","",IFERROR(H45/F45,0))</f>
        <v>19.2045044166276</v>
      </c>
      <c r="K45" s="1" t="n">
        <f aca="false">IF(A45="","",IFERROR(I45/F45,0))</f>
        <v>0.531597453252987</v>
      </c>
      <c r="L45" s="1" t="n">
        <f aca="false">IF(A45="","",IFERROR(1000*I45/H45,0))</f>
        <v>27.6808732847446</v>
      </c>
      <c r="M45" s="1" t="n">
        <f aca="false">IF(A45="","",IFERROR(1000*I45/(H45-INDEX(H:H,MATCH(A45+Inputs!$B$8,$A:$A,0))),0))</f>
        <v>29.9815642921194</v>
      </c>
    </row>
    <row r="46" customFormat="false" ht="15" hidden="false" customHeight="false" outlineLevel="0" collapsed="false">
      <c r="A46" s="1" t="n">
        <f aca="false">IF(OR(A45="",A45&gt;=MAX(MORTALITY!$A:$A)),"",A45+1)</f>
        <v>44</v>
      </c>
      <c r="B46" s="8" t="n">
        <f aca="false">IF(A46="","",IFERROR(INDEX(MORTALITY!$B:$B,MATCH(A46,MORTALITY!$A:$A,0)),0))</f>
        <v>0.00804</v>
      </c>
      <c r="C46" s="1" t="n">
        <f aca="false">IF(A46="","",IFERROR(C45*(1-B45),0))</f>
        <v>8400580.60311443</v>
      </c>
      <c r="D46" s="1" t="n">
        <f aca="false">IF(A46="","",IFERROR(C46*B46,0))</f>
        <v>67540.66804904</v>
      </c>
      <c r="E46" s="1" t="n">
        <f aca="false">IF(A46="","",IFERROR((1/(1+Inputs!$B$23))^A46,0))</f>
        <v>0.337403763682203</v>
      </c>
      <c r="F46" s="1" t="n">
        <f aca="false">IF(A46="","",IFERROR(C46*E46,0))</f>
        <v>2834387.51260652</v>
      </c>
      <c r="G46" s="1" t="n">
        <f aca="false">IF(A46="","",IFERROR(D46*(1/(1+Inputs!$B$23))^(A46+1),0))</f>
        <v>22232.6591232745</v>
      </c>
      <c r="H46" s="1" t="n">
        <f aca="false">IF(A46="","",IFERROR(IF(B46=1,F46,F46+H47),0))</f>
        <v>53288784.2612736</v>
      </c>
      <c r="I46" s="1" t="n">
        <f aca="false">IF(A46="","",IFERROR(IF(B46=1,G46,G46+I47),0))</f>
        <v>1534661.06720961</v>
      </c>
      <c r="J46" s="1" t="n">
        <f aca="false">IF(A46="","",IFERROR(H46/F46,0))</f>
        <v>18.8008111185436</v>
      </c>
      <c r="K46" s="1" t="n">
        <f aca="false">IF(A46="","",IFERROR(I46/F46,0))</f>
        <v>0.541443631255037</v>
      </c>
      <c r="L46" s="1" t="n">
        <f aca="false">IF(A46="","",IFERROR(1000*I46/H46,0))</f>
        <v>28.7989506325609</v>
      </c>
      <c r="M46" s="1" t="n">
        <f aca="false">IF(A46="","",IFERROR(1000*I46/(H46-INDEX(H:H,MATCH(A46+Inputs!$B$8,$A:$A,0))),0))</f>
        <v>30.9564617685821</v>
      </c>
    </row>
    <row r="47" customFormat="false" ht="15" hidden="false" customHeight="false" outlineLevel="0" collapsed="false">
      <c r="A47" s="1" t="n">
        <f aca="false">IF(OR(A46="",A46&gt;=MAX(MORTALITY!$A:$A)),"",A46+1)</f>
        <v>45</v>
      </c>
      <c r="B47" s="8" t="n">
        <f aca="false">IF(A47="","",IFERROR(INDEX(MORTALITY!$B:$B,MATCH(A47,MORTALITY!$A:$A,0)),0))</f>
        <v>0.00861</v>
      </c>
      <c r="C47" s="1" t="n">
        <f aca="false">IF(A47="","",IFERROR(C46*(1-B46),0))</f>
        <v>8333039.93506539</v>
      </c>
      <c r="D47" s="1" t="n">
        <f aca="false">IF(A47="","",IFERROR(C47*B47,0))</f>
        <v>71747.473840913</v>
      </c>
      <c r="E47" s="1" t="n">
        <f aca="false">IF(A47="","",IFERROR((1/(1+Inputs!$B$23))^A47,0))</f>
        <v>0.329174403592393</v>
      </c>
      <c r="F47" s="1" t="n">
        <f aca="false">IF(A47="","",IFERROR(C47*E47,0))</f>
        <v>2743023.45073674</v>
      </c>
      <c r="G47" s="1" t="n">
        <f aca="false">IF(A47="","",IFERROR(D47*(1/(1+Inputs!$B$23))^(A47+1),0))</f>
        <v>23041.3969861886</v>
      </c>
      <c r="H47" s="1" t="n">
        <f aca="false">IF(A47="","",IFERROR(IF(B47=1,F47,F47+H48),0))</f>
        <v>50454396.7486671</v>
      </c>
      <c r="I47" s="1" t="n">
        <f aca="false">IF(A47="","",IFERROR(IF(B47=1,G47,G47+I48),0))</f>
        <v>1512428.40808633</v>
      </c>
      <c r="J47" s="1" t="n">
        <f aca="false">IF(A47="","",IFERROR(H47/F47,0))</f>
        <v>18.3937168802241</v>
      </c>
      <c r="K47" s="1" t="n">
        <f aca="false">IF(A47="","",IFERROR(I47/F47,0))</f>
        <v>0.551372759018925</v>
      </c>
      <c r="L47" s="1" t="n">
        <f aca="false">IF(A47="","",IFERROR(1000*I47/H47,0))</f>
        <v>29.9761468880566</v>
      </c>
      <c r="M47" s="1" t="n">
        <f aca="false">IF(A47="","",IFERROR(1000*I47/(H47-INDEX(H:H,MATCH(A47+Inputs!$B$8,$A:$A,0))),0))</f>
        <v>31.9877455291209</v>
      </c>
    </row>
    <row r="48" customFormat="false" ht="15" hidden="false" customHeight="false" outlineLevel="0" collapsed="false">
      <c r="A48" s="1" t="n">
        <f aca="false">IF(OR(A47="",A47&gt;=MAX(MORTALITY!$A:$A)),"",A47+1)</f>
        <v>46</v>
      </c>
      <c r="B48" s="8" t="n">
        <f aca="false">IF(A48="","",IFERROR(INDEX(MORTALITY!$B:$B,MATCH(A48,MORTALITY!$A:$A,0)),0))</f>
        <v>0.00923</v>
      </c>
      <c r="C48" s="1" t="n">
        <f aca="false">IF(A48="","",IFERROR(C47*(1-B47),0))</f>
        <v>8261292.46122448</v>
      </c>
      <c r="D48" s="1" t="n">
        <f aca="false">IF(A48="","",IFERROR(C48*B48,0))</f>
        <v>76251.7294171019</v>
      </c>
      <c r="E48" s="1" t="n">
        <f aca="false">IF(A48="","",IFERROR((1/(1+Inputs!$B$23))^A48,0))</f>
        <v>0.321145759602335</v>
      </c>
      <c r="F48" s="1" t="n">
        <f aca="false">IF(A48="","",IFERROR(C48*E48,0))</f>
        <v>2653079.04275697</v>
      </c>
      <c r="G48" s="1" t="n">
        <f aca="false">IF(A48="","",IFERROR(D48*(1/(1+Inputs!$B$23))^(A48+1),0))</f>
        <v>23890.6532338018</v>
      </c>
      <c r="H48" s="1" t="n">
        <f aca="false">IF(A48="","",IFERROR(IF(B48=1,F48,F48+H49),0))</f>
        <v>47711373.2979303</v>
      </c>
      <c r="I48" s="1" t="n">
        <f aca="false">IF(A48="","",IFERROR(IF(B48=1,G48,G48+I49),0))</f>
        <v>1489387.01110014</v>
      </c>
      <c r="J48" s="1" t="n">
        <f aca="false">IF(A48="","",IFERROR(H48/F48,0))</f>
        <v>17.9833968491005</v>
      </c>
      <c r="K48" s="1" t="n">
        <f aca="false">IF(A48="","",IFERROR(I48/F48,0))</f>
        <v>0.561380564656087</v>
      </c>
      <c r="L48" s="1" t="n">
        <f aca="false">IF(A48="","",IFERROR(1000*I48/H48,0))</f>
        <v>31.2166032572521</v>
      </c>
      <c r="M48" s="1" t="n">
        <f aca="false">IF(A48="","",IFERROR(1000*I48/(H48-INDEX(H:H,MATCH(A48+Inputs!$B$8,$A:$A,0))),0))</f>
        <v>33.0804710513668</v>
      </c>
    </row>
    <row r="49" customFormat="false" ht="15" hidden="false" customHeight="false" outlineLevel="0" collapsed="false">
      <c r="A49" s="1" t="n">
        <f aca="false">IF(OR(A48="",A48&gt;=MAX(MORTALITY!$A:$A)),"",A48+1)</f>
        <v>47</v>
      </c>
      <c r="B49" s="8" t="n">
        <f aca="false">IF(A49="","",IFERROR(INDEX(MORTALITY!$B:$B,MATCH(A49,MORTALITY!$A:$A,0)),0))</f>
        <v>0.00991</v>
      </c>
      <c r="C49" s="1" t="n">
        <f aca="false">IF(A49="","",IFERROR(C48*(1-B48),0))</f>
        <v>8185040.73180737</v>
      </c>
      <c r="D49" s="1" t="n">
        <f aca="false">IF(A49="","",IFERROR(C49*B49,0))</f>
        <v>81113.7536522111</v>
      </c>
      <c r="E49" s="1" t="n">
        <f aca="false">IF(A49="","",IFERROR((1/(1+Inputs!$B$23))^A49,0))</f>
        <v>0.3133129361974</v>
      </c>
      <c r="F49" s="1" t="n">
        <f aca="false">IF(A49="","",IFERROR(C49*E49,0))</f>
        <v>2564479.14457788</v>
      </c>
      <c r="G49" s="1" t="n">
        <f aca="false">IF(A49="","",IFERROR(D49*(1/(1+Inputs!$B$23))^(A49+1),0))</f>
        <v>24794.1349490408</v>
      </c>
      <c r="H49" s="1" t="n">
        <f aca="false">IF(A49="","",IFERROR(IF(B49=1,F49,F49+H50),0))</f>
        <v>45058294.2551734</v>
      </c>
      <c r="I49" s="1" t="n">
        <f aca="false">IF(A49="","",IFERROR(IF(B49=1,G49,G49+I50),0))</f>
        <v>1465496.35786634</v>
      </c>
      <c r="J49" s="1" t="n">
        <f aca="false">IF(A49="","",IFERROR(H49/F49,0))</f>
        <v>17.5701542944659</v>
      </c>
      <c r="K49" s="1" t="n">
        <f aca="false">IF(A49="","",IFERROR(I49/F49,0))</f>
        <v>0.571459651354491</v>
      </c>
      <c r="L49" s="1" t="n">
        <f aca="false">IF(A49="","",IFERROR(1000*I49/H49,0))</f>
        <v>32.5244526472078</v>
      </c>
      <c r="M49" s="1" t="n">
        <f aca="false">IF(A49="","",IFERROR(1000*I49/(H49-INDEX(H:H,MATCH(A49+Inputs!$B$8,$A:$A,0))),0))</f>
        <v>34.2397574320018</v>
      </c>
    </row>
    <row r="50" customFormat="false" ht="15" hidden="false" customHeight="false" outlineLevel="0" collapsed="false">
      <c r="A50" s="1" t="n">
        <f aca="false">IF(OR(A49="",A49&gt;=MAX(MORTALITY!$A:$A)),"",A49+1)</f>
        <v>48</v>
      </c>
      <c r="B50" s="8" t="n">
        <f aca="false">IF(A50="","",IFERROR(INDEX(MORTALITY!$B:$B,MATCH(A50,MORTALITY!$A:$A,0)),0))</f>
        <v>0.01064</v>
      </c>
      <c r="C50" s="1" t="n">
        <f aca="false">IF(A50="","",IFERROR(C49*(1-B49),0))</f>
        <v>8103926.97815516</v>
      </c>
      <c r="D50" s="1" t="n">
        <f aca="false">IF(A50="","",IFERROR(C50*B50,0))</f>
        <v>86225.7830475709</v>
      </c>
      <c r="E50" s="1" t="n">
        <f aca="false">IF(A50="","",IFERROR((1/(1+Inputs!$B$23))^A50,0))</f>
        <v>0.305671157265756</v>
      </c>
      <c r="F50" s="1" t="n">
        <f aca="false">IF(A50="","",IFERROR(C50*E50,0))</f>
        <v>2477136.73780987</v>
      </c>
      <c r="G50" s="1" t="n">
        <f aca="false">IF(A50="","",IFERROR(D50*(1/(1+Inputs!$B$23))^(A50+1),0))</f>
        <v>25713.8876978507</v>
      </c>
      <c r="H50" s="1" t="n">
        <f aca="false">IF(A50="","",IFERROR(IF(B50=1,F50,F50+H51),0))</f>
        <v>42493815.1105955</v>
      </c>
      <c r="I50" s="1" t="n">
        <f aca="false">IF(A50="","",IFERROR(IF(B50=1,G50,G50+I51),0))</f>
        <v>1440702.2229173</v>
      </c>
      <c r="J50" s="1" t="n">
        <f aca="false">IF(A50="","",IFERROR(H50/F50,0))</f>
        <v>17.1544083384617</v>
      </c>
      <c r="K50" s="1" t="n">
        <f aca="false">IF(A50="","",IFERROR(I50/F50,0))</f>
        <v>0.581599796622886</v>
      </c>
      <c r="L50" s="1" t="n">
        <f aca="false">IF(A50="","",IFERROR(1000*I50/H50,0))</f>
        <v>33.9038097466111</v>
      </c>
      <c r="M50" s="1" t="n">
        <f aca="false">IF(A50="","",IFERROR(1000*I50/(H50-INDEX(H:H,MATCH(A50+Inputs!$B$8,$A:$A,0))),0))</f>
        <v>35.4707750816678</v>
      </c>
    </row>
    <row r="51" customFormat="false" ht="15" hidden="false" customHeight="false" outlineLevel="0" collapsed="false">
      <c r="A51" s="1" t="n">
        <f aca="false">IF(OR(A50="",A50&gt;=MAX(MORTALITY!$A:$A)),"",A50+1)</f>
        <v>49</v>
      </c>
      <c r="B51" s="8" t="n">
        <f aca="false">IF(A51="","",IFERROR(INDEX(MORTALITY!$B:$B,MATCH(A51,MORTALITY!$A:$A,0)),0))</f>
        <v>0.01145</v>
      </c>
      <c r="C51" s="1" t="n">
        <f aca="false">IF(A51="","",IFERROR(C50*(1-B50),0))</f>
        <v>8017701.19510759</v>
      </c>
      <c r="D51" s="1" t="n">
        <f aca="false">IF(A51="","",IFERROR(C51*B51,0))</f>
        <v>91802.6786839819</v>
      </c>
      <c r="E51" s="1" t="n">
        <f aca="false">IF(A51="","",IFERROR((1/(1+Inputs!$B$23))^A51,0))</f>
        <v>0.298215763186103</v>
      </c>
      <c r="F51" s="1" t="n">
        <f aca="false">IF(A51="","",IFERROR(C51*E51,0))</f>
        <v>2391004.88089714</v>
      </c>
      <c r="G51" s="1" t="n">
        <f aca="false">IF(A51="","",IFERROR(D51*(1/(1+Inputs!$B$23))^(A51+1),0))</f>
        <v>26709.2740353876</v>
      </c>
      <c r="H51" s="1" t="n">
        <f aca="false">IF(A51="","",IFERROR(IF(B51=1,F51,F51+H52),0))</f>
        <v>40016678.3727856</v>
      </c>
      <c r="I51" s="1" t="n">
        <f aca="false">IF(A51="","",IFERROR(IF(B51=1,G51,G51+I52),0))</f>
        <v>1414988.33521945</v>
      </c>
      <c r="J51" s="1" t="n">
        <f aca="false">IF(A51="","",IFERROR(H51/F51,0))</f>
        <v>16.7363432389861</v>
      </c>
      <c r="K51" s="1" t="n">
        <f aca="false">IF(A51="","",IFERROR(I51/F51,0))</f>
        <v>0.591796506366195</v>
      </c>
      <c r="L51" s="1" t="n">
        <f aca="false">IF(A51="","",IFERROR(1000*I51/H51,0))</f>
        <v>35.3599647136567</v>
      </c>
      <c r="M51" s="1" t="n">
        <f aca="false">IF(A51="","",IFERROR(1000*I51/(H51-INDEX(H:H,MATCH(A51+Inputs!$B$8,$A:$A,0))),0))</f>
        <v>36.7799834469885</v>
      </c>
    </row>
    <row r="52" customFormat="false" ht="15" hidden="false" customHeight="false" outlineLevel="0" collapsed="false">
      <c r="A52" s="1" t="n">
        <f aca="false">IF(OR(A51="",A51&gt;=MAX(MORTALITY!$A:$A)),"",A51+1)</f>
        <v>50</v>
      </c>
      <c r="B52" s="8" t="n">
        <f aca="false">IF(A52="","",IFERROR(INDEX(MORTALITY!$B:$B,MATCH(A52,MORTALITY!$A:$A,0)),0))</f>
        <v>0.01232</v>
      </c>
      <c r="C52" s="1" t="n">
        <f aca="false">IF(A52="","",IFERROR(C51*(1-B51),0))</f>
        <v>7925898.51642361</v>
      </c>
      <c r="D52" s="1" t="n">
        <f aca="false">IF(A52="","",IFERROR(C52*B52,0))</f>
        <v>97647.0697223389</v>
      </c>
      <c r="E52" s="1" t="n">
        <f aca="false">IF(A52="","",IFERROR((1/(1+Inputs!$B$23))^A52,0))</f>
        <v>0.290942207986442</v>
      </c>
      <c r="F52" s="1" t="n">
        <f aca="false">IF(A52="","",IFERROR(C52*E52,0))</f>
        <v>2305978.41464475</v>
      </c>
      <c r="G52" s="1" t="n">
        <f aca="false">IF(A52="","",IFERROR(D52*(1/(1+Inputs!$B$23))^(A52+1),0))</f>
        <v>27716.7356765106</v>
      </c>
      <c r="H52" s="1" t="n">
        <f aca="false">IF(A52="","",IFERROR(IF(B52=1,F52,F52+H53),0))</f>
        <v>37625673.4918885</v>
      </c>
      <c r="I52" s="1" t="n">
        <f aca="false">IF(A52="","",IFERROR(IF(B52=1,G52,G52+I53),0))</f>
        <v>1388279.06118406</v>
      </c>
      <c r="J52" s="1" t="n">
        <f aca="false">IF(A52="","",IFERROR(H52/F52,0))</f>
        <v>16.3165766222859</v>
      </c>
      <c r="K52" s="1" t="n">
        <f aca="false">IF(A52="","",IFERROR(I52/F52,0))</f>
        <v>0.602034716529614</v>
      </c>
      <c r="L52" s="1" t="n">
        <f aca="false">IF(A52="","",IFERROR(1000*I52/H52,0))</f>
        <v>36.897121894266</v>
      </c>
      <c r="M52" s="1" t="n">
        <f aca="false">IF(A52="","",IFERROR(1000*I52/(H52-INDEX(H:H,MATCH(A52+Inputs!$B$8,$A:$A,0))),0))</f>
        <v>38.172749131301</v>
      </c>
    </row>
    <row r="53" customFormat="false" ht="15" hidden="false" customHeight="false" outlineLevel="0" collapsed="false">
      <c r="A53" s="1" t="n">
        <f aca="false">IF(OR(A52="",A52&gt;=MAX(MORTALITY!$A:$A)),"",A52+1)</f>
        <v>51</v>
      </c>
      <c r="B53" s="8" t="n">
        <f aca="false">IF(A53="","",IFERROR(INDEX(MORTALITY!$B:$B,MATCH(A53,MORTALITY!$A:$A,0)),0))</f>
        <v>0.01327</v>
      </c>
      <c r="C53" s="1" t="n">
        <f aca="false">IF(A53="","",IFERROR(C52*(1-B52),0))</f>
        <v>7828251.44670127</v>
      </c>
      <c r="D53" s="1" t="n">
        <f aca="false">IF(A53="","",IFERROR(C53*B53,0))</f>
        <v>103880.896697726</v>
      </c>
      <c r="E53" s="1" t="n">
        <f aca="false">IF(A53="","",IFERROR((1/(1+Inputs!$B$23))^A53,0))</f>
        <v>0.283846056572139</v>
      </c>
      <c r="F53" s="1" t="n">
        <f aca="false">IF(A53="","",IFERROR(C53*E53,0))</f>
        <v>2222018.3030013</v>
      </c>
      <c r="G53" s="1" t="n">
        <f aca="false">IF(A53="","",IFERROR(D53*(1/(1+Inputs!$B$23))^(A53+1),0))</f>
        <v>28767.0076886119</v>
      </c>
      <c r="H53" s="1" t="n">
        <f aca="false">IF(A53="","",IFERROR(IF(B53=1,F53,F53+H54),0))</f>
        <v>35319695.0772437</v>
      </c>
      <c r="I53" s="1" t="n">
        <f aca="false">IF(A53="","",IFERROR(IF(B53=1,G53,G53+I54),0))</f>
        <v>1360562.32550755</v>
      </c>
      <c r="J53" s="1" t="n">
        <f aca="false">IF(A53="","",IFERROR(H53/F53,0))</f>
        <v>15.8953213974598</v>
      </c>
      <c r="K53" s="1" t="n">
        <f aca="false">IF(A53="","",IFERROR(I53/F53,0))</f>
        <v>0.6123092342083</v>
      </c>
      <c r="L53" s="1" t="n">
        <f aca="false">IF(A53="","",IFERROR(1000*I53/H53,0))</f>
        <v>38.5213497039546</v>
      </c>
      <c r="M53" s="1" t="n">
        <f aca="false">IF(A53="","",IFERROR(1000*I53/(H53-INDEX(H:H,MATCH(A53+Inputs!$B$8,$A:$A,0))),0))</f>
        <v>39.6563952563121</v>
      </c>
    </row>
    <row r="54" customFormat="false" ht="15" hidden="false" customHeight="false" outlineLevel="0" collapsed="false">
      <c r="A54" s="1" t="n">
        <f aca="false">IF(OR(A53="",A53&gt;=MAX(MORTALITY!$A:$A)),"",A53+1)</f>
        <v>52</v>
      </c>
      <c r="B54" s="8" t="n">
        <f aca="false">IF(A54="","",IFERROR(INDEX(MORTALITY!$B:$B,MATCH(A54,MORTALITY!$A:$A,0)),0))</f>
        <v>0.0143</v>
      </c>
      <c r="C54" s="1" t="n">
        <f aca="false">IF(A54="","",IFERROR(C53*(1-B53),0))</f>
        <v>7724370.55000355</v>
      </c>
      <c r="D54" s="1" t="n">
        <f aca="false">IF(A54="","",IFERROR(C54*B54,0))</f>
        <v>110458.498865051</v>
      </c>
      <c r="E54" s="1" t="n">
        <f aca="false">IF(A54="","",IFERROR((1/(1+Inputs!$B$23))^A54,0))</f>
        <v>0.276922982021599</v>
      </c>
      <c r="F54" s="1" t="n">
        <f aca="false">IF(A54="","",IFERROR(C54*E54,0))</f>
        <v>2139055.7269468</v>
      </c>
      <c r="G54" s="1" t="n">
        <f aca="false">IF(A54="","",IFERROR(D54*(1/(1+Inputs!$B$23))^(A54+1),0))</f>
        <v>29842.4359954529</v>
      </c>
      <c r="H54" s="1" t="n">
        <f aca="false">IF(A54="","",IFERROR(IF(B54=1,F54,F54+H55),0))</f>
        <v>33097676.7742424</v>
      </c>
      <c r="I54" s="1" t="n">
        <f aca="false">IF(A54="","",IFERROR(IF(B54=1,G54,G54+I55),0))</f>
        <v>1331795.31781894</v>
      </c>
      <c r="J54" s="1" t="n">
        <f aca="false">IF(A54="","",IFERROR(H54/F54,0))</f>
        <v>15.4730315612136</v>
      </c>
      <c r="K54" s="1" t="n">
        <f aca="false">IF(A54="","",IFERROR(I54/F54,0))</f>
        <v>0.622608986311866</v>
      </c>
      <c r="L54" s="1" t="n">
        <f aca="false">IF(A54="","",IFERROR(1000*I54/H54,0))</f>
        <v>40.2383323428725</v>
      </c>
      <c r="M54" s="1" t="n">
        <f aca="false">IF(A54="","",IFERROR(1000*I54/(H54-INDEX(H:H,MATCH(A54+Inputs!$B$8,$A:$A,0))),0))</f>
        <v>41.2378338406239</v>
      </c>
    </row>
    <row r="55" customFormat="false" ht="15" hidden="false" customHeight="false" outlineLevel="0" collapsed="false">
      <c r="A55" s="1" t="n">
        <f aca="false">IF(OR(A54="",A54&gt;=MAX(MORTALITY!$A:$A)),"",A54+1)</f>
        <v>53</v>
      </c>
      <c r="B55" s="8" t="n">
        <f aca="false">IF(A55="","",IFERROR(INDEX(MORTALITY!$B:$B,MATCH(A55,MORTALITY!$A:$A,0)),0))</f>
        <v>0.01543</v>
      </c>
      <c r="C55" s="1" t="n">
        <f aca="false">IF(A55="","",IFERROR(C54*(1-B54),0))</f>
        <v>7613912.0511385</v>
      </c>
      <c r="D55" s="1" t="n">
        <f aca="false">IF(A55="","",IFERROR(C55*B55,0))</f>
        <v>117482.662949067</v>
      </c>
      <c r="E55" s="1" t="n">
        <f aca="false">IF(A55="","",IFERROR((1/(1+Inputs!$B$23))^A55,0))</f>
        <v>0.270168762947901</v>
      </c>
      <c r="F55" s="1" t="n">
        <f aca="false">IF(A55="","",IFERROR(C55*E55,0))</f>
        <v>2057041.2000502</v>
      </c>
      <c r="G55" s="1" t="n">
        <f aca="false">IF(A55="","",IFERROR(D55*(1/(1+Inputs!$B$23))^(A55+1),0))</f>
        <v>30965.9958212436</v>
      </c>
      <c r="H55" s="1" t="n">
        <f aca="false">IF(A55="","",IFERROR(IF(B55=1,F55,F55+H56),0))</f>
        <v>30958621.0472956</v>
      </c>
      <c r="I55" s="1" t="n">
        <f aca="false">IF(A55="","",IFERROR(IF(B55=1,G55,G55+I56),0))</f>
        <v>1301952.88182349</v>
      </c>
      <c r="J55" s="1" t="n">
        <f aca="false">IF(A55="","",IFERROR(H55/F55,0))</f>
        <v>15.0500733998619</v>
      </c>
      <c r="K55" s="1" t="n">
        <f aca="false">IF(A55="","",IFERROR(I55/F55,0))</f>
        <v>0.63292503902776</v>
      </c>
      <c r="L55" s="1" t="n">
        <f aca="false">IF(A55="","",IFERROR(1000*I55/H55,0))</f>
        <v>42.0546147657703</v>
      </c>
      <c r="M55" s="1" t="n">
        <f aca="false">IF(A55="","",IFERROR(1000*I55/(H55-INDEX(H:H,MATCH(A55+Inputs!$B$8,$A:$A,0))),0))</f>
        <v>42.9248186069325</v>
      </c>
    </row>
    <row r="56" customFormat="false" ht="15" hidden="false" customHeight="false" outlineLevel="0" collapsed="false">
      <c r="A56" s="1" t="n">
        <f aca="false">IF(OR(A55="",A55&gt;=MAX(MORTALITY!$A:$A)),"",A55+1)</f>
        <v>54</v>
      </c>
      <c r="B56" s="8" t="n">
        <f aca="false">IF(A56="","",IFERROR(INDEX(MORTALITY!$B:$B,MATCH(A56,MORTALITY!$A:$A,0)),0))</f>
        <v>0.01665</v>
      </c>
      <c r="C56" s="1" t="n">
        <f aca="false">IF(A56="","",IFERROR(C55*(1-B55),0))</f>
        <v>7496429.38818943</v>
      </c>
      <c r="D56" s="1" t="n">
        <f aca="false">IF(A56="","",IFERROR(C56*B56,0))</f>
        <v>124815.549313354</v>
      </c>
      <c r="E56" s="1" t="n">
        <f aca="false">IF(A56="","",IFERROR((1/(1+Inputs!$B$23))^A56,0))</f>
        <v>0.263579280924782</v>
      </c>
      <c r="F56" s="1" t="n">
        <f aca="false">IF(A56="","",IFERROR(C56*E56,0))</f>
        <v>1975903.46764237</v>
      </c>
      <c r="G56" s="1" t="n">
        <f aca="false">IF(A56="","",IFERROR(D56*(1/(1+Inputs!$B$23))^(A56+1),0))</f>
        <v>32096.3831573127</v>
      </c>
      <c r="H56" s="1" t="n">
        <f aca="false">IF(A56="","",IFERROR(IF(B56=1,F56,F56+H57),0))</f>
        <v>28901579.8472454</v>
      </c>
      <c r="I56" s="1" t="n">
        <f aca="false">IF(A56="","",IFERROR(IF(B56=1,G56,G56+I57),0))</f>
        <v>1270986.88600224</v>
      </c>
      <c r="J56" s="1" t="n">
        <f aca="false">IF(A56="","",IFERROR(H56/F56,0))</f>
        <v>14.6270201558634</v>
      </c>
      <c r="K56" s="1" t="n">
        <f aca="false">IF(A56="","",IFERROR(I56/F56,0))</f>
        <v>0.643243410832601</v>
      </c>
      <c r="L56" s="1" t="n">
        <f aca="false">IF(A56="","",IFERROR(1000*I56/H56,0))</f>
        <v>43.9763809701696</v>
      </c>
      <c r="M56" s="1" t="n">
        <f aca="false">IF(A56="","",IFERROR(1000*I56/(H56-INDEX(H:H,MATCH(A56+Inputs!$B$8,$A:$A,0))),0))</f>
        <v>44.7246565741988</v>
      </c>
    </row>
    <row r="57" customFormat="false" ht="15" hidden="false" customHeight="false" outlineLevel="0" collapsed="false">
      <c r="A57" s="1" t="n">
        <f aca="false">IF(OR(A56="",A56&gt;=MAX(MORTALITY!$A:$A)),"",A56+1)</f>
        <v>55</v>
      </c>
      <c r="B57" s="8" t="n">
        <f aca="false">IF(A57="","",IFERROR(INDEX(MORTALITY!$B:$B,MATCH(A57,MORTALITY!$A:$A,0)),0))</f>
        <v>0.01798</v>
      </c>
      <c r="C57" s="1" t="n">
        <f aca="false">IF(A57="","",IFERROR(C56*(1-B56),0))</f>
        <v>7371613.83887607</v>
      </c>
      <c r="D57" s="1" t="n">
        <f aca="false">IF(A57="","",IFERROR(C57*B57,0))</f>
        <v>132541.616822992</v>
      </c>
      <c r="E57" s="1" t="n">
        <f aca="false">IF(A57="","",IFERROR((1/(1+Inputs!$B$23))^A57,0))</f>
        <v>0.257150517975397</v>
      </c>
      <c r="F57" s="1" t="n">
        <f aca="false">IF(A57="","",IFERROR(C57*E57,0))</f>
        <v>1895614.31698159</v>
      </c>
      <c r="G57" s="1" t="n">
        <f aca="false">IF(A57="","",IFERROR(D57*(1/(1+Inputs!$B$23))^(A57+1),0))</f>
        <v>33251.8491895892</v>
      </c>
      <c r="H57" s="1" t="n">
        <f aca="false">IF(A57="","",IFERROR(IF(B57=1,F57,F57+H58),0))</f>
        <v>26925676.3796031</v>
      </c>
      <c r="I57" s="1" t="n">
        <f aca="false">IF(A57="","",IFERROR(IF(B57=1,G57,G57+I58),0))</f>
        <v>1238890.50284493</v>
      </c>
      <c r="J57" s="1" t="n">
        <f aca="false">IF(A57="","",IFERROR(H57/F57,0))</f>
        <v>14.2041955150862</v>
      </c>
      <c r="K57" s="1" t="n">
        <f aca="false">IF(A57="","",IFERROR(I57/F57,0))</f>
        <v>0.653556206949118</v>
      </c>
      <c r="L57" s="1" t="n">
        <f aca="false">IF(A57="","",IFERROR(1000*I57/H57,0))</f>
        <v>46.0114904962396</v>
      </c>
      <c r="M57" s="1" t="n">
        <f aca="false">IF(A57="","",IFERROR(1000*I57/(H57-INDEX(H:H,MATCH(A57+Inputs!$B$8,$A:$A,0))),0))</f>
        <v>46.6462426307653</v>
      </c>
    </row>
    <row r="58" customFormat="false" ht="15" hidden="false" customHeight="false" outlineLevel="0" collapsed="false">
      <c r="A58" s="1" t="n">
        <f aca="false">IF(OR(A57="",A57&gt;=MAX(MORTALITY!$A:$A)),"",A57+1)</f>
        <v>56</v>
      </c>
      <c r="B58" s="8" t="n">
        <f aca="false">IF(A58="","",IFERROR(INDEX(MORTALITY!$B:$B,MATCH(A58,MORTALITY!$A:$A,0)),0))</f>
        <v>0.01943</v>
      </c>
      <c r="C58" s="1" t="n">
        <f aca="false">IF(A58="","",IFERROR(C57*(1-B57),0))</f>
        <v>7239072.22205308</v>
      </c>
      <c r="D58" s="1" t="n">
        <f aca="false">IF(A58="","",IFERROR(C58*B58,0))</f>
        <v>140655.173274491</v>
      </c>
      <c r="E58" s="1" t="n">
        <f aca="false">IF(A58="","",IFERROR((1/(1+Inputs!$B$23))^A58,0))</f>
        <v>0.250878554122338</v>
      </c>
      <c r="F58" s="1" t="n">
        <f aca="false">IF(A58="","",IFERROR(C58*E58,0))</f>
        <v>1816127.97225586</v>
      </c>
      <c r="G58" s="1" t="n">
        <f aca="false">IF(A58="","",IFERROR(D58*(1/(1+Inputs!$B$23))^(A58+1),0))</f>
        <v>34426.6990252989</v>
      </c>
      <c r="H58" s="1" t="n">
        <f aca="false">IF(A58="","",IFERROR(IF(B58=1,F58,F58+H59),0))</f>
        <v>25030062.0626215</v>
      </c>
      <c r="I58" s="1" t="n">
        <f aca="false">IF(A58="","",IFERROR(IF(B58=1,G58,G58+I59),0))</f>
        <v>1205638.65365534</v>
      </c>
      <c r="J58" s="1" t="n">
        <f aca="false">IF(A58="","",IFERROR(H58/F58,0))</f>
        <v>13.7821026078526</v>
      </c>
      <c r="K58" s="1" t="n">
        <f aca="false">IF(A58="","",IFERROR(I58/F58,0))</f>
        <v>0.663851155906037</v>
      </c>
      <c r="L58" s="1" t="n">
        <f aca="false">IF(A58="","",IFERROR(1000*I58/H58,0))</f>
        <v>48.1676254193462</v>
      </c>
      <c r="M58" s="1" t="n">
        <f aca="false">IF(A58="","",IFERROR(1000*I58/(H58-INDEX(H:H,MATCH(A58+Inputs!$B$8,$A:$A,0))),0))</f>
        <v>48.698126101964</v>
      </c>
    </row>
    <row r="59" customFormat="false" ht="15" hidden="false" customHeight="false" outlineLevel="0" collapsed="false">
      <c r="A59" s="1" t="n">
        <f aca="false">IF(OR(A58="",A58&gt;=MAX(MORTALITY!$A:$A)),"",A58+1)</f>
        <v>57</v>
      </c>
      <c r="B59" s="8" t="n">
        <f aca="false">IF(A59="","",IFERROR(INDEX(MORTALITY!$B:$B,MATCH(A59,MORTALITY!$A:$A,0)),0))</f>
        <v>0.021</v>
      </c>
      <c r="C59" s="1" t="n">
        <f aca="false">IF(A59="","",IFERROR(C58*(1-B58),0))</f>
        <v>7098417.04877859</v>
      </c>
      <c r="D59" s="1" t="n">
        <f aca="false">IF(A59="","",IFERROR(C59*B59,0))</f>
        <v>149066.75802435</v>
      </c>
      <c r="E59" s="1" t="n">
        <f aca="false">IF(A59="","",IFERROR((1/(1+Inputs!$B$23))^A59,0))</f>
        <v>0.244759564997403</v>
      </c>
      <c r="F59" s="1" t="n">
        <f aca="false">IF(A59="","",IFERROR(C59*E59,0))</f>
        <v>1737405.4690292</v>
      </c>
      <c r="G59" s="1" t="n">
        <f aca="false">IF(A59="","",IFERROR(D59*(1/(1+Inputs!$B$23))^(A59+1),0))</f>
        <v>35595.6242435251</v>
      </c>
      <c r="H59" s="1" t="n">
        <f aca="false">IF(A59="","",IFERROR(IF(B59=1,F59,F59+H60),0))</f>
        <v>23213934.0903656</v>
      </c>
      <c r="I59" s="1" t="n">
        <f aca="false">IF(A59="","",IFERROR(IF(B59=1,G59,G59+I60),0))</f>
        <v>1171211.95463004</v>
      </c>
      <c r="J59" s="1" t="n">
        <f aca="false">IF(A59="","",IFERROR(H59/F59,0))</f>
        <v>13.3612645431217</v>
      </c>
      <c r="K59" s="1" t="n">
        <f aca="false">IF(A59="","",IFERROR(I59/F59,0))</f>
        <v>0.674115498948252</v>
      </c>
      <c r="L59" s="1" t="n">
        <f aca="false">IF(A59="","",IFERROR(1000*I59/H59,0))</f>
        <v>50.452971481302</v>
      </c>
      <c r="M59" s="1" t="n">
        <f aca="false">IF(A59="","",IFERROR(1000*I59/(H59-INDEX(H:H,MATCH(A59+Inputs!$B$8,$A:$A,0))),0))</f>
        <v>50.8891653535015</v>
      </c>
    </row>
    <row r="60" customFormat="false" ht="15" hidden="false" customHeight="false" outlineLevel="0" collapsed="false">
      <c r="A60" s="1" t="n">
        <f aca="false">IF(OR(A59="",A59&gt;=MAX(MORTALITY!$A:$A)),"",A59+1)</f>
        <v>58</v>
      </c>
      <c r="B60" s="8" t="n">
        <f aca="false">IF(A60="","",IFERROR(INDEX(MORTALITY!$B:$B,MATCH(A60,MORTALITY!$A:$A,0)),0))</f>
        <v>0.02271</v>
      </c>
      <c r="C60" s="1" t="n">
        <f aca="false">IF(A60="","",IFERROR(C59*(1-B59),0))</f>
        <v>6949350.29075424</v>
      </c>
      <c r="D60" s="1" t="n">
        <f aca="false">IF(A60="","",IFERROR(C60*B60,0))</f>
        <v>157819.745103029</v>
      </c>
      <c r="E60" s="1" t="n">
        <f aca="false">IF(A60="","",IFERROR((1/(1+Inputs!$B$23))^A60,0))</f>
        <v>0.238789819509662</v>
      </c>
      <c r="F60" s="1" t="n">
        <f aca="false">IF(A60="","",IFERROR(C60*E60,0))</f>
        <v>1659434.10163862</v>
      </c>
      <c r="G60" s="1" t="n">
        <f aca="false">IF(A60="","",IFERROR(D60*(1/(1+Inputs!$B$23))^(A60+1),0))</f>
        <v>36766.5838519152</v>
      </c>
      <c r="H60" s="1" t="n">
        <f aca="false">IF(A60="","",IFERROR(IF(B60=1,F60,F60+H61),0))</f>
        <v>21476528.6213364</v>
      </c>
      <c r="I60" s="1" t="n">
        <f aca="false">IF(A60="","",IFERROR(IF(B60=1,G60,G60+I61),0))</f>
        <v>1135616.33038652</v>
      </c>
      <c r="J60" s="1" t="n">
        <f aca="false">IF(A60="","",IFERROR(H60/F60,0))</f>
        <v>12.9420798331969</v>
      </c>
      <c r="K60" s="1" t="n">
        <f aca="false">IF(A60="","",IFERROR(I60/F60,0))</f>
        <v>0.684339516263492</v>
      </c>
      <c r="L60" s="1" t="n">
        <f aca="false">IF(A60="","",IFERROR(1000*I60/H60,0))</f>
        <v>52.8770897014664</v>
      </c>
      <c r="M60" s="1" t="n">
        <f aca="false">IF(A60="","",IFERROR(1000*I60/(H60-INDEX(H:H,MATCH(A60+Inputs!$B$8,$A:$A,0))),0))</f>
        <v>53.2293701727631</v>
      </c>
    </row>
    <row r="61" customFormat="false" ht="15" hidden="false" customHeight="false" outlineLevel="0" collapsed="false">
      <c r="A61" s="1" t="n">
        <f aca="false">IF(OR(A60="",A60&gt;=MAX(MORTALITY!$A:$A)),"",A60+1)</f>
        <v>59</v>
      </c>
      <c r="B61" s="8" t="n">
        <f aca="false">IF(A61="","",IFERROR(INDEX(MORTALITY!$B:$B,MATCH(A61,MORTALITY!$A:$A,0)),0))</f>
        <v>0.02457</v>
      </c>
      <c r="C61" s="1" t="n">
        <f aca="false">IF(A61="","",IFERROR(C60*(1-B60),0))</f>
        <v>6791530.54565121</v>
      </c>
      <c r="D61" s="1" t="n">
        <f aca="false">IF(A61="","",IFERROR(C61*B61,0))</f>
        <v>166867.90550665</v>
      </c>
      <c r="E61" s="1" t="n">
        <f aca="false">IF(A61="","",IFERROR((1/(1+Inputs!$B$23))^A61,0))</f>
        <v>0.232965677570402</v>
      </c>
      <c r="F61" s="1" t="n">
        <f aca="false">IF(A61="","",IFERROR(C61*E61,0))</f>
        <v>1582193.51530772</v>
      </c>
      <c r="G61" s="1" t="n">
        <f aca="false">IF(A61="","",IFERROR(D61*(1/(1+Inputs!$B$23))^(A61+1),0))</f>
        <v>37926.3362644981</v>
      </c>
      <c r="H61" s="1" t="n">
        <f aca="false">IF(A61="","",IFERROR(IF(B61=1,F61,F61+H62),0))</f>
        <v>19817094.5196978</v>
      </c>
      <c r="I61" s="1" t="n">
        <f aca="false">IF(A61="","",IFERROR(IF(B61=1,G61,G61+I62),0))</f>
        <v>1098849.7465346</v>
      </c>
      <c r="J61" s="1" t="n">
        <f aca="false">IF(A61="","",IFERROR(H61/F61,0))</f>
        <v>12.525076312074</v>
      </c>
      <c r="K61" s="1" t="n">
        <f aca="false">IF(A61="","",IFERROR(I61/F61,0))</f>
        <v>0.694510333851855</v>
      </c>
      <c r="L61" s="1" t="n">
        <f aca="false">IF(A61="","",IFERROR(1000*I61/H61,0))</f>
        <v>55.4495890122725</v>
      </c>
      <c r="M61" s="1" t="n">
        <f aca="false">IF(A61="","",IFERROR(1000*I61/(H61-INDEX(H:H,MATCH(A61+Inputs!$B$8,$A:$A,0))),0))</f>
        <v>55.728531161709</v>
      </c>
    </row>
    <row r="62" customFormat="false" ht="15" hidden="false" customHeight="false" outlineLevel="0" collapsed="false">
      <c r="A62" s="1" t="n">
        <f aca="false">IF(OR(A61="",A61&gt;=MAX(MORTALITY!$A:$A)),"",A61+1)</f>
        <v>60</v>
      </c>
      <c r="B62" s="8" t="n">
        <f aca="false">IF(A62="","",IFERROR(INDEX(MORTALITY!$B:$B,MATCH(A62,MORTALITY!$A:$A,0)),0))</f>
        <v>0.02659</v>
      </c>
      <c r="C62" s="1" t="n">
        <f aca="false">IF(A62="","",IFERROR(C61*(1-B61),0))</f>
        <v>6624662.64014456</v>
      </c>
      <c r="D62" s="1" t="n">
        <f aca="false">IF(A62="","",IFERROR(C62*B62,0))</f>
        <v>176149.779601444</v>
      </c>
      <c r="E62" s="1" t="n">
        <f aca="false">IF(A62="","",IFERROR((1/(1+Inputs!$B$23))^A62,0))</f>
        <v>0.227283587873563</v>
      </c>
      <c r="F62" s="1" t="n">
        <f aca="false">IF(A62="","",IFERROR(C62*E62,0))</f>
        <v>1505677.093304</v>
      </c>
      <c r="G62" s="1" t="n">
        <f aca="false">IF(A62="","",IFERROR(D62*(1/(1+Inputs!$B$23))^(A62+1),0))</f>
        <v>39059.4672301985</v>
      </c>
      <c r="H62" s="1" t="n">
        <f aca="false">IF(A62="","",IFERROR(IF(B62=1,F62,F62+H63),0))</f>
        <v>18234901.0043901</v>
      </c>
      <c r="I62" s="1" t="n">
        <f aca="false">IF(A62="","",IFERROR(IF(B62=1,G62,G62+I63),0))</f>
        <v>1060923.4102701</v>
      </c>
      <c r="J62" s="1" t="n">
        <f aca="false">IF(A62="","",IFERROR(H62/F62,0))</f>
        <v>12.1107647087704</v>
      </c>
      <c r="K62" s="1" t="n">
        <f aca="false">IF(A62="","",IFERROR(I62/F62,0))</f>
        <v>0.704615494908041</v>
      </c>
      <c r="L62" s="1" t="n">
        <f aca="false">IF(A62="","",IFERROR(1000*I62/H62,0))</f>
        <v>58.1809251399108</v>
      </c>
      <c r="M62" s="1" t="n">
        <f aca="false">IF(A62="","",IFERROR(1000*I62/(H62-INDEX(H:H,MATCH(A62+Inputs!$B$8,$A:$A,0))),0))</f>
        <v>58.3970189984005</v>
      </c>
    </row>
    <row r="63" customFormat="false" ht="15" hidden="false" customHeight="false" outlineLevel="0" collapsed="false">
      <c r="A63" s="1" t="n">
        <f aca="false">IF(OR(A62="",A62&gt;=MAX(MORTALITY!$A:$A)),"",A62+1)</f>
        <v>61</v>
      </c>
      <c r="B63" s="8" t="n">
        <f aca="false">IF(A63="","",IFERROR(INDEX(MORTALITY!$B:$B,MATCH(A63,MORTALITY!$A:$A,0)),0))</f>
        <v>0.02878</v>
      </c>
      <c r="C63" s="1" t="n">
        <f aca="false">IF(A63="","",IFERROR(C62*(1-B62),0))</f>
        <v>6448512.86054312</v>
      </c>
      <c r="D63" s="1" t="n">
        <f aca="false">IF(A63="","",IFERROR(C63*B63,0))</f>
        <v>185588.200126431</v>
      </c>
      <c r="E63" s="1" t="n">
        <f aca="false">IF(A63="","",IFERROR((1/(1+Inputs!$B$23))^A63,0))</f>
        <v>0.221740085730305</v>
      </c>
      <c r="F63" s="1" t="n">
        <f aca="false">IF(A63="","",IFERROR(C63*E63,0))</f>
        <v>1429893.79452981</v>
      </c>
      <c r="G63" s="1" t="n">
        <f aca="false">IF(A63="","",IFERROR(D63*(1/(1+Inputs!$B$23))^(A63+1),0))</f>
        <v>40148.6277137247</v>
      </c>
      <c r="H63" s="1" t="n">
        <f aca="false">IF(A63="","",IFERROR(IF(B63=1,F63,F63+H64),0))</f>
        <v>16729223.9110861</v>
      </c>
      <c r="I63" s="1" t="n">
        <f aca="false">IF(A63="","",IFERROR(IF(B63=1,G63,G63+I64),0))</f>
        <v>1021863.9430399</v>
      </c>
      <c r="J63" s="1" t="n">
        <f aca="false">IF(A63="","",IFERROR(H63/F63,0))</f>
        <v>11.699626905918</v>
      </c>
      <c r="K63" s="1" t="n">
        <f aca="false">IF(A63="","",IFERROR(I63/F63,0))</f>
        <v>0.714643246197124</v>
      </c>
      <c r="L63" s="1" t="n">
        <f aca="false">IF(A63="","",IFERROR(1000*I63/H63,0))</f>
        <v>61.0825671573885</v>
      </c>
      <c r="M63" s="1" t="n">
        <f aca="false">IF(A63="","",IFERROR(1000*I63/(H63-INDEX(H:H,MATCH(A63+Inputs!$B$8,$A:$A,0))),0))</f>
        <v>61.2459389592531</v>
      </c>
    </row>
    <row r="64" customFormat="false" ht="15" hidden="false" customHeight="false" outlineLevel="0" collapsed="false">
      <c r="A64" s="1" t="n">
        <f aca="false">IF(OR(A63="",A63&gt;=MAX(MORTALITY!$A:$A)),"",A63+1)</f>
        <v>62</v>
      </c>
      <c r="B64" s="8" t="n">
        <f aca="false">IF(A64="","",IFERROR(INDEX(MORTALITY!$B:$B,MATCH(A64,MORTALITY!$A:$A,0)),0))</f>
        <v>0.03118</v>
      </c>
      <c r="C64" s="1" t="n">
        <f aca="false">IF(A64="","",IFERROR(C63*(1-B63),0))</f>
        <v>6262924.66041669</v>
      </c>
      <c r="D64" s="1" t="n">
        <f aca="false">IF(A64="","",IFERROR(C64*B64,0))</f>
        <v>195277.990911792</v>
      </c>
      <c r="E64" s="1" t="n">
        <f aca="false">IF(A64="","",IFERROR((1/(1+Inputs!$B$23))^A64,0))</f>
        <v>0.216331790956395</v>
      </c>
      <c r="F64" s="1" t="n">
        <f aca="false">IF(A64="","",IFERROR(C64*E64,0))</f>
        <v>1354869.70841292</v>
      </c>
      <c r="G64" s="1" t="n">
        <f aca="false">IF(A64="","",IFERROR(D64*(1/(1+Inputs!$B$23))^(A64+1),0))</f>
        <v>41214.475617868</v>
      </c>
      <c r="H64" s="1" t="n">
        <f aca="false">IF(A64="","",IFERROR(IF(B64=1,F64,F64+H65),0))</f>
        <v>15299330.1165563</v>
      </c>
      <c r="I64" s="1" t="n">
        <f aca="false">IF(A64="","",IFERROR(IF(B64=1,G64,G64+I65),0))</f>
        <v>981715.315326179</v>
      </c>
      <c r="J64" s="1" t="n">
        <f aca="false">IF(A64="","",IFERROR(H64/F64,0))</f>
        <v>11.2921043415147</v>
      </c>
      <c r="K64" s="1" t="n">
        <f aca="false">IF(A64="","",IFERROR(I64/F64,0))</f>
        <v>0.724582820938667</v>
      </c>
      <c r="L64" s="1" t="n">
        <f aca="false">IF(A64="","",IFERROR(1000*I64/H64,0))</f>
        <v>64.1672091423016</v>
      </c>
      <c r="M64" s="1" t="n">
        <f aca="false">IF(A64="","",IFERROR(1000*I64/(H64-INDEX(H:H,MATCH(A64+Inputs!$B$8,$A:$A,0))),0))</f>
        <v>64.287362614663</v>
      </c>
    </row>
    <row r="65" customFormat="false" ht="15" hidden="false" customHeight="false" outlineLevel="0" collapsed="false">
      <c r="A65" s="1" t="n">
        <f aca="false">IF(OR(A64="",A64&gt;=MAX(MORTALITY!$A:$A)),"",A64+1)</f>
        <v>63</v>
      </c>
      <c r="B65" s="8" t="n">
        <f aca="false">IF(A65="","",IFERROR(INDEX(MORTALITY!$B:$B,MATCH(A65,MORTALITY!$A:$A,0)),0))</f>
        <v>0.03376</v>
      </c>
      <c r="C65" s="1" t="n">
        <f aca="false">IF(A65="","",IFERROR(C64*(1-B64),0))</f>
        <v>6067646.6695049</v>
      </c>
      <c r="D65" s="1" t="n">
        <f aca="false">IF(A65="","",IFERROR(C65*B65,0))</f>
        <v>204843.751562485</v>
      </c>
      <c r="E65" s="1" t="n">
        <f aca="false">IF(A65="","",IFERROR((1/(1+Inputs!$B$23))^A65,0))</f>
        <v>0.211055405811117</v>
      </c>
      <c r="F65" s="1" t="n">
        <f aca="false">IF(A65="","",IFERROR(C65*E65,0))</f>
        <v>1280609.63015083</v>
      </c>
      <c r="G65" s="1" t="n">
        <f aca="false">IF(A65="","",IFERROR(D65*(1/(1+Inputs!$B$23))^(A65+1),0))</f>
        <v>42178.9084037971</v>
      </c>
      <c r="H65" s="1" t="n">
        <f aca="false">IF(A65="","",IFERROR(IF(B65=1,F65,F65+H66),0))</f>
        <v>13944460.4081433</v>
      </c>
      <c r="I65" s="1" t="n">
        <f aca="false">IF(A65="","",IFERROR(IF(B65=1,G65,G65+I66),0))</f>
        <v>940500.839708311</v>
      </c>
      <c r="J65" s="1" t="n">
        <f aca="false">IF(A65="","",IFERROR(H65/F65,0))</f>
        <v>10.8889235875112</v>
      </c>
      <c r="K65" s="1" t="n">
        <f aca="false">IF(A65="","",IFERROR(I65/F65,0))</f>
        <v>0.734416497865582</v>
      </c>
      <c r="L65" s="1" t="n">
        <f aca="false">IF(A65="","",IFERROR(1000*I65/H65,0))</f>
        <v>67.4461981446821</v>
      </c>
      <c r="M65" s="1" t="n">
        <f aca="false">IF(A65="","",IFERROR(1000*I65/(H65-INDEX(H:H,MATCH(A65+Inputs!$B$8,$A:$A,0))),0))</f>
        <v>67.5317925018711</v>
      </c>
    </row>
    <row r="66" customFormat="false" ht="15" hidden="false" customHeight="false" outlineLevel="0" collapsed="false">
      <c r="A66" s="1" t="n">
        <f aca="false">IF(OR(A65="",A65&gt;=MAX(MORTALITY!$A:$A)),"",A65+1)</f>
        <v>64</v>
      </c>
      <c r="B66" s="8" t="n">
        <f aca="false">IF(A66="","",IFERROR(INDEX(MORTALITY!$B:$B,MATCH(A66,MORTALITY!$A:$A,0)),0))</f>
        <v>0.03658</v>
      </c>
      <c r="C66" s="1" t="n">
        <f aca="false">IF(A66="","",IFERROR(C65*(1-B65),0))</f>
        <v>5862802.91794241</v>
      </c>
      <c r="D66" s="1" t="n">
        <f aca="false">IF(A66="","",IFERROR(C66*B66,0))</f>
        <v>214461.330738333</v>
      </c>
      <c r="E66" s="1" t="n">
        <f aca="false">IF(A66="","",IFERROR((1/(1+Inputs!$B$23))^A66,0))</f>
        <v>0.205907712986456</v>
      </c>
      <c r="F66" s="1" t="n">
        <f aca="false">IF(A66="","",IFERROR(C66*E66,0))</f>
        <v>1207196.34052384</v>
      </c>
      <c r="G66" s="1" t="n">
        <f aca="false">IF(A66="","",IFERROR(D66*(1/(1+Inputs!$B$23))^(A66+1),0))</f>
        <v>43082.1874501094</v>
      </c>
      <c r="H66" s="1" t="n">
        <f aca="false">IF(A66="","",IFERROR(IF(B66=1,F66,F66+H67),0))</f>
        <v>12663850.7779925</v>
      </c>
      <c r="I66" s="1" t="n">
        <f aca="false">IF(A66="","",IFERROR(IF(B66=1,G66,G66+I67),0))</f>
        <v>898321.931304514</v>
      </c>
      <c r="J66" s="1" t="n">
        <f aca="false">IF(A66="","",IFERROR(H66/F66,0))</f>
        <v>10.490299177429</v>
      </c>
      <c r="K66" s="1" t="n">
        <f aca="false">IF(A66="","",IFERROR(I66/F66,0))</f>
        <v>0.744139044452953</v>
      </c>
      <c r="L66" s="1" t="n">
        <f aca="false">IF(A66="","",IFERROR(1000*I66/H66,0))</f>
        <v>70.9359220234682</v>
      </c>
      <c r="M66" s="1" t="n">
        <f aca="false">IF(A66="","",IFERROR(1000*I66/(H66-INDEX(H:H,MATCH(A66+Inputs!$B$8,$A:$A,0))),0))</f>
        <v>70.9946075488112</v>
      </c>
    </row>
    <row r="67" customFormat="false" ht="15" hidden="false" customHeight="false" outlineLevel="0" collapsed="false">
      <c r="A67" s="1" t="n">
        <f aca="false">IF(OR(A66="",A66&gt;=MAX(MORTALITY!$A:$A)),"",A66+1)</f>
        <v>65</v>
      </c>
      <c r="B67" s="8" t="n">
        <f aca="false">IF(A67="","",IFERROR(INDEX(MORTALITY!$B:$B,MATCH(A67,MORTALITY!$A:$A,0)),0))</f>
        <v>0.03964</v>
      </c>
      <c r="C67" s="1" t="n">
        <f aca="false">IF(A67="","",IFERROR(C66*(1-B66),0))</f>
        <v>5648341.58720408</v>
      </c>
      <c r="D67" s="1" t="n">
        <f aca="false">IF(A67="","",IFERROR(C67*B67,0))</f>
        <v>223900.26051677</v>
      </c>
      <c r="E67" s="1" t="n">
        <f aca="false">IF(A67="","",IFERROR((1/(1+Inputs!$B$23))^A67,0))</f>
        <v>0.200885573645323</v>
      </c>
      <c r="F67" s="1" t="n">
        <f aca="false">IF(A67="","",IFERROR(C67*E67,0))</f>
        <v>1134670.33989022</v>
      </c>
      <c r="G67" s="1" t="n">
        <f aca="false">IF(A67="","",IFERROR(D67*(1/(1+Inputs!$B$23))^(A67+1),0))</f>
        <v>43881.299778779</v>
      </c>
      <c r="H67" s="1" t="n">
        <f aca="false">IF(A67="","",IFERROR(IF(B67=1,F67,F67+H68),0))</f>
        <v>11456654.4374687</v>
      </c>
      <c r="I67" s="1" t="n">
        <f aca="false">IF(A67="","",IFERROR(IF(B67=1,G67,G67+I68),0))</f>
        <v>855239.743854405</v>
      </c>
      <c r="J67" s="1" t="n">
        <f aca="false">IF(A67="","",IFERROR(H67/F67,0))</f>
        <v>10.0969013066624</v>
      </c>
      <c r="K67" s="1" t="n">
        <f aca="false">IF(A67="","",IFERROR(I67/F67,0))</f>
        <v>0.75373411447165</v>
      </c>
      <c r="L67" s="1" t="n">
        <f aca="false">IF(A67="","",IFERROR(1000*I67/H67,0))</f>
        <v>74.650042778402</v>
      </c>
      <c r="M67" s="1" t="n">
        <f aca="false">IF(A67="","",IFERROR(1000*I67/(H67-INDEX(H:H,MATCH(A67+Inputs!$B$8,$A:$A,0))),0))</f>
        <v>74.6883435843728</v>
      </c>
    </row>
    <row r="68" customFormat="false" ht="15" hidden="false" customHeight="false" outlineLevel="0" collapsed="false">
      <c r="A68" s="1" t="n">
        <f aca="false">IF(OR(A67="",A67&gt;=MAX(MORTALITY!$A:$A)),"",A67+1)</f>
        <v>66</v>
      </c>
      <c r="B68" s="8" t="n">
        <f aca="false">IF(A68="","",IFERROR(INDEX(MORTALITY!$B:$B,MATCH(A68,MORTALITY!$A:$A,0)),0))</f>
        <v>0.04296</v>
      </c>
      <c r="C68" s="1" t="n">
        <f aca="false">IF(A68="","",IFERROR(C67*(1-B67),0))</f>
        <v>5424441.32668731</v>
      </c>
      <c r="D68" s="1" t="n">
        <f aca="false">IF(A68="","",IFERROR(C68*B68,0))</f>
        <v>233033.999394487</v>
      </c>
      <c r="E68" s="1" t="n">
        <f aca="false">IF(A68="","",IFERROR((1/(1+Inputs!$B$23))^A68,0))</f>
        <v>0.195985925507632</v>
      </c>
      <c r="F68" s="1" t="n">
        <f aca="false">IF(A68="","",IFERROR(C68*E68,0))</f>
        <v>1063114.15377266</v>
      </c>
      <c r="G68" s="1" t="n">
        <f aca="false">IF(A68="","",IFERROR(D68*(1/(1+Inputs!$B$23))^(A68+1),0))</f>
        <v>44557.4478498278</v>
      </c>
      <c r="H68" s="1" t="n">
        <f aca="false">IF(A68="","",IFERROR(IF(B68=1,F68,F68+H69),0))</f>
        <v>10321984.0975784</v>
      </c>
      <c r="I68" s="1" t="n">
        <f aca="false">IF(A68="","",IFERROR(IF(B68=1,G68,G68+I69),0))</f>
        <v>811358.444075626</v>
      </c>
      <c r="J68" s="1" t="n">
        <f aca="false">IF(A68="","",IFERROR(H68/F68,0))</f>
        <v>9.70919638399032</v>
      </c>
      <c r="K68" s="1" t="n">
        <f aca="false">IF(A68="","",IFERROR(I68/F68,0))</f>
        <v>0.763190332097798</v>
      </c>
      <c r="L68" s="1" t="n">
        <f aca="false">IF(A68="","",IFERROR(1000*I68/H68,0))</f>
        <v>78.6048918895324</v>
      </c>
      <c r="M68" s="1" t="n">
        <f aca="false">IF(A68="","",IFERROR(1000*I68/(H68-INDEX(H:H,MATCH(A68+Inputs!$B$8,$A:$A,0))),0))</f>
        <v>78.6281746263225</v>
      </c>
    </row>
    <row r="69" customFormat="false" ht="15" hidden="false" customHeight="false" outlineLevel="0" collapsed="false">
      <c r="A69" s="1" t="n">
        <f aca="false">IF(OR(A68="",A68&gt;=MAX(MORTALITY!$A:$A)),"",A68+1)</f>
        <v>67</v>
      </c>
      <c r="B69" s="8" t="n">
        <f aca="false">IF(A69="","",IFERROR(INDEX(MORTALITY!$B:$B,MATCH(A69,MORTALITY!$A:$A,0)),0))</f>
        <v>0.04656</v>
      </c>
      <c r="C69" s="1" t="n">
        <f aca="false">IF(A69="","",IFERROR(C68*(1-B68),0))</f>
        <v>5191407.32729282</v>
      </c>
      <c r="D69" s="1" t="n">
        <f aca="false">IF(A69="","",IFERROR(C69*B69,0))</f>
        <v>241711.925158754</v>
      </c>
      <c r="E69" s="1" t="n">
        <f aca="false">IF(A69="","",IFERROR((1/(1+Inputs!$B$23))^A69,0))</f>
        <v>0.191205780983056</v>
      </c>
      <c r="F69" s="1" t="n">
        <f aca="false">IF(A69="","",IFERROR(C69*E69,0))</f>
        <v>992627.092416182</v>
      </c>
      <c r="G69" s="1" t="n">
        <f aca="false">IF(A69="","",IFERROR(D69*(1/(1+Inputs!$B$23))^(A69+1),0))</f>
        <v>45089.4804125829</v>
      </c>
      <c r="H69" s="1" t="n">
        <f aca="false">IF(A69="","",IFERROR(IF(B69=1,F69,F69+H70),0))</f>
        <v>9258869.94380578</v>
      </c>
      <c r="I69" s="1" t="n">
        <f aca="false">IF(A69="","",IFERROR(IF(B69=1,G69,G69+I70),0))</f>
        <v>766800.996225798</v>
      </c>
      <c r="J69" s="1" t="n">
        <f aca="false">IF(A69="","",IFERROR(H69/F69,0))</f>
        <v>9.32764178465903</v>
      </c>
      <c r="K69" s="1" t="n">
        <f aca="false">IF(A69="","",IFERROR(I69/F69,0))</f>
        <v>0.772496541837585</v>
      </c>
      <c r="L69" s="1" t="n">
        <f aca="false">IF(A69="","",IFERROR(1000*I69/H69,0))</f>
        <v>82.8179897632962</v>
      </c>
      <c r="M69" s="1" t="n">
        <f aca="false">IF(A69="","",IFERROR(1000*I69/(H69-INDEX(H:H,MATCH(A69+Inputs!$B$8,$A:$A,0))),0))</f>
        <v>82.8304795882646</v>
      </c>
    </row>
    <row r="70" customFormat="false" ht="15" hidden="false" customHeight="false" outlineLevel="0" collapsed="false">
      <c r="A70" s="1" t="n">
        <f aca="false">IF(OR(A69="",A69&gt;=MAX(MORTALITY!$A:$A)),"",A69+1)</f>
        <v>68</v>
      </c>
      <c r="B70" s="8" t="n">
        <f aca="false">IF(A70="","",IFERROR(INDEX(MORTALITY!$B:$B,MATCH(A70,MORTALITY!$A:$A,0)),0))</f>
        <v>0.05046</v>
      </c>
      <c r="C70" s="1" t="n">
        <f aca="false">IF(A70="","",IFERROR(C69*(1-B69),0))</f>
        <v>4949695.40213407</v>
      </c>
      <c r="D70" s="1" t="n">
        <f aca="false">IF(A70="","",IFERROR(C70*B70,0))</f>
        <v>249761.629991685</v>
      </c>
      <c r="E70" s="1" t="n">
        <f aca="false">IF(A70="","",IFERROR((1/(1+Inputs!$B$23))^A70,0))</f>
        <v>0.186542225349323</v>
      </c>
      <c r="F70" s="1" t="n">
        <f aca="false">IF(A70="","",IFERROR(C70*E70,0))</f>
        <v>923327.1951154</v>
      </c>
      <c r="G70" s="1" t="n">
        <f aca="false">IF(A70="","",IFERROR(D70*(1/(1+Inputs!$B$23))^(A70+1),0))</f>
        <v>45454.7222102664</v>
      </c>
      <c r="H70" s="1" t="n">
        <f aca="false">IF(A70="","",IFERROR(IF(B70=1,F70,F70+H71),0))</f>
        <v>8266242.8513896</v>
      </c>
      <c r="I70" s="1" t="n">
        <f aca="false">IF(A70="","",IFERROR(IF(B70=1,G70,G70+I71),0))</f>
        <v>721711.515813215</v>
      </c>
      <c r="J70" s="1" t="n">
        <f aca="false">IF(A70="","",IFERROR(H70/F70,0))</f>
        <v>8.95266910269709</v>
      </c>
      <c r="K70" s="1" t="n">
        <f aca="false">IF(A70="","",IFERROR(I70/F70,0))</f>
        <v>0.781642217007389</v>
      </c>
      <c r="L70" s="1" t="n">
        <f aca="false">IF(A70="","",IFERROR(1000*I70/H70,0))</f>
        <v>87.308288516093</v>
      </c>
      <c r="M70" s="1" t="n">
        <f aca="false">IF(A70="","",IFERROR(1000*I70/(H70-INDEX(H:H,MATCH(A70+Inputs!$B$8,$A:$A,0))),0))</f>
        <v>87.3135768205146</v>
      </c>
    </row>
    <row r="71" customFormat="false" ht="15" hidden="false" customHeight="false" outlineLevel="0" collapsed="false">
      <c r="A71" s="1" t="n">
        <f aca="false">IF(OR(A70="",A70&gt;=MAX(MORTALITY!$A:$A)),"",A70+1)</f>
        <v>69</v>
      </c>
      <c r="B71" s="8" t="n">
        <f aca="false">IF(A71="","",IFERROR(INDEX(MORTALITY!$B:$B,MATCH(A71,MORTALITY!$A:$A,0)),0))</f>
        <v>0.0547</v>
      </c>
      <c r="C71" s="1" t="n">
        <f aca="false">IF(A71="","",IFERROR(C70*(1-B70),0))</f>
        <v>4699933.77214238</v>
      </c>
      <c r="D71" s="1" t="n">
        <f aca="false">IF(A71="","",IFERROR(C71*B71,0))</f>
        <v>257086.377336188</v>
      </c>
      <c r="E71" s="1" t="n">
        <f aca="false">IF(A71="","",IFERROR((1/(1+Inputs!$B$23))^A71,0))</f>
        <v>0.181992414974949</v>
      </c>
      <c r="F71" s="1" t="n">
        <f aca="false">IF(A71="","",IFERROR(C71*E71,0))</f>
        <v>855352.297414514</v>
      </c>
      <c r="G71" s="1" t="n">
        <f aca="false">IF(A71="","",IFERROR(D71*(1/(1+Inputs!$B$23))^(A71+1),0))</f>
        <v>45646.605530316</v>
      </c>
      <c r="H71" s="1" t="n">
        <f aca="false">IF(A71="","",IFERROR(IF(B71=1,F71,F71+H72),0))</f>
        <v>7342915.6562742</v>
      </c>
      <c r="I71" s="1" t="n">
        <f aca="false">IF(A71="","",IFERROR(IF(B71=1,G71,G71+I72),0))</f>
        <v>676256.793602948</v>
      </c>
      <c r="J71" s="1" t="n">
        <f aca="false">IF(A71="","",IFERROR(H71/F71,0))</f>
        <v>8.5846681869795</v>
      </c>
      <c r="K71" s="1" t="n">
        <f aca="false">IF(A71="","",IFERROR(I71/F71,0))</f>
        <v>0.790617849098062</v>
      </c>
      <c r="L71" s="1" t="n">
        <f aca="false">IF(A71="","",IFERROR(1000*I71/H71,0))</f>
        <v>92.0964948065441</v>
      </c>
      <c r="M71" s="1" t="n">
        <f aca="false">IF(A71="","",IFERROR(1000*I71/(H71-INDEX(H:H,MATCH(A71+Inputs!$B$8,$A:$A,0))),0))</f>
        <v>92.0978244145207</v>
      </c>
    </row>
    <row r="72" customFormat="false" ht="15" hidden="false" customHeight="false" outlineLevel="0" collapsed="false">
      <c r="A72" s="1" t="n">
        <f aca="false">IF(OR(A71="",A71&gt;=MAX(MORTALITY!$A:$A)),"",A71+1)</f>
        <v>70</v>
      </c>
      <c r="B72" s="8" t="n">
        <f aca="false">IF(A72="","",IFERROR(INDEX(MORTALITY!$B:$B,MATCH(A72,MORTALITY!$A:$A,0)),0))</f>
        <v>0.0593</v>
      </c>
      <c r="C72" s="1" t="n">
        <f aca="false">IF(A72="","",IFERROR(C71*(1-B71),0))</f>
        <v>4442847.39480619</v>
      </c>
      <c r="D72" s="1" t="n">
        <f aca="false">IF(A72="","",IFERROR(C72*B72,0))</f>
        <v>263460.850512007</v>
      </c>
      <c r="E72" s="1" t="n">
        <f aca="false">IF(A72="","",IFERROR((1/(1+Inputs!$B$23))^A72,0))</f>
        <v>0.177553575585316</v>
      </c>
      <c r="F72" s="1" t="n">
        <f aca="false">IF(A72="","",IFERROR(C72*E72,0))</f>
        <v>788843.440727746</v>
      </c>
      <c r="G72" s="1" t="n">
        <f aca="false">IF(A72="","",IFERROR(D72*(1/(1+Inputs!$B$23))^(A72+1),0))</f>
        <v>45637.4790586881</v>
      </c>
      <c r="H72" s="1" t="n">
        <f aca="false">IF(A72="","",IFERROR(IF(B72=1,F72,F72+H73),0))</f>
        <v>6487563.35885969</v>
      </c>
      <c r="I72" s="1" t="n">
        <f aca="false">IF(A72="","",IFERROR(IF(B72=1,G72,G72+I73),0))</f>
        <v>630610.188072632</v>
      </c>
      <c r="J72" s="1" t="n">
        <f aca="false">IF(A72="","",IFERROR(H72/F72,0))</f>
        <v>8.22414565921293</v>
      </c>
      <c r="K72" s="1" t="n">
        <f aca="false">IF(A72="","",IFERROR(I72/F72,0))</f>
        <v>0.799411081482612</v>
      </c>
      <c r="L72" s="1" t="n">
        <f aca="false">IF(A72="","",IFERROR(1000*I72/H72,0))</f>
        <v>97.2029332417147</v>
      </c>
      <c r="M72" s="1" t="n">
        <f aca="false">IF(A72="","",IFERROR(1000*I72/(H72-INDEX(H:H,MATCH(A72+Inputs!$B$8,$A:$A,0))),0))</f>
        <v>0</v>
      </c>
    </row>
    <row r="73" customFormat="false" ht="15" hidden="false" customHeight="false" outlineLevel="0" collapsed="false">
      <c r="A73" s="1" t="n">
        <f aca="false">IF(OR(A72="",A72&gt;=MAX(MORTALITY!$A:$A)),"",A72+1)</f>
        <v>71</v>
      </c>
      <c r="B73" s="8" t="n">
        <f aca="false">IF(A73="","",IFERROR(INDEX(MORTALITY!$B:$B,MATCH(A73,MORTALITY!$A:$A,0)),0))</f>
        <v>0.06427</v>
      </c>
      <c r="C73" s="1" t="n">
        <f aca="false">IF(A73="","",IFERROR(C72*(1-B72),0))</f>
        <v>4179386.54429419</v>
      </c>
      <c r="D73" s="1" t="n">
        <f aca="false">IF(A73="","",IFERROR(C73*B73,0))</f>
        <v>268609.173201787</v>
      </c>
      <c r="E73" s="1" t="n">
        <f aca="false">IF(A73="","",IFERROR((1/(1+Inputs!$B$23))^A73,0))</f>
        <v>0.17322300057104</v>
      </c>
      <c r="F73" s="1" t="n">
        <f aca="false">IF(A73="","",IFERROR(C73*E73,0))</f>
        <v>723965.877748869</v>
      </c>
      <c r="G73" s="1" t="n">
        <f aca="false">IF(A73="","",IFERROR(D73*(1/(1+Inputs!$B$23))^(A73+1),0))</f>
        <v>45394.4263052876</v>
      </c>
      <c r="H73" s="1" t="n">
        <f aca="false">IF(A73="","",IFERROR(IF(B73=1,F73,F73+H74),0))</f>
        <v>5698719.91813194</v>
      </c>
      <c r="I73" s="1" t="n">
        <f aca="false">IF(A73="","",IFERROR(IF(B73=1,G73,G73+I74),0))</f>
        <v>584972.709013944</v>
      </c>
      <c r="J73" s="1" t="n">
        <f aca="false">IF(A73="","",IFERROR(H73/F73,0))</f>
        <v>7.87153109460323</v>
      </c>
      <c r="K73" s="1" t="n">
        <f aca="false">IF(A73="","",IFERROR(I73/F73,0))</f>
        <v>0.808011436716995</v>
      </c>
      <c r="L73" s="1" t="n">
        <f aca="false">IF(A73="","",IFERROR(1000*I73/H73,0))</f>
        <v>102.649843722395</v>
      </c>
      <c r="M73" s="1" t="n">
        <f aca="false">IF(A73="","",IFERROR(1000*I73/(H73-INDEX(H:H,MATCH(A73+Inputs!$B$8,$A:$A,0))),0))</f>
        <v>0</v>
      </c>
    </row>
    <row r="74" customFormat="false" ht="15" hidden="false" customHeight="false" outlineLevel="0" collapsed="false">
      <c r="A74" s="1" t="n">
        <f aca="false">IF(OR(A73="",A73&gt;=MAX(MORTALITY!$A:$A)),"",A73+1)</f>
        <v>72</v>
      </c>
      <c r="B74" s="8" t="n">
        <f aca="false">IF(A74="","",IFERROR(INDEX(MORTALITY!$B:$B,MATCH(A74,MORTALITY!$A:$A,0)),0))</f>
        <v>0.06966</v>
      </c>
      <c r="C74" s="1" t="n">
        <f aca="false">IF(A74="","",IFERROR(C73*(1-B73),0))</f>
        <v>3910777.3710924</v>
      </c>
      <c r="D74" s="1" t="n">
        <f aca="false">IF(A74="","",IFERROR(C74*B74,0))</f>
        <v>272424.751670296</v>
      </c>
      <c r="E74" s="1" t="n">
        <f aca="false">IF(A74="","",IFERROR((1/(1+Inputs!$B$23))^A74,0))</f>
        <v>0.1689980493376</v>
      </c>
      <c r="F74" s="1" t="n">
        <f aca="false">IF(A74="","",IFERROR(C74*E74,0))</f>
        <v>660913.747108243</v>
      </c>
      <c r="G74" s="1" t="n">
        <f aca="false">IF(A74="","",IFERROR(D74*(1/(1+Inputs!$B$23))^(A74+1),0))</f>
        <v>44916.3430473758</v>
      </c>
      <c r="H74" s="1" t="n">
        <f aca="false">IF(A74="","",IFERROR(IF(B74=1,F74,F74+H75),0))</f>
        <v>4974754.04038307</v>
      </c>
      <c r="I74" s="1" t="n">
        <f aca="false">IF(A74="","",IFERROR(IF(B74=1,G74,G74+I75),0))</f>
        <v>539578.282708657</v>
      </c>
      <c r="J74" s="1" t="n">
        <f aca="false">IF(A74="","",IFERROR(H74/F74,0))</f>
        <v>7.52708513349824</v>
      </c>
      <c r="K74" s="1" t="n">
        <f aca="false">IF(A74="","",IFERROR(I74/F74,0))</f>
        <v>0.816412557719556</v>
      </c>
      <c r="L74" s="1" t="n">
        <f aca="false">IF(A74="","",IFERROR(1000*I74/H74,0))</f>
        <v>108.463308603516</v>
      </c>
      <c r="M74" s="1" t="n">
        <f aca="false">IF(A74="","",IFERROR(1000*I74/(H74-INDEX(H:H,MATCH(A74+Inputs!$B$8,$A:$A,0))),0))</f>
        <v>0</v>
      </c>
    </row>
    <row r="75" customFormat="false" ht="15" hidden="false" customHeight="false" outlineLevel="0" collapsed="false">
      <c r="A75" s="1" t="n">
        <f aca="false">IF(OR(A74="",A74&gt;=MAX(MORTALITY!$A:$A)),"",A74+1)</f>
        <v>73</v>
      </c>
      <c r="B75" s="8" t="n">
        <f aca="false">IF(A75="","",IFERROR(INDEX(MORTALITY!$B:$B,MATCH(A75,MORTALITY!$A:$A,0)),0))</f>
        <v>0.0755</v>
      </c>
      <c r="C75" s="1" t="n">
        <f aca="false">IF(A75="","",IFERROR(C74*(1-B74),0))</f>
        <v>3638352.6194221</v>
      </c>
      <c r="D75" s="1" t="n">
        <f aca="false">IF(A75="","",IFERROR(C75*B75,0))</f>
        <v>274695.622766369</v>
      </c>
      <c r="E75" s="1" t="n">
        <f aca="false">IF(A75="","",IFERROR((1/(1+Inputs!$B$23))^A75,0))</f>
        <v>0.16487614569522</v>
      </c>
      <c r="F75" s="1" t="n">
        <f aca="false">IF(A75="","",IFERROR(C75*E75,0))</f>
        <v>599877.556570423</v>
      </c>
      <c r="G75" s="1" t="n">
        <f aca="false">IF(A75="","",IFERROR(D75*(1/(1+Inputs!$B$23))^(A75+1),0))</f>
        <v>44186.1029473823</v>
      </c>
      <c r="H75" s="1" t="n">
        <f aca="false">IF(A75="","",IFERROR(IF(B75=1,F75,F75+H76),0))</f>
        <v>4313840.29327483</v>
      </c>
      <c r="I75" s="1" t="n">
        <f aca="false">IF(A75="","",IFERROR(IF(B75=1,G75,G75+I76),0))</f>
        <v>494661.939661281</v>
      </c>
      <c r="J75" s="1" t="n">
        <f aca="false">IF(A75="","",IFERROR(H75/F75,0))</f>
        <v>7.19120134771771</v>
      </c>
      <c r="K75" s="1" t="n">
        <f aca="false">IF(A75="","",IFERROR(I75/F75,0))</f>
        <v>0.824604845177618</v>
      </c>
      <c r="L75" s="1" t="n">
        <f aca="false">IF(A75="","",IFERROR(1000*I75/H75,0))</f>
        <v>114.668579741454</v>
      </c>
      <c r="M75" s="1" t="n">
        <f aca="false">IF(A75="","",IFERROR(1000*I75/(H75-INDEX(H:H,MATCH(A75+Inputs!$B$8,$A:$A,0))),0))</f>
        <v>0</v>
      </c>
    </row>
    <row r="76" customFormat="false" ht="15" hidden="false" customHeight="false" outlineLevel="0" collapsed="false">
      <c r="A76" s="1" t="n">
        <f aca="false">IF(OR(A75="",A75&gt;=MAX(MORTALITY!$A:$A)),"",A75+1)</f>
        <v>74</v>
      </c>
      <c r="B76" s="8" t="n">
        <f aca="false">IF(A76="","",IFERROR(INDEX(MORTALITY!$B:$B,MATCH(A76,MORTALITY!$A:$A,0)),0))</f>
        <v>0.08181</v>
      </c>
      <c r="C76" s="1" t="n">
        <f aca="false">IF(A76="","",IFERROR(C75*(1-B75),0))</f>
        <v>3363656.99665573</v>
      </c>
      <c r="D76" s="1" t="n">
        <f aca="false">IF(A76="","",IFERROR(C76*B76,0))</f>
        <v>275180.778896405</v>
      </c>
      <c r="E76" s="1" t="n">
        <f aca="false">IF(A76="","",IFERROR((1/(1+Inputs!$B$23))^A76,0))</f>
        <v>0.160854776288019</v>
      </c>
      <c r="F76" s="1" t="n">
        <f aca="false">IF(A76="","",IFERROR(C76*E76,0))</f>
        <v>541060.293706688</v>
      </c>
      <c r="G76" s="1" t="n">
        <f aca="false">IF(A76="","",IFERROR(D76*(1/(1+Inputs!$B$23))^(A76+1),0))</f>
        <v>43184.5293933114</v>
      </c>
      <c r="H76" s="1" t="n">
        <f aca="false">IF(A76="","",IFERROR(IF(B76=1,F76,F76+H77),0))</f>
        <v>3713962.73670441</v>
      </c>
      <c r="I76" s="1" t="n">
        <f aca="false">IF(A76="","",IFERROR(IF(B76=1,G76,G76+I77),0))</f>
        <v>450475.836713898</v>
      </c>
      <c r="J76" s="1" t="n">
        <f aca="false">IF(A76="","",IFERROR(H76/F76,0))</f>
        <v>6.86423080736685</v>
      </c>
      <c r="K76" s="1" t="n">
        <f aca="false">IF(A76="","",IFERROR(I76/F76,0))</f>
        <v>0.832579736405687</v>
      </c>
      <c r="L76" s="1" t="n">
        <f aca="false">IF(A76="","",IFERROR(1000*I76/H76,0))</f>
        <v>121.292503088932</v>
      </c>
      <c r="M76" s="1" t="n">
        <f aca="false">IF(A76="","",IFERROR(1000*I76/(H76-INDEX(H:H,MATCH(A76+Inputs!$B$8,$A:$A,0))),0))</f>
        <v>0</v>
      </c>
    </row>
    <row r="77" customFormat="false" ht="15" hidden="false" customHeight="false" outlineLevel="0" collapsed="false">
      <c r="A77" s="1" t="n">
        <f aca="false">IF(OR(A76="",A76&gt;=MAX(MORTALITY!$A:$A)),"",A76+1)</f>
        <v>75</v>
      </c>
      <c r="B77" s="8" t="n">
        <f aca="false">IF(A77="","",IFERROR(INDEX(MORTALITY!$B:$B,MATCH(A77,MORTALITY!$A:$A,0)),0))</f>
        <v>0.08864</v>
      </c>
      <c r="C77" s="1" t="n">
        <f aca="false">IF(A77="","",IFERROR(C76*(1-B76),0))</f>
        <v>3088476.21775933</v>
      </c>
      <c r="D77" s="1" t="n">
        <f aca="false">IF(A77="","",IFERROR(C77*B77,0))</f>
        <v>273762.531942187</v>
      </c>
      <c r="E77" s="1" t="n">
        <f aca="false">IF(A77="","",IFERROR((1/(1+Inputs!$B$23))^A77,0))</f>
        <v>0.156931489061482</v>
      </c>
      <c r="F77" s="1" t="n">
        <f aca="false">IF(A77="","",IFERROR(C77*E77,0))</f>
        <v>484679.171783946</v>
      </c>
      <c r="G77" s="1" t="n">
        <f aca="false">IF(A77="","",IFERROR(D77*(1/(1+Inputs!$B$23))^(A77+1),0))</f>
        <v>41914.1090604185</v>
      </c>
      <c r="H77" s="1" t="n">
        <f aca="false">IF(A77="","",IFERROR(IF(B77=1,F77,F77+H78),0))</f>
        <v>3172902.44299772</v>
      </c>
      <c r="I77" s="1" t="n">
        <f aca="false">IF(A77="","",IFERROR(IF(B77=1,G77,G77+I78),0))</f>
        <v>407291.307320587</v>
      </c>
      <c r="J77" s="1" t="n">
        <f aca="false">IF(A77="","",IFERROR(H77/F77,0))</f>
        <v>6.54639734428715</v>
      </c>
      <c r="K77" s="1" t="n">
        <f aca="false">IF(A77="","",IFERROR(I77/F77,0))</f>
        <v>0.840331772090558</v>
      </c>
      <c r="L77" s="1" t="n">
        <f aca="false">IF(A77="","",IFERROR(1000*I77/H77,0))</f>
        <v>128.365531130476</v>
      </c>
      <c r="M77" s="1" t="n">
        <f aca="false">IF(A77="","",IFERROR(1000*I77/(H77-INDEX(H:H,MATCH(A77+Inputs!$B$8,$A:$A,0))),0))</f>
        <v>0</v>
      </c>
    </row>
    <row r="78" customFormat="false" ht="15" hidden="false" customHeight="false" outlineLevel="0" collapsed="false">
      <c r="A78" s="1" t="n">
        <f aca="false">IF(OR(A77="",A77&gt;=MAX(MORTALITY!$A:$A)),"",A77+1)</f>
        <v>76</v>
      </c>
      <c r="B78" s="8" t="n">
        <f aca="false">IF(A78="","",IFERROR(INDEX(MORTALITY!$B:$B,MATCH(A78,MORTALITY!$A:$A,0)),0))</f>
        <v>0.09602</v>
      </c>
      <c r="C78" s="1" t="n">
        <f aca="false">IF(A78="","",IFERROR(C77*(1-B77),0))</f>
        <v>2814713.68581714</v>
      </c>
      <c r="D78" s="1" t="n">
        <f aca="false">IF(A78="","",IFERROR(C78*B78,0))</f>
        <v>270268.808112162</v>
      </c>
      <c r="E78" s="1" t="n">
        <f aca="false">IF(A78="","",IFERROR((1/(1+Inputs!$B$23))^A78,0))</f>
        <v>0.1531038917673</v>
      </c>
      <c r="F78" s="1" t="n">
        <f aca="false">IF(A78="","",IFERROR(C78*E78,0))</f>
        <v>430943.619509285</v>
      </c>
      <c r="G78" s="1" t="n">
        <f aca="false">IF(A78="","",IFERROR(D78*(1/(1+Inputs!$B$23))^(A78+1),0))</f>
        <v>40369.9574100307</v>
      </c>
      <c r="H78" s="1" t="n">
        <f aca="false">IF(A78="","",IFERROR(IF(B78=1,F78,F78+H79),0))</f>
        <v>2688223.27121377</v>
      </c>
      <c r="I78" s="1" t="n">
        <f aca="false">IF(A78="","",IFERROR(IF(B78=1,G78,G78+I79),0))</f>
        <v>365377.198260169</v>
      </c>
      <c r="J78" s="1" t="n">
        <f aca="false">IF(A78="","",IFERROR(H78/F78,0))</f>
        <v>6.23799297521762</v>
      </c>
      <c r="K78" s="1" t="n">
        <f aca="false">IF(A78="","",IFERROR(I78/F78,0))</f>
        <v>0.847853829872742</v>
      </c>
      <c r="L78" s="1" t="n">
        <f aca="false">IF(A78="","",IFERROR(1000*I78/H78,0))</f>
        <v>135.917727583392</v>
      </c>
      <c r="M78" s="1" t="n">
        <f aca="false">IF(A78="","",IFERROR(1000*I78/(H78-INDEX(H:H,MATCH(A78+Inputs!$B$8,$A:$A,0))),0))</f>
        <v>0</v>
      </c>
    </row>
    <row r="79" customFormat="false" ht="15" hidden="false" customHeight="false" outlineLevel="0" collapsed="false">
      <c r="A79" s="1" t="n">
        <f aca="false">IF(OR(A78="",A78&gt;=MAX(MORTALITY!$A:$A)),"",A78+1)</f>
        <v>77</v>
      </c>
      <c r="B79" s="8" t="n">
        <f aca="false">IF(A79="","",IFERROR(INDEX(MORTALITY!$B:$B,MATCH(A79,MORTALITY!$A:$A,0)),0))</f>
        <v>0.10399</v>
      </c>
      <c r="C79" s="1" t="n">
        <f aca="false">IF(A79="","",IFERROR(C78*(1-B78),0))</f>
        <v>2544444.87770498</v>
      </c>
      <c r="D79" s="1" t="n">
        <f aca="false">IF(A79="","",IFERROR(C79*B79,0))</f>
        <v>264596.822832541</v>
      </c>
      <c r="E79" s="1" t="n">
        <f aca="false">IF(A79="","",IFERROR((1/(1+Inputs!$B$23))^A79,0))</f>
        <v>0.149369650504683</v>
      </c>
      <c r="F79" s="1" t="n">
        <f aca="false">IF(A79="","",IFERROR(C79*E79,0))</f>
        <v>380062.842111223</v>
      </c>
      <c r="G79" s="1" t="n">
        <f aca="false">IF(A79="","",IFERROR(D79*(1/(1+Inputs!$B$23))^(A79+1),0))</f>
        <v>38558.7658059961</v>
      </c>
      <c r="H79" s="1" t="n">
        <f aca="false">IF(A79="","",IFERROR(IF(B79=1,F79,F79+H80),0))</f>
        <v>2257279.65170449</v>
      </c>
      <c r="I79" s="1" t="n">
        <f aca="false">IF(A79="","",IFERROR(IF(B79=1,G79,G79+I80),0))</f>
        <v>325007.240850138</v>
      </c>
      <c r="J79" s="1" t="n">
        <f aca="false">IF(A79="","",IFERROR(H79/F79,0))</f>
        <v>5.93922741609113</v>
      </c>
      <c r="K79" s="1" t="n">
        <f aca="false">IF(A79="","",IFERROR(I79/F79,0))</f>
        <v>0.855140794729485</v>
      </c>
      <c r="L79" s="1" t="n">
        <f aca="false">IF(A79="","",IFERROR(1000*I79/H79,0))</f>
        <v>143.981823698593</v>
      </c>
      <c r="M79" s="1" t="n">
        <f aca="false">IF(A79="","",IFERROR(1000*I79/(H79-INDEX(H:H,MATCH(A79+Inputs!$B$8,$A:$A,0))),0))</f>
        <v>0</v>
      </c>
    </row>
    <row r="80" customFormat="false" ht="15" hidden="false" customHeight="false" outlineLevel="0" collapsed="false">
      <c r="A80" s="1" t="n">
        <f aca="false">IF(OR(A79="",A79&gt;=MAX(MORTALITY!$A:$A)),"",A79+1)</f>
        <v>78</v>
      </c>
      <c r="B80" s="8" t="n">
        <f aca="false">IF(A80="","",IFERROR(INDEX(MORTALITY!$B:$B,MATCH(A80,MORTALITY!$A:$A,0)),0))</f>
        <v>0.11259</v>
      </c>
      <c r="C80" s="1" t="n">
        <f aca="false">IF(A80="","",IFERROR(C79*(1-B79),0))</f>
        <v>2279848.05487244</v>
      </c>
      <c r="D80" s="1" t="n">
        <f aca="false">IF(A80="","",IFERROR(C80*B80,0))</f>
        <v>256688.092498088</v>
      </c>
      <c r="E80" s="1" t="n">
        <f aca="false">IF(A80="","",IFERROR((1/(1+Inputs!$B$23))^A80,0))</f>
        <v>0.145726488297251</v>
      </c>
      <c r="F80" s="1" t="n">
        <f aca="false">IF(A80="","",IFERROR(C80*E80,0))</f>
        <v>332234.25088788</v>
      </c>
      <c r="G80" s="1" t="n">
        <f aca="false">IF(A80="","",IFERROR(D80*(1/(1+Inputs!$B$23))^(A80+1),0))</f>
        <v>36493.9066414306</v>
      </c>
      <c r="H80" s="1" t="n">
        <f aca="false">IF(A80="","",IFERROR(IF(B80=1,F80,F80+H81),0))</f>
        <v>1877216.80959326</v>
      </c>
      <c r="I80" s="1" t="n">
        <f aca="false">IF(A80="","",IFERROR(IF(B80=1,G80,G80+I81),0))</f>
        <v>286448.475044142</v>
      </c>
      <c r="J80" s="1" t="n">
        <f aca="false">IF(A80="","",IFERROR(H80/F80,0))</f>
        <v>5.65028080210422</v>
      </c>
      <c r="K80" s="1" t="n">
        <f aca="false">IF(A80="","",IFERROR(I80/F80,0))</f>
        <v>0.86218827311941</v>
      </c>
      <c r="L80" s="1" t="n">
        <f aca="false">IF(A80="","",IFERROR(1000*I80/H80,0))</f>
        <v>152.592110607728</v>
      </c>
      <c r="M80" s="1" t="n">
        <f aca="false">IF(A80="","",IFERROR(1000*I80/(H80-INDEX(H:H,MATCH(A80+Inputs!$B$8,$A:$A,0))),0))</f>
        <v>0</v>
      </c>
    </row>
    <row r="81" customFormat="false" ht="15" hidden="false" customHeight="false" outlineLevel="0" collapsed="false">
      <c r="A81" s="1" t="n">
        <f aca="false">IF(OR(A80="",A80&gt;=MAX(MORTALITY!$A:$A)),"",A80+1)</f>
        <v>79</v>
      </c>
      <c r="B81" s="8" t="n">
        <f aca="false">IF(A81="","",IFERROR(INDEX(MORTALITY!$B:$B,MATCH(A81,MORTALITY!$A:$A,0)),0))</f>
        <v>0.12186</v>
      </c>
      <c r="C81" s="1" t="n">
        <f aca="false">IF(A81="","",IFERROR(C80*(1-B80),0))</f>
        <v>2023159.96237435</v>
      </c>
      <c r="D81" s="1" t="n">
        <f aca="false">IF(A81="","",IFERROR(C81*B81,0))</f>
        <v>246542.273014938</v>
      </c>
      <c r="E81" s="1" t="n">
        <f aca="false">IF(A81="","",IFERROR((1/(1+Inputs!$B$23))^A81,0))</f>
        <v>0.142172183704636</v>
      </c>
      <c r="F81" s="1" t="n">
        <f aca="false">IF(A81="","",IFERROR(C81*E81,0))</f>
        <v>287637.06983455</v>
      </c>
      <c r="G81" s="1" t="n">
        <f aca="false">IF(A81="","",IFERROR(D81*(1/(1+Inputs!$B$23))^(A81+1),0))</f>
        <v>34196.5398341836</v>
      </c>
      <c r="H81" s="1" t="n">
        <f aca="false">IF(A81="","",IFERROR(IF(B81=1,F81,F81+H82),0))</f>
        <v>1544982.55870538</v>
      </c>
      <c r="I81" s="1" t="n">
        <f aca="false">IF(A81="","",IFERROR(IF(B81=1,G81,G81+I82),0))</f>
        <v>249954.568402711</v>
      </c>
      <c r="J81" s="1" t="n">
        <f aca="false">IF(A81="","",IFERROR(H81/F81,0))</f>
        <v>5.37129153621982</v>
      </c>
      <c r="K81" s="1" t="n">
        <f aca="false">IF(A81="","",IFERROR(I81/F81,0))</f>
        <v>0.868992889360493</v>
      </c>
      <c r="L81" s="1" t="n">
        <f aca="false">IF(A81="","",IFERROR(1000*I81/H81,0))</f>
        <v>161.784718535697</v>
      </c>
      <c r="M81" s="1" t="n">
        <f aca="false">IF(A81="","",IFERROR(1000*I81/(H81-INDEX(H:H,MATCH(A81+Inputs!$B$8,$A:$A,0))),0))</f>
        <v>0</v>
      </c>
    </row>
    <row r="82" customFormat="false" ht="15" hidden="false" customHeight="false" outlineLevel="0" collapsed="false">
      <c r="A82" s="1" t="n">
        <f aca="false">IF(OR(A81="",A81&gt;=MAX(MORTALITY!$A:$A)),"",A81+1)</f>
        <v>80</v>
      </c>
      <c r="B82" s="8" t="n">
        <f aca="false">IF(A82="","",IFERROR(INDEX(MORTALITY!$B:$B,MATCH(A82,MORTALITY!$A:$A,0)),0))</f>
        <v>0.13185</v>
      </c>
      <c r="C82" s="1" t="n">
        <f aca="false">IF(A82="","",IFERROR(C81*(1-B81),0))</f>
        <v>1776617.68935941</v>
      </c>
      <c r="D82" s="1" t="n">
        <f aca="false">IF(A82="","",IFERROR(C82*B82,0))</f>
        <v>234247.042342038</v>
      </c>
      <c r="E82" s="1" t="n">
        <f aca="false">IF(A82="","",IFERROR((1/(1+Inputs!$B$23))^A82,0))</f>
        <v>0.138704569467937</v>
      </c>
      <c r="F82" s="1" t="n">
        <f aca="false">IF(A82="","",IFERROR(C82*E82,0))</f>
        <v>246424.991711718</v>
      </c>
      <c r="G82" s="1" t="n">
        <f aca="false">IF(A82="","",IFERROR(D82*(1/(1+Inputs!$B$23))^(A82+1),0))</f>
        <v>31698.6684460391</v>
      </c>
      <c r="H82" s="1" t="n">
        <f aca="false">IF(A82="","",IFERROR(IF(B82=1,F82,F82+H83),0))</f>
        <v>1257345.48887083</v>
      </c>
      <c r="I82" s="1" t="n">
        <f aca="false">IF(A82="","",IFERROR(IF(B82=1,G82,G82+I83),0))</f>
        <v>215758.028568527</v>
      </c>
      <c r="J82" s="1" t="n">
        <f aca="false">IF(A82="","",IFERROR(H82/F82,0))</f>
        <v>5.10234566769002</v>
      </c>
      <c r="K82" s="1" t="n">
        <f aca="false">IF(A82="","",IFERROR(I82/F82,0))</f>
        <v>0.875552544690488</v>
      </c>
      <c r="L82" s="1" t="n">
        <f aca="false">IF(A82="","",IFERROR(1000*I82/H82,0))</f>
        <v>171.598045627292</v>
      </c>
      <c r="M82" s="1" t="n">
        <f aca="false">IF(A82="","",IFERROR(1000*I82/(H82-INDEX(H:H,MATCH(A82+Inputs!$B$8,$A:$A,0))),0))</f>
        <v>0</v>
      </c>
    </row>
    <row r="83" customFormat="false" ht="15" hidden="false" customHeight="false" outlineLevel="0" collapsed="false">
      <c r="A83" s="1" t="n">
        <f aca="false">IF(OR(A82="",A82&gt;=MAX(MORTALITY!$A:$A)),"",A82+1)</f>
        <v>81</v>
      </c>
      <c r="B83" s="8" t="n">
        <f aca="false">IF(A83="","",IFERROR(INDEX(MORTALITY!$B:$B,MATCH(A83,MORTALITY!$A:$A,0)),0))</f>
        <v>0.1426</v>
      </c>
      <c r="C83" s="1" t="n">
        <f aca="false">IF(A83="","",IFERROR(C82*(1-B82),0))</f>
        <v>1542370.64701737</v>
      </c>
      <c r="D83" s="1" t="n">
        <f aca="false">IF(A83="","",IFERROR(C83*B83,0))</f>
        <v>219942.054264677</v>
      </c>
      <c r="E83" s="1" t="n">
        <f aca="false">IF(A83="","",IFERROR((1/(1+Inputs!$B$23))^A83,0))</f>
        <v>0.135321531188231</v>
      </c>
      <c r="F83" s="1" t="n">
        <f aca="false">IF(A83="","",IFERROR(C83*E83,0))</f>
        <v>208715.957614174</v>
      </c>
      <c r="G83" s="1" t="n">
        <f aca="false">IF(A83="","",IFERROR(D83*(1/(1+Inputs!$B$23))^(A83+1),0))</f>
        <v>29036.9712739329</v>
      </c>
      <c r="H83" s="1" t="n">
        <f aca="false">IF(A83="","",IFERROR(IF(B83=1,F83,F83+H84),0))</f>
        <v>1010920.49715912</v>
      </c>
      <c r="I83" s="1" t="n">
        <f aca="false">IF(A83="","",IFERROR(IF(B83=1,G83,G83+I84),0))</f>
        <v>184059.360122488</v>
      </c>
      <c r="J83" s="1" t="n">
        <f aca="false">IF(A83="","",IFERROR(H83/F83,0))</f>
        <v>4.84352278912891</v>
      </c>
      <c r="K83" s="1" t="n">
        <f aca="false">IF(A83="","",IFERROR(I83/F83,0))</f>
        <v>0.881865297826124</v>
      </c>
      <c r="L83" s="1" t="n">
        <f aca="false">IF(A83="","",IFERROR(1000*I83/H83,0))</f>
        <v>182.071053697824</v>
      </c>
      <c r="M83" s="1" t="n">
        <f aca="false">IF(A83="","",IFERROR(1000*I83/(H83-INDEX(H:H,MATCH(A83+Inputs!$B$8,$A:$A,0))),0))</f>
        <v>0</v>
      </c>
    </row>
    <row r="84" customFormat="false" ht="15" hidden="false" customHeight="false" outlineLevel="0" collapsed="false">
      <c r="A84" s="1" t="n">
        <f aca="false">IF(OR(A83="",A83&gt;=MAX(MORTALITY!$A:$A)),"",A83+1)</f>
        <v>82</v>
      </c>
      <c r="B84" s="8" t="n">
        <f aca="false">IF(A84="","",IFERROR(INDEX(MORTALITY!$B:$B,MATCH(A84,MORTALITY!$A:$A,0)),0))</f>
        <v>0.15416</v>
      </c>
      <c r="C84" s="1" t="n">
        <f aca="false">IF(A84="","",IFERROR(C83*(1-B83),0))</f>
        <v>1322428.5927527</v>
      </c>
      <c r="D84" s="1" t="n">
        <f aca="false">IF(A84="","",IFERROR(C84*B84,0))</f>
        <v>203865.591858756</v>
      </c>
      <c r="E84" s="1" t="n">
        <f aca="false">IF(A84="","",IFERROR((1/(1+Inputs!$B$23))^A84,0))</f>
        <v>0.132021006037299</v>
      </c>
      <c r="F84" s="1" t="n">
        <f aca="false">IF(A84="","",IFERROR(C84*E84,0))</f>
        <v>174588.3532277</v>
      </c>
      <c r="G84" s="1" t="n">
        <f aca="false">IF(A84="","",IFERROR(D84*(1/(1+Inputs!$B$23))^(A84+1),0))</f>
        <v>26258.0883254461</v>
      </c>
      <c r="H84" s="1" t="n">
        <f aca="false">IF(A84="","",IFERROR(IF(B84=1,F84,F84+H85),0))</f>
        <v>802204.539544942</v>
      </c>
      <c r="I84" s="1" t="n">
        <f aca="false">IF(A84="","",IFERROR(IF(B84=1,G84,G84+I85),0))</f>
        <v>155022.388848555</v>
      </c>
      <c r="J84" s="1" t="n">
        <f aca="false">IF(A84="","",IFERROR(H84/F84,0))</f>
        <v>4.59483421840114</v>
      </c>
      <c r="K84" s="1" t="n">
        <f aca="false">IF(A84="","",IFERROR(I84/F84,0))</f>
        <v>0.887930872721924</v>
      </c>
      <c r="L84" s="1" t="n">
        <f aca="false">IF(A84="","",IFERROR(1000*I84/H84,0))</f>
        <v>193.245464475299</v>
      </c>
      <c r="M84" s="1" t="n">
        <f aca="false">IF(A84="","",IFERROR(1000*I84/(H84-INDEX(H:H,MATCH(A84+Inputs!$B$8,$A:$A,0))),0))</f>
        <v>0</v>
      </c>
    </row>
    <row r="85" customFormat="false" ht="15" hidden="false" customHeight="false" outlineLevel="0" collapsed="false">
      <c r="A85" s="1" t="n">
        <f aca="false">IF(OR(A84="",A84&gt;=MAX(MORTALITY!$A:$A)),"",A84+1)</f>
        <v>83</v>
      </c>
      <c r="B85" s="8" t="n">
        <f aca="false">IF(A85="","",IFERROR(INDEX(MORTALITY!$B:$B,MATCH(A85,MORTALITY!$A:$A,0)),0))</f>
        <v>0.16657</v>
      </c>
      <c r="C85" s="1" t="n">
        <f aca="false">IF(A85="","",IFERROR(C84*(1-B84),0))</f>
        <v>1118563.00089394</v>
      </c>
      <c r="D85" s="1" t="n">
        <f aca="false">IF(A85="","",IFERROR(C85*B85,0))</f>
        <v>186319.039058904</v>
      </c>
      <c r="E85" s="1" t="n">
        <f aca="false">IF(A85="","",IFERROR((1/(1+Inputs!$B$23))^A85,0))</f>
        <v>0.128800981499804</v>
      </c>
      <c r="F85" s="1" t="n">
        <f aca="false">IF(A85="","",IFERROR(C85*E85,0))</f>
        <v>144072.012384505</v>
      </c>
      <c r="G85" s="1" t="n">
        <f aca="false">IF(A85="","",IFERROR(D85*(1/(1+Inputs!$B$23))^(A85+1),0))</f>
        <v>23412.7561979386</v>
      </c>
      <c r="H85" s="1" t="n">
        <f aca="false">IF(A85="","",IFERROR(IF(B85=1,F85,F85+H86),0))</f>
        <v>627616.186317242</v>
      </c>
      <c r="I85" s="1" t="n">
        <f aca="false">IF(A85="","",IFERROR(IF(B85=1,G85,G85+I86),0))</f>
        <v>128764.300523109</v>
      </c>
      <c r="J85" s="1" t="n">
        <f aca="false">IF(A85="","",IFERROR(H85/F85,0))</f>
        <v>4.35626723004489</v>
      </c>
      <c r="K85" s="1" t="n">
        <f aca="false">IF(A85="","",IFERROR(I85/F85,0))</f>
        <v>0.893749579755003</v>
      </c>
      <c r="L85" s="1" t="n">
        <f aca="false">IF(A85="","",IFERROR(1000*I85/H85,0))</f>
        <v>205.164084882321</v>
      </c>
      <c r="M85" s="1" t="n">
        <f aca="false">IF(A85="","",IFERROR(1000*I85/(H85-INDEX(H:H,MATCH(A85+Inputs!$B$8,$A:$A,0))),0))</f>
        <v>0</v>
      </c>
    </row>
    <row r="86" customFormat="false" ht="15" hidden="false" customHeight="false" outlineLevel="0" collapsed="false">
      <c r="A86" s="1" t="n">
        <f aca="false">IF(OR(A85="",A85&gt;=MAX(MORTALITY!$A:$A)),"",A85+1)</f>
        <v>84</v>
      </c>
      <c r="B86" s="8" t="n">
        <f aca="false">IF(A86="","",IFERROR(INDEX(MORTALITY!$B:$B,MATCH(A86,MORTALITY!$A:$A,0)),0))</f>
        <v>0.17988</v>
      </c>
      <c r="C86" s="1" t="n">
        <f aca="false">IF(A86="","",IFERROR(C85*(1-B85),0))</f>
        <v>932243.961835037</v>
      </c>
      <c r="D86" s="1" t="n">
        <f aca="false">IF(A86="","",IFERROR(C86*B86,0))</f>
        <v>167692.043854886</v>
      </c>
      <c r="E86" s="1" t="n">
        <f aca="false">IF(A86="","",IFERROR((1/(1+Inputs!$B$23))^A86,0))</f>
        <v>0.12565949414615</v>
      </c>
      <c r="F86" s="1" t="n">
        <f aca="false">IF(A86="","",IFERROR(C86*E86,0))</f>
        <v>117145.304664994</v>
      </c>
      <c r="G86" s="1" t="n">
        <f aca="false">IF(A86="","",IFERROR(D86*(1/(1+Inputs!$B$23))^(A86+1),0))</f>
        <v>20558.1438079405</v>
      </c>
      <c r="H86" s="1" t="n">
        <f aca="false">IF(A86="","",IFERROR(IF(B86=1,F86,F86+H87),0))</f>
        <v>483544.173932737</v>
      </c>
      <c r="I86" s="1" t="n">
        <f aca="false">IF(A86="","",IFERROR(IF(B86=1,G86,G86+I87),0))</f>
        <v>105351.544325171</v>
      </c>
      <c r="J86" s="1" t="n">
        <f aca="false">IF(A86="","",IFERROR(H86/F86,0))</f>
        <v>4.12772987628956</v>
      </c>
      <c r="K86" s="1" t="n">
        <f aca="false">IF(A86="","",IFERROR(I86/F86,0))</f>
        <v>0.899323661553913</v>
      </c>
      <c r="L86" s="1" t="n">
        <f aca="false">IF(A86="","",IFERROR(1000*I86/H86,0))</f>
        <v>217.873671123635</v>
      </c>
      <c r="M86" s="1" t="n">
        <f aca="false">IF(A86="","",IFERROR(1000*I86/(H86-INDEX(H:H,MATCH(A86+Inputs!$B$8,$A:$A,0))),0))</f>
        <v>0</v>
      </c>
    </row>
    <row r="87" customFormat="false" ht="15" hidden="false" customHeight="false" outlineLevel="0" collapsed="false">
      <c r="A87" s="1" t="n">
        <f aca="false">IF(OR(A86="",A86&gt;=MAX(MORTALITY!$A:$A)),"",A86+1)</f>
        <v>85</v>
      </c>
      <c r="B87" s="8" t="n">
        <f aca="false">IF(A87="","",IFERROR(INDEX(MORTALITY!$B:$B,MATCH(A87,MORTALITY!$A:$A,0)),0))</f>
        <v>0.19413</v>
      </c>
      <c r="C87" s="1" t="n">
        <f aca="false">IF(A87="","",IFERROR(C86*(1-B86),0))</f>
        <v>764551.91798015</v>
      </c>
      <c r="D87" s="1" t="n">
        <f aca="false">IF(A87="","",IFERROR(C87*B87,0))</f>
        <v>148422.463837487</v>
      </c>
      <c r="E87" s="1" t="n">
        <f aca="false">IF(A87="","",IFERROR((1/(1+Inputs!$B$23))^A87,0))</f>
        <v>0.122594628435268</v>
      </c>
      <c r="F87" s="1" t="n">
        <f aca="false">IF(A87="","",IFERROR(C87*E87,0))</f>
        <v>93729.9583042483</v>
      </c>
      <c r="G87" s="1" t="n">
        <f aca="false">IF(A87="","",IFERROR(D87*(1/(1+Inputs!$B$23))^(A87+1),0))</f>
        <v>17751.9968835158</v>
      </c>
      <c r="H87" s="1" t="n">
        <f aca="false">IF(A87="","",IFERROR(IF(B87=1,F87,F87+H88),0))</f>
        <v>366398.869267743</v>
      </c>
      <c r="I87" s="1" t="n">
        <f aca="false">IF(A87="","",IFERROR(IF(B87=1,G87,G87+I88),0))</f>
        <v>84793.4005172302</v>
      </c>
      <c r="J87" s="1" t="n">
        <f aca="false">IF(A87="","",IFERROR(H87/F87,0))</f>
        <v>3.90909028336926</v>
      </c>
      <c r="K87" s="1" t="n">
        <f aca="false">IF(A87="","",IFERROR(I87/F87,0))</f>
        <v>0.90465633455197</v>
      </c>
      <c r="L87" s="1" t="n">
        <f aca="false">IF(A87="","",IFERROR(1000*I87/H87,0))</f>
        <v>231.423750533652</v>
      </c>
      <c r="M87" s="1" t="n">
        <f aca="false">IF(A87="","",IFERROR(1000*I87/(H87-INDEX(H:H,MATCH(A87+Inputs!$B$8,$A:$A,0))),0))</f>
        <v>0</v>
      </c>
    </row>
    <row r="88" customFormat="false" ht="15" hidden="false" customHeight="false" outlineLevel="0" collapsed="false">
      <c r="A88" s="1" t="n">
        <f aca="false">IF(OR(A87="",A87&gt;=MAX(MORTALITY!$A:$A)),"",A87+1)</f>
        <v>86</v>
      </c>
      <c r="B88" s="8" t="n">
        <f aca="false">IF(A88="","",IFERROR(INDEX(MORTALITY!$B:$B,MATCH(A88,MORTALITY!$A:$A,0)),0))</f>
        <v>0.20937</v>
      </c>
      <c r="C88" s="1" t="n">
        <f aca="false">IF(A88="","",IFERROR(C87*(1-B87),0))</f>
        <v>616129.454142664</v>
      </c>
      <c r="D88" s="1" t="n">
        <f aca="false">IF(A88="","",IFERROR(C88*B88,0))</f>
        <v>128999.023813849</v>
      </c>
      <c r="E88" s="1" t="n">
        <f aca="false">IF(A88="","",IFERROR((1/(1+Inputs!$B$23))^A88,0))</f>
        <v>0.119604515546603</v>
      </c>
      <c r="F88" s="1" t="n">
        <f aca="false">IF(A88="","",IFERROR(C88*E88,0))</f>
        <v>73691.8648767264</v>
      </c>
      <c r="G88" s="1" t="n">
        <f aca="false">IF(A88="","",IFERROR(D88*(1/(1+Inputs!$B$23))^(A88+1),0))</f>
        <v>15052.5519504783</v>
      </c>
      <c r="H88" s="1" t="n">
        <f aca="false">IF(A88="","",IFERROR(IF(B88=1,F88,F88+H89),0))</f>
        <v>272668.910963495</v>
      </c>
      <c r="I88" s="1" t="n">
        <f aca="false">IF(A88="","",IFERROR(IF(B88=1,G88,G88+I89),0))</f>
        <v>67041.4036337144</v>
      </c>
      <c r="J88" s="1" t="n">
        <f aca="false">IF(A88="","",IFERROR(H88/F88,0))</f>
        <v>3.70012227834948</v>
      </c>
      <c r="K88" s="1" t="n">
        <f aca="false">IF(A88="","",IFERROR(I88/F88,0))</f>
        <v>0.909753115162208</v>
      </c>
      <c r="L88" s="1" t="n">
        <f aca="false">IF(A88="","",IFERROR(1000*I88/H88,0))</f>
        <v>245.871094716368</v>
      </c>
      <c r="M88" s="1" t="n">
        <f aca="false">IF(A88="","",IFERROR(1000*I88/(H88-INDEX(H:H,MATCH(A88+Inputs!$B$8,$A:$A,0))),0))</f>
        <v>0</v>
      </c>
    </row>
    <row r="89" customFormat="false" ht="15" hidden="false" customHeight="false" outlineLevel="0" collapsed="false">
      <c r="A89" s="1" t="n">
        <f aca="false">IF(OR(A88="",A88&gt;=MAX(MORTALITY!$A:$A)),"",A88+1)</f>
        <v>87</v>
      </c>
      <c r="B89" s="8" t="n">
        <f aca="false">IF(A89="","",IFERROR(INDEX(MORTALITY!$B:$B,MATCH(A89,MORTALITY!$A:$A,0)),0))</f>
        <v>0.22563</v>
      </c>
      <c r="C89" s="1" t="n">
        <f aca="false">IF(A89="","",IFERROR(C88*(1-B88),0))</f>
        <v>487130.430328814</v>
      </c>
      <c r="D89" s="1" t="n">
        <f aca="false">IF(A89="","",IFERROR(C89*B89,0))</f>
        <v>109911.23899509</v>
      </c>
      <c r="E89" s="1" t="n">
        <f aca="false">IF(A89="","",IFERROR((1/(1+Inputs!$B$23))^A89,0))</f>
        <v>0.116687332240589</v>
      </c>
      <c r="F89" s="1" t="n">
        <f aca="false">IF(A89="","",IFERROR(C89*E89,0))</f>
        <v>56841.9503682792</v>
      </c>
      <c r="G89" s="1" t="n">
        <f aca="false">IF(A89="","",IFERROR(D89*(1/(1+Inputs!$B$23))^(A89+1),0))</f>
        <v>12512.438303995</v>
      </c>
      <c r="H89" s="1" t="n">
        <f aca="false">IF(A89="","",IFERROR(IF(B89=1,F89,F89+H90),0))</f>
        <v>198977.046086768</v>
      </c>
      <c r="I89" s="1" t="n">
        <f aca="false">IF(A89="","",IFERROR(IF(B89=1,G89,G89+I90),0))</f>
        <v>51988.8516832361</v>
      </c>
      <c r="J89" s="1" t="n">
        <f aca="false">IF(A89="","",IFERROR(H89/F89,0))</f>
        <v>3.50053164603951</v>
      </c>
      <c r="K89" s="1" t="n">
        <f aca="false">IF(A89="","",IFERROR(I89/F89,0))</f>
        <v>0.91462117936489</v>
      </c>
      <c r="L89" s="1" t="n">
        <f aca="false">IF(A89="","",IFERROR(1000*I89/H89,0))</f>
        <v>261.280648726513</v>
      </c>
      <c r="M89" s="1" t="n">
        <f aca="false">IF(A89="","",IFERROR(1000*I89/(H89-INDEX(H:H,MATCH(A89+Inputs!$B$8,$A:$A,0))),0))</f>
        <v>0</v>
      </c>
    </row>
    <row r="90" customFormat="false" ht="15" hidden="false" customHeight="false" outlineLevel="0" collapsed="false">
      <c r="A90" s="1" t="n">
        <f aca="false">IF(OR(A89="",A89&gt;=MAX(MORTALITY!$A:$A)),"",A89+1)</f>
        <v>88</v>
      </c>
      <c r="B90" s="8" t="n">
        <f aca="false">IF(A90="","",IFERROR(INDEX(MORTALITY!$B:$B,MATCH(A90,MORTALITY!$A:$A,0)),0))</f>
        <v>0.243</v>
      </c>
      <c r="C90" s="1" t="n">
        <f aca="false">IF(A90="","",IFERROR(C89*(1-B89),0))</f>
        <v>377219.191333724</v>
      </c>
      <c r="D90" s="1" t="n">
        <f aca="false">IF(A90="","",IFERROR(C90*B90,0))</f>
        <v>91664.2634940949</v>
      </c>
      <c r="E90" s="1" t="n">
        <f aca="false">IF(A90="","",IFERROR((1/(1+Inputs!$B$23))^A90,0))</f>
        <v>0.113841299746916</v>
      </c>
      <c r="F90" s="1" t="n">
        <f aca="false">IF(A90="","",IFERROR(C90*E90,0))</f>
        <v>42943.1230309116</v>
      </c>
      <c r="G90" s="1" t="n">
        <f aca="false">IF(A90="","",IFERROR(D90*(1/(1+Inputs!$B$23))^(A90+1),0))</f>
        <v>10180.66233806</v>
      </c>
      <c r="H90" s="1" t="n">
        <f aca="false">IF(A90="","",IFERROR(IF(B90=1,F90,F90+H91),0))</f>
        <v>142135.095718489</v>
      </c>
      <c r="I90" s="1" t="n">
        <f aca="false">IF(A90="","",IFERROR(IF(B90=1,G90,G90+I91),0))</f>
        <v>39476.4133792411</v>
      </c>
      <c r="J90" s="1" t="n">
        <f aca="false">IF(A90="","",IFERROR(H90/F90,0))</f>
        <v>3.30984534162028</v>
      </c>
      <c r="K90" s="1" t="n">
        <f aca="false">IF(A90="","",IFERROR(I90/F90,0))</f>
        <v>0.91927206483853</v>
      </c>
      <c r="L90" s="1" t="n">
        <f aca="false">IF(A90="","",IFERROR(1000*I90/H90,0))</f>
        <v>277.738676571672</v>
      </c>
      <c r="M90" s="1" t="n">
        <f aca="false">IF(A90="","",IFERROR(1000*I90/(H90-INDEX(H:H,MATCH(A90+Inputs!$B$8,$A:$A,0))),0))</f>
        <v>0</v>
      </c>
    </row>
    <row r="91" customFormat="false" ht="15" hidden="false" customHeight="false" outlineLevel="0" collapsed="false">
      <c r="A91" s="1" t="n">
        <f aca="false">IF(OR(A90="",A90&gt;=MAX(MORTALITY!$A:$A)),"",A90+1)</f>
        <v>89</v>
      </c>
      <c r="B91" s="8" t="n">
        <f aca="false">IF(A91="","",IFERROR(INDEX(MORTALITY!$B:$B,MATCH(A91,MORTALITY!$A:$A,0)),0))</f>
        <v>0.26144</v>
      </c>
      <c r="C91" s="1" t="n">
        <f aca="false">IF(A91="","",IFERROR(C90*(1-B90),0))</f>
        <v>285554.927839629</v>
      </c>
      <c r="D91" s="1" t="n">
        <f aca="false">IF(A91="","",IFERROR(C91*B91,0))</f>
        <v>74655.4803343926</v>
      </c>
      <c r="E91" s="1" t="n">
        <f aca="false">IF(A91="","",IFERROR((1/(1+Inputs!$B$23))^A91,0))</f>
        <v>0.111064682679918</v>
      </c>
      <c r="F91" s="1" t="n">
        <f aca="false">IF(A91="","",IFERROR(C91*E91,0))</f>
        <v>31715.0674481952</v>
      </c>
      <c r="G91" s="1" t="n">
        <f aca="false">IF(A91="","",IFERROR(D91*(1/(1+Inputs!$B$23))^(A91+1),0))</f>
        <v>8089.35339868893</v>
      </c>
      <c r="H91" s="1" t="n">
        <f aca="false">IF(A91="","",IFERROR(IF(B91=1,F91,F91+H92),0))</f>
        <v>99191.9726875776</v>
      </c>
      <c r="I91" s="1" t="n">
        <f aca="false">IF(A91="","",IFERROR(IF(B91=1,G91,G91+I92),0))</f>
        <v>29295.7510411811</v>
      </c>
      <c r="J91" s="1" t="n">
        <f aca="false">IF(A91="","",IFERROR(H91/F91,0))</f>
        <v>3.12759772148056</v>
      </c>
      <c r="K91" s="1" t="n">
        <f aca="false">IF(A91="","",IFERROR(I91/F91,0))</f>
        <v>0.923717128744377</v>
      </c>
      <c r="L91" s="1" t="n">
        <f aca="false">IF(A91="","",IFERROR(1000*I91/H91,0))</f>
        <v>295.343970357896</v>
      </c>
      <c r="M91" s="1" t="n">
        <f aca="false">IF(A91="","",IFERROR(1000*I91/(H91-INDEX(H:H,MATCH(A91+Inputs!$B$8,$A:$A,0))),0))</f>
        <v>0</v>
      </c>
    </row>
    <row r="92" customFormat="false" ht="15" hidden="false" customHeight="false" outlineLevel="0" collapsed="false">
      <c r="A92" s="1" t="n">
        <f aca="false">IF(OR(A91="",A91&gt;=MAX(MORTALITY!$A:$A)),"",A91+1)</f>
        <v>90</v>
      </c>
      <c r="B92" s="8" t="n">
        <f aca="false">IF(A92="","",IFERROR(INDEX(MORTALITY!$B:$B,MATCH(A92,MORTALITY!$A:$A,0)),0))</f>
        <v>0.28099</v>
      </c>
      <c r="C92" s="1" t="n">
        <f aca="false">IF(A92="","",IFERROR(C91*(1-B91),0))</f>
        <v>210899.447505236</v>
      </c>
      <c r="D92" s="1" t="n">
        <f aca="false">IF(A92="","",IFERROR(C92*B92,0))</f>
        <v>59260.6357544964</v>
      </c>
      <c r="E92" s="1" t="n">
        <f aca="false">IF(A92="","",IFERROR((1/(1+Inputs!$B$23))^A92,0))</f>
        <v>0.108355787980408</v>
      </c>
      <c r="F92" s="1" t="n">
        <f aca="false">IF(A92="","",IFERROR(C92*E92,0))</f>
        <v>22852.1758190625</v>
      </c>
      <c r="G92" s="1" t="n">
        <f aca="false">IF(A92="","",IFERROR(D92*(1/(1+Inputs!$B$23))^(A92+1),0))</f>
        <v>6264.61744721792</v>
      </c>
      <c r="H92" s="1" t="n">
        <f aca="false">IF(A92="","",IFERROR(IF(B92=1,F92,F92+H93),0))</f>
        <v>67476.9052393824</v>
      </c>
      <c r="I92" s="1" t="n">
        <f aca="false">IF(A92="","",IFERROR(IF(B92=1,G92,G92+I93),0))</f>
        <v>21206.3976424922</v>
      </c>
      <c r="J92" s="1" t="n">
        <f aca="false">IF(A92="","",IFERROR(H92/F92,0))</f>
        <v>2.95275626153268</v>
      </c>
      <c r="K92" s="1" t="n">
        <f aca="false">IF(A92="","",IFERROR(I92/F92,0))</f>
        <v>0.927981554596764</v>
      </c>
      <c r="L92" s="1" t="n">
        <f aca="false">IF(A92="","",IFERROR(1000*I92/H92,0))</f>
        <v>314.27638193038</v>
      </c>
      <c r="M92" s="1" t="n">
        <f aca="false">IF(A92="","",IFERROR(1000*I92/(H92-INDEX(H:H,MATCH(A92+Inputs!$B$8,$A:$A,0))),0))</f>
        <v>0</v>
      </c>
    </row>
    <row r="93" customFormat="false" ht="15" hidden="false" customHeight="false" outlineLevel="0" collapsed="false">
      <c r="A93" s="1" t="n">
        <f aca="false">IF(OR(A92="",A92&gt;=MAX(MORTALITY!$A:$A)),"",A92+1)</f>
        <v>91</v>
      </c>
      <c r="B93" s="8" t="n">
        <f aca="false">IF(A93="","",IFERROR(INDEX(MORTALITY!$B:$B,MATCH(A93,MORTALITY!$A:$A,0)),0))</f>
        <v>0.30173</v>
      </c>
      <c r="C93" s="1" t="n">
        <f aca="false">IF(A93="","",IFERROR(C92*(1-B92),0))</f>
        <v>151638.81175074</v>
      </c>
      <c r="D93" s="1" t="n">
        <f aca="false">IF(A93="","",IFERROR(C93*B93,0))</f>
        <v>45753.9786695508</v>
      </c>
      <c r="E93" s="1" t="n">
        <f aca="false">IF(A93="","",IFERROR((1/(1+Inputs!$B$23))^A93,0))</f>
        <v>0.105712963883324</v>
      </c>
      <c r="F93" s="1" t="n">
        <f aca="false">IF(A93="","",IFERROR(C93*E93,0))</f>
        <v>16030.1882299162</v>
      </c>
      <c r="G93" s="1" t="n">
        <f aca="false">IF(A93="","",IFERROR(D93*(1/(1+Inputs!$B$23))^(A93+1),0))</f>
        <v>4718.81823864646</v>
      </c>
      <c r="H93" s="1" t="n">
        <f aca="false">IF(A93="","",IFERROR(IF(B93=1,F93,F93+H94),0))</f>
        <v>44624.7294203199</v>
      </c>
      <c r="I93" s="1" t="n">
        <f aca="false">IF(A93="","",IFERROR(IF(B93=1,G93,G93+I94),0))</f>
        <v>14941.7801952743</v>
      </c>
      <c r="J93" s="1" t="n">
        <f aca="false">IF(A93="","",IFERROR(H93/F93,0))</f>
        <v>2.7837932268967</v>
      </c>
      <c r="K93" s="1" t="n">
        <f aca="false">IF(A93="","",IFERROR(I93/F93,0))</f>
        <v>0.932102604222032</v>
      </c>
      <c r="L93" s="1" t="n">
        <f aca="false">IF(A93="","",IFERROR(1000*I93/H93,0))</f>
        <v>334.831838520247</v>
      </c>
      <c r="M93" s="1" t="n">
        <f aca="false">IF(A93="","",IFERROR(1000*I93/(H93-INDEX(H:H,MATCH(A93+Inputs!$B$8,$A:$A,0))),0))</f>
        <v>0</v>
      </c>
    </row>
    <row r="94" customFormat="false" ht="15" hidden="false" customHeight="false" outlineLevel="0" collapsed="false">
      <c r="A94" s="1" t="n">
        <f aca="false">IF(OR(A93="",A93&gt;=MAX(MORTALITY!$A:$A)),"",A93+1)</f>
        <v>92</v>
      </c>
      <c r="B94" s="8" t="n">
        <f aca="false">IF(A94="","",IFERROR(INDEX(MORTALITY!$B:$B,MATCH(A94,MORTALITY!$A:$A,0)),0))</f>
        <v>0.32364</v>
      </c>
      <c r="C94" s="1" t="n">
        <f aca="false">IF(A94="","",IFERROR(C93*(1-B93),0))</f>
        <v>105884.833081189</v>
      </c>
      <c r="D94" s="1" t="n">
        <f aca="false">IF(A94="","",IFERROR(C94*B94,0))</f>
        <v>34268.5673783961</v>
      </c>
      <c r="E94" s="1" t="n">
        <f aca="false">IF(A94="","",IFERROR((1/(1+Inputs!$B$23))^A94,0))</f>
        <v>0.10313459891056</v>
      </c>
      <c r="F94" s="1" t="n">
        <f aca="false">IF(A94="","",IFERROR(C94*E94,0))</f>
        <v>10920.3897905401</v>
      </c>
      <c r="G94" s="1" t="n">
        <f aca="false">IF(A94="","",IFERROR(D94*(1/(1+Inputs!$B$23))^(A94+1),0))</f>
        <v>3448.07312371746</v>
      </c>
      <c r="H94" s="1" t="n">
        <f aca="false">IF(A94="","",IFERROR(IF(B94=1,F94,F94+H95),0))</f>
        <v>28594.5411904037</v>
      </c>
      <c r="I94" s="1" t="n">
        <f aca="false">IF(A94="","",IFERROR(IF(B94=1,G94,G94+I95),0))</f>
        <v>10222.9619566278</v>
      </c>
      <c r="J94" s="1" t="n">
        <f aca="false">IF(A94="","",IFERROR(H94/F94,0))</f>
        <v>2.61845426206069</v>
      </c>
      <c r="K94" s="1" t="n">
        <f aca="false">IF(A94="","",IFERROR(I94/F94,0))</f>
        <v>0.936135261900959</v>
      </c>
      <c r="L94" s="1" t="n">
        <f aca="false">IF(A94="","",IFERROR(1000*I94/H94,0))</f>
        <v>357.514460139638</v>
      </c>
      <c r="M94" s="1" t="n">
        <f aca="false">IF(A94="","",IFERROR(1000*I94/(H94-INDEX(H:H,MATCH(A94+Inputs!$B$8,$A:$A,0))),0))</f>
        <v>0</v>
      </c>
    </row>
    <row r="95" customFormat="false" ht="15" hidden="false" customHeight="false" outlineLevel="0" collapsed="false">
      <c r="A95" s="1" t="n">
        <f aca="false">IF(OR(A94="",A94&gt;=MAX(MORTALITY!$A:$A)),"",A94+1)</f>
        <v>93</v>
      </c>
      <c r="B95" s="8" t="n">
        <f aca="false">IF(A95="","",IFERROR(INDEX(MORTALITY!$B:$B,MATCH(A95,MORTALITY!$A:$A,0)),0))</f>
        <v>0.34666</v>
      </c>
      <c r="C95" s="1" t="n">
        <f aca="false">IF(A95="","",IFERROR(C94*(1-B94),0))</f>
        <v>71616.2657027931</v>
      </c>
      <c r="D95" s="1" t="n">
        <f aca="false">IF(A95="","",IFERROR(C95*B95,0))</f>
        <v>24826.4946685303</v>
      </c>
      <c r="E95" s="1" t="n">
        <f aca="false">IF(A95="","",IFERROR((1/(1+Inputs!$B$23))^A95,0))</f>
        <v>0.100619120888352</v>
      </c>
      <c r="F95" s="1" t="n">
        <f aca="false">IF(A95="","",IFERROR(C95*E95,0))</f>
        <v>7205.96569632166</v>
      </c>
      <c r="G95" s="1" t="n">
        <f aca="false">IF(A95="","",IFERROR(D95*(1/(1+Inputs!$B$23))^(A95+1),0))</f>
        <v>2437.09274954816</v>
      </c>
      <c r="H95" s="1" t="n">
        <f aca="false">IF(A95="","",IFERROR(IF(B95=1,F95,F95+H96),0))</f>
        <v>17674.1513998636</v>
      </c>
      <c r="I95" s="1" t="n">
        <f aca="false">IF(A95="","",IFERROR(IF(B95=1,G95,G95+I96),0))</f>
        <v>6774.88883291035</v>
      </c>
      <c r="J95" s="1" t="n">
        <f aca="false">IF(A95="","",IFERROR(H95/F95,0))</f>
        <v>2.4527110098353</v>
      </c>
      <c r="K95" s="1" t="n">
        <f aca="false">IF(A95="","",IFERROR(I95/F95,0))</f>
        <v>0.94017778024792</v>
      </c>
      <c r="L95" s="1" t="n">
        <f aca="false">IF(A95="","",IFERROR(1000*I95/H95,0))</f>
        <v>383.321873827709</v>
      </c>
      <c r="M95" s="1" t="n">
        <f aca="false">IF(A95="","",IFERROR(1000*I95/(H95-INDEX(H:H,MATCH(A95+Inputs!$B$8,$A:$A,0))),0))</f>
        <v>0</v>
      </c>
    </row>
    <row r="96" customFormat="false" ht="15" hidden="false" customHeight="false" outlineLevel="0" collapsed="false">
      <c r="A96" s="1" t="n">
        <f aca="false">IF(OR(A95="",A95&gt;=MAX(MORTALITY!$A:$A)),"",A95+1)</f>
        <v>94</v>
      </c>
      <c r="B96" s="8" t="n">
        <f aca="false">IF(A96="","",IFERROR(INDEX(MORTALITY!$B:$B,MATCH(A96,MORTALITY!$A:$A,0)),0))</f>
        <v>0.371</v>
      </c>
      <c r="C96" s="1" t="n">
        <f aca="false">IF(A96="","",IFERROR(C95*(1-B95),0))</f>
        <v>46789.7710342629</v>
      </c>
      <c r="D96" s="1" t="n">
        <f aca="false">IF(A96="","",IFERROR(C96*B96,0))</f>
        <v>17359.0050537115</v>
      </c>
      <c r="E96" s="1" t="n">
        <f aca="false">IF(A96="","",IFERROR((1/(1+Inputs!$B$23))^A96,0))</f>
        <v>0.0981649959886358</v>
      </c>
      <c r="F96" s="1" t="n">
        <f aca="false">IF(A96="","",IFERROR(C96*E96,0))</f>
        <v>4593.1176858876</v>
      </c>
      <c r="G96" s="1" t="n">
        <f aca="false">IF(A96="","",IFERROR(D96*(1/(1+Inputs!$B$23))^(A96+1),0))</f>
        <v>1662.48454777005</v>
      </c>
      <c r="H96" s="1" t="n">
        <f aca="false">IF(A96="","",IFERROR(IF(B96=1,F96,F96+H97),0))</f>
        <v>10468.1857035419</v>
      </c>
      <c r="I96" s="1" t="n">
        <f aca="false">IF(A96="","",IFERROR(IF(B96=1,G96,G96+I97),0))</f>
        <v>4337.79608336219</v>
      </c>
      <c r="J96" s="1" t="n">
        <f aca="false">IF(A96="","",IFERROR(H96/F96,0))</f>
        <v>2.27910243530349</v>
      </c>
      <c r="K96" s="1" t="n">
        <f aca="false">IF(A96="","",IFERROR(I96/F96,0))</f>
        <v>0.944412135724305</v>
      </c>
      <c r="L96" s="1" t="n">
        <f aca="false">IF(A96="","",IFERROR(1000*I96/H96,0))</f>
        <v>414.378977046087</v>
      </c>
      <c r="M96" s="1" t="n">
        <f aca="false">IF(A96="","",IFERROR(1000*I96/(H96-INDEX(H:H,MATCH(A96+Inputs!$B$8,$A:$A,0))),0))</f>
        <v>0</v>
      </c>
    </row>
    <row r="97" customFormat="false" ht="15" hidden="false" customHeight="false" outlineLevel="0" collapsed="false">
      <c r="A97" s="1" t="n">
        <f aca="false">IF(OR(A96="",A96&gt;=MAX(MORTALITY!$A:$A)),"",A96+1)</f>
        <v>95</v>
      </c>
      <c r="B97" s="8" t="n">
        <f aca="false">IF(A97="","",IFERROR(INDEX(MORTALITY!$B:$B,MATCH(A97,MORTALITY!$A:$A,0)),0))</f>
        <v>0.39621</v>
      </c>
      <c r="C97" s="1" t="n">
        <f aca="false">IF(A97="","",IFERROR(C96*(1-B96),0))</f>
        <v>29430.7659805513</v>
      </c>
      <c r="D97" s="1" t="n">
        <f aca="false">IF(A97="","",IFERROR(C97*B97,0))</f>
        <v>11660.7637891542</v>
      </c>
      <c r="E97" s="1" t="n">
        <f aca="false">IF(A97="","",IFERROR((1/(1+Inputs!$B$23))^A97,0))</f>
        <v>0.095770727793791</v>
      </c>
      <c r="F97" s="1" t="n">
        <f aca="false">IF(A97="","",IFERROR(C97*E97,0))</f>
        <v>2818.60587748615</v>
      </c>
      <c r="G97" s="1" t="n">
        <f aca="false">IF(A97="","",IFERROR(D97*(1/(1+Inputs!$B$23))^(A97+1),0))</f>
        <v>1089.52178996955</v>
      </c>
      <c r="H97" s="1" t="n">
        <f aca="false">IF(A97="","",IFERROR(IF(B97=1,F97,F97+H98),0))</f>
        <v>5875.06801765435</v>
      </c>
      <c r="I97" s="1" t="n">
        <f aca="false">IF(A97="","",IFERROR(IF(B97=1,G97,G97+I98),0))</f>
        <v>2675.31153559214</v>
      </c>
      <c r="J97" s="1" t="n">
        <f aca="false">IF(A97="","",IFERROR(H97/F97,0))</f>
        <v>2.08438791126562</v>
      </c>
      <c r="K97" s="1" t="n">
        <f aca="false">IF(A97="","",IFERROR(I97/F97,0))</f>
        <v>0.949161270456937</v>
      </c>
      <c r="L97" s="1" t="n">
        <f aca="false">IF(A97="","",IFERROR(1000*I97/H97,0))</f>
        <v>455.366904272927</v>
      </c>
      <c r="M97" s="1" t="n">
        <f aca="false">IF(A97="","",IFERROR(1000*I97/(H97-INDEX(H:H,MATCH(A97+Inputs!$B$8,$A:$A,0))),0))</f>
        <v>0</v>
      </c>
    </row>
    <row r="98" customFormat="false" ht="15" hidden="false" customHeight="false" outlineLevel="0" collapsed="false">
      <c r="A98" s="1" t="n">
        <f aca="false">IF(OR(A97="",A97&gt;=MAX(MORTALITY!$A:$A)),"",A97+1)</f>
        <v>96</v>
      </c>
      <c r="B98" s="8" t="n">
        <f aca="false">IF(A98="","",IFERROR(INDEX(MORTALITY!$B:$B,MATCH(A98,MORTALITY!$A:$A,0)),0))</f>
        <v>0.44719</v>
      </c>
      <c r="C98" s="1" t="n">
        <f aca="false">IF(A98="","",IFERROR(C97*(1-B97),0))</f>
        <v>17770.0021913971</v>
      </c>
      <c r="D98" s="1" t="n">
        <f aca="false">IF(A98="","",IFERROR(C98*B98,0))</f>
        <v>7946.56727997087</v>
      </c>
      <c r="E98" s="1" t="n">
        <f aca="false">IF(A98="","",IFERROR((1/(1+Inputs!$B$23))^A98,0))</f>
        <v>0.0934348563841864</v>
      </c>
      <c r="F98" s="1" t="n">
        <f aca="false">IF(A98="","",IFERROR(C98*E98,0))</f>
        <v>1660.33760269987</v>
      </c>
      <c r="G98" s="1" t="n">
        <f aca="false">IF(A98="","",IFERROR(D98*(1/(1+Inputs!$B$23))^(A98+1),0))</f>
        <v>724.376948830588</v>
      </c>
      <c r="H98" s="1" t="n">
        <f aca="false">IF(A98="","",IFERROR(IF(B98=1,F98,F98+H99),0))</f>
        <v>3056.4621401682</v>
      </c>
      <c r="I98" s="1" t="n">
        <f aca="false">IF(A98="","",IFERROR(IF(B98=1,G98,G98+I99),0))</f>
        <v>1585.78974562259</v>
      </c>
      <c r="J98" s="1" t="n">
        <f aca="false">IF(A98="","",IFERROR(H98/F98,0))</f>
        <v>1.8408678663894</v>
      </c>
      <c r="K98" s="1" t="n">
        <f aca="false">IF(A98="","",IFERROR(I98/F98,0))</f>
        <v>0.9551007837466</v>
      </c>
      <c r="L98" s="1" t="n">
        <f aca="false">IF(A98="","",IFERROR(1000*I98/H98,0))</f>
        <v>518.831797319539</v>
      </c>
      <c r="M98" s="1" t="n">
        <f aca="false">IF(A98="","",IFERROR(1000*I98/(H98-INDEX(H:H,MATCH(A98+Inputs!$B$8,$A:$A,0))),0))</f>
        <v>0</v>
      </c>
    </row>
    <row r="99" customFormat="false" ht="15" hidden="false" customHeight="false" outlineLevel="0" collapsed="false">
      <c r="A99" s="1" t="n">
        <f aca="false">IF(OR(A98="",A98&gt;=MAX(MORTALITY!$A:$A)),"",A98+1)</f>
        <v>97</v>
      </c>
      <c r="B99" s="8" t="n">
        <f aca="false">IF(A99="","",IFERROR(INDEX(MORTALITY!$B:$B,MATCH(A99,MORTALITY!$A:$A,0)),0))</f>
        <v>0.54826</v>
      </c>
      <c r="C99" s="1" t="n">
        <f aca="false">IF(A99="","",IFERROR(C98*(1-B98),0))</f>
        <v>9823.43491142623</v>
      </c>
      <c r="D99" s="1" t="n">
        <f aca="false">IF(A99="","",IFERROR(C99*B99,0))</f>
        <v>5385.79642453855</v>
      </c>
      <c r="E99" s="1" t="n">
        <f aca="false">IF(A99="","",IFERROR((1/(1+Inputs!$B$23))^A99,0))</f>
        <v>0.0911559574479867</v>
      </c>
      <c r="F99" s="1" t="n">
        <f aca="false">IF(A99="","",IFERROR(C99*E99,0))</f>
        <v>895.464614779037</v>
      </c>
      <c r="G99" s="1" t="n">
        <f aca="false">IF(A99="","",IFERROR(D99*(1/(1+Inputs!$B$23))^(A99+1),0))</f>
        <v>478.973102145127</v>
      </c>
      <c r="H99" s="1" t="n">
        <f aca="false">IF(A99="","",IFERROR(IF(B99=1,F99,F99+H100),0))</f>
        <v>1396.12453746833</v>
      </c>
      <c r="I99" s="1" t="n">
        <f aca="false">IF(A99="","",IFERROR(IF(B99=1,G99,G99+I100),0))</f>
        <v>861.412796792004</v>
      </c>
      <c r="J99" s="1" t="n">
        <f aca="false">IF(A99="","",IFERROR(H99/F99,0))</f>
        <v>1.5591063169066</v>
      </c>
      <c r="K99" s="1" t="n">
        <f aca="false">IF(A99="","",IFERROR(I99/F99,0))</f>
        <v>0.961973016660815</v>
      </c>
      <c r="L99" s="1" t="n">
        <f aca="false">IF(A99="","",IFERROR(1000*I99/H99,0))</f>
        <v>617.002834399035</v>
      </c>
      <c r="M99" s="1" t="n">
        <f aca="false">IF(A99="","",IFERROR(1000*I99/(H99-INDEX(H:H,MATCH(A99+Inputs!$B$8,$A:$A,0))),0))</f>
        <v>0</v>
      </c>
    </row>
    <row r="100" customFormat="false" ht="15" hidden="false" customHeight="false" outlineLevel="0" collapsed="false">
      <c r="A100" s="1" t="n">
        <f aca="false">IF(OR(A99="",A99&gt;=MAX(MORTALITY!$A:$A)),"",A99+1)</f>
        <v>98</v>
      </c>
      <c r="B100" s="8" t="n">
        <f aca="false">IF(A100="","",IFERROR(INDEX(MORTALITY!$B:$B,MATCH(A100,MORTALITY!$A:$A,0)),0))</f>
        <v>0.72467</v>
      </c>
      <c r="C100" s="1" t="n">
        <f aca="false">IF(A100="","",IFERROR(C99*(1-B99),0))</f>
        <v>4437.63848688769</v>
      </c>
      <c r="D100" s="1" t="n">
        <f aca="false">IF(A100="","",IFERROR(C100*B100,0))</f>
        <v>3215.8234822929</v>
      </c>
      <c r="E100" s="1" t="n">
        <f aca="false">IF(A100="","",IFERROR((1/(1+Inputs!$B$23))^A100,0))</f>
        <v>0.08893264141267</v>
      </c>
      <c r="F100" s="1" t="n">
        <f aca="false">IF(A100="","",IFERROR(C100*E100,0))</f>
        <v>394.650912273446</v>
      </c>
      <c r="G100" s="1" t="n">
        <f aca="false">IF(A100="","",IFERROR(D100*(1/(1+Inputs!$B$23))^(A100+1),0))</f>
        <v>279.016269850925</v>
      </c>
      <c r="H100" s="1" t="n">
        <f aca="false">IF(A100="","",IFERROR(IF(B100=1,F100,F100+H101),0))</f>
        <v>500.659922689297</v>
      </c>
      <c r="I100" s="1" t="n">
        <f aca="false">IF(A100="","",IFERROR(IF(B100=1,G100,G100+I101),0))</f>
        <v>382.439694646878</v>
      </c>
      <c r="J100" s="1" t="n">
        <f aca="false">IF(A100="","",IFERROR(H100/F100,0))</f>
        <v>1.26861463414634</v>
      </c>
      <c r="K100" s="1" t="n">
        <f aca="false">IF(A100="","",IFERROR(I100/F100,0))</f>
        <v>0.969058179654967</v>
      </c>
      <c r="L100" s="1" t="n">
        <f aca="false">IF(A100="","",IFERROR(1000*I100/H100,0))</f>
        <v>763.871197423994</v>
      </c>
      <c r="M100" s="1" t="n">
        <f aca="false">IF(A100="","",IFERROR(1000*I100/(H100-INDEX(H:H,MATCH(A100+Inputs!$B$8,$A:$A,0))),0))</f>
        <v>0</v>
      </c>
    </row>
    <row r="101" customFormat="false" ht="15" hidden="false" customHeight="false" outlineLevel="0" collapsed="false">
      <c r="A101" s="1" t="n">
        <f aca="false">IF(OR(A100="",A100&gt;=MAX(MORTALITY!$A:$A)),"",A100+1)</f>
        <v>99</v>
      </c>
      <c r="B101" s="8" t="n">
        <f aca="false">IF(A101="","",IFERROR(INDEX(MORTALITY!$B:$B,MATCH(A101,MORTALITY!$A:$A,0)),0))</f>
        <v>1</v>
      </c>
      <c r="C101" s="1" t="n">
        <f aca="false">IF(A101="","",IFERROR(C100*(1-B100),0))</f>
        <v>1221.81500459479</v>
      </c>
      <c r="D101" s="1" t="n">
        <f aca="false">IF(A101="","",IFERROR(C101*B101,0))</f>
        <v>1221.81500459479</v>
      </c>
      <c r="E101" s="1" t="n">
        <f aca="false">IF(A101="","",IFERROR((1/(1+Inputs!$B$23))^A101,0))</f>
        <v>0.0867635525977268</v>
      </c>
      <c r="F101" s="1" t="n">
        <f aca="false">IF(A101="","",IFERROR(C101*E101,0))</f>
        <v>106.009010415852</v>
      </c>
      <c r="G101" s="1" t="n">
        <f aca="false">IF(A101="","",IFERROR(D101*(1/(1+Inputs!$B$23))^(A101+1),0))</f>
        <v>103.423424795953</v>
      </c>
      <c r="H101" s="1" t="n">
        <f aca="false">IF(A101="","",IFERROR(IF(B101=1,F101,F101+H102),0))</f>
        <v>106.009010415852</v>
      </c>
      <c r="I101" s="1" t="n">
        <f aca="false">IF(A101="","",IFERROR(IF(B101=1,G101,G101+I102),0))</f>
        <v>103.423424795953</v>
      </c>
      <c r="J101" s="1" t="n">
        <f aca="false">IF(A101="","",IFERROR(H101/F101,0))</f>
        <v>1</v>
      </c>
      <c r="K101" s="1" t="n">
        <f aca="false">IF(A101="","",IFERROR(I101/F101,0))</f>
        <v>0.975609756097561</v>
      </c>
      <c r="L101" s="1" t="n">
        <f aca="false">IF(A101="","",IFERROR(1000*I101/H101,0))</f>
        <v>975.609756097561</v>
      </c>
      <c r="M101" s="1" t="n">
        <f aca="false">IF(A101="","",IFERROR(1000*I101/(H101-INDEX(H:H,MATCH(A101+Inputs!$B$8,$A:$A,0))),0))</f>
        <v>0</v>
      </c>
    </row>
    <row r="102" customFormat="false" ht="15" hidden="false" customHeight="false" outlineLevel="0" collapsed="false">
      <c r="A102" s="1" t="str">
        <f aca="false">IF(OR(A101="",A101&gt;=MAX(MORTALITY!$A:$A)),"",A101+1)</f>
        <v/>
      </c>
      <c r="B102" s="8" t="str">
        <f aca="false">IF(A102="","",IFERROR(INDEX(MORTALITY!$B:$B,MATCH(A102,MORTALITY!$A:$A,0)),0))</f>
        <v/>
      </c>
      <c r="C102" s="1" t="str">
        <f aca="false">IF(A102="","",IFERROR(C101*(1-B101),0))</f>
        <v/>
      </c>
      <c r="D102" s="1" t="str">
        <f aca="false">IF(A102="","",IFERROR(C102*B102,0))</f>
        <v/>
      </c>
      <c r="E102" s="1" t="str">
        <f aca="false">IF(A102="","",IFERROR((1/(1+Inputs!$B$23))^A102,0))</f>
        <v/>
      </c>
      <c r="F102" s="1" t="str">
        <f aca="false">IF(A102="","",IFERROR(C102*E102,0))</f>
        <v/>
      </c>
      <c r="G102" s="1" t="str">
        <f aca="false">IF(A102="","",IFERROR(D102*(1/(1+Inputs!$B$23))^(A102+1),0))</f>
        <v/>
      </c>
      <c r="H102" s="1" t="str">
        <f aca="false">IF(A102="","",IFERROR(IF(B102=1,F102,F102+H103),0))</f>
        <v/>
      </c>
      <c r="I102" s="1" t="str">
        <f aca="false">IF(A102="","",IFERROR(IF(B102=1,G102,G102+I103),0))</f>
        <v/>
      </c>
      <c r="J102" s="1" t="str">
        <f aca="false">IF(A102="","",IFERROR(H102/F102,0))</f>
        <v/>
      </c>
      <c r="K102" s="1" t="str">
        <f aca="false">IF(A102="","",IFERROR(I102/F102,0))</f>
        <v/>
      </c>
      <c r="L102" s="1" t="str">
        <f aca="false">IF(A102="","",IFERROR(1000*I102/H102,0))</f>
        <v/>
      </c>
      <c r="M102" s="1" t="str">
        <f aca="false">IF(A102="","",IFERROR(1000*I102/(H102-INDEX(H:H,MATCH(A102+Inputs!$B$8,$A:$A,0))),0))</f>
        <v/>
      </c>
    </row>
    <row r="103" customFormat="false" ht="15" hidden="false" customHeight="false" outlineLevel="0" collapsed="false">
      <c r="A103" s="1" t="str">
        <f aca="false">IF(OR(A102="",A102&gt;=MAX(MORTALITY!$A:$A)),"",A102+1)</f>
        <v/>
      </c>
      <c r="B103" s="8" t="str">
        <f aca="false">IF(A103="","",IFERROR(INDEX(MORTALITY!$B:$B,MATCH(A103,MORTALITY!$A:$A,0)),0))</f>
        <v/>
      </c>
      <c r="C103" s="1" t="str">
        <f aca="false">IF(A103="","",IFERROR(C102*(1-B102),0))</f>
        <v/>
      </c>
      <c r="D103" s="1" t="str">
        <f aca="false">IF(A103="","",IFERROR(C103*B103,0))</f>
        <v/>
      </c>
      <c r="E103" s="1" t="str">
        <f aca="false">IF(A103="","",IFERROR((1/(1+Inputs!$B$23))^A103,0))</f>
        <v/>
      </c>
      <c r="F103" s="1" t="str">
        <f aca="false">IF(A103="","",IFERROR(C103*E103,0))</f>
        <v/>
      </c>
      <c r="G103" s="1" t="str">
        <f aca="false">IF(A103="","",IFERROR(D103*(1/(1+Inputs!$B$23))^(A103+1),0))</f>
        <v/>
      </c>
      <c r="H103" s="1" t="str">
        <f aca="false">IF(A103="","",IFERROR(IF(B103=1,F103,F103+H104),0))</f>
        <v/>
      </c>
      <c r="I103" s="1" t="str">
        <f aca="false">IF(A103="","",IFERROR(IF(B103=1,G103,G103+I104),0))</f>
        <v/>
      </c>
      <c r="J103" s="1" t="str">
        <f aca="false">IF(A103="","",IFERROR(H103/F103,0))</f>
        <v/>
      </c>
      <c r="K103" s="1" t="str">
        <f aca="false">IF(A103="","",IFERROR(I103/F103,0))</f>
        <v/>
      </c>
      <c r="L103" s="1" t="str">
        <f aca="false">IF(A103="","",IFERROR(1000*I103/H103,0))</f>
        <v/>
      </c>
      <c r="M103" s="1" t="str">
        <f aca="false">IF(A103="","",IFERROR(1000*I103/(H103-INDEX(H:H,MATCH(A103+Inputs!$B$8,$A:$A,0))),0))</f>
        <v/>
      </c>
    </row>
    <row r="104" customFormat="false" ht="15" hidden="false" customHeight="false" outlineLevel="0" collapsed="false">
      <c r="A104" s="1" t="str">
        <f aca="false">IF(OR(A103="",A103&gt;=MAX(MORTALITY!$A:$A)),"",A103+1)</f>
        <v/>
      </c>
      <c r="B104" s="8" t="str">
        <f aca="false">IF(A104="","",IFERROR(INDEX(MORTALITY!$B:$B,MATCH(A104,MORTALITY!$A:$A,0)),0))</f>
        <v/>
      </c>
      <c r="C104" s="1" t="str">
        <f aca="false">IF(A104="","",IFERROR(C103*(1-B103),0))</f>
        <v/>
      </c>
      <c r="D104" s="1" t="str">
        <f aca="false">IF(A104="","",IFERROR(C104*B104,0))</f>
        <v/>
      </c>
      <c r="E104" s="1" t="str">
        <f aca="false">IF(A104="","",IFERROR((1/(1+Inputs!$B$23))^A104,0))</f>
        <v/>
      </c>
      <c r="F104" s="1" t="str">
        <f aca="false">IF(A104="","",IFERROR(C104*E104,0))</f>
        <v/>
      </c>
      <c r="G104" s="1" t="str">
        <f aca="false">IF(A104="","",IFERROR(D104*(1/(1+Inputs!$B$23))^(A104+1),0))</f>
        <v/>
      </c>
      <c r="H104" s="1" t="str">
        <f aca="false">IF(A104="","",IFERROR(IF(B104=1,F104,F104+H105),0))</f>
        <v/>
      </c>
      <c r="I104" s="1" t="str">
        <f aca="false">IF(A104="","",IFERROR(IF(B104=1,G104,G104+I105),0))</f>
        <v/>
      </c>
      <c r="J104" s="1" t="str">
        <f aca="false">IF(A104="","",IFERROR(H104/F104,0))</f>
        <v/>
      </c>
      <c r="K104" s="1" t="str">
        <f aca="false">IF(A104="","",IFERROR(I104/F104,0))</f>
        <v/>
      </c>
      <c r="L104" s="1" t="str">
        <f aca="false">IF(A104="","",IFERROR(1000*I104/H104,0))</f>
        <v/>
      </c>
      <c r="M104" s="1" t="str">
        <f aca="false">IF(A104="","",IFERROR(1000*I104/(H104-INDEX(H:H,MATCH(A104+Inputs!$B$8,$A:$A,0))),0))</f>
        <v/>
      </c>
    </row>
    <row r="105" customFormat="false" ht="15" hidden="false" customHeight="false" outlineLevel="0" collapsed="false">
      <c r="A105" s="1" t="str">
        <f aca="false">IF(OR(A104="",A104&gt;=MAX(MORTALITY!$A:$A)),"",A104+1)</f>
        <v/>
      </c>
      <c r="B105" s="8" t="str">
        <f aca="false">IF(A105="","",IFERROR(INDEX(MORTALITY!$B:$B,MATCH(A105,MORTALITY!$A:$A,0)),0))</f>
        <v/>
      </c>
      <c r="C105" s="1" t="str">
        <f aca="false">IF(A105="","",IFERROR(C104*(1-B104),0))</f>
        <v/>
      </c>
      <c r="D105" s="1" t="str">
        <f aca="false">IF(A105="","",IFERROR(C105*B105,0))</f>
        <v/>
      </c>
      <c r="E105" s="1" t="str">
        <f aca="false">IF(A105="","",IFERROR((1/(1+Inputs!$B$23))^A105,0))</f>
        <v/>
      </c>
      <c r="F105" s="1" t="str">
        <f aca="false">IF(A105="","",IFERROR(C105*E105,0))</f>
        <v/>
      </c>
      <c r="G105" s="1" t="str">
        <f aca="false">IF(A105="","",IFERROR(D105*(1/(1+Inputs!$B$23))^(A105+1),0))</f>
        <v/>
      </c>
      <c r="H105" s="1" t="str">
        <f aca="false">IF(A105="","",IFERROR(IF(B105=1,F105,F105+H106),0))</f>
        <v/>
      </c>
      <c r="I105" s="1" t="str">
        <f aca="false">IF(A105="","",IFERROR(IF(B105=1,G105,G105+I106),0))</f>
        <v/>
      </c>
      <c r="J105" s="1" t="str">
        <f aca="false">IF(A105="","",IFERROR(H105/F105,0))</f>
        <v/>
      </c>
      <c r="K105" s="1" t="str">
        <f aca="false">IF(A105="","",IFERROR(I105/F105,0))</f>
        <v/>
      </c>
      <c r="L105" s="1" t="str">
        <f aca="false">IF(A105="","",IFERROR(1000*I105/H105,0))</f>
        <v/>
      </c>
      <c r="M105" s="1" t="str">
        <f aca="false">IF(A105="","",IFERROR(1000*I105/(H105-INDEX(H:H,MATCH(A105+Inputs!$B$8,$A:$A,0))),0))</f>
        <v/>
      </c>
    </row>
    <row r="106" customFormat="false" ht="15" hidden="false" customHeight="false" outlineLevel="0" collapsed="false">
      <c r="A106" s="1" t="str">
        <f aca="false">IF(OR(A105="",A105&gt;=MAX(MORTALITY!$A:$A)),"",A105+1)</f>
        <v/>
      </c>
      <c r="B106" s="8" t="str">
        <f aca="false">IF(A106="","",IFERROR(INDEX(MORTALITY!$B:$B,MATCH(A106,MORTALITY!$A:$A,0)),0))</f>
        <v/>
      </c>
      <c r="C106" s="1" t="str">
        <f aca="false">IF(A106="","",IFERROR(C105*(1-B105),0))</f>
        <v/>
      </c>
      <c r="D106" s="1" t="str">
        <f aca="false">IF(A106="","",IFERROR(C106*B106,0))</f>
        <v/>
      </c>
      <c r="E106" s="1" t="str">
        <f aca="false">IF(A106="","",IFERROR((1/(1+Inputs!$B$23))^A106,0))</f>
        <v/>
      </c>
      <c r="F106" s="1" t="str">
        <f aca="false">IF(A106="","",IFERROR(C106*E106,0))</f>
        <v/>
      </c>
      <c r="G106" s="1" t="str">
        <f aca="false">IF(A106="","",IFERROR(D106*(1/(1+Inputs!$B$23))^(A106+1),0))</f>
        <v/>
      </c>
      <c r="H106" s="1" t="str">
        <f aca="false">IF(A106="","",IFERROR(IF(B106=1,F106,F106+H107),0))</f>
        <v/>
      </c>
      <c r="I106" s="1" t="str">
        <f aca="false">IF(A106="","",IFERROR(IF(B106=1,G106,G106+I107),0))</f>
        <v/>
      </c>
      <c r="J106" s="1" t="str">
        <f aca="false">IF(A106="","",IFERROR(H106/F106,0))</f>
        <v/>
      </c>
      <c r="K106" s="1" t="str">
        <f aca="false">IF(A106="","",IFERROR(I106/F106,0))</f>
        <v/>
      </c>
      <c r="L106" s="1" t="str">
        <f aca="false">IF(A106="","",IFERROR(1000*I106/H106,0))</f>
        <v/>
      </c>
      <c r="M106" s="1" t="str">
        <f aca="false">IF(A106="","",IFERROR(1000*I106/(H106-INDEX(H:H,MATCH(A106+Inputs!$B$8,$A:$A,0))),0))</f>
        <v/>
      </c>
    </row>
    <row r="107" customFormat="false" ht="15" hidden="false" customHeight="false" outlineLevel="0" collapsed="false">
      <c r="A107" s="1" t="str">
        <f aca="false">IF(OR(A106="",A106&gt;=MAX(MORTALITY!$A:$A)),"",A106+1)</f>
        <v/>
      </c>
      <c r="B107" s="8" t="str">
        <f aca="false">IF(A107="","",IFERROR(INDEX(MORTALITY!$B:$B,MATCH(A107,MORTALITY!$A:$A,0)),0))</f>
        <v/>
      </c>
      <c r="C107" s="1" t="str">
        <f aca="false">IF(A107="","",IFERROR(C106*(1-B106),0))</f>
        <v/>
      </c>
      <c r="D107" s="1" t="str">
        <f aca="false">IF(A107="","",IFERROR(C107*B107,0))</f>
        <v/>
      </c>
      <c r="E107" s="1" t="str">
        <f aca="false">IF(A107="","",IFERROR((1/(1+Inputs!$B$23))^A107,0))</f>
        <v/>
      </c>
      <c r="F107" s="1" t="str">
        <f aca="false">IF(A107="","",IFERROR(C107*E107,0))</f>
        <v/>
      </c>
      <c r="G107" s="1" t="str">
        <f aca="false">IF(A107="","",IFERROR(D107*(1/(1+Inputs!$B$23))^(A107+1),0))</f>
        <v/>
      </c>
      <c r="H107" s="1" t="str">
        <f aca="false">IF(A107="","",IFERROR(IF(B107=1,F107,F107+H108),0))</f>
        <v/>
      </c>
      <c r="I107" s="1" t="str">
        <f aca="false">IF(A107="","",IFERROR(IF(B107=1,G107,G107+I108),0))</f>
        <v/>
      </c>
      <c r="J107" s="1" t="str">
        <f aca="false">IF(A107="","",IFERROR(H107/F107,0))</f>
        <v/>
      </c>
      <c r="K107" s="1" t="str">
        <f aca="false">IF(A107="","",IFERROR(I107/F107,0))</f>
        <v/>
      </c>
      <c r="L107" s="1" t="str">
        <f aca="false">IF(A107="","",IFERROR(1000*I107/H107,0))</f>
        <v/>
      </c>
      <c r="M107" s="1" t="str">
        <f aca="false">IF(A107="","",IFERROR(1000*I107/(H107-INDEX(H:H,MATCH(A107+Inputs!$B$8,$A:$A,0))),0))</f>
        <v/>
      </c>
    </row>
    <row r="108" customFormat="false" ht="15" hidden="false" customHeight="false" outlineLevel="0" collapsed="false">
      <c r="A108" s="1" t="str">
        <f aca="false">IF(OR(A107="",A107&gt;=MAX(MORTALITY!$A:$A)),"",A107+1)</f>
        <v/>
      </c>
      <c r="B108" s="8" t="str">
        <f aca="false">IF(A108="","",IFERROR(INDEX(MORTALITY!$B:$B,MATCH(A108,MORTALITY!$A:$A,0)),0))</f>
        <v/>
      </c>
      <c r="C108" s="1" t="str">
        <f aca="false">IF(A108="","",IFERROR(C107*(1-B107),0))</f>
        <v/>
      </c>
      <c r="D108" s="1" t="str">
        <f aca="false">IF(A108="","",IFERROR(C108*B108,0))</f>
        <v/>
      </c>
      <c r="E108" s="1" t="str">
        <f aca="false">IF(A108="","",IFERROR((1/(1+Inputs!$B$23))^A108,0))</f>
        <v/>
      </c>
      <c r="F108" s="1" t="str">
        <f aca="false">IF(A108="","",IFERROR(C108*E108,0))</f>
        <v/>
      </c>
      <c r="G108" s="1" t="str">
        <f aca="false">IF(A108="","",IFERROR(D108*(1/(1+Inputs!$B$23))^(A108+1),0))</f>
        <v/>
      </c>
      <c r="H108" s="1" t="str">
        <f aca="false">IF(A108="","",IFERROR(IF(B108=1,F108,F108+H109),0))</f>
        <v/>
      </c>
      <c r="I108" s="1" t="str">
        <f aca="false">IF(A108="","",IFERROR(IF(B108=1,G108,G108+I109),0))</f>
        <v/>
      </c>
      <c r="J108" s="1" t="str">
        <f aca="false">IF(A108="","",IFERROR(H108/F108,0))</f>
        <v/>
      </c>
      <c r="K108" s="1" t="str">
        <f aca="false">IF(A108="","",IFERROR(I108/F108,0))</f>
        <v/>
      </c>
      <c r="L108" s="1" t="str">
        <f aca="false">IF(A108="","",IFERROR(1000*I108/H108,0))</f>
        <v/>
      </c>
      <c r="M108" s="1" t="str">
        <f aca="false">IF(A108="","",IFERROR(1000*I108/(H108-INDEX(H:H,MATCH(A108+Inputs!$B$8,$A:$A,0))),0))</f>
        <v/>
      </c>
    </row>
    <row r="109" customFormat="false" ht="15" hidden="false" customHeight="false" outlineLevel="0" collapsed="false">
      <c r="A109" s="1" t="str">
        <f aca="false">IF(OR(A108="",A108&gt;=MAX(MORTALITY!$A:$A)),"",A108+1)</f>
        <v/>
      </c>
      <c r="B109" s="8" t="str">
        <f aca="false">IF(A109="","",IFERROR(INDEX(MORTALITY!$B:$B,MATCH(A109,MORTALITY!$A:$A,0)),0))</f>
        <v/>
      </c>
      <c r="C109" s="1" t="str">
        <f aca="false">IF(A109="","",IFERROR(C108*(1-B108),0))</f>
        <v/>
      </c>
      <c r="D109" s="1" t="str">
        <f aca="false">IF(A109="","",IFERROR(C109*B109,0))</f>
        <v/>
      </c>
      <c r="E109" s="1" t="str">
        <f aca="false">IF(A109="","",IFERROR((1/(1+Inputs!$B$23))^A109,0))</f>
        <v/>
      </c>
      <c r="F109" s="1" t="str">
        <f aca="false">IF(A109="","",IFERROR(C109*E109,0))</f>
        <v/>
      </c>
      <c r="G109" s="1" t="str">
        <f aca="false">IF(A109="","",IFERROR(D109*(1/(1+Inputs!$B$23))^(A109+1),0))</f>
        <v/>
      </c>
      <c r="H109" s="1" t="str">
        <f aca="false">IF(A109="","",IFERROR(IF(B109=1,F109,F109+H110),0))</f>
        <v/>
      </c>
      <c r="I109" s="1" t="str">
        <f aca="false">IF(A109="","",IFERROR(IF(B109=1,G109,G109+I110),0))</f>
        <v/>
      </c>
      <c r="J109" s="1" t="str">
        <f aca="false">IF(A109="","",IFERROR(H109/F109,0))</f>
        <v/>
      </c>
      <c r="K109" s="1" t="str">
        <f aca="false">IF(A109="","",IFERROR(I109/F109,0))</f>
        <v/>
      </c>
      <c r="L109" s="1" t="str">
        <f aca="false">IF(A109="","",IFERROR(1000*I109/H109,0))</f>
        <v/>
      </c>
      <c r="M109" s="1" t="str">
        <f aca="false">IF(A109="","",IFERROR(1000*I109/(H109-INDEX(H:H,MATCH(A109+Inputs!$B$8,$A:$A,0))),0))</f>
        <v/>
      </c>
    </row>
    <row r="110" customFormat="false" ht="15" hidden="false" customHeight="false" outlineLevel="0" collapsed="false">
      <c r="A110" s="1" t="str">
        <f aca="false">IF(OR(A109="",A109&gt;=MAX(MORTALITY!$A:$A)),"",A109+1)</f>
        <v/>
      </c>
      <c r="B110" s="8" t="str">
        <f aca="false">IF(A110="","",IFERROR(INDEX(MORTALITY!$B:$B,MATCH(A110,MORTALITY!$A:$A,0)),0))</f>
        <v/>
      </c>
      <c r="C110" s="1" t="str">
        <f aca="false">IF(A110="","",IFERROR(C109*(1-B109),0))</f>
        <v/>
      </c>
      <c r="D110" s="1" t="str">
        <f aca="false">IF(A110="","",IFERROR(C110*B110,0))</f>
        <v/>
      </c>
      <c r="E110" s="1" t="str">
        <f aca="false">IF(A110="","",IFERROR((1/(1+Inputs!$B$23))^A110,0))</f>
        <v/>
      </c>
      <c r="F110" s="1" t="str">
        <f aca="false">IF(A110="","",IFERROR(C110*E110,0))</f>
        <v/>
      </c>
      <c r="G110" s="1" t="str">
        <f aca="false">IF(A110="","",IFERROR(D110*(1/(1+Inputs!$B$23))^(A110+1),0))</f>
        <v/>
      </c>
      <c r="H110" s="1" t="str">
        <f aca="false">IF(A110="","",IFERROR(IF(B110=1,F110,F110+H111),0))</f>
        <v/>
      </c>
      <c r="I110" s="1" t="str">
        <f aca="false">IF(A110="","",IFERROR(IF(B110=1,G110,G110+I111),0))</f>
        <v/>
      </c>
      <c r="J110" s="1" t="str">
        <f aca="false">IF(A110="","",IFERROR(H110/F110,0))</f>
        <v/>
      </c>
      <c r="K110" s="1" t="str">
        <f aca="false">IF(A110="","",IFERROR(I110/F110,0))</f>
        <v/>
      </c>
      <c r="L110" s="1" t="str">
        <f aca="false">IF(A110="","",IFERROR(1000*I110/H110,0))</f>
        <v/>
      </c>
      <c r="M110" s="1" t="str">
        <f aca="false">IF(A110="","",IFERROR(1000*I110/(H110-INDEX(H:H,MATCH(A110+Inputs!$B$8,$A:$A,0))),0))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45"/>
    <col collapsed="false" customWidth="true" hidden="false" outlineLevel="0" max="3" min="3" style="1" width="13.45"/>
    <col collapsed="false" customWidth="true" hidden="false" outlineLevel="0" max="4" min="4" style="1" width="12.45"/>
    <col collapsed="false" customWidth="true" hidden="false" outlineLevel="0" max="7" min="7" style="1" width="11.54"/>
    <col collapsed="false" customWidth="true" hidden="false" outlineLevel="0" max="8" min="8" style="1" width="15"/>
    <col collapsed="false" customWidth="true" hidden="false" outlineLevel="0" max="9" min="9" style="1" width="12.36"/>
    <col collapsed="false" customWidth="true" hidden="false" outlineLevel="0" max="10" min="10" style="1" width="10.45"/>
  </cols>
  <sheetData>
    <row r="1" customFormat="false" ht="15" hidden="false" customHeight="false" outlineLevel="0" collapsed="false">
      <c r="A1" s="1" t="s">
        <v>115</v>
      </c>
      <c r="B1" s="1" t="s">
        <v>40</v>
      </c>
      <c r="C1" s="1" t="s">
        <v>98</v>
      </c>
      <c r="D1" s="10" t="s">
        <v>116</v>
      </c>
      <c r="E1" s="1" t="s">
        <v>103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</row>
    <row r="2" customFormat="false" ht="15" hidden="false" customHeight="false" outlineLevel="0" collapsed="false">
      <c r="A2" s="1" t="n">
        <f aca="false">IF(D2&gt;100,"",Inputs!$B$4)</f>
        <v>34</v>
      </c>
      <c r="B2" s="1" t="n">
        <f aca="false">IF(D2&gt;100,"",Inputs!$B$7)</f>
        <v>16</v>
      </c>
      <c r="C2" s="1" t="n">
        <v>0</v>
      </c>
      <c r="D2" s="6" t="n">
        <f aca="false">IFERROR(IF(Inputs!$B$7+C2&gt;=100,"",Inputs!$B$7+C2),"")</f>
        <v>16</v>
      </c>
      <c r="E2" s="8" t="n">
        <f aca="false">IF(D2="","",INDEX(MORTALITY!$B:$B,MATCH(D2,MORTALITY!$A:$A,0)))</f>
        <v>0.00219</v>
      </c>
      <c r="F2" s="8" t="n">
        <f aca="false">IF(D2="","",1-E2)</f>
        <v>0.99781</v>
      </c>
      <c r="G2" s="5" t="n">
        <f aca="false">IF(D2="","",Inputs!$B$23)</f>
        <v>0.025</v>
      </c>
      <c r="H2" s="1" t="n">
        <f aca="false">IF(D2="","",INDEX(Commutation!$L:$L,MATCH(Inputs!$B$7,Commutation!$A:$A,0)))</f>
        <v>11.0901711225671</v>
      </c>
      <c r="I2" s="1" t="n">
        <v>0</v>
      </c>
      <c r="J2" s="1" t="n">
        <f aca="false">IF(D2&gt;99,"",IF(E2=1,1000,MIN(1000,MAX(0,(INDEX(Commutation!$K:$K,MATCH(D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,Commutation!$A:$A,0))-INDEX(Commutation!$H:$H,MATCH(Inputs!$B$8,Commutation!$A:$A,0)))/INDEX(Commutation!$F:$F,MATCH(D3,Commutation!$A:$A,0))))*1000))))</f>
        <v>25.0036675961215</v>
      </c>
      <c r="K2" s="1" t="n">
        <f aca="false">J2</f>
        <v>25.0036675961215</v>
      </c>
      <c r="M2" s="1" t="n">
        <f aca="false">IF(A2="","",IF(E2=1,1000,IFERROR(((I2+IF(C2&lt;=Inputs!$B$8,$H$2,0))*(1+G2)-E2*1000)/F2,0)))</f>
        <v>9.19756807471494</v>
      </c>
    </row>
    <row r="3" customFormat="false" ht="15" hidden="false" customHeight="false" outlineLevel="0" collapsed="false">
      <c r="A3" s="1" t="n">
        <f aca="false">IF(D3&gt;100,"",Inputs!$B$4)</f>
        <v>34</v>
      </c>
      <c r="B3" s="1" t="n">
        <f aca="false">IF(D3&gt;100,"",Inputs!$B$7)</f>
        <v>16</v>
      </c>
      <c r="C3" s="1" t="n">
        <f aca="false">IFERROR(IF(Inputs!$B$7+C2+1&gt;=100,"",C2+1),"")</f>
        <v>1</v>
      </c>
      <c r="D3" s="6" t="n">
        <f aca="false">IFERROR(IF(Inputs!$B$7+C3&gt;=100,"",Inputs!$B$7+C3),"")</f>
        <v>17</v>
      </c>
      <c r="E3" s="8" t="n">
        <f aca="false">IF(D3="","",INDEX(MORTALITY!$B:$B,MATCH(D3,MORTALITY!$A:$A,0)))</f>
        <v>0.00225</v>
      </c>
      <c r="F3" s="8" t="n">
        <f aca="false">IF(D3="","",1-E3)</f>
        <v>0.99775</v>
      </c>
      <c r="G3" s="5" t="n">
        <f aca="false">IF(D3="","",Inputs!$B$23)</f>
        <v>0.025</v>
      </c>
      <c r="H3" s="1" t="n">
        <f aca="false">IF(D3="","",INDEX(Commutation!$L:$L,MATCH(Inputs!$B$7,Commutation!$A:$A,0)))</f>
        <v>11.0901711225671</v>
      </c>
      <c r="I3" s="1" t="n">
        <f aca="false">IF(D3="","",J2)</f>
        <v>25.0036675961215</v>
      </c>
      <c r="J3" s="1" t="n">
        <f aca="false">IF(D3&gt;99,"",IF(E3=1,1000,MIN(1000,MAX(0,(INDEX(Commutation!$K:$K,MATCH(D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,Commutation!$A:$A,0))-INDEX(Commutation!$H:$H,MATCH(Inputs!$B$8,Commutation!$A:$A,0)))/INDEX(Commutation!$F:$F,MATCH(D4,Commutation!$A:$A,0))))*1000))))</f>
        <v>50.6315899274474</v>
      </c>
      <c r="K3" s="1" t="n">
        <f aca="false">J3</f>
        <v>50.6315899274474</v>
      </c>
      <c r="M3" s="1" t="n">
        <f aca="false">IF(A3="","",IF(E3=1,1000,IFERROR(((I3+IF(C3&lt;=Inputs!$B$8,$H$2,0))*(1+G3)-E3*1000)/F3,0)))</f>
        <v>34.8245399014341</v>
      </c>
    </row>
    <row r="4" customFormat="false" ht="15" hidden="false" customHeight="false" outlineLevel="0" collapsed="false">
      <c r="A4" s="1" t="n">
        <f aca="false">IF(D4&gt;100,"",Inputs!$B$4)</f>
        <v>34</v>
      </c>
      <c r="B4" s="1" t="n">
        <f aca="false">IF(D4&gt;100,"",Inputs!$B$7)</f>
        <v>16</v>
      </c>
      <c r="C4" s="1" t="n">
        <f aca="false">IFERROR(IF(Inputs!$B$7+C3+1&gt;=100,"",C3+1),"")</f>
        <v>2</v>
      </c>
      <c r="D4" s="6" t="n">
        <f aca="false">IFERROR(IF(Inputs!$B$7+C4&gt;=100,"",Inputs!$B$7+C4),"")</f>
        <v>18</v>
      </c>
      <c r="E4" s="8" t="n">
        <f aca="false">IF(D4="","",INDEX(MORTALITY!$B:$B,MATCH(D4,MORTALITY!$A:$A,0)))</f>
        <v>0.0023</v>
      </c>
      <c r="F4" s="8" t="n">
        <f aca="false">IF(D4="","",1-E4)</f>
        <v>0.9977</v>
      </c>
      <c r="G4" s="5" t="n">
        <f aca="false">IF(D4="","",Inputs!$B$23)</f>
        <v>0.025</v>
      </c>
      <c r="H4" s="1" t="n">
        <f aca="false">IF(D4="","",INDEX(Commutation!$L:$L,MATCH(Inputs!$B$7,Commutation!$A:$A,0)))</f>
        <v>11.0901711225671</v>
      </c>
      <c r="I4" s="1" t="n">
        <f aca="false">IF(D4="","",J3)</f>
        <v>50.6315899274474</v>
      </c>
      <c r="J4" s="1" t="n">
        <f aca="false">IF(D4&gt;99,"",IF(E4=1,1000,MIN(1000,MAX(0,(INDEX(Commutation!$K:$K,MATCH(D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,Commutation!$A:$A,0))-INDEX(Commutation!$H:$H,MATCH(Inputs!$B$8,Commutation!$A:$A,0)))/INDEX(Commutation!$F:$F,MATCH(D5,Commutation!$A:$A,0))))*1000))))</f>
        <v>76.9131895757438</v>
      </c>
      <c r="K4" s="1" t="n">
        <f aca="false">IF(Inputs!$B$7+3-1&gt;MAX(MORTALITY!$A:$A),"",IFERROR(J4,0))</f>
        <v>76.9131895757438</v>
      </c>
      <c r="M4" s="1" t="n">
        <f aca="false">IF(A4="","",IF(E4=1,1000,IFERROR(((I4+IF(C4&lt;=Inputs!$B$8,$H$2,0))*(1+G4)-E4*1000)/F4,0)))</f>
        <v>61.1053473752279</v>
      </c>
    </row>
    <row r="5" customFormat="false" ht="15" hidden="false" customHeight="false" outlineLevel="0" collapsed="false">
      <c r="A5" s="1" t="n">
        <f aca="false">IF(D5&gt;100,"",Inputs!$B$4)</f>
        <v>34</v>
      </c>
      <c r="B5" s="1" t="n">
        <f aca="false">IF(D5&gt;100,"",Inputs!$B$7)</f>
        <v>16</v>
      </c>
      <c r="C5" s="1" t="n">
        <f aca="false">IFERROR(IF(Inputs!$B$7+C4+1&gt;=100,"",C4+1),"")</f>
        <v>3</v>
      </c>
      <c r="D5" s="6" t="n">
        <f aca="false">IFERROR(IF(Inputs!$B$7+C5&gt;=100,"",Inputs!$B$7+C5),"")</f>
        <v>19</v>
      </c>
      <c r="E5" s="8" t="n">
        <f aca="false">IF(D5="","",INDEX(MORTALITY!$B:$B,MATCH(D5,MORTALITY!$A:$A,0)))</f>
        <v>0.00237</v>
      </c>
      <c r="F5" s="8" t="n">
        <f aca="false">IF(D5="","",1-E5)</f>
        <v>0.99763</v>
      </c>
      <c r="G5" s="5" t="n">
        <f aca="false">IF(D5="","",Inputs!$B$23)</f>
        <v>0.025</v>
      </c>
      <c r="H5" s="1" t="n">
        <f aca="false">IF(D5="","",INDEX(Commutation!$L:$L,MATCH(Inputs!$B$7,Commutation!$A:$A,0)))</f>
        <v>11.0901711225671</v>
      </c>
      <c r="I5" s="1" t="n">
        <f aca="false">IF(D5="","",J4)</f>
        <v>76.9131895757438</v>
      </c>
      <c r="J5" s="1" t="n">
        <f aca="false">IF(D5&gt;99,"",IF(E5=1,1000,MIN(1000,MAX(0,(INDEX(Commutation!$K:$K,MATCH(D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,Commutation!$A:$A,0))-INDEX(Commutation!$H:$H,MATCH(Inputs!$B$8,Commutation!$A:$A,0)))/INDEX(Commutation!$F:$F,MATCH(D6,Commutation!$A:$A,0))))*1000))))</f>
        <v>103.851055881663</v>
      </c>
      <c r="K5" s="1" t="n">
        <f aca="false">IF(Inputs!$B$7+4-1&gt;MAX(MORTALITY!$A:$A),"",IFERROR(J5,0))</f>
        <v>103.851055881663</v>
      </c>
      <c r="M5" s="1" t="n">
        <f aca="false">IF(A5="","",IF(E5=1,1000,IFERROR(((I5+IF(C5&lt;=Inputs!$B$8,$H$2,0))*(1+G5)-E5*1000)/F5,0)))</f>
        <v>88.0421045034419</v>
      </c>
    </row>
    <row r="6" customFormat="false" ht="15" hidden="false" customHeight="false" outlineLevel="0" collapsed="false">
      <c r="A6" s="1" t="n">
        <f aca="false">IF(D6&gt;100,"",Inputs!$B$4)</f>
        <v>34</v>
      </c>
      <c r="B6" s="1" t="n">
        <f aca="false">IF(D6&gt;100,"",Inputs!$B$7)</f>
        <v>16</v>
      </c>
      <c r="C6" s="1" t="n">
        <f aca="false">IFERROR(IF(Inputs!$B$7+C5+1&gt;=100,"",C5+1),"")</f>
        <v>4</v>
      </c>
      <c r="D6" s="6" t="n">
        <f aca="false">IFERROR(IF(Inputs!$B$7+C6&gt;=100,"",Inputs!$B$7+C6),"")</f>
        <v>20</v>
      </c>
      <c r="E6" s="8" t="n">
        <f aca="false">IF(D6="","",INDEX(MORTALITY!$B:$B,MATCH(D6,MORTALITY!$A:$A,0)))</f>
        <v>0.00243</v>
      </c>
      <c r="F6" s="8" t="n">
        <f aca="false">IF(D6="","",1-E6)</f>
        <v>0.99757</v>
      </c>
      <c r="G6" s="5" t="n">
        <f aca="false">IF(D6="","",Inputs!$B$23)</f>
        <v>0.025</v>
      </c>
      <c r="H6" s="1" t="n">
        <f aca="false">IF(D6="","",INDEX(Commutation!$L:$L,MATCH(Inputs!$B$7,Commutation!$A:$A,0)))</f>
        <v>11.0901711225671</v>
      </c>
      <c r="I6" s="1" t="n">
        <f aca="false">IF(D6="","",J5)</f>
        <v>103.851055881663</v>
      </c>
      <c r="J6" s="1" t="n">
        <f aca="false">IF(D6&gt;99,"",IF(E6=1,1000,MIN(1000,MAX(0,(INDEX(Commutation!$K:$K,MATCH(D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,Commutation!$A:$A,0))-INDEX(Commutation!$H:$H,MATCH(Inputs!$B$8,Commutation!$A:$A,0)))/INDEX(Commutation!$F:$F,MATCH(D7,Commutation!$A:$A,0))))*1000))))</f>
        <v>131.475727861494</v>
      </c>
      <c r="K6" s="1" t="n">
        <f aca="false">IF(Inputs!$B$7+5-1&gt;MAX(MORTALITY!$A:$A),"",IFERROR(J6,0))</f>
        <v>131.475727861494</v>
      </c>
      <c r="M6" s="1" t="n">
        <f aca="false">IF(A6="","",IF(E6=1,1000,IFERROR(((I6+IF(C6&lt;=Inputs!$B$8,$H$2,0))*(1+G6)-E6*1000)/F6,0)))</f>
        <v>115.66582563563</v>
      </c>
    </row>
    <row r="7" customFormat="false" ht="15" hidden="false" customHeight="false" outlineLevel="0" collapsed="false">
      <c r="A7" s="1" t="n">
        <f aca="false">IF(D7&gt;100,"",Inputs!$B$4)</f>
        <v>34</v>
      </c>
      <c r="B7" s="1" t="n">
        <f aca="false">IF(D7&gt;100,"",Inputs!$B$7)</f>
        <v>16</v>
      </c>
      <c r="C7" s="1" t="n">
        <f aca="false">IFERROR(IF(Inputs!$B$7+C6+1&gt;=100,"",C6+1),"")</f>
        <v>5</v>
      </c>
      <c r="D7" s="6" t="n">
        <f aca="false">IFERROR(IF(Inputs!$B$7+C7&gt;=100,"",Inputs!$B$7+C7),"")</f>
        <v>21</v>
      </c>
      <c r="E7" s="8" t="n">
        <f aca="false">IF(D7="","",INDEX(MORTALITY!$B:$B,MATCH(D7,MORTALITY!$A:$A,0)))</f>
        <v>0.00251</v>
      </c>
      <c r="F7" s="8" t="n">
        <f aca="false">IF(D7="","",1-E7)</f>
        <v>0.99749</v>
      </c>
      <c r="G7" s="5" t="n">
        <f aca="false">IF(D7="","",Inputs!$B$23)</f>
        <v>0.025</v>
      </c>
      <c r="H7" s="1" t="n">
        <f aca="false">IF(D7="","",INDEX(Commutation!$L:$L,MATCH(Inputs!$B$7,Commutation!$A:$A,0)))</f>
        <v>11.0901711225671</v>
      </c>
      <c r="I7" s="1" t="n">
        <f aca="false">IF(D7="","",J6)</f>
        <v>131.475727861494</v>
      </c>
      <c r="J7" s="1" t="n">
        <f aca="false">IF(D7&gt;99,"",IF(E7=1,1000,MIN(1000,MAX(0,(INDEX(Commutation!$K:$K,MATCH(D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,Commutation!$A:$A,0))-INDEX(Commutation!$H:$H,MATCH(Inputs!$B$8,Commutation!$A:$A,0)))/INDEX(Commutation!$F:$F,MATCH(D8,Commutation!$A:$A,0))))*1000))))</f>
        <v>159.792610073402</v>
      </c>
      <c r="K7" s="1" t="n">
        <f aca="false">IF(Inputs!$B$7+6-1&gt;MAX(MORTALITY!$A:$A),"",IFERROR(J7,0))</f>
        <v>159.792610073402</v>
      </c>
      <c r="M7" s="1" t="n">
        <f aca="false">IF(A7="","",IF(E7=1,1000,IFERROR(((I7+IF(C7&lt;=Inputs!$B$8,$H$2,0))*(1+G7)-E7*1000)/F7,0)))</f>
        <v>143.981439872743</v>
      </c>
    </row>
    <row r="8" customFormat="false" ht="15" hidden="false" customHeight="false" outlineLevel="0" collapsed="false">
      <c r="A8" s="1" t="n">
        <f aca="false">IF(D8&gt;100,"",Inputs!$B$4)</f>
        <v>34</v>
      </c>
      <c r="B8" s="1" t="n">
        <f aca="false">IF(D8&gt;100,"",Inputs!$B$7)</f>
        <v>16</v>
      </c>
      <c r="C8" s="1" t="n">
        <f aca="false">IFERROR(IF(Inputs!$B$7+C7+1&gt;=100,"",C7+1),"")</f>
        <v>6</v>
      </c>
      <c r="D8" s="6" t="n">
        <f aca="false">IFERROR(IF(Inputs!$B$7+C8&gt;=100,"",Inputs!$B$7+C8),"")</f>
        <v>22</v>
      </c>
      <c r="E8" s="8" t="n">
        <f aca="false">IF(D8="","",INDEX(MORTALITY!$B:$B,MATCH(D8,MORTALITY!$A:$A,0)))</f>
        <v>0.00259</v>
      </c>
      <c r="F8" s="8" t="n">
        <f aca="false">IF(D8="","",1-E8)</f>
        <v>0.99741</v>
      </c>
      <c r="G8" s="5" t="n">
        <f aca="false">IF(D8="","",Inputs!$B$23)</f>
        <v>0.025</v>
      </c>
      <c r="H8" s="1" t="n">
        <f aca="false">IF(D8="","",INDEX(Commutation!$L:$L,MATCH(Inputs!$B$7,Commutation!$A:$A,0)))</f>
        <v>11.0901711225671</v>
      </c>
      <c r="I8" s="1" t="n">
        <f aca="false">IF(D8="","",J7)</f>
        <v>159.792610073402</v>
      </c>
      <c r="J8" s="1" t="n">
        <f aca="false">IF(D8&gt;99,"",IF(E8=1,1000,MIN(1000,MAX(0,(INDEX(Commutation!$K:$K,MATCH(D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,Commutation!$A:$A,0))-INDEX(Commutation!$H:$H,MATCH(Inputs!$B$8,Commutation!$A:$A,0)))/INDEX(Commutation!$F:$F,MATCH(D9,Commutation!$A:$A,0))))*1000))))</f>
        <v>188.825392656303</v>
      </c>
      <c r="K8" s="1" t="n">
        <f aca="false">IF(Inputs!$B$7+7-1&gt;MAX(MORTALITY!$A:$A),"",IFERROR(J8,0))</f>
        <v>188.825392656303</v>
      </c>
      <c r="M8" s="1" t="n">
        <f aca="false">IF(A8="","",IF(E8=1,1000,IFERROR(((I8+IF(C8&lt;=Inputs!$B$8,$H$2,0))*(1+G8)-E8*1000)/F8,0)))</f>
        <v>173.012954277447</v>
      </c>
    </row>
    <row r="9" customFormat="false" ht="15" hidden="false" customHeight="false" outlineLevel="0" collapsed="false">
      <c r="A9" s="1" t="n">
        <f aca="false">IF(D9&gt;100,"",Inputs!$B$4)</f>
        <v>34</v>
      </c>
      <c r="B9" s="1" t="n">
        <f aca="false">IF(D9&gt;100,"",Inputs!$B$7)</f>
        <v>16</v>
      </c>
      <c r="C9" s="1" t="n">
        <f aca="false">IFERROR(IF(Inputs!$B$7+C8+1&gt;=100,"",C8+1),"")</f>
        <v>7</v>
      </c>
      <c r="D9" s="6" t="n">
        <f aca="false">IFERROR(IF(Inputs!$B$7+C9&gt;=100,"",Inputs!$B$7+C9),"")</f>
        <v>23</v>
      </c>
      <c r="E9" s="8" t="n">
        <f aca="false">IF(D9="","",INDEX(MORTALITY!$B:$B,MATCH(D9,MORTALITY!$A:$A,0)))</f>
        <v>0.00268</v>
      </c>
      <c r="F9" s="8" t="n">
        <f aca="false">IF(D9="","",1-E9)</f>
        <v>0.99732</v>
      </c>
      <c r="G9" s="5" t="n">
        <f aca="false">IF(D9="","",Inputs!$B$23)</f>
        <v>0.025</v>
      </c>
      <c r="H9" s="1" t="n">
        <f aca="false">IF(D9="","",INDEX(Commutation!$L:$L,MATCH(Inputs!$B$7,Commutation!$A:$A,0)))</f>
        <v>11.0901711225671</v>
      </c>
      <c r="I9" s="1" t="n">
        <f aca="false">IF(D9="","",J8)</f>
        <v>188.825392656303</v>
      </c>
      <c r="J9" s="1" t="n">
        <f aca="false">IF(D9&gt;99,"",IF(E9=1,1000,MIN(1000,MAX(0,(INDEX(Commutation!$K:$K,MATCH(D10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10,Commutation!$A:$A,0))-INDEX(Commutation!$H:$H,MATCH(Inputs!$B$8,Commutation!$A:$A,0)))/INDEX(Commutation!$F:$F,MATCH(D10,Commutation!$A:$A,0))))*1000))))</f>
        <v>218.590760274331</v>
      </c>
      <c r="K9" s="1" t="n">
        <f aca="false">IF(Inputs!$B$7+8-1&gt;MAX(MORTALITY!$A:$A),"",IFERROR(J9,0))</f>
        <v>218.590760274331</v>
      </c>
      <c r="M9" s="1" t="n">
        <f aca="false">IF(A9="","",IF(E9=1,1000,IFERROR(((I9+IF(C9&lt;=Inputs!$B$8,$H$2,0))*(1+G9)-E9*1000)/F9,0)))</f>
        <v>202.776894951812</v>
      </c>
    </row>
    <row r="10" customFormat="false" ht="15" hidden="false" customHeight="false" outlineLevel="0" collapsed="false">
      <c r="A10" s="1" t="n">
        <f aca="false">IF(D10&gt;100,"",Inputs!$B$4)</f>
        <v>34</v>
      </c>
      <c r="B10" s="1" t="n">
        <f aca="false">IF(D10&gt;100,"",Inputs!$B$7)</f>
        <v>16</v>
      </c>
      <c r="C10" s="1" t="n">
        <f aca="false">IFERROR(IF(Inputs!$B$7+C9+1&gt;=100,"",C9+1),"")</f>
        <v>8</v>
      </c>
      <c r="D10" s="6" t="n">
        <f aca="false">IFERROR(IF(Inputs!$B$7+C10&gt;=100,"",Inputs!$B$7+C10),"")</f>
        <v>24</v>
      </c>
      <c r="E10" s="8" t="n">
        <f aca="false">IF(D10="","",INDEX(MORTALITY!$B:$B,MATCH(D10,MORTALITY!$A:$A,0)))</f>
        <v>0.00277</v>
      </c>
      <c r="F10" s="8" t="n">
        <f aca="false">IF(D10="","",1-E10)</f>
        <v>0.99723</v>
      </c>
      <c r="G10" s="5" t="n">
        <f aca="false">IF(D10="","",Inputs!$B$23)</f>
        <v>0.025</v>
      </c>
      <c r="H10" s="1" t="n">
        <f aca="false">IF(D10="","",INDEX(Commutation!$L:$L,MATCH(Inputs!$B$7,Commutation!$A:$A,0)))</f>
        <v>11.0901711225671</v>
      </c>
      <c r="I10" s="1" t="n">
        <f aca="false">IF(D10="","",J9)</f>
        <v>218.590760274331</v>
      </c>
      <c r="J10" s="1" t="n">
        <f aca="false">IF(D10&gt;99,"",IF(E10=1,1000,MIN(1000,MAX(0,(INDEX(Commutation!$K:$K,MATCH(D11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11,Commutation!$A:$A,0))-INDEX(Commutation!$H:$H,MATCH(Inputs!$B$8,Commutation!$A:$A,0)))/INDEX(Commutation!$F:$F,MATCH(D11,Commutation!$A:$A,0))))*1000))))</f>
        <v>249.114485971416</v>
      </c>
      <c r="K10" s="1" t="n">
        <f aca="false">IF(Inputs!$B$7+9-1&gt;MAX(MORTALITY!$A:$A),"",IFERROR(J10,0))</f>
        <v>249.114485971416</v>
      </c>
      <c r="M10" s="1" t="n">
        <f aca="false">IF(A10="","",IF(E10=1,1000,IFERROR(((I10+IF(C10&lt;=Inputs!$B$8,$H$2,0))*(1+G10)-E10*1000)/F10,0)))</f>
        <v>233.299193447671</v>
      </c>
    </row>
    <row r="11" customFormat="false" ht="15" hidden="false" customHeight="false" outlineLevel="0" collapsed="false">
      <c r="A11" s="1" t="n">
        <f aca="false">IF(D11&gt;100,"",Inputs!$B$4)</f>
        <v>34</v>
      </c>
      <c r="B11" s="1" t="n">
        <f aca="false">IF(D11&gt;100,"",Inputs!$B$7)</f>
        <v>16</v>
      </c>
      <c r="C11" s="1" t="n">
        <f aca="false">IFERROR(IF(Inputs!$B$7+C10+1&gt;=100,"",C10+1),"")</f>
        <v>9</v>
      </c>
      <c r="D11" s="6" t="n">
        <f aca="false">IFERROR(IF(Inputs!$B$7+C11&gt;=100,"",Inputs!$B$7+C11),"")</f>
        <v>25</v>
      </c>
      <c r="E11" s="8" t="n">
        <f aca="false">IF(D11="","",INDEX(MORTALITY!$B:$B,MATCH(D11,MORTALITY!$A:$A,0)))</f>
        <v>0.00288</v>
      </c>
      <c r="F11" s="8" t="n">
        <f aca="false">IF(D11="","",1-E11)</f>
        <v>0.99712</v>
      </c>
      <c r="G11" s="5" t="n">
        <f aca="false">IF(D11="","",Inputs!$B$23)</f>
        <v>0.025</v>
      </c>
      <c r="H11" s="1" t="n">
        <f aca="false">IF(D11="","",INDEX(Commutation!$L:$L,MATCH(Inputs!$B$7,Commutation!$A:$A,0)))</f>
        <v>11.0901711225671</v>
      </c>
      <c r="I11" s="1" t="n">
        <f aca="false">IF(D11="","",J10)</f>
        <v>249.114485971416</v>
      </c>
      <c r="J11" s="1" t="n">
        <f aca="false">IF(D11&gt;99,"",IF(E11=1,1000,MIN(1000,MAX(0,(INDEX(Commutation!$K:$K,MATCH(D12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12,Commutation!$A:$A,0))-INDEX(Commutation!$H:$H,MATCH(Inputs!$B$8,Commutation!$A:$A,0)))/INDEX(Commutation!$F:$F,MATCH(D12,Commutation!$A:$A,0))))*1000))))</f>
        <v>280.408835129962</v>
      </c>
      <c r="K11" s="1" t="n">
        <f aca="false">IF(Inputs!$B$7+10-1&gt;MAX(MORTALITY!$A:$A),"",IFERROR(J11,0))</f>
        <v>280.408835129962</v>
      </c>
      <c r="M11" s="1" t="n">
        <f aca="false">IF(A11="","",IF(E11=1,1000,IFERROR(((I11+IF(C11&lt;=Inputs!$B$8,$H$2,0))*(1+G11)-E11*1000)/F11,0)))</f>
        <v>264.591797899283</v>
      </c>
    </row>
    <row r="12" customFormat="false" ht="15" hidden="false" customHeight="false" outlineLevel="0" collapsed="false">
      <c r="A12" s="1" t="n">
        <f aca="false">IF(D12&gt;100,"",Inputs!$B$4)</f>
        <v>34</v>
      </c>
      <c r="B12" s="1" t="n">
        <f aca="false">IF(D12&gt;100,"",Inputs!$B$7)</f>
        <v>16</v>
      </c>
      <c r="C12" s="1" t="n">
        <f aca="false">IFERROR(IF(Inputs!$B$7+C11+1&gt;=100,"",C11+1),"")</f>
        <v>10</v>
      </c>
      <c r="D12" s="6" t="n">
        <f aca="false">IFERROR(IF(Inputs!$B$7+C12&gt;=100,"",Inputs!$B$7+C12),"")</f>
        <v>26</v>
      </c>
      <c r="E12" s="8" t="n">
        <f aca="false">IF(D12="","",INDEX(MORTALITY!$B:$B,MATCH(D12,MORTALITY!$A:$A,0)))</f>
        <v>0.00299</v>
      </c>
      <c r="F12" s="8" t="n">
        <f aca="false">IF(D12="","",1-E12)</f>
        <v>0.99701</v>
      </c>
      <c r="G12" s="5" t="n">
        <f aca="false">IF(D12="","",Inputs!$B$23)</f>
        <v>0.025</v>
      </c>
      <c r="H12" s="1" t="n">
        <f aca="false">IF(D12="","",INDEX(Commutation!$L:$L,MATCH(Inputs!$B$7,Commutation!$A:$A,0)))</f>
        <v>11.0901711225671</v>
      </c>
      <c r="I12" s="1" t="n">
        <f aca="false">IF(D12="","",J11)</f>
        <v>280.408835129962</v>
      </c>
      <c r="J12" s="1" t="n">
        <f aca="false">IF(D12&gt;99,"",IF(E12=1,1000,MIN(1000,MAX(0,(INDEX(Commutation!$K:$K,MATCH(D13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13,Commutation!$A:$A,0))-INDEX(Commutation!$H:$H,MATCH(Inputs!$B$8,Commutation!$A:$A,0)))/INDEX(Commutation!$F:$F,MATCH(D13,Commutation!$A:$A,0))))*1000))))</f>
        <v>312.502347591596</v>
      </c>
      <c r="K12" s="1" t="n">
        <f aca="false">IF(Inputs!$B$7+11-1&gt;MAX(MORTALITY!$A:$A),"",IFERROR(J12,0))</f>
        <v>312.502347591596</v>
      </c>
      <c r="M12" s="1" t="n">
        <f aca="false">IF(A12="","",IF(E12=1,1000,IFERROR(((I12+IF(C12&lt;=Inputs!$B$8,$H$2,0))*(1+G12)-E12*1000)/F12,0)))</f>
        <v>296.683565268997</v>
      </c>
    </row>
    <row r="13" customFormat="false" ht="15" hidden="false" customHeight="false" outlineLevel="0" collapsed="false">
      <c r="A13" s="1" t="n">
        <f aca="false">IF(D13&gt;100,"",Inputs!$B$4)</f>
        <v>34</v>
      </c>
      <c r="B13" s="1" t="n">
        <f aca="false">IF(D13&gt;100,"",Inputs!$B$7)</f>
        <v>16</v>
      </c>
      <c r="C13" s="1" t="n">
        <f aca="false">IFERROR(IF(Inputs!$B$7+C12+1&gt;=100,"",C12+1),"")</f>
        <v>11</v>
      </c>
      <c r="D13" s="6" t="n">
        <f aca="false">IFERROR(IF(Inputs!$B$7+C13&gt;=100,"",Inputs!$B$7+C13),"")</f>
        <v>27</v>
      </c>
      <c r="E13" s="8" t="n">
        <f aca="false">IF(D13="","",INDEX(MORTALITY!$B:$B,MATCH(D13,MORTALITY!$A:$A,0)))</f>
        <v>0.00311</v>
      </c>
      <c r="F13" s="8" t="n">
        <f aca="false">IF(D13="","",1-E13)</f>
        <v>0.99689</v>
      </c>
      <c r="G13" s="5" t="n">
        <f aca="false">IF(D13="","",Inputs!$B$23)</f>
        <v>0.025</v>
      </c>
      <c r="H13" s="1" t="n">
        <f aca="false">IF(D13="","",INDEX(Commutation!$L:$L,MATCH(Inputs!$B$7,Commutation!$A:$A,0)))</f>
        <v>11.0901711225671</v>
      </c>
      <c r="I13" s="1" t="n">
        <f aca="false">IF(D13="","",J12)</f>
        <v>312.502347591596</v>
      </c>
      <c r="J13" s="1" t="n">
        <f aca="false">IF(D13&gt;99,"",IF(E13=1,1000,MIN(1000,MAX(0,(INDEX(Commutation!$K:$K,MATCH(D14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14,Commutation!$A:$A,0))-INDEX(Commutation!$H:$H,MATCH(Inputs!$B$8,Commutation!$A:$A,0)))/INDEX(Commutation!$F:$F,MATCH(D14,Commutation!$A:$A,0))))*1000))))</f>
        <v>345.418066030828</v>
      </c>
      <c r="K13" s="1" t="n">
        <f aca="false">IF(Inputs!$B$7+12-1&gt;MAX(MORTALITY!$A:$A),"",IFERROR(J13,0))</f>
        <v>345.418066030828</v>
      </c>
      <c r="M13" s="1" t="n">
        <f aca="false">IF(A13="","",IF(E13=1,1000,IFERROR(((I13+IF(C13&lt;=Inputs!$B$8,$H$2,0))*(1+G13)-E13*1000)/F13,0)))</f>
        <v>329.597379532363</v>
      </c>
    </row>
    <row r="14" customFormat="false" ht="15" hidden="false" customHeight="false" outlineLevel="0" collapsed="false">
      <c r="A14" s="1" t="n">
        <f aca="false">IF(D14&gt;100,"",Inputs!$B$4)</f>
        <v>34</v>
      </c>
      <c r="B14" s="1" t="n">
        <f aca="false">IF(D14&gt;100,"",Inputs!$B$7)</f>
        <v>16</v>
      </c>
      <c r="C14" s="1" t="n">
        <f aca="false">IFERROR(IF(Inputs!$B$7+C13+1&gt;=100,"",C13+1),"")</f>
        <v>12</v>
      </c>
      <c r="D14" s="6" t="n">
        <f aca="false">IFERROR(IF(Inputs!$B$7+C14&gt;=100,"",Inputs!$B$7+C14),"")</f>
        <v>28</v>
      </c>
      <c r="E14" s="8" t="n">
        <f aca="false">IF(D14="","",INDEX(MORTALITY!$B:$B,MATCH(D14,MORTALITY!$A:$A,0)))</f>
        <v>0.00325</v>
      </c>
      <c r="F14" s="8" t="n">
        <f aca="false">IF(D14="","",1-E14)</f>
        <v>0.99675</v>
      </c>
      <c r="G14" s="5" t="n">
        <f aca="false">IF(D14="","",Inputs!$B$23)</f>
        <v>0.025</v>
      </c>
      <c r="H14" s="1" t="n">
        <f aca="false">IF(D14="","",INDEX(Commutation!$L:$L,MATCH(Inputs!$B$7,Commutation!$A:$A,0)))</f>
        <v>11.0901711225671</v>
      </c>
      <c r="I14" s="1" t="n">
        <f aca="false">IF(D14="","",J13)</f>
        <v>345.418066030828</v>
      </c>
      <c r="J14" s="1" t="n">
        <f aca="false">IF(D14&gt;99,"",IF(E14=1,1000,MIN(1000,MAX(0,(INDEX(Commutation!$K:$K,MATCH(D15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15,Commutation!$A:$A,0))-INDEX(Commutation!$H:$H,MATCH(Inputs!$B$8,Commutation!$A:$A,0)))/INDEX(Commutation!$F:$F,MATCH(D15,Commutation!$A:$A,0))))*1000))))</f>
        <v>379.174745167479</v>
      </c>
      <c r="K14" s="1" t="n">
        <f aca="false">IF(Inputs!$B$7+13-1&gt;MAX(MORTALITY!$A:$A),"",IFERROR(J14,0))</f>
        <v>379.174745167479</v>
      </c>
      <c r="M14" s="1" t="n">
        <f aca="false">IF(A14="","",IF(E14=1,1000,IFERROR(((I14+IF(C14&lt;=Inputs!$B$8,$H$2,0))*(1+G14)-E14*1000)/F14,0)))</f>
        <v>363.351836551021</v>
      </c>
    </row>
    <row r="15" customFormat="false" ht="15" hidden="false" customHeight="false" outlineLevel="0" collapsed="false">
      <c r="A15" s="1" t="n">
        <f aca="false">IF(D15&gt;100,"",Inputs!$B$4)</f>
        <v>34</v>
      </c>
      <c r="B15" s="1" t="n">
        <f aca="false">IF(D15&gt;100,"",Inputs!$B$7)</f>
        <v>16</v>
      </c>
      <c r="C15" s="1" t="n">
        <f aca="false">IFERROR(IF(Inputs!$B$7+C14+1&gt;=100,"",C14+1),"")</f>
        <v>13</v>
      </c>
      <c r="D15" s="6" t="n">
        <f aca="false">IFERROR(IF(Inputs!$B$7+C15&gt;=100,"",Inputs!$B$7+C15),"")</f>
        <v>29</v>
      </c>
      <c r="E15" s="8" t="n">
        <f aca="false">IF(D15="","",INDEX(MORTALITY!$B:$B,MATCH(D15,MORTALITY!$A:$A,0)))</f>
        <v>0.0034</v>
      </c>
      <c r="F15" s="8" t="n">
        <f aca="false">IF(D15="","",1-E15)</f>
        <v>0.9966</v>
      </c>
      <c r="G15" s="5" t="n">
        <f aca="false">IF(D15="","",Inputs!$B$23)</f>
        <v>0.025</v>
      </c>
      <c r="H15" s="1" t="n">
        <f aca="false">IF(D15="","",INDEX(Commutation!$L:$L,MATCH(Inputs!$B$7,Commutation!$A:$A,0)))</f>
        <v>11.0901711225671</v>
      </c>
      <c r="I15" s="1" t="n">
        <f aca="false">IF(D15="","",J14)</f>
        <v>379.174745167479</v>
      </c>
      <c r="J15" s="1" t="n">
        <f aca="false">IF(D15&gt;99,"",IF(E15=1,1000,MIN(1000,MAX(0,(INDEX(Commutation!$K:$K,MATCH(D16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16,Commutation!$A:$A,0))-INDEX(Commutation!$H:$H,MATCH(Inputs!$B$8,Commutation!$A:$A,0)))/INDEX(Commutation!$F:$F,MATCH(D16,Commutation!$A:$A,0))))*1000))))</f>
        <v>413.799943167521</v>
      </c>
      <c r="K15" s="1" t="n">
        <f aca="false">IF(Inputs!$B$7+14-1&gt;MAX(MORTALITY!$A:$A),"",IFERROR(J15,0))</f>
        <v>413.799943167521</v>
      </c>
      <c r="M15" s="1" t="n">
        <f aca="false">IF(A15="","",IF(E15=1,1000,IFERROR(((I15+IF(C15&lt;=Inputs!$B$8,$H$2,0))*(1+G15)-E15*1000)/F15,0)))</f>
        <v>397.974653017557</v>
      </c>
    </row>
    <row r="16" customFormat="false" ht="15" hidden="false" customHeight="false" outlineLevel="0" collapsed="false">
      <c r="A16" s="1" t="n">
        <f aca="false">IF(D16&gt;100,"",Inputs!$B$4)</f>
        <v>34</v>
      </c>
      <c r="B16" s="1" t="n">
        <f aca="false">IF(D16&gt;100,"",Inputs!$B$7)</f>
        <v>16</v>
      </c>
      <c r="C16" s="1" t="n">
        <f aca="false">IFERROR(IF(Inputs!$B$7+C15+1&gt;=100,"",C15+1),"")</f>
        <v>14</v>
      </c>
      <c r="D16" s="6" t="n">
        <f aca="false">IFERROR(IF(Inputs!$B$7+C16&gt;=100,"",Inputs!$B$7+C16),"")</f>
        <v>30</v>
      </c>
      <c r="E16" s="8" t="n">
        <f aca="false">IF(D16="","",INDEX(MORTALITY!$B:$B,MATCH(D16,MORTALITY!$A:$A,0)))</f>
        <v>0.00356</v>
      </c>
      <c r="F16" s="8" t="n">
        <f aca="false">IF(D16="","",1-E16)</f>
        <v>0.99644</v>
      </c>
      <c r="G16" s="5" t="n">
        <f aca="false">IF(D16="","",Inputs!$B$23)</f>
        <v>0.025</v>
      </c>
      <c r="H16" s="1" t="n">
        <f aca="false">IF(D16="","",INDEX(Commutation!$L:$L,MATCH(Inputs!$B$7,Commutation!$A:$A,0)))</f>
        <v>11.0901711225671</v>
      </c>
      <c r="I16" s="1" t="n">
        <f aca="false">IF(D16="","",J15)</f>
        <v>413.799943167521</v>
      </c>
      <c r="J16" s="1" t="n">
        <f aca="false">IF(D16&gt;99,"",IF(E16=1,1000,MIN(1000,MAX(0,(INDEX(Commutation!$K:$K,MATCH(D17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17,Commutation!$A:$A,0))-INDEX(Commutation!$H:$H,MATCH(Inputs!$B$8,Commutation!$A:$A,0)))/INDEX(Commutation!$F:$F,MATCH(D17,Commutation!$A:$A,0))))*1000))))</f>
        <v>422.087573508399</v>
      </c>
      <c r="K16" s="1" t="n">
        <f aca="false">IF(Inputs!$B$7+15-1&gt;MAX(MORTALITY!$A:$A),"",IFERROR(J16,0))</f>
        <v>422.087573508399</v>
      </c>
      <c r="M16" s="1" t="n">
        <f aca="false">IF(A16="","",IF(E16=1,1000,IFERROR(((I16+IF(C16&lt;=Inputs!$B$8,$H$2,0))*(1+G16)-E16*1000)/F16,0)))</f>
        <v>433.495611524367</v>
      </c>
    </row>
    <row r="17" customFormat="false" ht="15" hidden="false" customHeight="false" outlineLevel="0" collapsed="false">
      <c r="A17" s="1" t="n">
        <f aca="false">IF(D17&gt;100,"",Inputs!$B$4)</f>
        <v>34</v>
      </c>
      <c r="B17" s="1" t="n">
        <f aca="false">IF(D17&gt;100,"",Inputs!$B$7)</f>
        <v>16</v>
      </c>
      <c r="C17" s="1" t="n">
        <f aca="false">IFERROR(IF(Inputs!$B$7+C16+1&gt;=100,"",C16+1),"")</f>
        <v>15</v>
      </c>
      <c r="D17" s="6" t="n">
        <f aca="false">IFERROR(IF(Inputs!$B$7+C17&gt;=100,"",Inputs!$B$7+C17),"")</f>
        <v>31</v>
      </c>
      <c r="E17" s="8" t="n">
        <f aca="false">IF(D17="","",INDEX(MORTALITY!$B:$B,MATCH(D17,MORTALITY!$A:$A,0)))</f>
        <v>0.00373</v>
      </c>
      <c r="F17" s="8" t="n">
        <f aca="false">IF(D17="","",1-E17)</f>
        <v>0.99627</v>
      </c>
      <c r="G17" s="5" t="n">
        <f aca="false">IF(D17="","",Inputs!$B$23)</f>
        <v>0.025</v>
      </c>
      <c r="H17" s="1" t="n">
        <f aca="false">IF(D17="","",INDEX(Commutation!$L:$L,MATCH(Inputs!$B$7,Commutation!$A:$A,0)))</f>
        <v>11.0901711225671</v>
      </c>
      <c r="I17" s="1" t="n">
        <f aca="false">IF(D17="","",J16)</f>
        <v>422.087573508399</v>
      </c>
      <c r="J17" s="1" t="n">
        <f aca="false">IF(D17&gt;99,"",IF(E17=1,1000,MIN(1000,MAX(0,(INDEX(Commutation!$K:$K,MATCH(D18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18,Commutation!$A:$A,0))-INDEX(Commutation!$H:$H,MATCH(Inputs!$B$8,Commutation!$A:$A,0)))/INDEX(Commutation!$F:$F,MATCH(D18,Commutation!$A:$A,0))))*1000))))</f>
        <v>430.515585981821</v>
      </c>
      <c r="K17" s="1" t="n">
        <f aca="false">IF(Inputs!$B$7+16-1&gt;MAX(MORTALITY!$A:$A),"",IFERROR(J17,0))</f>
        <v>430.515585981821</v>
      </c>
      <c r="M17" s="1" t="n">
        <f aca="false">IF(A17="","",IF(E17=1,1000,IFERROR(((I17+IF(C17&lt;=Inputs!$B$8,$H$2,0))*(1+G17)-E17*1000)/F17,0)))</f>
        <v>441.925570625172</v>
      </c>
    </row>
    <row r="18" customFormat="false" ht="15" hidden="false" customHeight="false" outlineLevel="0" collapsed="false">
      <c r="A18" s="1" t="n">
        <f aca="false">IF(D18&gt;100,"",Inputs!$B$4)</f>
        <v>34</v>
      </c>
      <c r="B18" s="1" t="n">
        <f aca="false">IF(D18&gt;100,"",Inputs!$B$7)</f>
        <v>16</v>
      </c>
      <c r="C18" s="1" t="n">
        <f aca="false">IFERROR(IF(Inputs!$B$7+C17+1&gt;=100,"",C17+1),"")</f>
        <v>16</v>
      </c>
      <c r="D18" s="6" t="n">
        <f aca="false">IFERROR(IF(Inputs!$B$7+C18&gt;=100,"",Inputs!$B$7+C18),"")</f>
        <v>32</v>
      </c>
      <c r="E18" s="8" t="n">
        <f aca="false">IF(D18="","",INDEX(MORTALITY!$B:$B,MATCH(D18,MORTALITY!$A:$A,0)))</f>
        <v>0.00392</v>
      </c>
      <c r="F18" s="8" t="n">
        <f aca="false">IF(D18="","",1-E18)</f>
        <v>0.99608</v>
      </c>
      <c r="G18" s="5" t="n">
        <f aca="false">IF(D18="","",Inputs!$B$23)</f>
        <v>0.025</v>
      </c>
      <c r="H18" s="1" t="n">
        <f aca="false">IF(D18="","",INDEX(Commutation!$L:$L,MATCH(Inputs!$B$7,Commutation!$A:$A,0)))</f>
        <v>11.0901711225671</v>
      </c>
      <c r="I18" s="1" t="n">
        <f aca="false">IF(D18="","",J17)</f>
        <v>430.515585981821</v>
      </c>
      <c r="J18" s="1" t="n">
        <f aca="false">IF(D18&gt;99,"",IF(E18=1,1000,MIN(1000,MAX(0,(INDEX(Commutation!$K:$K,MATCH(D19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19,Commutation!$A:$A,0))-INDEX(Commutation!$H:$H,MATCH(Inputs!$B$8,Commutation!$A:$A,0)))/INDEX(Commutation!$F:$F,MATCH(D19,Commutation!$A:$A,0))))*1000))))</f>
        <v>439.079667929651</v>
      </c>
      <c r="K18" s="1" t="n">
        <f aca="false">IF(Inputs!$B$7+17-1&gt;MAX(MORTALITY!$A:$A),"",IFERROR(J18,0))</f>
        <v>439.079667929651</v>
      </c>
      <c r="M18" s="1" t="n">
        <f aca="false">IF(A18="","",IF(E18=1,1000,IFERROR(((I18+IF(C18&lt;=Inputs!$B$8,$H$2,0))*(1+G18)-E18*1000)/F18,0)))</f>
        <v>450.491829001685</v>
      </c>
    </row>
    <row r="19" customFormat="false" ht="15" hidden="false" customHeight="false" outlineLevel="0" collapsed="false">
      <c r="A19" s="1" t="n">
        <f aca="false">IF(D19&gt;100,"",Inputs!$B$4)</f>
        <v>34</v>
      </c>
      <c r="B19" s="1" t="n">
        <f aca="false">IF(D19&gt;100,"",Inputs!$B$7)</f>
        <v>16</v>
      </c>
      <c r="C19" s="1" t="n">
        <f aca="false">IFERROR(IF(Inputs!$B$7+C18+1&gt;=100,"",C18+1),"")</f>
        <v>17</v>
      </c>
      <c r="D19" s="6" t="n">
        <f aca="false">IFERROR(IF(Inputs!$B$7+C19&gt;=100,"",Inputs!$B$7+C19),"")</f>
        <v>33</v>
      </c>
      <c r="E19" s="8" t="n">
        <f aca="false">IF(D19="","",INDEX(MORTALITY!$B:$B,MATCH(D19,MORTALITY!$A:$A,0)))</f>
        <v>0.00412</v>
      </c>
      <c r="F19" s="8" t="n">
        <f aca="false">IF(D19="","",1-E19)</f>
        <v>0.99588</v>
      </c>
      <c r="G19" s="5" t="n">
        <f aca="false">IF(D19="","",Inputs!$B$23)</f>
        <v>0.025</v>
      </c>
      <c r="H19" s="1" t="n">
        <f aca="false">IF(D19="","",INDEX(Commutation!$L:$L,MATCH(Inputs!$B$7,Commutation!$A:$A,0)))</f>
        <v>11.0901711225671</v>
      </c>
      <c r="I19" s="1" t="n">
        <f aca="false">IF(D19="","",J18)</f>
        <v>439.079667929651</v>
      </c>
      <c r="J19" s="1" t="n">
        <f aca="false">IF(D19&gt;99,"",IF(E19=1,1000,MIN(1000,MAX(0,(INDEX(Commutation!$K:$K,MATCH(D20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20,Commutation!$A:$A,0))-INDEX(Commutation!$H:$H,MATCH(Inputs!$B$8,Commutation!$A:$A,0)))/INDEX(Commutation!$F:$F,MATCH(D20,Commutation!$A:$A,0))))*1000))))</f>
        <v>447.781519488184</v>
      </c>
      <c r="K19" s="1" t="n">
        <f aca="false">IF(Inputs!$B$7+18-1&gt;MAX(MORTALITY!$A:$A),"",IFERROR(J19,0))</f>
        <v>447.781519488184</v>
      </c>
      <c r="M19" s="1" t="n">
        <f aca="false">IF(A19="","",IF(E19=1,1000,IFERROR(((I19+IF(C19&lt;=Inputs!$B$8,$H$2,0))*(1+G19)-E19*1000)/F19,0)))</f>
        <v>459.195972434956</v>
      </c>
    </row>
    <row r="20" customFormat="false" ht="15" hidden="false" customHeight="false" outlineLevel="0" collapsed="false">
      <c r="A20" s="1" t="n">
        <f aca="false">IF(D20&gt;100,"",Inputs!$B$4)</f>
        <v>34</v>
      </c>
      <c r="B20" s="1" t="n">
        <f aca="false">IF(D20&gt;100,"",Inputs!$B$7)</f>
        <v>16</v>
      </c>
      <c r="C20" s="1" t="n">
        <f aca="false">IFERROR(IF(Inputs!$B$7+C19+1&gt;=100,"",C19+1),"")</f>
        <v>18</v>
      </c>
      <c r="D20" s="6" t="n">
        <f aca="false">IFERROR(IF(Inputs!$B$7+C20&gt;=100,"",Inputs!$B$7+C20),"")</f>
        <v>34</v>
      </c>
      <c r="E20" s="8" t="n">
        <f aca="false">IF(D20="","",INDEX(MORTALITY!$B:$B,MATCH(D20,MORTALITY!$A:$A,0)))</f>
        <v>0.00435</v>
      </c>
      <c r="F20" s="8" t="n">
        <f aca="false">IF(D20="","",1-E20)</f>
        <v>0.99565</v>
      </c>
      <c r="G20" s="5" t="n">
        <f aca="false">IF(D20="","",Inputs!$B$23)</f>
        <v>0.025</v>
      </c>
      <c r="H20" s="1" t="n">
        <f aca="false">IF(D20="","",INDEX(Commutation!$L:$L,MATCH(Inputs!$B$7,Commutation!$A:$A,0)))</f>
        <v>11.0901711225671</v>
      </c>
      <c r="I20" s="1" t="n">
        <f aca="false">IF(D20="","",J19)</f>
        <v>447.781519488184</v>
      </c>
      <c r="J20" s="1" t="n">
        <f aca="false">IF(D20&gt;99,"",IF(E20=1,1000,MIN(1000,MAX(0,(INDEX(Commutation!$K:$K,MATCH(D21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21,Commutation!$A:$A,0))-INDEX(Commutation!$H:$H,MATCH(Inputs!$B$8,Commutation!$A:$A,0)))/INDEX(Commutation!$F:$F,MATCH(D21,Commutation!$A:$A,0))))*1000))))</f>
        <v>456.612321072052</v>
      </c>
      <c r="K20" s="1" t="n">
        <f aca="false">IF(Inputs!$B$7+19-1&gt;MAX(MORTALITY!$A:$A),"",IFERROR(J20,0))</f>
        <v>456.612321072052</v>
      </c>
      <c r="M20" s="1" t="n">
        <f aca="false">IF(A20="","",IF(E20=1,1000,IFERROR(((I20+IF(C20&lt;=Inputs!$B$8,$H$2,0))*(1+G20)-E20*1000)/F20,0)))</f>
        <v>468.029410813056</v>
      </c>
    </row>
    <row r="21" customFormat="false" ht="15" hidden="false" customHeight="false" outlineLevel="0" collapsed="false">
      <c r="A21" s="1" t="n">
        <f aca="false">IF(D21&gt;100,"",Inputs!$B$4)</f>
        <v>34</v>
      </c>
      <c r="B21" s="1" t="n">
        <f aca="false">IF(D21&gt;100,"",Inputs!$B$7)</f>
        <v>16</v>
      </c>
      <c r="C21" s="1" t="n">
        <f aca="false">IFERROR(IF(Inputs!$B$7+C20+1&gt;=100,"",C20+1),"")</f>
        <v>19</v>
      </c>
      <c r="D21" s="6" t="n">
        <f aca="false">IFERROR(IF(Inputs!$B$7+C21&gt;=100,"",Inputs!$B$7+C21),"")</f>
        <v>35</v>
      </c>
      <c r="E21" s="8" t="n">
        <f aca="false">IF(D21="","",INDEX(MORTALITY!$B:$B,MATCH(D21,MORTALITY!$A:$A,0)))</f>
        <v>0.00459</v>
      </c>
      <c r="F21" s="8" t="n">
        <f aca="false">IF(D21="","",1-E21)</f>
        <v>0.99541</v>
      </c>
      <c r="G21" s="5" t="n">
        <f aca="false">IF(D21="","",Inputs!$B$23)</f>
        <v>0.025</v>
      </c>
      <c r="H21" s="1" t="n">
        <f aca="false">IF(D21="","",INDEX(Commutation!$L:$L,MATCH(Inputs!$B$7,Commutation!$A:$A,0)))</f>
        <v>11.0901711225671</v>
      </c>
      <c r="I21" s="1" t="n">
        <f aca="false">IF(D21="","",J20)</f>
        <v>456.612321072052</v>
      </c>
      <c r="J21" s="1" t="n">
        <f aca="false">IF(D21&gt;99,"",IF(E21=1,1000,MIN(1000,MAX(0,(INDEX(Commutation!$K:$K,MATCH(D22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22,Commutation!$A:$A,0))-INDEX(Commutation!$H:$H,MATCH(Inputs!$B$8,Commutation!$A:$A,0)))/INDEX(Commutation!$F:$F,MATCH(D22,Commutation!$A:$A,0))))*1000))))</f>
        <v>465.574616588996</v>
      </c>
      <c r="K21" s="1" t="n">
        <f aca="false">IF(Inputs!$B$7+20-1&gt;MAX(MORTALITY!$A:$A),"",IFERROR(J21,0))</f>
        <v>465.574616588996</v>
      </c>
      <c r="M21" s="1" t="n">
        <f aca="false">IF(A21="","",IF(E21=1,1000,IFERROR(((I21+IF(C21&lt;=Inputs!$B$8,$H$2,0))*(1+G21)-E21*1000)/F21,0)))</f>
        <v>476.9944590666</v>
      </c>
    </row>
    <row r="22" customFormat="false" ht="15" hidden="false" customHeight="false" outlineLevel="0" collapsed="false">
      <c r="A22" s="1" t="n">
        <f aca="false">IF(D22&gt;100,"",Inputs!$B$4)</f>
        <v>34</v>
      </c>
      <c r="B22" s="1" t="n">
        <f aca="false">IF(D22&gt;100,"",Inputs!$B$7)</f>
        <v>16</v>
      </c>
      <c r="C22" s="1" t="n">
        <f aca="false">IFERROR(IF(Inputs!$B$7+C21+1&gt;=100,"",C21+1),"")</f>
        <v>20</v>
      </c>
      <c r="D22" s="6" t="n">
        <f aca="false">IFERROR(IF(Inputs!$B$7+C22&gt;=100,"",Inputs!$B$7+C22),"")</f>
        <v>36</v>
      </c>
      <c r="E22" s="8" t="n">
        <f aca="false">IF(D22="","",INDEX(MORTALITY!$B:$B,MATCH(D22,MORTALITY!$A:$A,0)))</f>
        <v>0.00486</v>
      </c>
      <c r="F22" s="8" t="n">
        <f aca="false">IF(D22="","",1-E22)</f>
        <v>0.99514</v>
      </c>
      <c r="G22" s="5" t="n">
        <f aca="false">IF(D22="","",Inputs!$B$23)</f>
        <v>0.025</v>
      </c>
      <c r="H22" s="1" t="n">
        <f aca="false">IF(D22="","",INDEX(Commutation!$L:$L,MATCH(Inputs!$B$7,Commutation!$A:$A,0)))</f>
        <v>11.0901711225671</v>
      </c>
      <c r="I22" s="1" t="n">
        <f aca="false">IF(D22="","",J21)</f>
        <v>465.574616588996</v>
      </c>
      <c r="J22" s="1" t="n">
        <f aca="false">IF(D22&gt;99,"",IF(E22=1,1000,MIN(1000,MAX(0,(INDEX(Commutation!$K:$K,MATCH(D23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23,Commutation!$A:$A,0))-INDEX(Commutation!$H:$H,MATCH(Inputs!$B$8,Commutation!$A:$A,0)))/INDEX(Commutation!$F:$F,MATCH(D23,Commutation!$A:$A,0))))*1000))))</f>
        <v>474.660833655286</v>
      </c>
      <c r="K22" s="1" t="n">
        <f aca="false">IF(Inputs!$B$7+21-1&gt;MAX(MORTALITY!$A:$A),"",IFERROR(J22,0))</f>
        <v>474.660833655286</v>
      </c>
      <c r="M22" s="1" t="n">
        <f aca="false">IF(A22="","",IF(E22=1,1000,IFERROR(((I22+IF(C22&lt;=Inputs!$B$8,$H$2,0))*(1+G22)-E22*1000)/F22,0)))</f>
        <v>486.083774548659</v>
      </c>
    </row>
    <row r="23" customFormat="false" ht="15" hidden="false" customHeight="false" outlineLevel="0" collapsed="false">
      <c r="A23" s="1" t="n">
        <f aca="false">IF(D23&gt;100,"",Inputs!$B$4)</f>
        <v>34</v>
      </c>
      <c r="B23" s="1" t="n">
        <f aca="false">IF(D23&gt;100,"",Inputs!$B$7)</f>
        <v>16</v>
      </c>
      <c r="C23" s="1" t="n">
        <f aca="false">IFERROR(IF(Inputs!$B$7+C22+1&gt;=100,"",C22+1),"")</f>
        <v>21</v>
      </c>
      <c r="D23" s="6" t="n">
        <f aca="false">IFERROR(IF(Inputs!$B$7+C23&gt;=100,"",Inputs!$B$7+C23),"")</f>
        <v>37</v>
      </c>
      <c r="E23" s="8" t="n">
        <f aca="false">IF(D23="","",INDEX(MORTALITY!$B:$B,MATCH(D23,MORTALITY!$A:$A,0)))</f>
        <v>0.00515</v>
      </c>
      <c r="F23" s="8" t="n">
        <f aca="false">IF(D23="","",1-E23)</f>
        <v>0.99485</v>
      </c>
      <c r="G23" s="5" t="n">
        <f aca="false">IF(D23="","",Inputs!$B$23)</f>
        <v>0.025</v>
      </c>
      <c r="H23" s="1" t="n">
        <f aca="false">IF(D23="","",INDEX(Commutation!$L:$L,MATCH(Inputs!$B$7,Commutation!$A:$A,0)))</f>
        <v>11.0901711225671</v>
      </c>
      <c r="I23" s="1" t="n">
        <f aca="false">IF(D23="","",J22)</f>
        <v>474.660833655286</v>
      </c>
      <c r="J23" s="1" t="n">
        <f aca="false">IF(D23&gt;99,"",IF(E23=1,1000,MIN(1000,MAX(0,(INDEX(Commutation!$K:$K,MATCH(D24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24,Commutation!$A:$A,0))-INDEX(Commutation!$H:$H,MATCH(Inputs!$B$8,Commutation!$A:$A,0)))/INDEX(Commutation!$F:$F,MATCH(D24,Commutation!$A:$A,0))))*1000))))</f>
        <v>483.869281295339</v>
      </c>
      <c r="K23" s="1" t="n">
        <f aca="false">IF(Inputs!$B$7+22-1&gt;MAX(MORTALITY!$A:$A),"",IFERROR(J23,0))</f>
        <v>483.869281295339</v>
      </c>
      <c r="M23" s="1" t="n">
        <f aca="false">IF(A23="","",IF(E23=1,1000,IFERROR(((I23+IF(C23&lt;=Inputs!$B$8,$H$2,0))*(1+G23)-E23*1000)/F23,0)))</f>
        <v>495.295551990048</v>
      </c>
    </row>
    <row r="24" customFormat="false" ht="15" hidden="false" customHeight="false" outlineLevel="0" collapsed="false">
      <c r="A24" s="1" t="n">
        <f aca="false">IF(D24&gt;100,"",Inputs!$B$4)</f>
        <v>34</v>
      </c>
      <c r="B24" s="1" t="n">
        <f aca="false">IF(D24&gt;100,"",Inputs!$B$7)</f>
        <v>16</v>
      </c>
      <c r="C24" s="1" t="n">
        <f aca="false">IFERROR(IF(Inputs!$B$7+C23+1&gt;=100,"",C23+1),"")</f>
        <v>22</v>
      </c>
      <c r="D24" s="6" t="n">
        <f aca="false">IFERROR(IF(Inputs!$B$7+C24&gt;=100,"",Inputs!$B$7+C24),"")</f>
        <v>38</v>
      </c>
      <c r="E24" s="8" t="n">
        <f aca="false">IF(D24="","",INDEX(MORTALITY!$B:$B,MATCH(D24,MORTALITY!$A:$A,0)))</f>
        <v>0.00546</v>
      </c>
      <c r="F24" s="8" t="n">
        <f aca="false">IF(D24="","",1-E24)</f>
        <v>0.99454</v>
      </c>
      <c r="G24" s="5" t="n">
        <f aca="false">IF(D24="","",Inputs!$B$23)</f>
        <v>0.025</v>
      </c>
      <c r="H24" s="1" t="n">
        <f aca="false">IF(D24="","",INDEX(Commutation!$L:$L,MATCH(Inputs!$B$7,Commutation!$A:$A,0)))</f>
        <v>11.0901711225671</v>
      </c>
      <c r="I24" s="1" t="n">
        <f aca="false">IF(D24="","",J23)</f>
        <v>483.869281295339</v>
      </c>
      <c r="J24" s="1" t="n">
        <f aca="false">IF(D24&gt;99,"",IF(E24=1,1000,MIN(1000,MAX(0,(INDEX(Commutation!$K:$K,MATCH(D25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25,Commutation!$A:$A,0))-INDEX(Commutation!$H:$H,MATCH(Inputs!$B$8,Commutation!$A:$A,0)))/INDEX(Commutation!$F:$F,MATCH(D25,Commutation!$A:$A,0))))*1000))))</f>
        <v>493.198879208199</v>
      </c>
      <c r="K24" s="1" t="n">
        <f aca="false">IF(Inputs!$B$7+23-1&gt;MAX(MORTALITY!$A:$A),"",IFERROR(J24,0))</f>
        <v>493.198879208199</v>
      </c>
      <c r="M24" s="1" t="n">
        <f aca="false">IF(A24="","",IF(E24=1,1000,IFERROR(((I24+IF(C24&lt;=Inputs!$B$8,$H$2,0))*(1+G24)-E24*1000)/F24,0)))</f>
        <v>504.628711493106</v>
      </c>
    </row>
    <row r="25" customFormat="false" ht="15" hidden="false" customHeight="false" outlineLevel="0" collapsed="false">
      <c r="A25" s="1" t="n">
        <f aca="false">IF(D25&gt;100,"",Inputs!$B$4)</f>
        <v>34</v>
      </c>
      <c r="B25" s="1" t="n">
        <f aca="false">IF(D25&gt;100,"",Inputs!$B$7)</f>
        <v>16</v>
      </c>
      <c r="C25" s="1" t="n">
        <f aca="false">IFERROR(IF(Inputs!$B$7+C24+1&gt;=100,"",C24+1),"")</f>
        <v>23</v>
      </c>
      <c r="D25" s="6" t="n">
        <f aca="false">IFERROR(IF(Inputs!$B$7+C25&gt;=100,"",Inputs!$B$7+C25),"")</f>
        <v>39</v>
      </c>
      <c r="E25" s="8" t="n">
        <f aca="false">IF(D25="","",INDEX(MORTALITY!$B:$B,MATCH(D25,MORTALITY!$A:$A,0)))</f>
        <v>0.00581</v>
      </c>
      <c r="F25" s="8" t="n">
        <f aca="false">IF(D25="","",1-E25)</f>
        <v>0.99419</v>
      </c>
      <c r="G25" s="5" t="n">
        <f aca="false">IF(D25="","",Inputs!$B$23)</f>
        <v>0.025</v>
      </c>
      <c r="H25" s="1" t="n">
        <f aca="false">IF(D25="","",INDEX(Commutation!$L:$L,MATCH(Inputs!$B$7,Commutation!$A:$A,0)))</f>
        <v>11.0901711225671</v>
      </c>
      <c r="I25" s="1" t="n">
        <f aca="false">IF(D25="","",J24)</f>
        <v>493.198879208199</v>
      </c>
      <c r="J25" s="1" t="n">
        <f aca="false">IF(D25&gt;99,"",IF(E25=1,1000,MIN(1000,MAX(0,(INDEX(Commutation!$K:$K,MATCH(D26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26,Commutation!$A:$A,0))-INDEX(Commutation!$H:$H,MATCH(Inputs!$B$8,Commutation!$A:$A,0)))/INDEX(Commutation!$F:$F,MATCH(D26,Commutation!$A:$A,0))))*1000))))</f>
        <v>502.639184852397</v>
      </c>
      <c r="K25" s="1" t="n">
        <f aca="false">IF(Inputs!$B$7+24-1&gt;MAX(MORTALITY!$A:$A),"",IFERROR(J25,0))</f>
        <v>502.639184852397</v>
      </c>
      <c r="M25" s="1" t="n">
        <f aca="false">IF(A25="","",IF(E25=1,1000,IFERROR(((I25+IF(C25&lt;=Inputs!$B$8,$H$2,0))*(1+G25)-E25*1000)/F25,0)))</f>
        <v>514.073040956996</v>
      </c>
    </row>
    <row r="26" customFormat="false" ht="15" hidden="false" customHeight="false" outlineLevel="0" collapsed="false">
      <c r="A26" s="1" t="n">
        <f aca="false">IF(D26&gt;100,"",Inputs!$B$4)</f>
        <v>34</v>
      </c>
      <c r="B26" s="1" t="n">
        <f aca="false">IF(D26&gt;100,"",Inputs!$B$7)</f>
        <v>16</v>
      </c>
      <c r="C26" s="1" t="n">
        <f aca="false">IFERROR(IF(Inputs!$B$7+C25+1&gt;=100,"",C25+1),"")</f>
        <v>24</v>
      </c>
      <c r="D26" s="6" t="n">
        <f aca="false">IFERROR(IF(Inputs!$B$7+C26&gt;=100,"",Inputs!$B$7+C26),"")</f>
        <v>40</v>
      </c>
      <c r="E26" s="8" t="n">
        <f aca="false">IF(D26="","",INDEX(MORTALITY!$B:$B,MATCH(D26,MORTALITY!$A:$A,0)))</f>
        <v>0.00618</v>
      </c>
      <c r="F26" s="8" t="n">
        <f aca="false">IF(D26="","",1-E26)</f>
        <v>0.99382</v>
      </c>
      <c r="G26" s="5" t="n">
        <f aca="false">IF(D26="","",Inputs!$B$23)</f>
        <v>0.025</v>
      </c>
      <c r="H26" s="1" t="n">
        <f aca="false">IF(D26="","",INDEX(Commutation!$L:$L,MATCH(Inputs!$B$7,Commutation!$A:$A,0)))</f>
        <v>11.0901711225671</v>
      </c>
      <c r="I26" s="1" t="n">
        <f aca="false">IF(D26="","",J25)</f>
        <v>502.639184852397</v>
      </c>
      <c r="J26" s="1" t="n">
        <f aca="false">IF(D26&gt;99,"",IF(E26=1,1000,MIN(1000,MAX(0,(INDEX(Commutation!$K:$K,MATCH(D27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27,Commutation!$A:$A,0))-INDEX(Commutation!$H:$H,MATCH(Inputs!$B$8,Commutation!$A:$A,0)))/INDEX(Commutation!$F:$F,MATCH(D27,Commutation!$A:$A,0))))*1000))))</f>
        <v>512.190501774674</v>
      </c>
      <c r="K26" s="1" t="n">
        <f aca="false">IF(Inputs!$B$7+25-1&gt;MAX(MORTALITY!$A:$A),"",IFERROR(J26,0))</f>
        <v>512.190501774674</v>
      </c>
      <c r="M26" s="1" t="n">
        <f aca="false">IF(A26="","",IF(E26=1,1000,IFERROR(((I26+IF(C26&lt;=Inputs!$B$8,$H$2,0))*(1+G26)-E26*1000)/F26,0)))</f>
        <v>523.628614713266</v>
      </c>
    </row>
    <row r="27" customFormat="false" ht="15" hidden="false" customHeight="false" outlineLevel="0" collapsed="false">
      <c r="A27" s="1" t="n">
        <f aca="false">IF(D27&gt;100,"",Inputs!$B$4)</f>
        <v>34</v>
      </c>
      <c r="B27" s="1" t="n">
        <f aca="false">IF(D27&gt;100,"",Inputs!$B$7)</f>
        <v>16</v>
      </c>
      <c r="C27" s="1" t="n">
        <f aca="false">IFERROR(IF(Inputs!$B$7+C26+1&gt;=100,"",C26+1),"")</f>
        <v>25</v>
      </c>
      <c r="D27" s="6" t="n">
        <f aca="false">IFERROR(IF(Inputs!$B$7+C27&gt;=100,"",Inputs!$B$7+C27),"")</f>
        <v>41</v>
      </c>
      <c r="E27" s="8" t="n">
        <f aca="false">IF(D27="","",INDEX(MORTALITY!$B:$B,MATCH(D27,MORTALITY!$A:$A,0)))</f>
        <v>0.00659</v>
      </c>
      <c r="F27" s="8" t="n">
        <f aca="false">IF(D27="","",1-E27)</f>
        <v>0.99341</v>
      </c>
      <c r="G27" s="5" t="n">
        <f aca="false">IF(D27="","",Inputs!$B$23)</f>
        <v>0.025</v>
      </c>
      <c r="H27" s="1" t="n">
        <f aca="false">IF(D27="","",INDEX(Commutation!$L:$L,MATCH(Inputs!$B$7,Commutation!$A:$A,0)))</f>
        <v>11.0901711225671</v>
      </c>
      <c r="I27" s="1" t="n">
        <f aca="false">IF(D27="","",J26)</f>
        <v>512.190501774674</v>
      </c>
      <c r="J27" s="1" t="n">
        <f aca="false">IF(D27&gt;99,"",IF(E27=1,1000,MIN(1000,MAX(0,(INDEX(Commutation!$K:$K,MATCH(D28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28,Commutation!$A:$A,0))-INDEX(Commutation!$H:$H,MATCH(Inputs!$B$8,Commutation!$A:$A,0)))/INDEX(Commutation!$F:$F,MATCH(D28,Commutation!$A:$A,0))))*1000))))</f>
        <v>521.844217713775</v>
      </c>
      <c r="K27" s="1" t="n">
        <f aca="false">IF(Inputs!$B$7+26-1&gt;MAX(MORTALITY!$A:$A),"",IFERROR(J27,0))</f>
        <v>521.844217713775</v>
      </c>
      <c r="M27" s="1" t="n">
        <f aca="false">IF(A27="","",IF(E27=1,1000,IFERROR(((I27+IF(C27&lt;=Inputs!$B$8,$H$2,0))*(1+G27)-E27*1000)/F27,0)))</f>
        <v>533.287051388321</v>
      </c>
    </row>
    <row r="28" customFormat="false" ht="15" hidden="false" customHeight="false" outlineLevel="0" collapsed="false">
      <c r="A28" s="1" t="n">
        <f aca="false">IF(D28&gt;100,"",Inputs!$B$4)</f>
        <v>34</v>
      </c>
      <c r="B28" s="1" t="n">
        <f aca="false">IF(D28&gt;100,"",Inputs!$B$7)</f>
        <v>16</v>
      </c>
      <c r="C28" s="1" t="n">
        <f aca="false">IFERROR(IF(Inputs!$B$7+C27+1&gt;=100,"",C27+1),"")</f>
        <v>26</v>
      </c>
      <c r="D28" s="6" t="n">
        <f aca="false">IFERROR(IF(Inputs!$B$7+C28&gt;=100,"",Inputs!$B$7+C28),"")</f>
        <v>42</v>
      </c>
      <c r="E28" s="8" t="n">
        <f aca="false">IF(D28="","",INDEX(MORTALITY!$B:$B,MATCH(D28,MORTALITY!$A:$A,0)))</f>
        <v>0.00703</v>
      </c>
      <c r="F28" s="8" t="n">
        <f aca="false">IF(D28="","",1-E28)</f>
        <v>0.99297</v>
      </c>
      <c r="G28" s="5" t="n">
        <f aca="false">IF(D28="","",Inputs!$B$23)</f>
        <v>0.025</v>
      </c>
      <c r="H28" s="1" t="n">
        <f aca="false">IF(D28="","",INDEX(Commutation!$L:$L,MATCH(Inputs!$B$7,Commutation!$A:$A,0)))</f>
        <v>11.0901711225671</v>
      </c>
      <c r="I28" s="1" t="n">
        <f aca="false">IF(D28="","",J27)</f>
        <v>521.844217713775</v>
      </c>
      <c r="J28" s="1" t="n">
        <f aca="false">IF(D28&gt;99,"",IF(E28=1,1000,MIN(1000,MAX(0,(INDEX(Commutation!$K:$K,MATCH(D29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29,Commutation!$A:$A,0))-INDEX(Commutation!$H:$H,MATCH(Inputs!$B$8,Commutation!$A:$A,0)))/INDEX(Commutation!$F:$F,MATCH(D29,Commutation!$A:$A,0))))*1000))))</f>
        <v>531.597453252987</v>
      </c>
      <c r="K28" s="1" t="n">
        <f aca="false">IF(Inputs!$B$7+27-1&gt;MAX(MORTALITY!$A:$A),"",IFERROR(J28,0))</f>
        <v>531.597453252987</v>
      </c>
      <c r="M28" s="1" t="n">
        <f aca="false">IF(A28="","",IF(E28=1,1000,IFERROR(((I28+IF(C28&lt;=Inputs!$B$8,$H$2,0))*(1+G28)-E28*1000)/F28,0)))</f>
        <v>543.045357419912</v>
      </c>
    </row>
    <row r="29" customFormat="false" ht="15" hidden="false" customHeight="false" outlineLevel="0" collapsed="false">
      <c r="A29" s="1" t="n">
        <f aca="false">IF(D29&gt;100,"",Inputs!$B$4)</f>
        <v>34</v>
      </c>
      <c r="B29" s="1" t="n">
        <f aca="false">IF(D29&gt;100,"",Inputs!$B$7)</f>
        <v>16</v>
      </c>
      <c r="C29" s="1" t="n">
        <f aca="false">IFERROR(IF(Inputs!$B$7+C28+1&gt;=100,"",C28+1),"")</f>
        <v>27</v>
      </c>
      <c r="D29" s="6" t="n">
        <f aca="false">IFERROR(IF(Inputs!$B$7+C29&gt;=100,"",Inputs!$B$7+C29),"")</f>
        <v>43</v>
      </c>
      <c r="E29" s="8" t="n">
        <f aca="false">IF(D29="","",INDEX(MORTALITY!$B:$B,MATCH(D29,MORTALITY!$A:$A,0)))</f>
        <v>0.00751</v>
      </c>
      <c r="F29" s="8" t="n">
        <f aca="false">IF(D29="","",1-E29)</f>
        <v>0.99249</v>
      </c>
      <c r="G29" s="5" t="n">
        <f aca="false">IF(D29="","",Inputs!$B$23)</f>
        <v>0.025</v>
      </c>
      <c r="H29" s="1" t="n">
        <f aca="false">IF(D29="","",INDEX(Commutation!$L:$L,MATCH(Inputs!$B$7,Commutation!$A:$A,0)))</f>
        <v>11.0901711225671</v>
      </c>
      <c r="I29" s="1" t="n">
        <f aca="false">IF(D29="","",J28)</f>
        <v>531.597453252987</v>
      </c>
      <c r="J29" s="1" t="n">
        <f aca="false">IF(D29&gt;99,"",IF(E29=1,1000,MIN(1000,MAX(0,(INDEX(Commutation!$K:$K,MATCH(D30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30,Commutation!$A:$A,0))-INDEX(Commutation!$H:$H,MATCH(Inputs!$B$8,Commutation!$A:$A,0)))/INDEX(Commutation!$F:$F,MATCH(D30,Commutation!$A:$A,0))))*1000))))</f>
        <v>541.443631255037</v>
      </c>
      <c r="K29" s="1" t="n">
        <f aca="false">IF(Inputs!$B$7+28-1&gt;MAX(MORTALITY!$A:$A),"",IFERROR(J29,0))</f>
        <v>541.443631255037</v>
      </c>
      <c r="M29" s="1" t="n">
        <f aca="false">IF(A29="","",IF(E29=1,1000,IFERROR(((I29+IF(C29&lt;=Inputs!$B$8,$H$2,0))*(1+G29)-E29*1000)/F29,0)))</f>
        <v>552.89707199563</v>
      </c>
    </row>
    <row r="30" customFormat="false" ht="15" hidden="false" customHeight="false" outlineLevel="0" collapsed="false">
      <c r="A30" s="1" t="n">
        <f aca="false">IF(D30&gt;100,"",Inputs!$B$4)</f>
        <v>34</v>
      </c>
      <c r="B30" s="1" t="n">
        <f aca="false">IF(D30&gt;100,"",Inputs!$B$7)</f>
        <v>16</v>
      </c>
      <c r="C30" s="1" t="n">
        <f aca="false">IFERROR(IF(Inputs!$B$7+C29+1&gt;=100,"",C29+1),"")</f>
        <v>28</v>
      </c>
      <c r="D30" s="6" t="n">
        <f aca="false">IFERROR(IF(Inputs!$B$7+C30&gt;=100,"",Inputs!$B$7+C30),"")</f>
        <v>44</v>
      </c>
      <c r="E30" s="8" t="n">
        <f aca="false">IF(D30="","",INDEX(MORTALITY!$B:$B,MATCH(D30,MORTALITY!$A:$A,0)))</f>
        <v>0.00804</v>
      </c>
      <c r="F30" s="8" t="n">
        <f aca="false">IF(D30="","",1-E30)</f>
        <v>0.99196</v>
      </c>
      <c r="G30" s="5" t="n">
        <f aca="false">IF(D30="","",Inputs!$B$23)</f>
        <v>0.025</v>
      </c>
      <c r="H30" s="1" t="n">
        <f aca="false">IF(D30="","",INDEX(Commutation!$L:$L,MATCH(Inputs!$B$7,Commutation!$A:$A,0)))</f>
        <v>11.0901711225671</v>
      </c>
      <c r="I30" s="1" t="n">
        <f aca="false">IF(D30="","",J29)</f>
        <v>541.443631255037</v>
      </c>
      <c r="J30" s="1" t="n">
        <f aca="false">IF(D30&gt;99,"",IF(E30=1,1000,MIN(1000,MAX(0,(INDEX(Commutation!$K:$K,MATCH(D31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31,Commutation!$A:$A,0))-INDEX(Commutation!$H:$H,MATCH(Inputs!$B$8,Commutation!$A:$A,0)))/INDEX(Commutation!$F:$F,MATCH(D31,Commutation!$A:$A,0))))*1000))))</f>
        <v>551.372759018925</v>
      </c>
      <c r="K30" s="1" t="n">
        <f aca="false">IF(Inputs!$B$7+29-1&gt;MAX(MORTALITY!$A:$A),"",IFERROR(J30,0))</f>
        <v>551.372759018925</v>
      </c>
      <c r="M30" s="1" t="n">
        <f aca="false">IF(A30="","",IF(E30=1,1000,IFERROR(((I30+IF(C30&lt;=Inputs!$B$8,$H$2,0))*(1+G30)-E30*1000)/F30,0)))</f>
        <v>562.832319284089</v>
      </c>
    </row>
    <row r="31" customFormat="false" ht="15" hidden="false" customHeight="false" outlineLevel="0" collapsed="false">
      <c r="A31" s="1" t="n">
        <f aca="false">IF(D31&gt;100,"",Inputs!$B$4)</f>
        <v>34</v>
      </c>
      <c r="B31" s="1" t="n">
        <f aca="false">IF(D31&gt;100,"",Inputs!$B$7)</f>
        <v>16</v>
      </c>
      <c r="C31" s="1" t="n">
        <f aca="false">IFERROR(IF(Inputs!$B$7+C30+1&gt;=100,"",C30+1),"")</f>
        <v>29</v>
      </c>
      <c r="D31" s="6" t="n">
        <f aca="false">IFERROR(IF(Inputs!$B$7+C31&gt;=100,"",Inputs!$B$7+C31),"")</f>
        <v>45</v>
      </c>
      <c r="E31" s="8" t="n">
        <f aca="false">IF(D31="","",INDEX(MORTALITY!$B:$B,MATCH(D31,MORTALITY!$A:$A,0)))</f>
        <v>0.00861</v>
      </c>
      <c r="F31" s="8" t="n">
        <f aca="false">IF(D31="","",1-E31)</f>
        <v>0.99139</v>
      </c>
      <c r="G31" s="5" t="n">
        <f aca="false">IF(D31="","",Inputs!$B$23)</f>
        <v>0.025</v>
      </c>
      <c r="H31" s="1" t="n">
        <f aca="false">IF(D31="","",INDEX(Commutation!$L:$L,MATCH(Inputs!$B$7,Commutation!$A:$A,0)))</f>
        <v>11.0901711225671</v>
      </c>
      <c r="I31" s="1" t="n">
        <f aca="false">IF(D31="","",J30)</f>
        <v>551.372759018925</v>
      </c>
      <c r="J31" s="1" t="n">
        <f aca="false">IF(D31&gt;99,"",IF(E31=1,1000,MIN(1000,MAX(0,(INDEX(Commutation!$K:$K,MATCH(D32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32,Commutation!$A:$A,0))-INDEX(Commutation!$H:$H,MATCH(Inputs!$B$8,Commutation!$A:$A,0)))/INDEX(Commutation!$F:$F,MATCH(D32,Commutation!$A:$A,0))))*1000))))</f>
        <v>561.380564656087</v>
      </c>
      <c r="K31" s="1" t="n">
        <f aca="false">IF(Inputs!$B$7+30-1&gt;MAX(MORTALITY!$A:$A),"",IFERROR(J31,0))</f>
        <v>561.380564656087</v>
      </c>
      <c r="M31" s="1" t="n">
        <f aca="false">IF(A31="","",IF(E31=1,1000,IFERROR(((I31+IF(C31&lt;=Inputs!$B$8,$H$2,0))*(1+G31)-E31*1000)/F31,0)))</f>
        <v>572.846713599118</v>
      </c>
    </row>
    <row r="32" customFormat="false" ht="15" hidden="false" customHeight="false" outlineLevel="0" collapsed="false">
      <c r="A32" s="1" t="n">
        <f aca="false">IF(D32&gt;100,"",Inputs!$B$4)</f>
        <v>34</v>
      </c>
      <c r="B32" s="1" t="n">
        <f aca="false">IF(D32&gt;100,"",Inputs!$B$7)</f>
        <v>16</v>
      </c>
      <c r="C32" s="1" t="n">
        <f aca="false">IFERROR(IF(Inputs!$B$7+C31+1&gt;=100,"",C31+1),"")</f>
        <v>30</v>
      </c>
      <c r="D32" s="6" t="n">
        <f aca="false">IFERROR(IF(Inputs!$B$7+C32&gt;=100,"",Inputs!$B$7+C32),"")</f>
        <v>46</v>
      </c>
      <c r="E32" s="8" t="n">
        <f aca="false">IF(D32="","",INDEX(MORTALITY!$B:$B,MATCH(D32,MORTALITY!$A:$A,0)))</f>
        <v>0.00923</v>
      </c>
      <c r="F32" s="8" t="n">
        <f aca="false">IF(D32="","",1-E32)</f>
        <v>0.99077</v>
      </c>
      <c r="G32" s="5" t="n">
        <f aca="false">IF(D32="","",Inputs!$B$23)</f>
        <v>0.025</v>
      </c>
      <c r="H32" s="1" t="n">
        <f aca="false">IF(D32="","",INDEX(Commutation!$L:$L,MATCH(Inputs!$B$7,Commutation!$A:$A,0)))</f>
        <v>11.0901711225671</v>
      </c>
      <c r="I32" s="1" t="n">
        <f aca="false">IF(D32="","",J31)</f>
        <v>561.380564656087</v>
      </c>
      <c r="J32" s="1" t="n">
        <f aca="false">IF(D32&gt;99,"",IF(E32=1,1000,MIN(1000,MAX(0,(INDEX(Commutation!$K:$K,MATCH(D33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33,Commutation!$A:$A,0))-INDEX(Commutation!$H:$H,MATCH(Inputs!$B$8,Commutation!$A:$A,0)))/INDEX(Commutation!$F:$F,MATCH(D33,Commutation!$A:$A,0))))*1000))))</f>
        <v>571.459651354491</v>
      </c>
      <c r="K32" s="1" t="n">
        <f aca="false">IF(Inputs!$B$7+31-1&gt;MAX(MORTALITY!$A:$A),"",IFERROR(J32,0))</f>
        <v>571.459651354491</v>
      </c>
      <c r="M32" s="1" t="n">
        <f aca="false">IF(A32="","",IF(E32=1,1000,IFERROR(((I32+IF(C32&lt;=Inputs!$B$8,$H$2,0))*(1+G32)-E32*1000)/F32,0)))</f>
        <v>582.93297553733</v>
      </c>
    </row>
    <row r="33" customFormat="false" ht="15" hidden="false" customHeight="false" outlineLevel="0" collapsed="false">
      <c r="A33" s="1" t="n">
        <f aca="false">IF(D33&gt;100,"",Inputs!$B$4)</f>
        <v>34</v>
      </c>
      <c r="B33" s="1" t="n">
        <f aca="false">IF(D33&gt;100,"",Inputs!$B$7)</f>
        <v>16</v>
      </c>
      <c r="C33" s="1" t="n">
        <f aca="false">IFERROR(IF(Inputs!$B$7+C32+1&gt;=100,"",C32+1),"")</f>
        <v>31</v>
      </c>
      <c r="D33" s="6" t="n">
        <f aca="false">IFERROR(IF(Inputs!$B$7+C33&gt;=100,"",Inputs!$B$7+C33),"")</f>
        <v>47</v>
      </c>
      <c r="E33" s="8" t="n">
        <f aca="false">IF(D33="","",INDEX(MORTALITY!$B:$B,MATCH(D33,MORTALITY!$A:$A,0)))</f>
        <v>0.00991</v>
      </c>
      <c r="F33" s="8" t="n">
        <f aca="false">IF(D33="","",1-E33)</f>
        <v>0.99009</v>
      </c>
      <c r="G33" s="5" t="n">
        <f aca="false">IF(D33="","",Inputs!$B$23)</f>
        <v>0.025</v>
      </c>
      <c r="H33" s="1" t="n">
        <f aca="false">IF(D33="","",INDEX(Commutation!$L:$L,MATCH(Inputs!$B$7,Commutation!$A:$A,0)))</f>
        <v>11.0901711225671</v>
      </c>
      <c r="I33" s="1" t="n">
        <f aca="false">IF(D33="","",J32)</f>
        <v>571.459651354491</v>
      </c>
      <c r="J33" s="1" t="n">
        <f aca="false">IF(D33&gt;99,"",IF(E33=1,1000,MIN(1000,MAX(0,(INDEX(Commutation!$K:$K,MATCH(D34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34,Commutation!$A:$A,0))-INDEX(Commutation!$H:$H,MATCH(Inputs!$B$8,Commutation!$A:$A,0)))/INDEX(Commutation!$F:$F,MATCH(D34,Commutation!$A:$A,0))))*1000))))</f>
        <v>581.599796622886</v>
      </c>
      <c r="K33" s="1" t="n">
        <f aca="false">IF(Inputs!$B$7+32-1&gt;MAX(MORTALITY!$A:$A),"",IFERROR(J33,0))</f>
        <v>581.599796622886</v>
      </c>
      <c r="M33" s="1" t="n">
        <f aca="false">IF(A33="","",IF(E33=1,1000,IFERROR(((I33+IF(C33&lt;=Inputs!$B$8,$H$2,0))*(1+G33)-E33*1000)/F33,0)))</f>
        <v>581.599796622886</v>
      </c>
    </row>
    <row r="34" customFormat="false" ht="15" hidden="false" customHeight="false" outlineLevel="0" collapsed="false">
      <c r="A34" s="1" t="n">
        <f aca="false">IF(D34&gt;100,"",Inputs!$B$4)</f>
        <v>34</v>
      </c>
      <c r="B34" s="1" t="n">
        <f aca="false">IF(D34&gt;100,"",Inputs!$B$7)</f>
        <v>16</v>
      </c>
      <c r="C34" s="1" t="n">
        <f aca="false">IFERROR(IF(Inputs!$B$7+C33+1&gt;=100,"",C33+1),"")</f>
        <v>32</v>
      </c>
      <c r="D34" s="6" t="n">
        <f aca="false">IFERROR(IF(Inputs!$B$7+C34&gt;=100,"",Inputs!$B$7+C34),"")</f>
        <v>48</v>
      </c>
      <c r="E34" s="8" t="n">
        <f aca="false">IF(D34="","",INDEX(MORTALITY!$B:$B,MATCH(D34,MORTALITY!$A:$A,0)))</f>
        <v>0.01064</v>
      </c>
      <c r="F34" s="8" t="n">
        <f aca="false">IF(D34="","",1-E34)</f>
        <v>0.98936</v>
      </c>
      <c r="G34" s="5" t="n">
        <f aca="false">IF(D34="","",Inputs!$B$23)</f>
        <v>0.025</v>
      </c>
      <c r="H34" s="1" t="n">
        <f aca="false">IF(D34="","",INDEX(Commutation!$L:$L,MATCH(Inputs!$B$7,Commutation!$A:$A,0)))</f>
        <v>11.0901711225671</v>
      </c>
      <c r="I34" s="1" t="n">
        <f aca="false">IF(D34="","",J33)</f>
        <v>581.599796622886</v>
      </c>
      <c r="J34" s="1" t="n">
        <f aca="false">IF(D34&gt;99,"",IF(E34=1,1000,MIN(1000,MAX(0,(INDEX(Commutation!$K:$K,MATCH(D35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35,Commutation!$A:$A,0))-INDEX(Commutation!$H:$H,MATCH(Inputs!$B$8,Commutation!$A:$A,0)))/INDEX(Commutation!$F:$F,MATCH(D35,Commutation!$A:$A,0))))*1000))))</f>
        <v>591.796506366195</v>
      </c>
      <c r="K34" s="1" t="n">
        <f aca="false">IF(Inputs!$B$7+33-1&gt;MAX(MORTALITY!$A:$A),"",IFERROR(J34,0))</f>
        <v>591.796506366195</v>
      </c>
      <c r="M34" s="1" t="n">
        <f aca="false">IF(A34="","",IF(E34=1,1000,IFERROR(((I34+IF(C34&lt;=Inputs!$B$8,$H$2,0))*(1+G34)-E34*1000)/F34,0)))</f>
        <v>591.796506366195</v>
      </c>
    </row>
    <row r="35" customFormat="false" ht="15" hidden="false" customHeight="false" outlineLevel="0" collapsed="false">
      <c r="A35" s="1" t="n">
        <f aca="false">IF(D35&gt;100,"",Inputs!$B$4)</f>
        <v>34</v>
      </c>
      <c r="B35" s="1" t="n">
        <f aca="false">IF(D35&gt;100,"",Inputs!$B$7)</f>
        <v>16</v>
      </c>
      <c r="C35" s="1" t="n">
        <f aca="false">IFERROR(IF(Inputs!$B$7+C34+1&gt;=100,"",C34+1),"")</f>
        <v>33</v>
      </c>
      <c r="D35" s="6" t="n">
        <f aca="false">IFERROR(IF(Inputs!$B$7+C35&gt;=100,"",Inputs!$B$7+C35),"")</f>
        <v>49</v>
      </c>
      <c r="E35" s="8" t="n">
        <f aca="false">IF(D35="","",INDEX(MORTALITY!$B:$B,MATCH(D35,MORTALITY!$A:$A,0)))</f>
        <v>0.01145</v>
      </c>
      <c r="F35" s="8" t="n">
        <f aca="false">IF(D35="","",1-E35)</f>
        <v>0.98855</v>
      </c>
      <c r="G35" s="5" t="n">
        <f aca="false">IF(D35="","",Inputs!$B$23)</f>
        <v>0.025</v>
      </c>
      <c r="H35" s="1" t="n">
        <f aca="false">IF(D35="","",INDEX(Commutation!$L:$L,MATCH(Inputs!$B$7,Commutation!$A:$A,0)))</f>
        <v>11.0901711225671</v>
      </c>
      <c r="I35" s="1" t="n">
        <f aca="false">IF(D35="","",J34)</f>
        <v>591.796506366195</v>
      </c>
      <c r="J35" s="1" t="n">
        <f aca="false">IF(D35&gt;99,"",IF(E35=1,1000,MIN(1000,MAX(0,(INDEX(Commutation!$K:$K,MATCH(D36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36,Commutation!$A:$A,0))-INDEX(Commutation!$H:$H,MATCH(Inputs!$B$8,Commutation!$A:$A,0)))/INDEX(Commutation!$F:$F,MATCH(D36,Commutation!$A:$A,0))))*1000))))</f>
        <v>602.034716529614</v>
      </c>
      <c r="K35" s="1" t="n">
        <f aca="false">IF(Inputs!$B$7+34-1&gt;MAX(MORTALITY!$A:$A),"",IFERROR(J35,0))</f>
        <v>602.034716529614</v>
      </c>
      <c r="M35" s="1" t="n">
        <f aca="false">IF(A35="","",IF(E35=1,1000,IFERROR(((I35+IF(C35&lt;=Inputs!$B$8,$H$2,0))*(1+G35)-E35*1000)/F35,0)))</f>
        <v>602.034716529614</v>
      </c>
    </row>
    <row r="36" customFormat="false" ht="15" hidden="false" customHeight="false" outlineLevel="0" collapsed="false">
      <c r="A36" s="1" t="n">
        <f aca="false">IF(D36&gt;100,"",Inputs!$B$4)</f>
        <v>34</v>
      </c>
      <c r="B36" s="1" t="n">
        <f aca="false">IF(D36&gt;100,"",Inputs!$B$7)</f>
        <v>16</v>
      </c>
      <c r="C36" s="1" t="n">
        <f aca="false">IFERROR(IF(Inputs!$B$7+C35+1&gt;=100,"",C35+1),"")</f>
        <v>34</v>
      </c>
      <c r="D36" s="6" t="n">
        <f aca="false">IFERROR(IF(Inputs!$B$7+C36&gt;=100,"",Inputs!$B$7+C36),"")</f>
        <v>50</v>
      </c>
      <c r="E36" s="8" t="n">
        <f aca="false">IF(D36="","",INDEX(MORTALITY!$B:$B,MATCH(D36,MORTALITY!$A:$A,0)))</f>
        <v>0.01232</v>
      </c>
      <c r="F36" s="8" t="n">
        <f aca="false">IF(D36="","",1-E36)</f>
        <v>0.98768</v>
      </c>
      <c r="G36" s="5" t="n">
        <f aca="false">IF(D36="","",Inputs!$B$23)</f>
        <v>0.025</v>
      </c>
      <c r="H36" s="1" t="n">
        <f aca="false">IF(D36="","",INDEX(Commutation!$L:$L,MATCH(Inputs!$B$7,Commutation!$A:$A,0)))</f>
        <v>11.0901711225671</v>
      </c>
      <c r="I36" s="1" t="n">
        <f aca="false">IF(D36="","",J35)</f>
        <v>602.034716529614</v>
      </c>
      <c r="J36" s="1" t="n">
        <f aca="false">IF(D36&gt;99,"",IF(E36=1,1000,MIN(1000,MAX(0,(INDEX(Commutation!$K:$K,MATCH(D37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37,Commutation!$A:$A,0))-INDEX(Commutation!$H:$H,MATCH(Inputs!$B$8,Commutation!$A:$A,0)))/INDEX(Commutation!$F:$F,MATCH(D37,Commutation!$A:$A,0))))*1000))))</f>
        <v>612.3092342083</v>
      </c>
      <c r="K36" s="1" t="n">
        <f aca="false">IF(Inputs!$B$7+35-1&gt;MAX(MORTALITY!$A:$A),"",IFERROR(J36,0))</f>
        <v>612.3092342083</v>
      </c>
      <c r="M36" s="1" t="n">
        <f aca="false">IF(A36="","",IF(E36=1,1000,IFERROR(((I36+IF(C36&lt;=Inputs!$B$8,$H$2,0))*(1+G36)-E36*1000)/F36,0)))</f>
        <v>612.3092342083</v>
      </c>
    </row>
    <row r="37" customFormat="false" ht="15" hidden="false" customHeight="false" outlineLevel="0" collapsed="false">
      <c r="A37" s="1" t="n">
        <f aca="false">IF(D37&gt;100,"",Inputs!$B$4)</f>
        <v>34</v>
      </c>
      <c r="B37" s="1" t="n">
        <f aca="false">IF(D37&gt;100,"",Inputs!$B$7)</f>
        <v>16</v>
      </c>
      <c r="C37" s="1" t="n">
        <f aca="false">IFERROR(IF(Inputs!$B$7+C36+1&gt;=100,"",C36+1),"")</f>
        <v>35</v>
      </c>
      <c r="D37" s="6" t="n">
        <f aca="false">IFERROR(IF(Inputs!$B$7+C37&gt;=100,"",Inputs!$B$7+C37),"")</f>
        <v>51</v>
      </c>
      <c r="E37" s="8" t="n">
        <f aca="false">IF(D37="","",INDEX(MORTALITY!$B:$B,MATCH(D37,MORTALITY!$A:$A,0)))</f>
        <v>0.01327</v>
      </c>
      <c r="F37" s="8" t="n">
        <f aca="false">IF(D37="","",1-E37)</f>
        <v>0.98673</v>
      </c>
      <c r="G37" s="5" t="n">
        <f aca="false">IF(D37="","",Inputs!$B$23)</f>
        <v>0.025</v>
      </c>
      <c r="H37" s="1" t="n">
        <f aca="false">IF(D37="","",INDEX(Commutation!$L:$L,MATCH(Inputs!$B$7,Commutation!$A:$A,0)))</f>
        <v>11.0901711225671</v>
      </c>
      <c r="I37" s="1" t="n">
        <f aca="false">IF(D37="","",J36)</f>
        <v>612.3092342083</v>
      </c>
      <c r="J37" s="1" t="n">
        <f aca="false">IF(D37&gt;99,"",IF(E37=1,1000,MIN(1000,MAX(0,(INDEX(Commutation!$K:$K,MATCH(D38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38,Commutation!$A:$A,0))-INDEX(Commutation!$H:$H,MATCH(Inputs!$B$8,Commutation!$A:$A,0)))/INDEX(Commutation!$F:$F,MATCH(D38,Commutation!$A:$A,0))))*1000))))</f>
        <v>622.608986311866</v>
      </c>
      <c r="K37" s="1" t="n">
        <f aca="false">IF(Inputs!$B$7+36-1&gt;MAX(MORTALITY!$A:$A),"",IFERROR(J37,0))</f>
        <v>622.608986311866</v>
      </c>
      <c r="M37" s="1" t="n">
        <f aca="false">IF(A37="","",IF(E37=1,1000,IFERROR(((I37+IF(C37&lt;=Inputs!$B$8,$H$2,0))*(1+G37)-E37*1000)/F37,0)))</f>
        <v>622.608986311866</v>
      </c>
    </row>
    <row r="38" customFormat="false" ht="15" hidden="false" customHeight="false" outlineLevel="0" collapsed="false">
      <c r="A38" s="1" t="n">
        <f aca="false">IF(D38&gt;100,"",Inputs!$B$4)</f>
        <v>34</v>
      </c>
      <c r="B38" s="1" t="n">
        <f aca="false">IF(D38&gt;100,"",Inputs!$B$7)</f>
        <v>16</v>
      </c>
      <c r="C38" s="1" t="n">
        <f aca="false">IFERROR(IF(Inputs!$B$7+C37+1&gt;=100,"",C37+1),"")</f>
        <v>36</v>
      </c>
      <c r="D38" s="6" t="n">
        <f aca="false">IFERROR(IF(Inputs!$B$7+C38&gt;=100,"",Inputs!$B$7+C38),"")</f>
        <v>52</v>
      </c>
      <c r="E38" s="8" t="n">
        <f aca="false">IF(D38="","",INDEX(MORTALITY!$B:$B,MATCH(D38,MORTALITY!$A:$A,0)))</f>
        <v>0.0143</v>
      </c>
      <c r="F38" s="8" t="n">
        <f aca="false">IF(D38="","",1-E38)</f>
        <v>0.9857</v>
      </c>
      <c r="G38" s="5" t="n">
        <f aca="false">IF(D38="","",Inputs!$B$23)</f>
        <v>0.025</v>
      </c>
      <c r="H38" s="1" t="n">
        <f aca="false">IF(D38="","",INDEX(Commutation!$L:$L,MATCH(Inputs!$B$7,Commutation!$A:$A,0)))</f>
        <v>11.0901711225671</v>
      </c>
      <c r="I38" s="1" t="n">
        <f aca="false">IF(D38="","",J37)</f>
        <v>622.608986311866</v>
      </c>
      <c r="J38" s="1" t="n">
        <f aca="false">IF(D38&gt;99,"",IF(E38=1,1000,MIN(1000,MAX(0,(INDEX(Commutation!$K:$K,MATCH(D39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39,Commutation!$A:$A,0))-INDEX(Commutation!$H:$H,MATCH(Inputs!$B$8,Commutation!$A:$A,0)))/INDEX(Commutation!$F:$F,MATCH(D39,Commutation!$A:$A,0))))*1000))))</f>
        <v>632.92503902776</v>
      </c>
      <c r="K38" s="1" t="n">
        <f aca="false">IF(Inputs!$B$7+37-1&gt;MAX(MORTALITY!$A:$A),"",IFERROR(J38,0))</f>
        <v>632.92503902776</v>
      </c>
      <c r="M38" s="1" t="n">
        <f aca="false">IF(A38="","",IF(E38=1,1000,IFERROR(((I38+IF(C38&lt;=Inputs!$B$8,$H$2,0))*(1+G38)-E38*1000)/F38,0)))</f>
        <v>632.92503902776</v>
      </c>
    </row>
    <row r="39" customFormat="false" ht="15" hidden="false" customHeight="false" outlineLevel="0" collapsed="false">
      <c r="A39" s="1" t="n">
        <f aca="false">IF(D39&gt;100,"",Inputs!$B$4)</f>
        <v>34</v>
      </c>
      <c r="B39" s="1" t="n">
        <f aca="false">IF(D39&gt;100,"",Inputs!$B$7)</f>
        <v>16</v>
      </c>
      <c r="C39" s="1" t="n">
        <f aca="false">IFERROR(IF(Inputs!$B$7+C38+1&gt;=100,"",C38+1),"")</f>
        <v>37</v>
      </c>
      <c r="D39" s="6" t="n">
        <f aca="false">IFERROR(IF(Inputs!$B$7+C39&gt;=100,"",Inputs!$B$7+C39),"")</f>
        <v>53</v>
      </c>
      <c r="E39" s="8" t="n">
        <f aca="false">IF(D39="","",INDEX(MORTALITY!$B:$B,MATCH(D39,MORTALITY!$A:$A,0)))</f>
        <v>0.01543</v>
      </c>
      <c r="F39" s="8" t="n">
        <f aca="false">IF(D39="","",1-E39)</f>
        <v>0.98457</v>
      </c>
      <c r="G39" s="5" t="n">
        <f aca="false">IF(D39="","",Inputs!$B$23)</f>
        <v>0.025</v>
      </c>
      <c r="H39" s="1" t="n">
        <f aca="false">IF(D39="","",INDEX(Commutation!$L:$L,MATCH(Inputs!$B$7,Commutation!$A:$A,0)))</f>
        <v>11.0901711225671</v>
      </c>
      <c r="I39" s="1" t="n">
        <f aca="false">IF(D39="","",J38)</f>
        <v>632.92503902776</v>
      </c>
      <c r="J39" s="1" t="n">
        <f aca="false">IF(D39&gt;99,"",IF(E39=1,1000,MIN(1000,MAX(0,(INDEX(Commutation!$K:$K,MATCH(D40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40,Commutation!$A:$A,0))-INDEX(Commutation!$H:$H,MATCH(Inputs!$B$8,Commutation!$A:$A,0)))/INDEX(Commutation!$F:$F,MATCH(D40,Commutation!$A:$A,0))))*1000))))</f>
        <v>643.243410832601</v>
      </c>
      <c r="K39" s="1" t="n">
        <f aca="false">IF(Inputs!$B$7+38-1&gt;MAX(MORTALITY!$A:$A),"",IFERROR(J39,0))</f>
        <v>643.243410832601</v>
      </c>
      <c r="M39" s="1" t="n">
        <f aca="false">IF(A39="","",IF(E39=1,1000,IFERROR(((I39+IF(C39&lt;=Inputs!$B$8,$H$2,0))*(1+G39)-E39*1000)/F39,0)))</f>
        <v>643.243410832601</v>
      </c>
    </row>
    <row r="40" customFormat="false" ht="15" hidden="false" customHeight="false" outlineLevel="0" collapsed="false">
      <c r="A40" s="1" t="n">
        <f aca="false">IF(D40&gt;100,"",Inputs!$B$4)</f>
        <v>34</v>
      </c>
      <c r="B40" s="1" t="n">
        <f aca="false">IF(D40&gt;100,"",Inputs!$B$7)</f>
        <v>16</v>
      </c>
      <c r="C40" s="1" t="n">
        <f aca="false">IFERROR(IF(Inputs!$B$7+C39+1&gt;=100,"",C39+1),"")</f>
        <v>38</v>
      </c>
      <c r="D40" s="6" t="n">
        <f aca="false">IFERROR(IF(Inputs!$B$7+C40&gt;=100,"",Inputs!$B$7+C40),"")</f>
        <v>54</v>
      </c>
      <c r="E40" s="8" t="n">
        <f aca="false">IF(D40="","",INDEX(MORTALITY!$B:$B,MATCH(D40,MORTALITY!$A:$A,0)))</f>
        <v>0.01665</v>
      </c>
      <c r="F40" s="8" t="n">
        <f aca="false">IF(D40="","",1-E40)</f>
        <v>0.98335</v>
      </c>
      <c r="G40" s="5" t="n">
        <f aca="false">IF(D40="","",Inputs!$B$23)</f>
        <v>0.025</v>
      </c>
      <c r="H40" s="1" t="n">
        <f aca="false">IF(D40="","",INDEX(Commutation!$L:$L,MATCH(Inputs!$B$7,Commutation!$A:$A,0)))</f>
        <v>11.0901711225671</v>
      </c>
      <c r="I40" s="1" t="n">
        <f aca="false">IF(D40="","",J39)</f>
        <v>643.243410832601</v>
      </c>
      <c r="J40" s="1" t="n">
        <f aca="false">IF(D40&gt;99,"",IF(E40=1,1000,MIN(1000,MAX(0,(INDEX(Commutation!$K:$K,MATCH(D41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41,Commutation!$A:$A,0))-INDEX(Commutation!$H:$H,MATCH(Inputs!$B$8,Commutation!$A:$A,0)))/INDEX(Commutation!$F:$F,MATCH(D41,Commutation!$A:$A,0))))*1000))))</f>
        <v>653.556206949118</v>
      </c>
      <c r="K40" s="1" t="n">
        <f aca="false">IF(Inputs!$B$7+39-1&gt;MAX(MORTALITY!$A:$A),"",IFERROR(J40,0))</f>
        <v>653.556206949118</v>
      </c>
      <c r="M40" s="1" t="n">
        <f aca="false">IF(A40="","",IF(E40=1,1000,IFERROR(((I40+IF(C40&lt;=Inputs!$B$8,$H$2,0))*(1+G40)-E40*1000)/F40,0)))</f>
        <v>653.556206949118</v>
      </c>
    </row>
    <row r="41" customFormat="false" ht="15" hidden="false" customHeight="false" outlineLevel="0" collapsed="false">
      <c r="A41" s="1" t="n">
        <f aca="false">IF(D41&gt;100,"",Inputs!$B$4)</f>
        <v>34</v>
      </c>
      <c r="B41" s="1" t="n">
        <f aca="false">IF(D41&gt;100,"",Inputs!$B$7)</f>
        <v>16</v>
      </c>
      <c r="C41" s="1" t="n">
        <f aca="false">IFERROR(IF(Inputs!$B$7+C40+1&gt;=100,"",C40+1),"")</f>
        <v>39</v>
      </c>
      <c r="D41" s="6" t="n">
        <f aca="false">IFERROR(IF(Inputs!$B$7+C41&gt;=100,"",Inputs!$B$7+C41),"")</f>
        <v>55</v>
      </c>
      <c r="E41" s="8" t="n">
        <f aca="false">IF(D41="","",INDEX(MORTALITY!$B:$B,MATCH(D41,MORTALITY!$A:$A,0)))</f>
        <v>0.01798</v>
      </c>
      <c r="F41" s="8" t="n">
        <f aca="false">IF(D41="","",1-E41)</f>
        <v>0.98202</v>
      </c>
      <c r="G41" s="5" t="n">
        <f aca="false">IF(D41="","",Inputs!$B$23)</f>
        <v>0.025</v>
      </c>
      <c r="H41" s="1" t="n">
        <f aca="false">IF(D41="","",INDEX(Commutation!$L:$L,MATCH(Inputs!$B$7,Commutation!$A:$A,0)))</f>
        <v>11.0901711225671</v>
      </c>
      <c r="I41" s="1" t="n">
        <f aca="false">IF(D41="","",J40)</f>
        <v>653.556206949118</v>
      </c>
      <c r="J41" s="1" t="n">
        <f aca="false">IF(D41&gt;99,"",IF(E41=1,1000,MIN(1000,MAX(0,(INDEX(Commutation!$K:$K,MATCH(D42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42,Commutation!$A:$A,0))-INDEX(Commutation!$H:$H,MATCH(Inputs!$B$8,Commutation!$A:$A,0)))/INDEX(Commutation!$F:$F,MATCH(D42,Commutation!$A:$A,0))))*1000))))</f>
        <v>663.851155906037</v>
      </c>
      <c r="K41" s="1" t="n">
        <f aca="false">IF(Inputs!$B$7+40-1&gt;MAX(MORTALITY!$A:$A),"",IFERROR(J41,0))</f>
        <v>663.851155906037</v>
      </c>
      <c r="M41" s="1" t="n">
        <f aca="false">IF(A41="","",IF(E41=1,1000,IFERROR(((I41+IF(C41&lt;=Inputs!$B$8,$H$2,0))*(1+G41)-E41*1000)/F41,0)))</f>
        <v>663.851155906037</v>
      </c>
    </row>
    <row r="42" customFormat="false" ht="15" hidden="false" customHeight="false" outlineLevel="0" collapsed="false">
      <c r="A42" s="1" t="n">
        <f aca="false">IF(D42&gt;100,"",Inputs!$B$4)</f>
        <v>34</v>
      </c>
      <c r="B42" s="1" t="n">
        <f aca="false">IF(D42&gt;100,"",Inputs!$B$7)</f>
        <v>16</v>
      </c>
      <c r="C42" s="1" t="n">
        <f aca="false">IFERROR(IF(Inputs!$B$7+C41+1&gt;=100,"",C41+1),"")</f>
        <v>40</v>
      </c>
      <c r="D42" s="6" t="n">
        <f aca="false">IFERROR(IF(Inputs!$B$7+C42&gt;=100,"",Inputs!$B$7+C42),"")</f>
        <v>56</v>
      </c>
      <c r="E42" s="8" t="n">
        <f aca="false">IF(D42="","",INDEX(MORTALITY!$B:$B,MATCH(D42,MORTALITY!$A:$A,0)))</f>
        <v>0.01943</v>
      </c>
      <c r="F42" s="8" t="n">
        <f aca="false">IF(D42="","",1-E42)</f>
        <v>0.98057</v>
      </c>
      <c r="G42" s="5" t="n">
        <f aca="false">IF(D42="","",Inputs!$B$23)</f>
        <v>0.025</v>
      </c>
      <c r="H42" s="1" t="n">
        <f aca="false">IF(D42="","",INDEX(Commutation!$L:$L,MATCH(Inputs!$B$7,Commutation!$A:$A,0)))</f>
        <v>11.0901711225671</v>
      </c>
      <c r="I42" s="1" t="n">
        <f aca="false">IF(D42="","",J41)</f>
        <v>663.851155906037</v>
      </c>
      <c r="J42" s="1" t="n">
        <f aca="false">IF(D42&gt;99,"",IF(E42=1,1000,MIN(1000,MAX(0,(INDEX(Commutation!$K:$K,MATCH(D43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43,Commutation!$A:$A,0))-INDEX(Commutation!$H:$H,MATCH(Inputs!$B$8,Commutation!$A:$A,0)))/INDEX(Commutation!$F:$F,MATCH(D43,Commutation!$A:$A,0))))*1000))))</f>
        <v>674.115498948252</v>
      </c>
      <c r="K42" s="1" t="n">
        <f aca="false">IF(Inputs!$B$7+41-1&gt;MAX(MORTALITY!$A:$A),"",IFERROR(J42,0))</f>
        <v>674.115498948252</v>
      </c>
      <c r="M42" s="1" t="n">
        <f aca="false">IF(A42="","",IF(E42=1,1000,IFERROR(((I42+IF(C42&lt;=Inputs!$B$8,$H$2,0))*(1+G42)-E42*1000)/F42,0)))</f>
        <v>674.115498948252</v>
      </c>
    </row>
    <row r="43" customFormat="false" ht="15" hidden="false" customHeight="false" outlineLevel="0" collapsed="false">
      <c r="A43" s="1" t="n">
        <f aca="false">IF(D43&gt;100,"",Inputs!$B$4)</f>
        <v>34</v>
      </c>
      <c r="B43" s="1" t="n">
        <f aca="false">IF(D43&gt;100,"",Inputs!$B$7)</f>
        <v>16</v>
      </c>
      <c r="C43" s="1" t="n">
        <f aca="false">IFERROR(IF(Inputs!$B$7+C42+1&gt;=100,"",C42+1),"")</f>
        <v>41</v>
      </c>
      <c r="D43" s="6" t="n">
        <f aca="false">IFERROR(IF(Inputs!$B$7+C43&gt;=100,"",Inputs!$B$7+C43),"")</f>
        <v>57</v>
      </c>
      <c r="E43" s="8" t="n">
        <f aca="false">IF(D43="","",INDEX(MORTALITY!$B:$B,MATCH(D43,MORTALITY!$A:$A,0)))</f>
        <v>0.021</v>
      </c>
      <c r="F43" s="8" t="n">
        <f aca="false">IF(D43="","",1-E43)</f>
        <v>0.979</v>
      </c>
      <c r="G43" s="5" t="n">
        <f aca="false">IF(D43="","",Inputs!$B$23)</f>
        <v>0.025</v>
      </c>
      <c r="H43" s="1" t="n">
        <f aca="false">IF(D43="","",INDEX(Commutation!$L:$L,MATCH(Inputs!$B$7,Commutation!$A:$A,0)))</f>
        <v>11.0901711225671</v>
      </c>
      <c r="I43" s="1" t="n">
        <f aca="false">IF(D43="","",J42)</f>
        <v>674.115498948252</v>
      </c>
      <c r="J43" s="1" t="n">
        <f aca="false">IF(D43&gt;99,"",IF(E43=1,1000,MIN(1000,MAX(0,(INDEX(Commutation!$K:$K,MATCH(D44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44,Commutation!$A:$A,0))-INDEX(Commutation!$H:$H,MATCH(Inputs!$B$8,Commutation!$A:$A,0)))/INDEX(Commutation!$F:$F,MATCH(D44,Commutation!$A:$A,0))))*1000))))</f>
        <v>684.339516263492</v>
      </c>
      <c r="K43" s="1" t="n">
        <f aca="false">IF(Inputs!$B$7+42-1&gt;MAX(MORTALITY!$A:$A),"",IFERROR(J43,0))</f>
        <v>684.339516263492</v>
      </c>
      <c r="M43" s="1" t="n">
        <f aca="false">IF(A43="","",IF(E43=1,1000,IFERROR(((I43+IF(C43&lt;=Inputs!$B$8,$H$2,0))*(1+G43)-E43*1000)/F43,0)))</f>
        <v>684.339516263492</v>
      </c>
    </row>
    <row r="44" customFormat="false" ht="15" hidden="false" customHeight="false" outlineLevel="0" collapsed="false">
      <c r="A44" s="1" t="n">
        <f aca="false">IF(D44&gt;100,"",Inputs!$B$4)</f>
        <v>34</v>
      </c>
      <c r="B44" s="1" t="n">
        <f aca="false">IF(D44&gt;100,"",Inputs!$B$7)</f>
        <v>16</v>
      </c>
      <c r="C44" s="1" t="n">
        <f aca="false">IFERROR(IF(Inputs!$B$7+C43+1&gt;=100,"",C43+1),"")</f>
        <v>42</v>
      </c>
      <c r="D44" s="6" t="n">
        <f aca="false">IFERROR(IF(Inputs!$B$7+C44&gt;=100,"",Inputs!$B$7+C44),"")</f>
        <v>58</v>
      </c>
      <c r="E44" s="8" t="n">
        <f aca="false">IF(D44="","",INDEX(MORTALITY!$B:$B,MATCH(D44,MORTALITY!$A:$A,0)))</f>
        <v>0.02271</v>
      </c>
      <c r="F44" s="8" t="n">
        <f aca="false">IF(D44="","",1-E44)</f>
        <v>0.97729</v>
      </c>
      <c r="G44" s="5" t="n">
        <f aca="false">IF(D44="","",Inputs!$B$23)</f>
        <v>0.025</v>
      </c>
      <c r="H44" s="1" t="n">
        <f aca="false">IF(D44="","",INDEX(Commutation!$L:$L,MATCH(Inputs!$B$7,Commutation!$A:$A,0)))</f>
        <v>11.0901711225671</v>
      </c>
      <c r="I44" s="1" t="n">
        <f aca="false">IF(D44="","",J43)</f>
        <v>684.339516263492</v>
      </c>
      <c r="J44" s="1" t="n">
        <f aca="false">IF(D44&gt;99,"",IF(E44=1,1000,MIN(1000,MAX(0,(INDEX(Commutation!$K:$K,MATCH(D45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45,Commutation!$A:$A,0))-INDEX(Commutation!$H:$H,MATCH(Inputs!$B$8,Commutation!$A:$A,0)))/INDEX(Commutation!$F:$F,MATCH(D45,Commutation!$A:$A,0))))*1000))))</f>
        <v>694.510333851855</v>
      </c>
      <c r="K44" s="1" t="n">
        <f aca="false">IF(Inputs!$B$7+43-1&gt;MAX(MORTALITY!$A:$A),"",IFERROR(J44,0))</f>
        <v>694.510333851855</v>
      </c>
      <c r="M44" s="1" t="n">
        <f aca="false">IF(A44="","",IF(E44=1,1000,IFERROR(((I44+IF(C44&lt;=Inputs!$B$8,$H$2,0))*(1+G44)-E44*1000)/F44,0)))</f>
        <v>694.510333851854</v>
      </c>
    </row>
    <row r="45" customFormat="false" ht="15" hidden="false" customHeight="false" outlineLevel="0" collapsed="false">
      <c r="A45" s="1" t="n">
        <f aca="false">IF(D45&gt;100,"",Inputs!$B$4)</f>
        <v>34</v>
      </c>
      <c r="B45" s="1" t="n">
        <f aca="false">IF(D45&gt;100,"",Inputs!$B$7)</f>
        <v>16</v>
      </c>
      <c r="C45" s="1" t="n">
        <f aca="false">IFERROR(IF(Inputs!$B$7+C44+1&gt;=100,"",C44+1),"")</f>
        <v>43</v>
      </c>
      <c r="D45" s="6" t="n">
        <f aca="false">IFERROR(IF(Inputs!$B$7+C45&gt;=100,"",Inputs!$B$7+C45),"")</f>
        <v>59</v>
      </c>
      <c r="E45" s="8" t="n">
        <f aca="false">IF(D45="","",INDEX(MORTALITY!$B:$B,MATCH(D45,MORTALITY!$A:$A,0)))</f>
        <v>0.02457</v>
      </c>
      <c r="F45" s="8" t="n">
        <f aca="false">IF(D45="","",1-E45)</f>
        <v>0.97543</v>
      </c>
      <c r="G45" s="5" t="n">
        <f aca="false">IF(D45="","",Inputs!$B$23)</f>
        <v>0.025</v>
      </c>
      <c r="H45" s="1" t="n">
        <f aca="false">IF(D45="","",INDEX(Commutation!$L:$L,MATCH(Inputs!$B$7,Commutation!$A:$A,0)))</f>
        <v>11.0901711225671</v>
      </c>
      <c r="I45" s="1" t="n">
        <f aca="false">IF(D45="","",J44)</f>
        <v>694.510333851855</v>
      </c>
      <c r="J45" s="1" t="n">
        <f aca="false">IF(D45&gt;99,"",IF(E45=1,1000,MIN(1000,MAX(0,(INDEX(Commutation!$K:$K,MATCH(D46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46,Commutation!$A:$A,0))-INDEX(Commutation!$H:$H,MATCH(Inputs!$B$8,Commutation!$A:$A,0)))/INDEX(Commutation!$F:$F,MATCH(D46,Commutation!$A:$A,0))))*1000))))</f>
        <v>704.615494908041</v>
      </c>
      <c r="K45" s="1" t="n">
        <f aca="false">IF(Inputs!$B$7+44-1&gt;MAX(MORTALITY!$A:$A),"",IFERROR(J45,0))</f>
        <v>704.615494908041</v>
      </c>
      <c r="M45" s="1" t="n">
        <f aca="false">IF(A45="","",IF(E45=1,1000,IFERROR(((I45+IF(C45&lt;=Inputs!$B$8,$H$2,0))*(1+G45)-E45*1000)/F45,0)))</f>
        <v>704.615494908041</v>
      </c>
    </row>
    <row r="46" customFormat="false" ht="15" hidden="false" customHeight="false" outlineLevel="0" collapsed="false">
      <c r="A46" s="1" t="n">
        <f aca="false">IF(D46&gt;100,"",Inputs!$B$4)</f>
        <v>34</v>
      </c>
      <c r="B46" s="1" t="n">
        <f aca="false">IF(D46&gt;100,"",Inputs!$B$7)</f>
        <v>16</v>
      </c>
      <c r="C46" s="1" t="n">
        <f aca="false">IFERROR(IF(Inputs!$B$7+C45+1&gt;=100,"",C45+1),"")</f>
        <v>44</v>
      </c>
      <c r="D46" s="6" t="n">
        <f aca="false">IFERROR(IF(Inputs!$B$7+C46&gt;=100,"",Inputs!$B$7+C46),"")</f>
        <v>60</v>
      </c>
      <c r="E46" s="8" t="n">
        <f aca="false">IF(D46="","",INDEX(MORTALITY!$B:$B,MATCH(D46,MORTALITY!$A:$A,0)))</f>
        <v>0.02659</v>
      </c>
      <c r="F46" s="8" t="n">
        <f aca="false">IF(D46="","",1-E46)</f>
        <v>0.97341</v>
      </c>
      <c r="G46" s="5" t="n">
        <f aca="false">IF(D46="","",Inputs!$B$23)</f>
        <v>0.025</v>
      </c>
      <c r="H46" s="1" t="n">
        <f aca="false">IF(D46="","",INDEX(Commutation!$L:$L,MATCH(Inputs!$B$7,Commutation!$A:$A,0)))</f>
        <v>11.0901711225671</v>
      </c>
      <c r="I46" s="1" t="n">
        <f aca="false">IF(D46="","",J45)</f>
        <v>704.615494908041</v>
      </c>
      <c r="J46" s="1" t="n">
        <f aca="false">IF(D46&gt;99,"",IF(E46=1,1000,MIN(1000,MAX(0,(INDEX(Commutation!$K:$K,MATCH(D47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47,Commutation!$A:$A,0))-INDEX(Commutation!$H:$H,MATCH(Inputs!$B$8,Commutation!$A:$A,0)))/INDEX(Commutation!$F:$F,MATCH(D47,Commutation!$A:$A,0))))*1000))))</f>
        <v>714.643246197124</v>
      </c>
      <c r="K46" s="1" t="n">
        <f aca="false">IF(Inputs!$B$7+45-1&gt;MAX(MORTALITY!$A:$A),"",IFERROR(J46,0))</f>
        <v>714.643246197124</v>
      </c>
      <c r="M46" s="1" t="n">
        <f aca="false">IF(A46="","",IF(E46=1,1000,IFERROR(((I46+IF(C46&lt;=Inputs!$B$8,$H$2,0))*(1+G46)-E46*1000)/F46,0)))</f>
        <v>714.643246197124</v>
      </c>
    </row>
    <row r="47" customFormat="false" ht="15" hidden="false" customHeight="false" outlineLevel="0" collapsed="false">
      <c r="A47" s="1" t="n">
        <f aca="false">IF(D47&gt;100,"",Inputs!$B$4)</f>
        <v>34</v>
      </c>
      <c r="B47" s="1" t="n">
        <f aca="false">IF(D47&gt;100,"",Inputs!$B$7)</f>
        <v>16</v>
      </c>
      <c r="C47" s="1" t="n">
        <f aca="false">IFERROR(IF(Inputs!$B$7+C46+1&gt;=100,"",C46+1),"")</f>
        <v>45</v>
      </c>
      <c r="D47" s="6" t="n">
        <f aca="false">IFERROR(IF(Inputs!$B$7+C47&gt;=100,"",Inputs!$B$7+C47),"")</f>
        <v>61</v>
      </c>
      <c r="E47" s="8" t="n">
        <f aca="false">IF(D47="","",INDEX(MORTALITY!$B:$B,MATCH(D47,MORTALITY!$A:$A,0)))</f>
        <v>0.02878</v>
      </c>
      <c r="F47" s="8" t="n">
        <f aca="false">IF(D47="","",1-E47)</f>
        <v>0.97122</v>
      </c>
      <c r="G47" s="5" t="n">
        <f aca="false">IF(D47="","",Inputs!$B$23)</f>
        <v>0.025</v>
      </c>
      <c r="H47" s="1" t="n">
        <f aca="false">IF(D47="","",INDEX(Commutation!$L:$L,MATCH(Inputs!$B$7,Commutation!$A:$A,0)))</f>
        <v>11.0901711225671</v>
      </c>
      <c r="I47" s="1" t="n">
        <f aca="false">IF(D47="","",J46)</f>
        <v>714.643246197124</v>
      </c>
      <c r="J47" s="1" t="n">
        <f aca="false">IF(D47&gt;99,"",IF(E47=1,1000,MIN(1000,MAX(0,(INDEX(Commutation!$K:$K,MATCH(D48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48,Commutation!$A:$A,0))-INDEX(Commutation!$H:$H,MATCH(Inputs!$B$8,Commutation!$A:$A,0)))/INDEX(Commutation!$F:$F,MATCH(D48,Commutation!$A:$A,0))))*1000))))</f>
        <v>724.582820938667</v>
      </c>
      <c r="K47" s="1" t="n">
        <f aca="false">IF(Inputs!$B$7+46-1&gt;MAX(MORTALITY!$A:$A),"",IFERROR(J47,0))</f>
        <v>724.582820938667</v>
      </c>
      <c r="M47" s="1" t="n">
        <f aca="false">IF(A47="","",IF(E47=1,1000,IFERROR(((I47+IF(C47&lt;=Inputs!$B$8,$H$2,0))*(1+G47)-E47*1000)/F47,0)))</f>
        <v>724.582820938667</v>
      </c>
    </row>
    <row r="48" customFormat="false" ht="15" hidden="false" customHeight="false" outlineLevel="0" collapsed="false">
      <c r="A48" s="1" t="n">
        <f aca="false">IF(D48&gt;100,"",Inputs!$B$4)</f>
        <v>34</v>
      </c>
      <c r="B48" s="1" t="n">
        <f aca="false">IF(D48&gt;100,"",Inputs!$B$7)</f>
        <v>16</v>
      </c>
      <c r="C48" s="1" t="n">
        <f aca="false">IFERROR(IF(Inputs!$B$7+C47+1&gt;=100,"",C47+1),"")</f>
        <v>46</v>
      </c>
      <c r="D48" s="6" t="n">
        <f aca="false">IFERROR(IF(Inputs!$B$7+C48&gt;=100,"",Inputs!$B$7+C48),"")</f>
        <v>62</v>
      </c>
      <c r="E48" s="8" t="n">
        <f aca="false">IF(D48="","",INDEX(MORTALITY!$B:$B,MATCH(D48,MORTALITY!$A:$A,0)))</f>
        <v>0.03118</v>
      </c>
      <c r="F48" s="8" t="n">
        <f aca="false">IF(D48="","",1-E48)</f>
        <v>0.96882</v>
      </c>
      <c r="G48" s="5" t="n">
        <f aca="false">IF(D48="","",Inputs!$B$23)</f>
        <v>0.025</v>
      </c>
      <c r="H48" s="1" t="n">
        <f aca="false">IF(D48="","",INDEX(Commutation!$L:$L,MATCH(Inputs!$B$7,Commutation!$A:$A,0)))</f>
        <v>11.0901711225671</v>
      </c>
      <c r="I48" s="1" t="n">
        <f aca="false">IF(D48="","",J47)</f>
        <v>724.582820938667</v>
      </c>
      <c r="J48" s="1" t="n">
        <f aca="false">IF(D48&gt;99,"",IF(E48=1,1000,MIN(1000,MAX(0,(INDEX(Commutation!$K:$K,MATCH(D49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49,Commutation!$A:$A,0))-INDEX(Commutation!$H:$H,MATCH(Inputs!$B$8,Commutation!$A:$A,0)))/INDEX(Commutation!$F:$F,MATCH(D49,Commutation!$A:$A,0))))*1000))))</f>
        <v>734.416497865582</v>
      </c>
      <c r="K48" s="1" t="n">
        <f aca="false">IF(Inputs!$B$7+47-1&gt;MAX(MORTALITY!$A:$A),"",IFERROR(J48,0))</f>
        <v>734.416497865582</v>
      </c>
      <c r="M48" s="1" t="n">
        <f aca="false">IF(A48="","",IF(E48=1,1000,IFERROR(((I48+IF(C48&lt;=Inputs!$B$8,$H$2,0))*(1+G48)-E48*1000)/F48,0)))</f>
        <v>734.416497865582</v>
      </c>
    </row>
    <row r="49" customFormat="false" ht="15" hidden="false" customHeight="false" outlineLevel="0" collapsed="false">
      <c r="A49" s="1" t="n">
        <f aca="false">IF(D49&gt;100,"",Inputs!$B$4)</f>
        <v>34</v>
      </c>
      <c r="B49" s="1" t="n">
        <f aca="false">IF(D49&gt;100,"",Inputs!$B$7)</f>
        <v>16</v>
      </c>
      <c r="C49" s="1" t="n">
        <f aca="false">IFERROR(IF(Inputs!$B$7+C48+1&gt;=100,"",C48+1),"")</f>
        <v>47</v>
      </c>
      <c r="D49" s="6" t="n">
        <f aca="false">IFERROR(IF(Inputs!$B$7+C49&gt;=100,"",Inputs!$B$7+C49),"")</f>
        <v>63</v>
      </c>
      <c r="E49" s="8" t="n">
        <f aca="false">IF(D49="","",INDEX(MORTALITY!$B:$B,MATCH(D49,MORTALITY!$A:$A,0)))</f>
        <v>0.03376</v>
      </c>
      <c r="F49" s="8" t="n">
        <f aca="false">IF(D49="","",1-E49)</f>
        <v>0.96624</v>
      </c>
      <c r="G49" s="5" t="n">
        <f aca="false">IF(D49="","",Inputs!$B$23)</f>
        <v>0.025</v>
      </c>
      <c r="H49" s="1" t="n">
        <f aca="false">IF(D49="","",INDEX(Commutation!$L:$L,MATCH(Inputs!$B$7,Commutation!$A:$A,0)))</f>
        <v>11.0901711225671</v>
      </c>
      <c r="I49" s="1" t="n">
        <f aca="false">IF(D49="","",J48)</f>
        <v>734.416497865582</v>
      </c>
      <c r="J49" s="1" t="n">
        <f aca="false">IF(D49&gt;99,"",IF(E49=1,1000,MIN(1000,MAX(0,(INDEX(Commutation!$K:$K,MATCH(D50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50,Commutation!$A:$A,0))-INDEX(Commutation!$H:$H,MATCH(Inputs!$B$8,Commutation!$A:$A,0)))/INDEX(Commutation!$F:$F,MATCH(D50,Commutation!$A:$A,0))))*1000))))</f>
        <v>744.139044452953</v>
      </c>
      <c r="K49" s="1" t="n">
        <f aca="false">IF(Inputs!$B$7+48-1&gt;MAX(MORTALITY!$A:$A),"",IFERROR(J49,0))</f>
        <v>744.139044452953</v>
      </c>
      <c r="M49" s="1" t="n">
        <f aca="false">IF(A49="","",IF(E49=1,1000,IFERROR(((I49+IF(C49&lt;=Inputs!$B$8,$H$2,0))*(1+G49)-E49*1000)/F49,0)))</f>
        <v>744.139044452953</v>
      </c>
    </row>
    <row r="50" customFormat="false" ht="15" hidden="false" customHeight="false" outlineLevel="0" collapsed="false">
      <c r="A50" s="1" t="n">
        <f aca="false">IF(D50&gt;100,"",Inputs!$B$4)</f>
        <v>34</v>
      </c>
      <c r="B50" s="1" t="n">
        <f aca="false">IF(D50&gt;100,"",Inputs!$B$7)</f>
        <v>16</v>
      </c>
      <c r="C50" s="1" t="n">
        <f aca="false">IFERROR(IF(Inputs!$B$7+C49+1&gt;=100,"",C49+1),"")</f>
        <v>48</v>
      </c>
      <c r="D50" s="6" t="n">
        <f aca="false">IFERROR(IF(Inputs!$B$7+C50&gt;=100,"",Inputs!$B$7+C50),"")</f>
        <v>64</v>
      </c>
      <c r="E50" s="8" t="n">
        <f aca="false">IF(D50="","",INDEX(MORTALITY!$B:$B,MATCH(D50,MORTALITY!$A:$A,0)))</f>
        <v>0.03658</v>
      </c>
      <c r="F50" s="8" t="n">
        <f aca="false">IF(D50="","",1-E50)</f>
        <v>0.96342</v>
      </c>
      <c r="G50" s="5" t="n">
        <f aca="false">IF(D50="","",Inputs!$B$23)</f>
        <v>0.025</v>
      </c>
      <c r="H50" s="1" t="n">
        <f aca="false">IF(D50="","",INDEX(Commutation!$L:$L,MATCH(Inputs!$B$7,Commutation!$A:$A,0)))</f>
        <v>11.0901711225671</v>
      </c>
      <c r="I50" s="1" t="n">
        <f aca="false">IF(D50="","",J49)</f>
        <v>744.139044452953</v>
      </c>
      <c r="J50" s="1" t="n">
        <f aca="false">IF(D50&gt;99,"",IF(E50=1,1000,MIN(1000,MAX(0,(INDEX(Commutation!$K:$K,MATCH(D51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51,Commutation!$A:$A,0))-INDEX(Commutation!$H:$H,MATCH(Inputs!$B$8,Commutation!$A:$A,0)))/INDEX(Commutation!$F:$F,MATCH(D51,Commutation!$A:$A,0))))*1000))))</f>
        <v>753.73411447165</v>
      </c>
      <c r="K50" s="1" t="n">
        <f aca="false">IF(Inputs!$B$7+49-1&gt;MAX(MORTALITY!$A:$A),"",IFERROR(J50,0))</f>
        <v>753.73411447165</v>
      </c>
      <c r="M50" s="1" t="n">
        <f aca="false">IF(A50="","",IF(E50=1,1000,IFERROR(((I50+IF(C50&lt;=Inputs!$B$8,$H$2,0))*(1+G50)-E50*1000)/F50,0)))</f>
        <v>753.73411447165</v>
      </c>
    </row>
    <row r="51" customFormat="false" ht="15" hidden="false" customHeight="false" outlineLevel="0" collapsed="false">
      <c r="A51" s="1" t="n">
        <f aca="false">IF(D51&gt;100,"",Inputs!$B$4)</f>
        <v>34</v>
      </c>
      <c r="B51" s="1" t="n">
        <f aca="false">IF(D51&gt;100,"",Inputs!$B$7)</f>
        <v>16</v>
      </c>
      <c r="C51" s="1" t="n">
        <f aca="false">IFERROR(IF(Inputs!$B$7+C50+1&gt;=100,"",C50+1),"")</f>
        <v>49</v>
      </c>
      <c r="D51" s="6" t="n">
        <f aca="false">IFERROR(IF(Inputs!$B$7+C51&gt;=100,"",Inputs!$B$7+C51),"")</f>
        <v>65</v>
      </c>
      <c r="E51" s="8" t="n">
        <f aca="false">IF(D51="","",INDEX(MORTALITY!$B:$B,MATCH(D51,MORTALITY!$A:$A,0)))</f>
        <v>0.03964</v>
      </c>
      <c r="F51" s="8" t="n">
        <f aca="false">IF(D51="","",1-E51)</f>
        <v>0.96036</v>
      </c>
      <c r="G51" s="5" t="n">
        <f aca="false">IF(D51="","",Inputs!$B$23)</f>
        <v>0.025</v>
      </c>
      <c r="H51" s="1" t="n">
        <f aca="false">IF(D51="","",INDEX(Commutation!$L:$L,MATCH(Inputs!$B$7,Commutation!$A:$A,0)))</f>
        <v>11.0901711225671</v>
      </c>
      <c r="I51" s="1" t="n">
        <f aca="false">IF(D51="","",J50)</f>
        <v>753.73411447165</v>
      </c>
      <c r="J51" s="1" t="n">
        <f aca="false">IF(D51&gt;99,"",IF(E51=1,1000,MIN(1000,MAX(0,(INDEX(Commutation!$K:$K,MATCH(D52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52,Commutation!$A:$A,0))-INDEX(Commutation!$H:$H,MATCH(Inputs!$B$8,Commutation!$A:$A,0)))/INDEX(Commutation!$F:$F,MATCH(D52,Commutation!$A:$A,0))))*1000))))</f>
        <v>763.190332097798</v>
      </c>
      <c r="K51" s="1" t="n">
        <f aca="false">IF(Inputs!$B$7+50-1&gt;MAX(MORTALITY!$A:$A),"",IFERROR(J51,0))</f>
        <v>763.190332097798</v>
      </c>
      <c r="M51" s="1" t="n">
        <f aca="false">IF(A51="","",IF(E51=1,1000,IFERROR(((I51+IF(C51&lt;=Inputs!$B$8,$H$2,0))*(1+G51)-E51*1000)/F51,0)))</f>
        <v>763.190332097798</v>
      </c>
    </row>
    <row r="52" customFormat="false" ht="15" hidden="false" customHeight="false" outlineLevel="0" collapsed="false">
      <c r="A52" s="1" t="n">
        <f aca="false">IF(D52&gt;100,"",Inputs!$B$4)</f>
        <v>34</v>
      </c>
      <c r="B52" s="1" t="n">
        <f aca="false">IF(D52&gt;100,"",Inputs!$B$7)</f>
        <v>16</v>
      </c>
      <c r="C52" s="1" t="n">
        <f aca="false">IFERROR(IF(Inputs!$B$7+C51+1&gt;=100,"",C51+1),"")</f>
        <v>50</v>
      </c>
      <c r="D52" s="6" t="n">
        <f aca="false">IFERROR(IF(Inputs!$B$7+C52&gt;=100,"",Inputs!$B$7+C52),"")</f>
        <v>66</v>
      </c>
      <c r="E52" s="8" t="n">
        <f aca="false">IF(D52="","",INDEX(MORTALITY!$B:$B,MATCH(D52,MORTALITY!$A:$A,0)))</f>
        <v>0.04296</v>
      </c>
      <c r="F52" s="8" t="n">
        <f aca="false">IF(D52="","",1-E52)</f>
        <v>0.95704</v>
      </c>
      <c r="G52" s="5" t="n">
        <f aca="false">IF(D52="","",Inputs!$B$23)</f>
        <v>0.025</v>
      </c>
      <c r="H52" s="1" t="n">
        <f aca="false">IF(D52="","",INDEX(Commutation!$L:$L,MATCH(Inputs!$B$7,Commutation!$A:$A,0)))</f>
        <v>11.0901711225671</v>
      </c>
      <c r="I52" s="1" t="n">
        <f aca="false">IF(D52="","",J51)</f>
        <v>763.190332097798</v>
      </c>
      <c r="J52" s="1" t="n">
        <f aca="false">IF(D52&gt;99,"",IF(E52=1,1000,MIN(1000,MAX(0,(INDEX(Commutation!$K:$K,MATCH(D53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53,Commutation!$A:$A,0))-INDEX(Commutation!$H:$H,MATCH(Inputs!$B$8,Commutation!$A:$A,0)))/INDEX(Commutation!$F:$F,MATCH(D53,Commutation!$A:$A,0))))*1000))))</f>
        <v>772.496541837585</v>
      </c>
      <c r="K52" s="1" t="n">
        <f aca="false">IF(Inputs!$B$7+51-1&gt;MAX(MORTALITY!$A:$A),"",IFERROR(J52,0))</f>
        <v>772.496541837585</v>
      </c>
      <c r="M52" s="1" t="n">
        <f aca="false">IF(A52="","",IF(E52=1,1000,IFERROR(((I52+IF(C52&lt;=Inputs!$B$8,$H$2,0))*(1+G52)-E52*1000)/F52,0)))</f>
        <v>772.496541837585</v>
      </c>
    </row>
    <row r="53" customFormat="false" ht="15" hidden="false" customHeight="false" outlineLevel="0" collapsed="false">
      <c r="A53" s="1" t="n">
        <f aca="false">IF(D53&gt;100,"",Inputs!$B$4)</f>
        <v>34</v>
      </c>
      <c r="B53" s="1" t="n">
        <f aca="false">IF(D53&gt;100,"",Inputs!$B$7)</f>
        <v>16</v>
      </c>
      <c r="C53" s="1" t="n">
        <f aca="false">IFERROR(IF(Inputs!$B$7+C52+1&gt;=100,"",C52+1),"")</f>
        <v>51</v>
      </c>
      <c r="D53" s="6" t="n">
        <f aca="false">IFERROR(IF(Inputs!$B$7+C53&gt;=100,"",Inputs!$B$7+C53),"")</f>
        <v>67</v>
      </c>
      <c r="E53" s="8" t="n">
        <f aca="false">IF(D53="","",INDEX(MORTALITY!$B:$B,MATCH(D53,MORTALITY!$A:$A,0)))</f>
        <v>0.04656</v>
      </c>
      <c r="F53" s="8" t="n">
        <f aca="false">IF(D53="","",1-E53)</f>
        <v>0.95344</v>
      </c>
      <c r="G53" s="5" t="n">
        <f aca="false">IF(D53="","",Inputs!$B$23)</f>
        <v>0.025</v>
      </c>
      <c r="H53" s="1" t="n">
        <f aca="false">IF(D53="","",INDEX(Commutation!$L:$L,MATCH(Inputs!$B$7,Commutation!$A:$A,0)))</f>
        <v>11.0901711225671</v>
      </c>
      <c r="I53" s="1" t="n">
        <f aca="false">IF(D53="","",J52)</f>
        <v>772.496541837585</v>
      </c>
      <c r="J53" s="1" t="n">
        <f aca="false">IF(D53&gt;99,"",IF(E53=1,1000,MIN(1000,MAX(0,(INDEX(Commutation!$K:$K,MATCH(D54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54,Commutation!$A:$A,0))-INDEX(Commutation!$H:$H,MATCH(Inputs!$B$8,Commutation!$A:$A,0)))/INDEX(Commutation!$F:$F,MATCH(D54,Commutation!$A:$A,0))))*1000))))</f>
        <v>781.642217007389</v>
      </c>
      <c r="K53" s="1" t="n">
        <f aca="false">IF(Inputs!$B$7+52-1&gt;MAX(MORTALITY!$A:$A),"",IFERROR(J53,0))</f>
        <v>781.642217007389</v>
      </c>
      <c r="M53" s="1" t="n">
        <f aca="false">IF(A53="","",IF(E53=1,1000,IFERROR(((I53+IF(C53&lt;=Inputs!$B$8,$H$2,0))*(1+G53)-E53*1000)/F53,0)))</f>
        <v>781.642217007389</v>
      </c>
    </row>
    <row r="54" customFormat="false" ht="15" hidden="false" customHeight="false" outlineLevel="0" collapsed="false">
      <c r="A54" s="1" t="n">
        <f aca="false">IF(D54&gt;100,"",Inputs!$B$4)</f>
        <v>34</v>
      </c>
      <c r="B54" s="1" t="n">
        <f aca="false">IF(D54&gt;100,"",Inputs!$B$7)</f>
        <v>16</v>
      </c>
      <c r="C54" s="1" t="n">
        <f aca="false">IFERROR(IF(Inputs!$B$7+C53+1&gt;=100,"",C53+1),"")</f>
        <v>52</v>
      </c>
      <c r="D54" s="6" t="n">
        <f aca="false">IFERROR(IF(Inputs!$B$7+C54&gt;=100,"",Inputs!$B$7+C54),"")</f>
        <v>68</v>
      </c>
      <c r="E54" s="8" t="n">
        <f aca="false">IF(D54="","",INDEX(MORTALITY!$B:$B,MATCH(D54,MORTALITY!$A:$A,0)))</f>
        <v>0.05046</v>
      </c>
      <c r="F54" s="8" t="n">
        <f aca="false">IF(D54="","",1-E54)</f>
        <v>0.94954</v>
      </c>
      <c r="G54" s="5" t="n">
        <f aca="false">IF(D54="","",Inputs!$B$23)</f>
        <v>0.025</v>
      </c>
      <c r="H54" s="1" t="n">
        <f aca="false">IF(D54="","",INDEX(Commutation!$L:$L,MATCH(Inputs!$B$7,Commutation!$A:$A,0)))</f>
        <v>11.0901711225671</v>
      </c>
      <c r="I54" s="1" t="n">
        <f aca="false">IF(D54="","",J53)</f>
        <v>781.642217007389</v>
      </c>
      <c r="J54" s="1" t="n">
        <f aca="false">IF(D54&gt;99,"",IF(E54=1,1000,MIN(1000,MAX(0,(INDEX(Commutation!$K:$K,MATCH(D55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55,Commutation!$A:$A,0))-INDEX(Commutation!$H:$H,MATCH(Inputs!$B$8,Commutation!$A:$A,0)))/INDEX(Commutation!$F:$F,MATCH(D55,Commutation!$A:$A,0))))*1000))))</f>
        <v>790.617849098062</v>
      </c>
      <c r="K54" s="1" t="n">
        <f aca="false">IF(Inputs!$B$7+53-1&gt;MAX(MORTALITY!$A:$A),"",IFERROR(J54,0))</f>
        <v>790.617849098062</v>
      </c>
      <c r="M54" s="1" t="n">
        <f aca="false">IF(A54="","",IF(E54=1,1000,IFERROR(((I54+IF(C54&lt;=Inputs!$B$8,$H$2,0))*(1+G54)-E54*1000)/F54,0)))</f>
        <v>790.617849098062</v>
      </c>
    </row>
    <row r="55" customFormat="false" ht="15" hidden="false" customHeight="false" outlineLevel="0" collapsed="false">
      <c r="A55" s="1" t="n">
        <f aca="false">IF(D55&gt;100,"",Inputs!$B$4)</f>
        <v>34</v>
      </c>
      <c r="B55" s="1" t="n">
        <f aca="false">IF(D55&gt;100,"",Inputs!$B$7)</f>
        <v>16</v>
      </c>
      <c r="C55" s="1" t="n">
        <f aca="false">IFERROR(IF(Inputs!$B$7+C54+1&gt;=100,"",C54+1),"")</f>
        <v>53</v>
      </c>
      <c r="D55" s="6" t="n">
        <f aca="false">IFERROR(IF(Inputs!$B$7+C55&gt;=100,"",Inputs!$B$7+C55),"")</f>
        <v>69</v>
      </c>
      <c r="E55" s="8" t="n">
        <f aca="false">IF(D55="","",INDEX(MORTALITY!$B:$B,MATCH(D55,MORTALITY!$A:$A,0)))</f>
        <v>0.0547</v>
      </c>
      <c r="F55" s="8" t="n">
        <f aca="false">IF(D55="","",1-E55)</f>
        <v>0.9453</v>
      </c>
      <c r="G55" s="5" t="n">
        <f aca="false">IF(D55="","",Inputs!$B$23)</f>
        <v>0.025</v>
      </c>
      <c r="H55" s="1" t="n">
        <f aca="false">IF(D55="","",INDEX(Commutation!$L:$L,MATCH(Inputs!$B$7,Commutation!$A:$A,0)))</f>
        <v>11.0901711225671</v>
      </c>
      <c r="I55" s="1" t="n">
        <f aca="false">IF(D55="","",J54)</f>
        <v>790.617849098062</v>
      </c>
      <c r="J55" s="1" t="n">
        <f aca="false">IF(D55&gt;99,"",IF(E55=1,1000,MIN(1000,MAX(0,(INDEX(Commutation!$K:$K,MATCH(D56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56,Commutation!$A:$A,0))-INDEX(Commutation!$H:$H,MATCH(Inputs!$B$8,Commutation!$A:$A,0)))/INDEX(Commutation!$F:$F,MATCH(D56,Commutation!$A:$A,0))))*1000))))</f>
        <v>799.411081482612</v>
      </c>
      <c r="K55" s="1" t="n">
        <f aca="false">IF(Inputs!$B$7+54-1&gt;MAX(MORTALITY!$A:$A),"",IFERROR(J55,0))</f>
        <v>799.411081482612</v>
      </c>
      <c r="M55" s="1" t="n">
        <f aca="false">IF(A55="","",IF(E55=1,1000,IFERROR(((I55+IF(C55&lt;=Inputs!$B$8,$H$2,0))*(1+G55)-E55*1000)/F55,0)))</f>
        <v>799.411081482612</v>
      </c>
    </row>
    <row r="56" customFormat="false" ht="15" hidden="false" customHeight="false" outlineLevel="0" collapsed="false">
      <c r="A56" s="1" t="n">
        <f aca="false">IF(D56&gt;100,"",Inputs!$B$4)</f>
        <v>34</v>
      </c>
      <c r="B56" s="1" t="n">
        <f aca="false">IF(D56&gt;100,"",Inputs!$B$7)</f>
        <v>16</v>
      </c>
      <c r="C56" s="1" t="n">
        <f aca="false">IFERROR(IF(Inputs!$B$7+C55+1&gt;=100,"",C55+1),"")</f>
        <v>54</v>
      </c>
      <c r="D56" s="6" t="n">
        <f aca="false">IFERROR(IF(Inputs!$B$7+C56&gt;=100,"",Inputs!$B$7+C56),"")</f>
        <v>70</v>
      </c>
      <c r="E56" s="8" t="n">
        <f aca="false">IF(D56="","",INDEX(MORTALITY!$B:$B,MATCH(D56,MORTALITY!$A:$A,0)))</f>
        <v>0.0593</v>
      </c>
      <c r="F56" s="8" t="n">
        <f aca="false">IF(D56="","",1-E56)</f>
        <v>0.9407</v>
      </c>
      <c r="G56" s="5" t="n">
        <f aca="false">IF(D56="","",Inputs!$B$23)</f>
        <v>0.025</v>
      </c>
      <c r="H56" s="1" t="n">
        <f aca="false">IF(D56="","",INDEX(Commutation!$L:$L,MATCH(Inputs!$B$7,Commutation!$A:$A,0)))</f>
        <v>11.0901711225671</v>
      </c>
      <c r="I56" s="1" t="n">
        <f aca="false">IF(D56="","",J55)</f>
        <v>799.411081482612</v>
      </c>
      <c r="J56" s="1" t="n">
        <f aca="false">IF(D56&gt;99,"",IF(E56=1,1000,MIN(1000,MAX(0,(INDEX(Commutation!$K:$K,MATCH(D57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57,Commutation!$A:$A,0))-INDEX(Commutation!$H:$H,MATCH(Inputs!$B$8,Commutation!$A:$A,0)))/INDEX(Commutation!$F:$F,MATCH(D57,Commutation!$A:$A,0))))*1000))))</f>
        <v>808.011436716995</v>
      </c>
      <c r="K56" s="1" t="n">
        <f aca="false">IF(Inputs!$B$7+55-1&gt;MAX(MORTALITY!$A:$A),"",IFERROR(J56,0))</f>
        <v>808.011436716995</v>
      </c>
      <c r="M56" s="1" t="n">
        <f aca="false">IF(A56="","",IF(E56=1,1000,IFERROR(((I56+IF(C56&lt;=Inputs!$B$8,$H$2,0))*(1+G56)-E56*1000)/F56,0)))</f>
        <v>808.011436716995</v>
      </c>
    </row>
    <row r="57" customFormat="false" ht="15" hidden="false" customHeight="false" outlineLevel="0" collapsed="false">
      <c r="A57" s="1" t="n">
        <f aca="false">IF(D57&gt;100,"",Inputs!$B$4)</f>
        <v>34</v>
      </c>
      <c r="B57" s="1" t="n">
        <f aca="false">IF(D57&gt;100,"",Inputs!$B$7)</f>
        <v>16</v>
      </c>
      <c r="C57" s="1" t="n">
        <f aca="false">IFERROR(IF(Inputs!$B$7+C56+1&gt;=100,"",C56+1),"")</f>
        <v>55</v>
      </c>
      <c r="D57" s="6" t="n">
        <f aca="false">IFERROR(IF(Inputs!$B$7+C57&gt;=100,"",Inputs!$B$7+C57),"")</f>
        <v>71</v>
      </c>
      <c r="E57" s="8" t="n">
        <f aca="false">IF(D57="","",INDEX(MORTALITY!$B:$B,MATCH(D57,MORTALITY!$A:$A,0)))</f>
        <v>0.06427</v>
      </c>
      <c r="F57" s="8" t="n">
        <f aca="false">IF(D57="","",1-E57)</f>
        <v>0.93573</v>
      </c>
      <c r="G57" s="5" t="n">
        <f aca="false">IF(D57="","",Inputs!$B$23)</f>
        <v>0.025</v>
      </c>
      <c r="H57" s="1" t="n">
        <f aca="false">IF(D57="","",INDEX(Commutation!$L:$L,MATCH(Inputs!$B$7,Commutation!$A:$A,0)))</f>
        <v>11.0901711225671</v>
      </c>
      <c r="I57" s="1" t="n">
        <f aca="false">IF(D57="","",J56)</f>
        <v>808.011436716995</v>
      </c>
      <c r="J57" s="1" t="n">
        <f aca="false">IF(D57&gt;99,"",IF(E57=1,1000,MIN(1000,MAX(0,(INDEX(Commutation!$K:$K,MATCH(D58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58,Commutation!$A:$A,0))-INDEX(Commutation!$H:$H,MATCH(Inputs!$B$8,Commutation!$A:$A,0)))/INDEX(Commutation!$F:$F,MATCH(D58,Commutation!$A:$A,0))))*1000))))</f>
        <v>816.412557719556</v>
      </c>
      <c r="K57" s="1" t="n">
        <f aca="false">IF(Inputs!$B$7+56-1&gt;MAX(MORTALITY!$A:$A),"",IFERROR(J57,0))</f>
        <v>816.412557719556</v>
      </c>
      <c r="M57" s="1" t="n">
        <f aca="false">IF(A57="","",IF(E57=1,1000,IFERROR(((I57+IF(C57&lt;=Inputs!$B$8,$H$2,0))*(1+G57)-E57*1000)/F57,0)))</f>
        <v>816.412557719556</v>
      </c>
    </row>
    <row r="58" customFormat="false" ht="15" hidden="false" customHeight="false" outlineLevel="0" collapsed="false">
      <c r="A58" s="1" t="n">
        <f aca="false">IF(D58&gt;100,"",Inputs!$B$4)</f>
        <v>34</v>
      </c>
      <c r="B58" s="1" t="n">
        <f aca="false">IF(D58&gt;100,"",Inputs!$B$7)</f>
        <v>16</v>
      </c>
      <c r="C58" s="1" t="n">
        <f aca="false">IFERROR(IF(Inputs!$B$7+C57+1&gt;=100,"",C57+1),"")</f>
        <v>56</v>
      </c>
      <c r="D58" s="6" t="n">
        <f aca="false">IFERROR(IF(Inputs!$B$7+C58&gt;=100,"",Inputs!$B$7+C58),"")</f>
        <v>72</v>
      </c>
      <c r="E58" s="8" t="n">
        <f aca="false">IF(D58="","",INDEX(MORTALITY!$B:$B,MATCH(D58,MORTALITY!$A:$A,0)))</f>
        <v>0.06966</v>
      </c>
      <c r="F58" s="8" t="n">
        <f aca="false">IF(D58="","",1-E58)</f>
        <v>0.93034</v>
      </c>
      <c r="G58" s="5" t="n">
        <f aca="false">IF(D58="","",Inputs!$B$23)</f>
        <v>0.025</v>
      </c>
      <c r="H58" s="1" t="n">
        <f aca="false">IF(D58="","",INDEX(Commutation!$L:$L,MATCH(Inputs!$B$7,Commutation!$A:$A,0)))</f>
        <v>11.0901711225671</v>
      </c>
      <c r="I58" s="1" t="n">
        <f aca="false">IF(D58="","",J57)</f>
        <v>816.412557719556</v>
      </c>
      <c r="J58" s="1" t="n">
        <f aca="false">IF(D58&gt;99,"",IF(E58=1,1000,MIN(1000,MAX(0,(INDEX(Commutation!$K:$K,MATCH(D59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59,Commutation!$A:$A,0))-INDEX(Commutation!$H:$H,MATCH(Inputs!$B$8,Commutation!$A:$A,0)))/INDEX(Commutation!$F:$F,MATCH(D59,Commutation!$A:$A,0))))*1000))))</f>
        <v>824.604845177618</v>
      </c>
      <c r="K58" s="1" t="n">
        <f aca="false">IF(Inputs!$B$7+57-1&gt;MAX(MORTALITY!$A:$A),"",IFERROR(J58,0))</f>
        <v>824.604845177618</v>
      </c>
      <c r="M58" s="1" t="n">
        <f aca="false">IF(A58="","",IF(E58=1,1000,IFERROR(((I58+IF(C58&lt;=Inputs!$B$8,$H$2,0))*(1+G58)-E58*1000)/F58,0)))</f>
        <v>824.604845177618</v>
      </c>
    </row>
    <row r="59" customFormat="false" ht="15" hidden="false" customHeight="false" outlineLevel="0" collapsed="false">
      <c r="A59" s="1" t="n">
        <f aca="false">IF(D59&gt;100,"",Inputs!$B$4)</f>
        <v>34</v>
      </c>
      <c r="B59" s="1" t="n">
        <f aca="false">IF(D59&gt;100,"",Inputs!$B$7)</f>
        <v>16</v>
      </c>
      <c r="C59" s="1" t="n">
        <f aca="false">IFERROR(IF(Inputs!$B$7+C58+1&gt;=100,"",C58+1),"")</f>
        <v>57</v>
      </c>
      <c r="D59" s="6" t="n">
        <f aca="false">IFERROR(IF(Inputs!$B$7+C59&gt;=100,"",Inputs!$B$7+C59),"")</f>
        <v>73</v>
      </c>
      <c r="E59" s="8" t="n">
        <f aca="false">IF(D59="","",INDEX(MORTALITY!$B:$B,MATCH(D59,MORTALITY!$A:$A,0)))</f>
        <v>0.0755</v>
      </c>
      <c r="F59" s="8" t="n">
        <f aca="false">IF(D59="","",1-E59)</f>
        <v>0.9245</v>
      </c>
      <c r="G59" s="5" t="n">
        <f aca="false">IF(D59="","",Inputs!$B$23)</f>
        <v>0.025</v>
      </c>
      <c r="H59" s="1" t="n">
        <f aca="false">IF(D59="","",INDEX(Commutation!$L:$L,MATCH(Inputs!$B$7,Commutation!$A:$A,0)))</f>
        <v>11.0901711225671</v>
      </c>
      <c r="I59" s="1" t="n">
        <f aca="false">IF(D59="","",J58)</f>
        <v>824.604845177618</v>
      </c>
      <c r="J59" s="1" t="n">
        <f aca="false">IF(D59&gt;99,"",IF(E59=1,1000,MIN(1000,MAX(0,(INDEX(Commutation!$K:$K,MATCH(D60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60,Commutation!$A:$A,0))-INDEX(Commutation!$H:$H,MATCH(Inputs!$B$8,Commutation!$A:$A,0)))/INDEX(Commutation!$F:$F,MATCH(D60,Commutation!$A:$A,0))))*1000))))</f>
        <v>832.579736405687</v>
      </c>
      <c r="K59" s="1" t="n">
        <f aca="false">IF(Inputs!$B$7+58-1&gt;MAX(MORTALITY!$A:$A),"",IFERROR(J59,0))</f>
        <v>832.579736405687</v>
      </c>
      <c r="M59" s="1" t="n">
        <f aca="false">IF(A59="","",IF(E59=1,1000,IFERROR(((I59+IF(C59&lt;=Inputs!$B$8,$H$2,0))*(1+G59)-E59*1000)/F59,0)))</f>
        <v>832.579736405687</v>
      </c>
    </row>
    <row r="60" customFormat="false" ht="15" hidden="false" customHeight="false" outlineLevel="0" collapsed="false">
      <c r="A60" s="1" t="n">
        <f aca="false">IF(D60&gt;100,"",Inputs!$B$4)</f>
        <v>34</v>
      </c>
      <c r="B60" s="1" t="n">
        <f aca="false">IF(D60&gt;100,"",Inputs!$B$7)</f>
        <v>16</v>
      </c>
      <c r="C60" s="1" t="n">
        <f aca="false">IFERROR(IF(Inputs!$B$7+C59+1&gt;=100,"",C59+1),"")</f>
        <v>58</v>
      </c>
      <c r="D60" s="6" t="n">
        <f aca="false">IFERROR(IF(Inputs!$B$7+C60&gt;=100,"",Inputs!$B$7+C60),"")</f>
        <v>74</v>
      </c>
      <c r="E60" s="8" t="n">
        <f aca="false">IF(D60="","",INDEX(MORTALITY!$B:$B,MATCH(D60,MORTALITY!$A:$A,0)))</f>
        <v>0.08181</v>
      </c>
      <c r="F60" s="8" t="n">
        <f aca="false">IF(D60="","",1-E60)</f>
        <v>0.91819</v>
      </c>
      <c r="G60" s="5" t="n">
        <f aca="false">IF(D60="","",Inputs!$B$23)</f>
        <v>0.025</v>
      </c>
      <c r="H60" s="1" t="n">
        <f aca="false">IF(D60="","",INDEX(Commutation!$L:$L,MATCH(Inputs!$B$7,Commutation!$A:$A,0)))</f>
        <v>11.0901711225671</v>
      </c>
      <c r="I60" s="1" t="n">
        <f aca="false">IF(D60="","",J59)</f>
        <v>832.579736405687</v>
      </c>
      <c r="J60" s="1" t="n">
        <f aca="false">IF(D60&gt;99,"",IF(E60=1,1000,MIN(1000,MAX(0,(INDEX(Commutation!$K:$K,MATCH(D61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61,Commutation!$A:$A,0))-INDEX(Commutation!$H:$H,MATCH(Inputs!$B$8,Commutation!$A:$A,0)))/INDEX(Commutation!$F:$F,MATCH(D61,Commutation!$A:$A,0))))*1000))))</f>
        <v>840.331772090558</v>
      </c>
      <c r="K60" s="1" t="n">
        <f aca="false">IF(Inputs!$B$7+59-1&gt;MAX(MORTALITY!$A:$A),"",IFERROR(J60,0))</f>
        <v>840.331772090558</v>
      </c>
      <c r="M60" s="1" t="n">
        <f aca="false">IF(A60="","",IF(E60=1,1000,IFERROR(((I60+IF(C60&lt;=Inputs!$B$8,$H$2,0))*(1+G60)-E60*1000)/F60,0)))</f>
        <v>840.331772090558</v>
      </c>
    </row>
    <row r="61" customFormat="false" ht="15" hidden="false" customHeight="false" outlineLevel="0" collapsed="false">
      <c r="A61" s="1" t="n">
        <f aca="false">IF(D61&gt;100,"",Inputs!$B$4)</f>
        <v>34</v>
      </c>
      <c r="B61" s="1" t="n">
        <f aca="false">IF(D61&gt;100,"",Inputs!$B$7)</f>
        <v>16</v>
      </c>
      <c r="C61" s="1" t="n">
        <f aca="false">IFERROR(IF(Inputs!$B$7+C60+1&gt;=100,"",C60+1),"")</f>
        <v>59</v>
      </c>
      <c r="D61" s="6" t="n">
        <f aca="false">IFERROR(IF(Inputs!$B$7+C61&gt;=100,"",Inputs!$B$7+C61),"")</f>
        <v>75</v>
      </c>
      <c r="E61" s="8" t="n">
        <f aca="false">IF(D61="","",INDEX(MORTALITY!$B:$B,MATCH(D61,MORTALITY!$A:$A,0)))</f>
        <v>0.08864</v>
      </c>
      <c r="F61" s="8" t="n">
        <f aca="false">IF(D61="","",1-E61)</f>
        <v>0.91136</v>
      </c>
      <c r="G61" s="5" t="n">
        <f aca="false">IF(D61="","",Inputs!$B$23)</f>
        <v>0.025</v>
      </c>
      <c r="H61" s="1" t="n">
        <f aca="false">IF(D61="","",INDEX(Commutation!$L:$L,MATCH(Inputs!$B$7,Commutation!$A:$A,0)))</f>
        <v>11.0901711225671</v>
      </c>
      <c r="I61" s="1" t="n">
        <f aca="false">IF(D61="","",J60)</f>
        <v>840.331772090558</v>
      </c>
      <c r="J61" s="1" t="n">
        <f aca="false">IF(D61&gt;99,"",IF(E61=1,1000,MIN(1000,MAX(0,(INDEX(Commutation!$K:$K,MATCH(D62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62,Commutation!$A:$A,0))-INDEX(Commutation!$H:$H,MATCH(Inputs!$B$8,Commutation!$A:$A,0)))/INDEX(Commutation!$F:$F,MATCH(D62,Commutation!$A:$A,0))))*1000))))</f>
        <v>847.853829872742</v>
      </c>
      <c r="K61" s="1" t="n">
        <f aca="false">IF(Inputs!$B$7+60-1&gt;MAX(MORTALITY!$A:$A),"",IFERROR(J61,0))</f>
        <v>847.853829872742</v>
      </c>
      <c r="M61" s="1" t="n">
        <f aca="false">IF(A61="","",IF(E61=1,1000,IFERROR(((I61+IF(C61&lt;=Inputs!$B$8,$H$2,0))*(1+G61)-E61*1000)/F61,0)))</f>
        <v>847.853829872742</v>
      </c>
    </row>
    <row r="62" customFormat="false" ht="15" hidden="false" customHeight="false" outlineLevel="0" collapsed="false">
      <c r="A62" s="1" t="n">
        <f aca="false">IF(D62&gt;100,"",Inputs!$B$4)</f>
        <v>34</v>
      </c>
      <c r="B62" s="1" t="n">
        <f aca="false">IF(D62&gt;100,"",Inputs!$B$7)</f>
        <v>16</v>
      </c>
      <c r="C62" s="1" t="n">
        <f aca="false">IFERROR(IF(Inputs!$B$7+C61+1&gt;=100,"",C61+1),"")</f>
        <v>60</v>
      </c>
      <c r="D62" s="6" t="n">
        <f aca="false">IFERROR(IF(Inputs!$B$7+C62&gt;=100,"",Inputs!$B$7+C62),"")</f>
        <v>76</v>
      </c>
      <c r="E62" s="8" t="n">
        <f aca="false">IF(D62="","",INDEX(MORTALITY!$B:$B,MATCH(D62,MORTALITY!$A:$A,0)))</f>
        <v>0.09602</v>
      </c>
      <c r="F62" s="8" t="n">
        <f aca="false">IF(D62="","",1-E62)</f>
        <v>0.90398</v>
      </c>
      <c r="G62" s="5" t="n">
        <f aca="false">IF(D62="","",Inputs!$B$23)</f>
        <v>0.025</v>
      </c>
      <c r="H62" s="1" t="n">
        <f aca="false">IF(D62="","",INDEX(Commutation!$L:$L,MATCH(Inputs!$B$7,Commutation!$A:$A,0)))</f>
        <v>11.0901711225671</v>
      </c>
      <c r="I62" s="1" t="n">
        <f aca="false">IF(D62="","",J61)</f>
        <v>847.853829872742</v>
      </c>
      <c r="J62" s="1" t="n">
        <f aca="false">IF(D62&gt;99,"",IF(E62=1,1000,MIN(1000,MAX(0,(INDEX(Commutation!$K:$K,MATCH(D63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63,Commutation!$A:$A,0))-INDEX(Commutation!$H:$H,MATCH(Inputs!$B$8,Commutation!$A:$A,0)))/INDEX(Commutation!$F:$F,MATCH(D63,Commutation!$A:$A,0))))*1000))))</f>
        <v>855.140794729485</v>
      </c>
      <c r="K62" s="1" t="n">
        <f aca="false">IF(Inputs!$B$7+61-1&gt;MAX(MORTALITY!$A:$A),"",IFERROR(J62,0))</f>
        <v>855.140794729485</v>
      </c>
      <c r="M62" s="1" t="n">
        <f aca="false">IF(A62="","",IF(E62=1,1000,IFERROR(((I62+IF(C62&lt;=Inputs!$B$8,$H$2,0))*(1+G62)-E62*1000)/F62,0)))</f>
        <v>855.140794729485</v>
      </c>
    </row>
    <row r="63" customFormat="false" ht="15" hidden="false" customHeight="false" outlineLevel="0" collapsed="false">
      <c r="A63" s="1" t="n">
        <f aca="false">IF(D63&gt;100,"",Inputs!$B$4)</f>
        <v>34</v>
      </c>
      <c r="B63" s="1" t="n">
        <f aca="false">IF(D63&gt;100,"",Inputs!$B$7)</f>
        <v>16</v>
      </c>
      <c r="C63" s="1" t="n">
        <f aca="false">IFERROR(IF(Inputs!$B$7+C62+1&gt;=100,"",C62+1),"")</f>
        <v>61</v>
      </c>
      <c r="D63" s="6" t="n">
        <f aca="false">IFERROR(IF(Inputs!$B$7+C63&gt;=100,"",Inputs!$B$7+C63),"")</f>
        <v>77</v>
      </c>
      <c r="E63" s="8" t="n">
        <f aca="false">IF(D63="","",INDEX(MORTALITY!$B:$B,MATCH(D63,MORTALITY!$A:$A,0)))</f>
        <v>0.10399</v>
      </c>
      <c r="F63" s="8" t="n">
        <f aca="false">IF(D63="","",1-E63)</f>
        <v>0.89601</v>
      </c>
      <c r="G63" s="5" t="n">
        <f aca="false">IF(D63="","",Inputs!$B$23)</f>
        <v>0.025</v>
      </c>
      <c r="H63" s="1" t="n">
        <f aca="false">IF(D63="","",INDEX(Commutation!$L:$L,MATCH(Inputs!$B$7,Commutation!$A:$A,0)))</f>
        <v>11.0901711225671</v>
      </c>
      <c r="I63" s="1" t="n">
        <f aca="false">IF(D63="","",J62)</f>
        <v>855.140794729485</v>
      </c>
      <c r="J63" s="1" t="n">
        <f aca="false">IF(D63&gt;99,"",IF(E63=1,1000,MIN(1000,MAX(0,(INDEX(Commutation!$K:$K,MATCH(D64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64,Commutation!$A:$A,0))-INDEX(Commutation!$H:$H,MATCH(Inputs!$B$8,Commutation!$A:$A,0)))/INDEX(Commutation!$F:$F,MATCH(D64,Commutation!$A:$A,0))))*1000))))</f>
        <v>862.18827311941</v>
      </c>
      <c r="K63" s="1" t="n">
        <f aca="false">IF(Inputs!$B$7+62-1&gt;MAX(MORTALITY!$A:$A),"",IFERROR(J63,0))</f>
        <v>862.18827311941</v>
      </c>
      <c r="M63" s="1" t="n">
        <f aca="false">IF(A63="","",IF(E63=1,1000,IFERROR(((I63+IF(C63&lt;=Inputs!$B$8,$H$2,0))*(1+G63)-E63*1000)/F63,0)))</f>
        <v>862.18827311941</v>
      </c>
    </row>
    <row r="64" customFormat="false" ht="15" hidden="false" customHeight="false" outlineLevel="0" collapsed="false">
      <c r="A64" s="1" t="n">
        <f aca="false">IF(D64&gt;100,"",Inputs!$B$4)</f>
        <v>34</v>
      </c>
      <c r="B64" s="1" t="n">
        <f aca="false">IF(D64&gt;100,"",Inputs!$B$7)</f>
        <v>16</v>
      </c>
      <c r="C64" s="1" t="n">
        <f aca="false">IFERROR(IF(Inputs!$B$7+C63+1&gt;=100,"",C63+1),"")</f>
        <v>62</v>
      </c>
      <c r="D64" s="6" t="n">
        <f aca="false">IFERROR(IF(Inputs!$B$7+C64&gt;=100,"",Inputs!$B$7+C64),"")</f>
        <v>78</v>
      </c>
      <c r="E64" s="8" t="n">
        <f aca="false">IF(D64="","",INDEX(MORTALITY!$B:$B,MATCH(D64,MORTALITY!$A:$A,0)))</f>
        <v>0.11259</v>
      </c>
      <c r="F64" s="8" t="n">
        <f aca="false">IF(D64="","",1-E64)</f>
        <v>0.88741</v>
      </c>
      <c r="G64" s="5" t="n">
        <f aca="false">IF(D64="","",Inputs!$B$23)</f>
        <v>0.025</v>
      </c>
      <c r="H64" s="1" t="n">
        <f aca="false">IF(D64="","",INDEX(Commutation!$L:$L,MATCH(Inputs!$B$7,Commutation!$A:$A,0)))</f>
        <v>11.0901711225671</v>
      </c>
      <c r="I64" s="1" t="n">
        <f aca="false">IF(D64="","",J63)</f>
        <v>862.18827311941</v>
      </c>
      <c r="J64" s="1" t="n">
        <f aca="false">IF(D64&gt;99,"",IF(E64=1,1000,MIN(1000,MAX(0,(INDEX(Commutation!$K:$K,MATCH(D65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65,Commutation!$A:$A,0))-INDEX(Commutation!$H:$H,MATCH(Inputs!$B$8,Commutation!$A:$A,0)))/INDEX(Commutation!$F:$F,MATCH(D65,Commutation!$A:$A,0))))*1000))))</f>
        <v>868.992889360493</v>
      </c>
      <c r="K64" s="1" t="n">
        <f aca="false">IF(Inputs!$B$7+63-1&gt;MAX(MORTALITY!$A:$A),"",IFERROR(J64,0))</f>
        <v>868.992889360493</v>
      </c>
      <c r="M64" s="1" t="n">
        <f aca="false">IF(A64="","",IF(E64=1,1000,IFERROR(((I64+IF(C64&lt;=Inputs!$B$8,$H$2,0))*(1+G64)-E64*1000)/F64,0)))</f>
        <v>868.992889360493</v>
      </c>
    </row>
    <row r="65" customFormat="false" ht="15" hidden="false" customHeight="false" outlineLevel="0" collapsed="false">
      <c r="A65" s="1" t="n">
        <f aca="false">IF(D65&gt;100,"",Inputs!$B$4)</f>
        <v>34</v>
      </c>
      <c r="B65" s="1" t="n">
        <f aca="false">IF(D65&gt;100,"",Inputs!$B$7)</f>
        <v>16</v>
      </c>
      <c r="C65" s="1" t="n">
        <f aca="false">IFERROR(IF(Inputs!$B$7+C64+1&gt;=100,"",C64+1),"")</f>
        <v>63</v>
      </c>
      <c r="D65" s="6" t="n">
        <f aca="false">IFERROR(IF(Inputs!$B$7+C65&gt;=100,"",Inputs!$B$7+C65),"")</f>
        <v>79</v>
      </c>
      <c r="E65" s="8" t="n">
        <f aca="false">IF(D65="","",INDEX(MORTALITY!$B:$B,MATCH(D65,MORTALITY!$A:$A,0)))</f>
        <v>0.12186</v>
      </c>
      <c r="F65" s="8" t="n">
        <f aca="false">IF(D65="","",1-E65)</f>
        <v>0.87814</v>
      </c>
      <c r="G65" s="5" t="n">
        <f aca="false">IF(D65="","",Inputs!$B$23)</f>
        <v>0.025</v>
      </c>
      <c r="H65" s="1" t="n">
        <f aca="false">IF(D65="","",INDEX(Commutation!$L:$L,MATCH(Inputs!$B$7,Commutation!$A:$A,0)))</f>
        <v>11.0901711225671</v>
      </c>
      <c r="I65" s="1" t="n">
        <f aca="false">IF(D65="","",J64)</f>
        <v>868.992889360493</v>
      </c>
      <c r="J65" s="1" t="n">
        <f aca="false">IF(D65&gt;99,"",IF(E65=1,1000,MIN(1000,MAX(0,(INDEX(Commutation!$K:$K,MATCH(D66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66,Commutation!$A:$A,0))-INDEX(Commutation!$H:$H,MATCH(Inputs!$B$8,Commutation!$A:$A,0)))/INDEX(Commutation!$F:$F,MATCH(D66,Commutation!$A:$A,0))))*1000))))</f>
        <v>875.552544690488</v>
      </c>
      <c r="K65" s="1" t="n">
        <f aca="false">IF(Inputs!$B$7+64-1&gt;MAX(MORTALITY!$A:$A),"",IFERROR(J65,0))</f>
        <v>875.552544690488</v>
      </c>
      <c r="M65" s="1" t="n">
        <f aca="false">IF(A65="","",IF(E65=1,1000,IFERROR(((I65+IF(C65&lt;=Inputs!$B$8,$H$2,0))*(1+G65)-E65*1000)/F65,0)))</f>
        <v>875.552544690488</v>
      </c>
    </row>
    <row r="66" customFormat="false" ht="15" hidden="false" customHeight="false" outlineLevel="0" collapsed="false">
      <c r="A66" s="1" t="n">
        <f aca="false">IF(D66&gt;100,"",Inputs!$B$4)</f>
        <v>34</v>
      </c>
      <c r="B66" s="1" t="n">
        <f aca="false">IF(D66&gt;100,"",Inputs!$B$7)</f>
        <v>16</v>
      </c>
      <c r="C66" s="1" t="n">
        <f aca="false">IFERROR(IF(Inputs!$B$7+C65+1&gt;=100,"",C65+1),"")</f>
        <v>64</v>
      </c>
      <c r="D66" s="6" t="n">
        <f aca="false">IFERROR(IF(Inputs!$B$7+C66&gt;=100,"",Inputs!$B$7+C66),"")</f>
        <v>80</v>
      </c>
      <c r="E66" s="8" t="n">
        <f aca="false">IF(D66="","",INDEX(MORTALITY!$B:$B,MATCH(D66,MORTALITY!$A:$A,0)))</f>
        <v>0.13185</v>
      </c>
      <c r="F66" s="8" t="n">
        <f aca="false">IF(D66="","",1-E66)</f>
        <v>0.86815</v>
      </c>
      <c r="G66" s="5" t="n">
        <f aca="false">IF(D66="","",Inputs!$B$23)</f>
        <v>0.025</v>
      </c>
      <c r="H66" s="1" t="n">
        <f aca="false">IF(D66="","",INDEX(Commutation!$L:$L,MATCH(Inputs!$B$7,Commutation!$A:$A,0)))</f>
        <v>11.0901711225671</v>
      </c>
      <c r="I66" s="1" t="n">
        <f aca="false">IF(D66="","",J65)</f>
        <v>875.552544690488</v>
      </c>
      <c r="J66" s="1" t="n">
        <f aca="false">IF(D66&gt;99,"",IF(E66=1,1000,MIN(1000,MAX(0,(INDEX(Commutation!$K:$K,MATCH(D67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67,Commutation!$A:$A,0))-INDEX(Commutation!$H:$H,MATCH(Inputs!$B$8,Commutation!$A:$A,0)))/INDEX(Commutation!$F:$F,MATCH(D67,Commutation!$A:$A,0))))*1000))))</f>
        <v>881.865297826124</v>
      </c>
      <c r="K66" s="1" t="n">
        <f aca="false">IF(Inputs!$B$7+65-1&gt;MAX(MORTALITY!$A:$A),"",IFERROR(J66,0))</f>
        <v>881.865297826124</v>
      </c>
      <c r="M66" s="1" t="n">
        <f aca="false">IF(A66="","",IF(E66=1,1000,IFERROR(((I66+IF(C66&lt;=Inputs!$B$8,$H$2,0))*(1+G66)-E66*1000)/F66,0)))</f>
        <v>881.865297826124</v>
      </c>
    </row>
    <row r="67" customFormat="false" ht="15" hidden="false" customHeight="false" outlineLevel="0" collapsed="false">
      <c r="A67" s="1" t="n">
        <f aca="false">IF(D67&gt;100,"",Inputs!$B$4)</f>
        <v>34</v>
      </c>
      <c r="B67" s="1" t="n">
        <f aca="false">IF(D67&gt;100,"",Inputs!$B$7)</f>
        <v>16</v>
      </c>
      <c r="C67" s="1" t="n">
        <f aca="false">IFERROR(IF(Inputs!$B$7+C66+1&gt;=100,"",C66+1),"")</f>
        <v>65</v>
      </c>
      <c r="D67" s="6" t="n">
        <f aca="false">IFERROR(IF(Inputs!$B$7+C67&gt;=100,"",Inputs!$B$7+C67),"")</f>
        <v>81</v>
      </c>
      <c r="E67" s="8" t="n">
        <f aca="false">IF(D67="","",INDEX(MORTALITY!$B:$B,MATCH(D67,MORTALITY!$A:$A,0)))</f>
        <v>0.1426</v>
      </c>
      <c r="F67" s="8" t="n">
        <f aca="false">IF(D67="","",1-E67)</f>
        <v>0.8574</v>
      </c>
      <c r="G67" s="5" t="n">
        <f aca="false">IF(D67="","",Inputs!$B$23)</f>
        <v>0.025</v>
      </c>
      <c r="H67" s="1" t="n">
        <f aca="false">IF(D67="","",INDEX(Commutation!$L:$L,MATCH(Inputs!$B$7,Commutation!$A:$A,0)))</f>
        <v>11.0901711225671</v>
      </c>
      <c r="I67" s="1" t="n">
        <f aca="false">IF(D67="","",J66)</f>
        <v>881.865297826124</v>
      </c>
      <c r="J67" s="1" t="n">
        <f aca="false">IF(D67&gt;99,"",IF(E67=1,1000,MIN(1000,MAX(0,(INDEX(Commutation!$K:$K,MATCH(D68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68,Commutation!$A:$A,0))-INDEX(Commutation!$H:$H,MATCH(Inputs!$B$8,Commutation!$A:$A,0)))/INDEX(Commutation!$F:$F,MATCH(D68,Commutation!$A:$A,0))))*1000))))</f>
        <v>887.930872721924</v>
      </c>
      <c r="K67" s="1" t="n">
        <f aca="false">IF(Inputs!$B$7+66-1&gt;MAX(MORTALITY!$A:$A),"",IFERROR(J67,0))</f>
        <v>887.930872721924</v>
      </c>
      <c r="M67" s="1" t="n">
        <f aca="false">IF(A67="","",IF(E67=1,1000,IFERROR(((I67+IF(C67&lt;=Inputs!$B$8,$H$2,0))*(1+G67)-E67*1000)/F67,0)))</f>
        <v>887.930872721924</v>
      </c>
    </row>
    <row r="68" customFormat="false" ht="15" hidden="false" customHeight="false" outlineLevel="0" collapsed="false">
      <c r="A68" s="1" t="n">
        <f aca="false">IF(D68&gt;100,"",Inputs!$B$4)</f>
        <v>34</v>
      </c>
      <c r="B68" s="1" t="n">
        <f aca="false">IF(D68&gt;100,"",Inputs!$B$7)</f>
        <v>16</v>
      </c>
      <c r="C68" s="1" t="n">
        <f aca="false">IFERROR(IF(Inputs!$B$7+C67+1&gt;=100,"",C67+1),"")</f>
        <v>66</v>
      </c>
      <c r="D68" s="6" t="n">
        <f aca="false">IFERROR(IF(Inputs!$B$7+C68&gt;=100,"",Inputs!$B$7+C68),"")</f>
        <v>82</v>
      </c>
      <c r="E68" s="8" t="n">
        <f aca="false">IF(D68="","",INDEX(MORTALITY!$B:$B,MATCH(D68,MORTALITY!$A:$A,0)))</f>
        <v>0.15416</v>
      </c>
      <c r="F68" s="8" t="n">
        <f aca="false">IF(D68="","",1-E68)</f>
        <v>0.84584</v>
      </c>
      <c r="G68" s="5" t="n">
        <f aca="false">IF(D68="","",Inputs!$B$23)</f>
        <v>0.025</v>
      </c>
      <c r="H68" s="1" t="n">
        <f aca="false">IF(D68="","",INDEX(Commutation!$L:$L,MATCH(Inputs!$B$7,Commutation!$A:$A,0)))</f>
        <v>11.0901711225671</v>
      </c>
      <c r="I68" s="1" t="n">
        <f aca="false">IF(D68="","",J67)</f>
        <v>887.930872721924</v>
      </c>
      <c r="J68" s="1" t="n">
        <f aca="false">IF(D68&gt;99,"",IF(E68=1,1000,MIN(1000,MAX(0,(INDEX(Commutation!$K:$K,MATCH(D69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69,Commutation!$A:$A,0))-INDEX(Commutation!$H:$H,MATCH(Inputs!$B$8,Commutation!$A:$A,0)))/INDEX(Commutation!$F:$F,MATCH(D69,Commutation!$A:$A,0))))*1000))))</f>
        <v>893.749579755003</v>
      </c>
      <c r="K68" s="1" t="n">
        <f aca="false">IF(Inputs!$B$7+67-1&gt;MAX(MORTALITY!$A:$A),"",IFERROR(J68,0))</f>
        <v>893.749579755003</v>
      </c>
      <c r="M68" s="1" t="n">
        <f aca="false">IF(A68="","",IF(E68=1,1000,IFERROR(((I68+IF(C68&lt;=Inputs!$B$8,$H$2,0))*(1+G68)-E68*1000)/F68,0)))</f>
        <v>893.749579755003</v>
      </c>
    </row>
    <row r="69" customFormat="false" ht="15" hidden="false" customHeight="false" outlineLevel="0" collapsed="false">
      <c r="A69" s="1" t="n">
        <f aca="false">IF(D69&gt;100,"",Inputs!$B$4)</f>
        <v>34</v>
      </c>
      <c r="B69" s="1" t="n">
        <f aca="false">IF(D69&gt;100,"",Inputs!$B$7)</f>
        <v>16</v>
      </c>
      <c r="C69" s="1" t="n">
        <f aca="false">IFERROR(IF(Inputs!$B$7+C68+1&gt;=100,"",C68+1),"")</f>
        <v>67</v>
      </c>
      <c r="D69" s="6" t="n">
        <f aca="false">IFERROR(IF(Inputs!$B$7+C69&gt;=100,"",Inputs!$B$7+C69),"")</f>
        <v>83</v>
      </c>
      <c r="E69" s="8" t="n">
        <f aca="false">IF(D69="","",INDEX(MORTALITY!$B:$B,MATCH(D69,MORTALITY!$A:$A,0)))</f>
        <v>0.16657</v>
      </c>
      <c r="F69" s="8" t="n">
        <f aca="false">IF(D69="","",1-E69)</f>
        <v>0.83343</v>
      </c>
      <c r="G69" s="5" t="n">
        <f aca="false">IF(D69="","",Inputs!$B$23)</f>
        <v>0.025</v>
      </c>
      <c r="H69" s="1" t="n">
        <f aca="false">IF(D69="","",INDEX(Commutation!$L:$L,MATCH(Inputs!$B$7,Commutation!$A:$A,0)))</f>
        <v>11.0901711225671</v>
      </c>
      <c r="I69" s="1" t="n">
        <f aca="false">IF(D69="","",J68)</f>
        <v>893.749579755003</v>
      </c>
      <c r="J69" s="1" t="n">
        <f aca="false">IF(D69&gt;99,"",IF(E69=1,1000,MIN(1000,MAX(0,(INDEX(Commutation!$K:$K,MATCH(D70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70,Commutation!$A:$A,0))-INDEX(Commutation!$H:$H,MATCH(Inputs!$B$8,Commutation!$A:$A,0)))/INDEX(Commutation!$F:$F,MATCH(D70,Commutation!$A:$A,0))))*1000))))</f>
        <v>899.323661553913</v>
      </c>
      <c r="K69" s="1" t="n">
        <f aca="false">IF(Inputs!$B$7+68-1&gt;MAX(MORTALITY!$A:$A),"",IFERROR(J69,0))</f>
        <v>899.323661553913</v>
      </c>
      <c r="M69" s="1" t="n">
        <f aca="false">IF(A69="","",IF(E69=1,1000,IFERROR(((I69+IF(C69&lt;=Inputs!$B$8,$H$2,0))*(1+G69)-E69*1000)/F69,0)))</f>
        <v>899.323661553913</v>
      </c>
    </row>
    <row r="70" customFormat="false" ht="15" hidden="false" customHeight="false" outlineLevel="0" collapsed="false">
      <c r="A70" s="1" t="n">
        <f aca="false">IF(D70&gt;100,"",Inputs!$B$4)</f>
        <v>34</v>
      </c>
      <c r="B70" s="1" t="n">
        <f aca="false">IF(D70&gt;100,"",Inputs!$B$7)</f>
        <v>16</v>
      </c>
      <c r="C70" s="1" t="n">
        <f aca="false">IFERROR(IF(Inputs!$B$7+C69+1&gt;=100,"",C69+1),"")</f>
        <v>68</v>
      </c>
      <c r="D70" s="6" t="n">
        <f aca="false">IFERROR(IF(Inputs!$B$7+C70&gt;=100,"",Inputs!$B$7+C70),"")</f>
        <v>84</v>
      </c>
      <c r="E70" s="8" t="n">
        <f aca="false">IF(D70="","",INDEX(MORTALITY!$B:$B,MATCH(D70,MORTALITY!$A:$A,0)))</f>
        <v>0.17988</v>
      </c>
      <c r="F70" s="8" t="n">
        <f aca="false">IF(D70="","",1-E70)</f>
        <v>0.82012</v>
      </c>
      <c r="G70" s="5" t="n">
        <f aca="false">IF(D70="","",Inputs!$B$23)</f>
        <v>0.025</v>
      </c>
      <c r="H70" s="1" t="n">
        <f aca="false">IF(D70="","",INDEX(Commutation!$L:$L,MATCH(Inputs!$B$7,Commutation!$A:$A,0)))</f>
        <v>11.0901711225671</v>
      </c>
      <c r="I70" s="1" t="n">
        <f aca="false">IF(D70="","",J69)</f>
        <v>899.323661553913</v>
      </c>
      <c r="J70" s="1" t="n">
        <f aca="false">IF(D70&gt;99,"",IF(E70=1,1000,MIN(1000,MAX(0,(INDEX(Commutation!$K:$K,MATCH(D71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71,Commutation!$A:$A,0))-INDEX(Commutation!$H:$H,MATCH(Inputs!$B$8,Commutation!$A:$A,0)))/INDEX(Commutation!$F:$F,MATCH(D71,Commutation!$A:$A,0))))*1000))))</f>
        <v>904.65633455197</v>
      </c>
      <c r="K70" s="1" t="n">
        <f aca="false">IF(Inputs!$B$7+69-1&gt;MAX(MORTALITY!$A:$A),"",IFERROR(J70,0))</f>
        <v>904.65633455197</v>
      </c>
      <c r="M70" s="1" t="n">
        <f aca="false">IF(A70="","",IF(E70=1,1000,IFERROR(((I70+IF(C70&lt;=Inputs!$B$8,$H$2,0))*(1+G70)-E70*1000)/F70,0)))</f>
        <v>904.656334551969</v>
      </c>
    </row>
    <row r="71" customFormat="false" ht="15" hidden="false" customHeight="false" outlineLevel="0" collapsed="false">
      <c r="A71" s="1" t="n">
        <f aca="false">IF(D71&gt;100,"",Inputs!$B$4)</f>
        <v>34</v>
      </c>
      <c r="B71" s="1" t="n">
        <f aca="false">IF(D71&gt;100,"",Inputs!$B$7)</f>
        <v>16</v>
      </c>
      <c r="C71" s="1" t="n">
        <f aca="false">IFERROR(IF(Inputs!$B$7+C70+1&gt;=100,"",C70+1),"")</f>
        <v>69</v>
      </c>
      <c r="D71" s="6" t="n">
        <f aca="false">IFERROR(IF(Inputs!$B$7+C71&gt;=100,"",Inputs!$B$7+C71),"")</f>
        <v>85</v>
      </c>
      <c r="E71" s="8" t="n">
        <f aca="false">IF(D71="","",INDEX(MORTALITY!$B:$B,MATCH(D71,MORTALITY!$A:$A,0)))</f>
        <v>0.19413</v>
      </c>
      <c r="F71" s="8" t="n">
        <f aca="false">IF(D71="","",1-E71)</f>
        <v>0.80587</v>
      </c>
      <c r="G71" s="5" t="n">
        <f aca="false">IF(D71="","",Inputs!$B$23)</f>
        <v>0.025</v>
      </c>
      <c r="H71" s="1" t="n">
        <f aca="false">IF(D71="","",INDEX(Commutation!$L:$L,MATCH(Inputs!$B$7,Commutation!$A:$A,0)))</f>
        <v>11.0901711225671</v>
      </c>
      <c r="I71" s="1" t="n">
        <f aca="false">IF(D71="","",J70)</f>
        <v>904.65633455197</v>
      </c>
      <c r="J71" s="1" t="n">
        <f aca="false">IF(D71&gt;99,"",IF(E71=1,1000,MIN(1000,MAX(0,(INDEX(Commutation!$K:$K,MATCH(D72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72,Commutation!$A:$A,0))-INDEX(Commutation!$H:$H,MATCH(Inputs!$B$8,Commutation!$A:$A,0)))/INDEX(Commutation!$F:$F,MATCH(D72,Commutation!$A:$A,0))))*1000))))</f>
        <v>909.753115162208</v>
      </c>
      <c r="K71" s="1" t="n">
        <f aca="false">IF(Inputs!$B$7+70-1&gt;MAX(MORTALITY!$A:$A),"",IFERROR(J71,0))</f>
        <v>909.753115162208</v>
      </c>
      <c r="M71" s="1" t="n">
        <f aca="false">IF(A71="","",IF(E71=1,1000,IFERROR(((I71+IF(C71&lt;=Inputs!$B$8,$H$2,0))*(1+G71)-E71*1000)/F71,0)))</f>
        <v>909.753115162208</v>
      </c>
    </row>
    <row r="72" customFormat="false" ht="15" hidden="false" customHeight="false" outlineLevel="0" collapsed="false">
      <c r="A72" s="1" t="n">
        <f aca="false">IF(D72&gt;100,"",Inputs!$B$4)</f>
        <v>34</v>
      </c>
      <c r="B72" s="1" t="n">
        <f aca="false">IF(D72&gt;100,"",Inputs!$B$7)</f>
        <v>16</v>
      </c>
      <c r="C72" s="1" t="n">
        <f aca="false">IFERROR(IF(Inputs!$B$7+C71+1&gt;=100,"",C71+1),"")</f>
        <v>70</v>
      </c>
      <c r="D72" s="6" t="n">
        <f aca="false">IFERROR(IF(Inputs!$B$7+C72&gt;=100,"",Inputs!$B$7+C72),"")</f>
        <v>86</v>
      </c>
      <c r="E72" s="8" t="n">
        <f aca="false">IF(D72="","",INDEX(MORTALITY!$B:$B,MATCH(D72,MORTALITY!$A:$A,0)))</f>
        <v>0.20937</v>
      </c>
      <c r="F72" s="8" t="n">
        <f aca="false">IF(D72="","",1-E72)</f>
        <v>0.79063</v>
      </c>
      <c r="G72" s="5" t="n">
        <f aca="false">IF(D72="","",Inputs!$B$23)</f>
        <v>0.025</v>
      </c>
      <c r="H72" s="1" t="n">
        <f aca="false">IF(D72="","",INDEX(Commutation!$L:$L,MATCH(Inputs!$B$7,Commutation!$A:$A,0)))</f>
        <v>11.0901711225671</v>
      </c>
      <c r="I72" s="1" t="n">
        <f aca="false">IF(D72="","",J71)</f>
        <v>909.753115162208</v>
      </c>
      <c r="J72" s="1" t="n">
        <f aca="false">IF(D72&gt;99,"",IF(E72=1,1000,MIN(1000,MAX(0,(INDEX(Commutation!$K:$K,MATCH(D73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73,Commutation!$A:$A,0))-INDEX(Commutation!$H:$H,MATCH(Inputs!$B$8,Commutation!$A:$A,0)))/INDEX(Commutation!$F:$F,MATCH(D73,Commutation!$A:$A,0))))*1000))))</f>
        <v>914.62117936489</v>
      </c>
      <c r="K72" s="1" t="n">
        <f aca="false">IF(Inputs!$B$7+71-1&gt;MAX(MORTALITY!$A:$A),"",IFERROR(J72,0))</f>
        <v>914.62117936489</v>
      </c>
      <c r="M72" s="1" t="n">
        <f aca="false">IF(A72="","",IF(E72=1,1000,IFERROR(((I72+IF(C72&lt;=Inputs!$B$8,$H$2,0))*(1+G72)-E72*1000)/F72,0)))</f>
        <v>914.621179364891</v>
      </c>
    </row>
    <row r="73" customFormat="false" ht="15" hidden="false" customHeight="false" outlineLevel="0" collapsed="false">
      <c r="A73" s="1" t="n">
        <f aca="false">IF(D73&gt;100,"",Inputs!$B$4)</f>
        <v>34</v>
      </c>
      <c r="B73" s="1" t="n">
        <f aca="false">IF(D73&gt;100,"",Inputs!$B$7)</f>
        <v>16</v>
      </c>
      <c r="C73" s="1" t="n">
        <f aca="false">IFERROR(IF(Inputs!$B$7+C72+1&gt;=100,"",C72+1),"")</f>
        <v>71</v>
      </c>
      <c r="D73" s="6" t="n">
        <f aca="false">IFERROR(IF(Inputs!$B$7+C73&gt;=100,"",Inputs!$B$7+C73),"")</f>
        <v>87</v>
      </c>
      <c r="E73" s="8" t="n">
        <f aca="false">IF(D73="","",INDEX(MORTALITY!$B:$B,MATCH(D73,MORTALITY!$A:$A,0)))</f>
        <v>0.22563</v>
      </c>
      <c r="F73" s="8" t="n">
        <f aca="false">IF(D73="","",1-E73)</f>
        <v>0.77437</v>
      </c>
      <c r="G73" s="5" t="n">
        <f aca="false">IF(D73="","",Inputs!$B$23)</f>
        <v>0.025</v>
      </c>
      <c r="H73" s="1" t="n">
        <f aca="false">IF(D73="","",INDEX(Commutation!$L:$L,MATCH(Inputs!$B$7,Commutation!$A:$A,0)))</f>
        <v>11.0901711225671</v>
      </c>
      <c r="I73" s="1" t="n">
        <f aca="false">IF(D73="","",J72)</f>
        <v>914.62117936489</v>
      </c>
      <c r="J73" s="1" t="n">
        <f aca="false">IF(D73&gt;99,"",IF(E73=1,1000,MIN(1000,MAX(0,(INDEX(Commutation!$K:$K,MATCH(D74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74,Commutation!$A:$A,0))-INDEX(Commutation!$H:$H,MATCH(Inputs!$B$8,Commutation!$A:$A,0)))/INDEX(Commutation!$F:$F,MATCH(D74,Commutation!$A:$A,0))))*1000))))</f>
        <v>919.27206483853</v>
      </c>
      <c r="K73" s="1" t="n">
        <f aca="false">IF(Inputs!$B$7+72-1&gt;MAX(MORTALITY!$A:$A),"",IFERROR(J73,0))</f>
        <v>919.27206483853</v>
      </c>
      <c r="M73" s="1" t="n">
        <f aca="false">IF(A73="","",IF(E73=1,1000,IFERROR(((I73+IF(C73&lt;=Inputs!$B$8,$H$2,0))*(1+G73)-E73*1000)/F73,0)))</f>
        <v>919.27206483853</v>
      </c>
    </row>
    <row r="74" customFormat="false" ht="15" hidden="false" customHeight="false" outlineLevel="0" collapsed="false">
      <c r="A74" s="1" t="n">
        <f aca="false">IF(D74&gt;100,"",Inputs!$B$4)</f>
        <v>34</v>
      </c>
      <c r="B74" s="1" t="n">
        <f aca="false">IF(D74&gt;100,"",Inputs!$B$7)</f>
        <v>16</v>
      </c>
      <c r="C74" s="1" t="n">
        <f aca="false">IFERROR(IF(Inputs!$B$7+C73+1&gt;=100,"",C73+1),"")</f>
        <v>72</v>
      </c>
      <c r="D74" s="6" t="n">
        <f aca="false">IFERROR(IF(Inputs!$B$7+C74&gt;=100,"",Inputs!$B$7+C74),"")</f>
        <v>88</v>
      </c>
      <c r="E74" s="8" t="n">
        <f aca="false">IF(D74="","",INDEX(MORTALITY!$B:$B,MATCH(D74,MORTALITY!$A:$A,0)))</f>
        <v>0.243</v>
      </c>
      <c r="F74" s="8" t="n">
        <f aca="false">IF(D74="","",1-E74)</f>
        <v>0.757</v>
      </c>
      <c r="G74" s="5" t="n">
        <f aca="false">IF(D74="","",Inputs!$B$23)</f>
        <v>0.025</v>
      </c>
      <c r="H74" s="1" t="n">
        <f aca="false">IF(D74="","",INDEX(Commutation!$L:$L,MATCH(Inputs!$B$7,Commutation!$A:$A,0)))</f>
        <v>11.0901711225671</v>
      </c>
      <c r="I74" s="1" t="n">
        <f aca="false">IF(D74="","",J73)</f>
        <v>919.27206483853</v>
      </c>
      <c r="J74" s="1" t="n">
        <f aca="false">IF(D74&gt;99,"",IF(E74=1,1000,MIN(1000,MAX(0,(INDEX(Commutation!$K:$K,MATCH(D75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75,Commutation!$A:$A,0))-INDEX(Commutation!$H:$H,MATCH(Inputs!$B$8,Commutation!$A:$A,0)))/INDEX(Commutation!$F:$F,MATCH(D75,Commutation!$A:$A,0))))*1000))))</f>
        <v>923.717128744377</v>
      </c>
      <c r="K74" s="1" t="n">
        <f aca="false">IF(Inputs!$B$7+73-1&gt;MAX(MORTALITY!$A:$A),"",IFERROR(J74,0))</f>
        <v>923.717128744377</v>
      </c>
      <c r="M74" s="1" t="n">
        <f aca="false">IF(A74="","",IF(E74=1,1000,IFERROR(((I74+IF(C74&lt;=Inputs!$B$8,$H$2,0))*(1+G74)-E74*1000)/F74,0)))</f>
        <v>923.717128744377</v>
      </c>
    </row>
    <row r="75" customFormat="false" ht="15" hidden="false" customHeight="false" outlineLevel="0" collapsed="false">
      <c r="A75" s="1" t="n">
        <f aca="false">IF(D75&gt;100,"",Inputs!$B$4)</f>
        <v>34</v>
      </c>
      <c r="B75" s="1" t="n">
        <f aca="false">IF(D75&gt;100,"",Inputs!$B$7)</f>
        <v>16</v>
      </c>
      <c r="C75" s="1" t="n">
        <f aca="false">IFERROR(IF(Inputs!$B$7+C74+1&gt;=100,"",C74+1),"")</f>
        <v>73</v>
      </c>
      <c r="D75" s="6" t="n">
        <f aca="false">IFERROR(IF(Inputs!$B$7+C75&gt;=100,"",Inputs!$B$7+C75),"")</f>
        <v>89</v>
      </c>
      <c r="E75" s="8" t="n">
        <f aca="false">IF(D75="","",INDEX(MORTALITY!$B:$B,MATCH(D75,MORTALITY!$A:$A,0)))</f>
        <v>0.26144</v>
      </c>
      <c r="F75" s="8" t="n">
        <f aca="false">IF(D75="","",1-E75)</f>
        <v>0.73856</v>
      </c>
      <c r="G75" s="5" t="n">
        <f aca="false">IF(D75="","",Inputs!$B$23)</f>
        <v>0.025</v>
      </c>
      <c r="H75" s="1" t="n">
        <f aca="false">IF(D75="","",INDEX(Commutation!$L:$L,MATCH(Inputs!$B$7,Commutation!$A:$A,0)))</f>
        <v>11.0901711225671</v>
      </c>
      <c r="I75" s="1" t="n">
        <f aca="false">IF(D75="","",J74)</f>
        <v>923.717128744377</v>
      </c>
      <c r="J75" s="1" t="n">
        <f aca="false">IF(D75&gt;99,"",IF(E75=1,1000,MIN(1000,MAX(0,(INDEX(Commutation!$K:$K,MATCH(D76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76,Commutation!$A:$A,0))-INDEX(Commutation!$H:$H,MATCH(Inputs!$B$8,Commutation!$A:$A,0)))/INDEX(Commutation!$F:$F,MATCH(D76,Commutation!$A:$A,0))))*1000))))</f>
        <v>927.981554596764</v>
      </c>
      <c r="K75" s="1" t="n">
        <f aca="false">IF(Inputs!$B$7+74-1&gt;MAX(MORTALITY!$A:$A),"",IFERROR(J75,0))</f>
        <v>927.981554596764</v>
      </c>
      <c r="M75" s="1" t="n">
        <f aca="false">IF(A75="","",IF(E75=1,1000,IFERROR(((I75+IF(C75&lt;=Inputs!$B$8,$H$2,0))*(1+G75)-E75*1000)/F75,0)))</f>
        <v>927.981554596764</v>
      </c>
    </row>
    <row r="76" customFormat="false" ht="15" hidden="false" customHeight="false" outlineLevel="0" collapsed="false">
      <c r="A76" s="1" t="n">
        <f aca="false">IF(D76&gt;100,"",Inputs!$B$4)</f>
        <v>34</v>
      </c>
      <c r="B76" s="1" t="n">
        <f aca="false">IF(D76&gt;100,"",Inputs!$B$7)</f>
        <v>16</v>
      </c>
      <c r="C76" s="1" t="n">
        <f aca="false">IFERROR(IF(Inputs!$B$7+C75+1&gt;=100,"",C75+1),"")</f>
        <v>74</v>
      </c>
      <c r="D76" s="6" t="n">
        <f aca="false">IFERROR(IF(Inputs!$B$7+C76&gt;=100,"",Inputs!$B$7+C76),"")</f>
        <v>90</v>
      </c>
      <c r="E76" s="8" t="n">
        <f aca="false">IF(D76="","",INDEX(MORTALITY!$B:$B,MATCH(D76,MORTALITY!$A:$A,0)))</f>
        <v>0.28099</v>
      </c>
      <c r="F76" s="8" t="n">
        <f aca="false">IF(D76="","",1-E76)</f>
        <v>0.71901</v>
      </c>
      <c r="G76" s="5" t="n">
        <f aca="false">IF(D76="","",Inputs!$B$23)</f>
        <v>0.025</v>
      </c>
      <c r="H76" s="1" t="n">
        <f aca="false">IF(D76="","",INDEX(Commutation!$L:$L,MATCH(Inputs!$B$7,Commutation!$A:$A,0)))</f>
        <v>11.0901711225671</v>
      </c>
      <c r="I76" s="1" t="n">
        <f aca="false">IF(D76="","",J75)</f>
        <v>927.981554596764</v>
      </c>
      <c r="J76" s="1" t="n">
        <f aca="false">IF(D76&gt;99,"",IF(E76=1,1000,MIN(1000,MAX(0,(INDEX(Commutation!$K:$K,MATCH(D77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77,Commutation!$A:$A,0))-INDEX(Commutation!$H:$H,MATCH(Inputs!$B$8,Commutation!$A:$A,0)))/INDEX(Commutation!$F:$F,MATCH(D77,Commutation!$A:$A,0))))*1000))))</f>
        <v>932.102604222032</v>
      </c>
      <c r="K76" s="1" t="n">
        <f aca="false">IF(Inputs!$B$7+75-1&gt;MAX(MORTALITY!$A:$A),"",IFERROR(J76,0))</f>
        <v>932.102604222032</v>
      </c>
      <c r="M76" s="1" t="n">
        <f aca="false">IF(A76="","",IF(E76=1,1000,IFERROR(((I76+IF(C76&lt;=Inputs!$B$8,$H$2,0))*(1+G76)-E76*1000)/F76,0)))</f>
        <v>932.102604222032</v>
      </c>
    </row>
    <row r="77" customFormat="false" ht="15" hidden="false" customHeight="false" outlineLevel="0" collapsed="false">
      <c r="A77" s="1" t="n">
        <f aca="false">IF(D77&gt;100,"",Inputs!$B$4)</f>
        <v>34</v>
      </c>
      <c r="B77" s="1" t="n">
        <f aca="false">IF(D77&gt;100,"",Inputs!$B$7)</f>
        <v>16</v>
      </c>
      <c r="C77" s="1" t="n">
        <f aca="false">IFERROR(IF(Inputs!$B$7+C76+1&gt;=100,"",C76+1),"")</f>
        <v>75</v>
      </c>
      <c r="D77" s="6" t="n">
        <f aca="false">IFERROR(IF(Inputs!$B$7+C77&gt;=100,"",Inputs!$B$7+C77),"")</f>
        <v>91</v>
      </c>
      <c r="E77" s="8" t="n">
        <f aca="false">IF(D77="","",INDEX(MORTALITY!$B:$B,MATCH(D77,MORTALITY!$A:$A,0)))</f>
        <v>0.30173</v>
      </c>
      <c r="F77" s="8" t="n">
        <f aca="false">IF(D77="","",1-E77)</f>
        <v>0.69827</v>
      </c>
      <c r="G77" s="5" t="n">
        <f aca="false">IF(D77="","",Inputs!$B$23)</f>
        <v>0.025</v>
      </c>
      <c r="H77" s="1" t="n">
        <f aca="false">IF(D77="","",INDEX(Commutation!$L:$L,MATCH(Inputs!$B$7,Commutation!$A:$A,0)))</f>
        <v>11.0901711225671</v>
      </c>
      <c r="I77" s="1" t="n">
        <f aca="false">IF(D77="","",J76)</f>
        <v>932.102604222032</v>
      </c>
      <c r="J77" s="1" t="n">
        <f aca="false">IF(D77&gt;99,"",IF(E77=1,1000,MIN(1000,MAX(0,(INDEX(Commutation!$K:$K,MATCH(D78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78,Commutation!$A:$A,0))-INDEX(Commutation!$H:$H,MATCH(Inputs!$B$8,Commutation!$A:$A,0)))/INDEX(Commutation!$F:$F,MATCH(D78,Commutation!$A:$A,0))))*1000))))</f>
        <v>936.135261900959</v>
      </c>
      <c r="K77" s="1" t="n">
        <f aca="false">IF(Inputs!$B$7+76-1&gt;MAX(MORTALITY!$A:$A),"",IFERROR(J77,0))</f>
        <v>936.135261900959</v>
      </c>
      <c r="M77" s="1" t="n">
        <f aca="false">IF(A77="","",IF(E77=1,1000,IFERROR(((I77+IF(C77&lt;=Inputs!$B$8,$H$2,0))*(1+G77)-E77*1000)/F77,0)))</f>
        <v>936.135261900959</v>
      </c>
    </row>
    <row r="78" customFormat="false" ht="15" hidden="false" customHeight="false" outlineLevel="0" collapsed="false">
      <c r="A78" s="1" t="n">
        <f aca="false">IF(D78&gt;100,"",Inputs!$B$4)</f>
        <v>34</v>
      </c>
      <c r="B78" s="1" t="n">
        <f aca="false">IF(D78&gt;100,"",Inputs!$B$7)</f>
        <v>16</v>
      </c>
      <c r="C78" s="1" t="n">
        <f aca="false">IFERROR(IF(Inputs!$B$7+C77+1&gt;=100,"",C77+1),"")</f>
        <v>76</v>
      </c>
      <c r="D78" s="6" t="n">
        <f aca="false">IFERROR(IF(Inputs!$B$7+C78&gt;=100,"",Inputs!$B$7+C78),"")</f>
        <v>92</v>
      </c>
      <c r="E78" s="8" t="n">
        <f aca="false">IF(D78="","",INDEX(MORTALITY!$B:$B,MATCH(D78,MORTALITY!$A:$A,0)))</f>
        <v>0.32364</v>
      </c>
      <c r="F78" s="8" t="n">
        <f aca="false">IF(D78="","",1-E78)</f>
        <v>0.67636</v>
      </c>
      <c r="G78" s="5" t="n">
        <f aca="false">IF(D78="","",Inputs!$B$23)</f>
        <v>0.025</v>
      </c>
      <c r="H78" s="1" t="n">
        <f aca="false">IF(D78="","",INDEX(Commutation!$L:$L,MATCH(Inputs!$B$7,Commutation!$A:$A,0)))</f>
        <v>11.0901711225671</v>
      </c>
      <c r="I78" s="1" t="n">
        <f aca="false">IF(D78="","",J77)</f>
        <v>936.135261900959</v>
      </c>
      <c r="J78" s="1" t="n">
        <f aca="false">IF(D78&gt;99,"",IF(E78=1,1000,MIN(1000,MAX(0,(INDEX(Commutation!$K:$K,MATCH(D79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79,Commutation!$A:$A,0))-INDEX(Commutation!$H:$H,MATCH(Inputs!$B$8,Commutation!$A:$A,0)))/INDEX(Commutation!$F:$F,MATCH(D79,Commutation!$A:$A,0))))*1000))))</f>
        <v>940.17778024792</v>
      </c>
      <c r="K78" s="1" t="n">
        <f aca="false">IF(Inputs!$B$7+77-1&gt;MAX(MORTALITY!$A:$A),"",IFERROR(J78,0))</f>
        <v>940.17778024792</v>
      </c>
      <c r="M78" s="1" t="n">
        <f aca="false">IF(A78="","",IF(E78=1,1000,IFERROR(((I78+IF(C78&lt;=Inputs!$B$8,$H$2,0))*(1+G78)-E78*1000)/F78,0)))</f>
        <v>940.17778024792</v>
      </c>
    </row>
    <row r="79" customFormat="false" ht="15" hidden="false" customHeight="false" outlineLevel="0" collapsed="false">
      <c r="A79" s="1" t="n">
        <f aca="false">IF(D79&gt;100,"",Inputs!$B$4)</f>
        <v>34</v>
      </c>
      <c r="B79" s="1" t="n">
        <f aca="false">IF(D79&gt;100,"",Inputs!$B$7)</f>
        <v>16</v>
      </c>
      <c r="C79" s="1" t="n">
        <f aca="false">IFERROR(IF(Inputs!$B$7+C78+1&gt;=100,"",C78+1),"")</f>
        <v>77</v>
      </c>
      <c r="D79" s="6" t="n">
        <f aca="false">IFERROR(IF(Inputs!$B$7+C79&gt;=100,"",Inputs!$B$7+C79),"")</f>
        <v>93</v>
      </c>
      <c r="E79" s="8" t="n">
        <f aca="false">IF(D79="","",INDEX(MORTALITY!$B:$B,MATCH(D79,MORTALITY!$A:$A,0)))</f>
        <v>0.34666</v>
      </c>
      <c r="F79" s="8" t="n">
        <f aca="false">IF(D79="","",1-E79)</f>
        <v>0.65334</v>
      </c>
      <c r="G79" s="5" t="n">
        <f aca="false">IF(D79="","",Inputs!$B$23)</f>
        <v>0.025</v>
      </c>
      <c r="H79" s="1" t="n">
        <f aca="false">IF(D79="","",INDEX(Commutation!$L:$L,MATCH(Inputs!$B$7,Commutation!$A:$A,0)))</f>
        <v>11.0901711225671</v>
      </c>
      <c r="I79" s="1" t="n">
        <f aca="false">IF(D79="","",J78)</f>
        <v>940.17778024792</v>
      </c>
      <c r="J79" s="1" t="n">
        <f aca="false">IF(D79&gt;99,"",IF(E79=1,1000,MIN(1000,MAX(0,(INDEX(Commutation!$K:$K,MATCH(D80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80,Commutation!$A:$A,0))-INDEX(Commutation!$H:$H,MATCH(Inputs!$B$8,Commutation!$A:$A,0)))/INDEX(Commutation!$F:$F,MATCH(D80,Commutation!$A:$A,0))))*1000))))</f>
        <v>944.412135724305</v>
      </c>
      <c r="K79" s="1" t="n">
        <f aca="false">IF(Inputs!$B$7+78-1&gt;MAX(MORTALITY!$A:$A),"",IFERROR(J79,0))</f>
        <v>944.412135724305</v>
      </c>
      <c r="M79" s="1" t="n">
        <f aca="false">IF(A79="","",IF(E79=1,1000,IFERROR(((I79+IF(C79&lt;=Inputs!$B$8,$H$2,0))*(1+G79)-E79*1000)/F79,0)))</f>
        <v>944.412135724306</v>
      </c>
    </row>
    <row r="80" customFormat="false" ht="15" hidden="false" customHeight="false" outlineLevel="0" collapsed="false">
      <c r="A80" s="1" t="n">
        <f aca="false">IF(D80&gt;100,"",Inputs!$B$4)</f>
        <v>34</v>
      </c>
      <c r="B80" s="1" t="n">
        <f aca="false">IF(D80&gt;100,"",Inputs!$B$7)</f>
        <v>16</v>
      </c>
      <c r="C80" s="1" t="n">
        <f aca="false">IFERROR(IF(Inputs!$B$7+C79+1&gt;=100,"",C79+1),"")</f>
        <v>78</v>
      </c>
      <c r="D80" s="6" t="n">
        <f aca="false">IFERROR(IF(Inputs!$B$7+C80&gt;=100,"",Inputs!$B$7+C80),"")</f>
        <v>94</v>
      </c>
      <c r="E80" s="8" t="n">
        <f aca="false">IF(D80="","",INDEX(MORTALITY!$B:$B,MATCH(D80,MORTALITY!$A:$A,0)))</f>
        <v>0.371</v>
      </c>
      <c r="F80" s="8" t="n">
        <f aca="false">IF(D80="","",1-E80)</f>
        <v>0.629</v>
      </c>
      <c r="G80" s="5" t="n">
        <f aca="false">IF(D80="","",Inputs!$B$23)</f>
        <v>0.025</v>
      </c>
      <c r="H80" s="1" t="n">
        <f aca="false">IF(D80="","",INDEX(Commutation!$L:$L,MATCH(Inputs!$B$7,Commutation!$A:$A,0)))</f>
        <v>11.0901711225671</v>
      </c>
      <c r="I80" s="1" t="n">
        <f aca="false">IF(D80="","",J79)</f>
        <v>944.412135724305</v>
      </c>
      <c r="J80" s="1" t="n">
        <f aca="false">IF(D80&gt;99,"",IF(E80=1,1000,MIN(1000,MAX(0,(INDEX(Commutation!$K:$K,MATCH(D81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81,Commutation!$A:$A,0))-INDEX(Commutation!$H:$H,MATCH(Inputs!$B$8,Commutation!$A:$A,0)))/INDEX(Commutation!$F:$F,MATCH(D81,Commutation!$A:$A,0))))*1000))))</f>
        <v>949.161270456937</v>
      </c>
      <c r="K80" s="1" t="n">
        <f aca="false">IF(Inputs!$B$7+79-1&gt;MAX(MORTALITY!$A:$A),"",IFERROR(J80,0))</f>
        <v>949.161270456937</v>
      </c>
      <c r="M80" s="1" t="n">
        <f aca="false">IF(A80="","",IF(E80=1,1000,IFERROR(((I80+IF(C80&lt;=Inputs!$B$8,$H$2,0))*(1+G80)-E80*1000)/F80,0)))</f>
        <v>949.161270456936</v>
      </c>
    </row>
    <row r="81" customFormat="false" ht="15" hidden="false" customHeight="false" outlineLevel="0" collapsed="false">
      <c r="A81" s="1" t="n">
        <f aca="false">IF(D81&gt;100,"",Inputs!$B$4)</f>
        <v>34</v>
      </c>
      <c r="B81" s="1" t="n">
        <f aca="false">IF(D81&gt;100,"",Inputs!$B$7)</f>
        <v>16</v>
      </c>
      <c r="C81" s="1" t="n">
        <f aca="false">IFERROR(IF(Inputs!$B$7+C80+1&gt;=100,"",C80+1),"")</f>
        <v>79</v>
      </c>
      <c r="D81" s="6" t="n">
        <f aca="false">IFERROR(IF(Inputs!$B$7+C81&gt;=100,"",Inputs!$B$7+C81),"")</f>
        <v>95</v>
      </c>
      <c r="E81" s="8" t="n">
        <f aca="false">IF(D81="","",INDEX(MORTALITY!$B:$B,MATCH(D81,MORTALITY!$A:$A,0)))</f>
        <v>0.39621</v>
      </c>
      <c r="F81" s="8" t="n">
        <f aca="false">IF(D81="","",1-E81)</f>
        <v>0.60379</v>
      </c>
      <c r="G81" s="5" t="n">
        <f aca="false">IF(D81="","",Inputs!$B$23)</f>
        <v>0.025</v>
      </c>
      <c r="H81" s="1" t="n">
        <f aca="false">IF(D81="","",INDEX(Commutation!$L:$L,MATCH(Inputs!$B$7,Commutation!$A:$A,0)))</f>
        <v>11.0901711225671</v>
      </c>
      <c r="I81" s="1" t="n">
        <f aca="false">IF(D81="","",J80)</f>
        <v>949.161270456937</v>
      </c>
      <c r="J81" s="1" t="n">
        <f aca="false">IF(D81&gt;99,"",IF(E81=1,1000,MIN(1000,MAX(0,(INDEX(Commutation!$K:$K,MATCH(D82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82,Commutation!$A:$A,0))-INDEX(Commutation!$H:$H,MATCH(Inputs!$B$8,Commutation!$A:$A,0)))/INDEX(Commutation!$F:$F,MATCH(D82,Commutation!$A:$A,0))))*1000))))</f>
        <v>955.1007837466</v>
      </c>
      <c r="K81" s="1" t="n">
        <f aca="false">IF(Inputs!$B$7+80-1&gt;MAX(MORTALITY!$A:$A),"",IFERROR(J81,0))</f>
        <v>955.1007837466</v>
      </c>
      <c r="M81" s="1" t="n">
        <f aca="false">IF(A81="","",IF(E81=1,1000,IFERROR(((I81+IF(C81&lt;=Inputs!$B$8,$H$2,0))*(1+G81)-E81*1000)/F81,0)))</f>
        <v>955.1007837466</v>
      </c>
    </row>
    <row r="82" customFormat="false" ht="15" hidden="false" customHeight="false" outlineLevel="0" collapsed="false">
      <c r="A82" s="1" t="n">
        <f aca="false">IF(D82&gt;100,"",Inputs!$B$4)</f>
        <v>34</v>
      </c>
      <c r="B82" s="1" t="n">
        <f aca="false">IF(D82&gt;100,"",Inputs!$B$7)</f>
        <v>16</v>
      </c>
      <c r="C82" s="1" t="n">
        <f aca="false">IFERROR(IF(Inputs!$B$7+C81+1&gt;=100,"",C81+1),"")</f>
        <v>80</v>
      </c>
      <c r="D82" s="6" t="n">
        <f aca="false">IFERROR(IF(Inputs!$B$7+C82&gt;=100,"",Inputs!$B$7+C82),"")</f>
        <v>96</v>
      </c>
      <c r="E82" s="8" t="n">
        <f aca="false">IF(D82="","",INDEX(MORTALITY!$B:$B,MATCH(D82,MORTALITY!$A:$A,0)))</f>
        <v>0.44719</v>
      </c>
      <c r="F82" s="8" t="n">
        <f aca="false">IF(D82="","",1-E82)</f>
        <v>0.55281</v>
      </c>
      <c r="G82" s="5" t="n">
        <f aca="false">IF(D82="","",Inputs!$B$23)</f>
        <v>0.025</v>
      </c>
      <c r="H82" s="1" t="n">
        <f aca="false">IF(D82="","",INDEX(Commutation!$L:$L,MATCH(Inputs!$B$7,Commutation!$A:$A,0)))</f>
        <v>11.0901711225671</v>
      </c>
      <c r="I82" s="1" t="n">
        <f aca="false">IF(D82="","",J81)</f>
        <v>955.1007837466</v>
      </c>
      <c r="J82" s="1" t="n">
        <f aca="false">IF(D82&gt;99,"",IF(E82=1,1000,MIN(1000,MAX(0,(INDEX(Commutation!$K:$K,MATCH(D83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83,Commutation!$A:$A,0))-INDEX(Commutation!$H:$H,MATCH(Inputs!$B$8,Commutation!$A:$A,0)))/INDEX(Commutation!$F:$F,MATCH(D83,Commutation!$A:$A,0))))*1000))))</f>
        <v>961.973016660815</v>
      </c>
      <c r="K82" s="1" t="n">
        <f aca="false">IF(Inputs!$B$7+81-1&gt;MAX(MORTALITY!$A:$A),"",IFERROR(J82,0))</f>
        <v>961.973016660815</v>
      </c>
      <c r="M82" s="1" t="n">
        <f aca="false">IF(A82="","",IF(E82=1,1000,IFERROR(((I82+IF(C82&lt;=Inputs!$B$8,$H$2,0))*(1+G82)-E82*1000)/F82,0)))</f>
        <v>961.973016660815</v>
      </c>
    </row>
    <row r="83" customFormat="false" ht="15" hidden="false" customHeight="false" outlineLevel="0" collapsed="false">
      <c r="A83" s="1" t="n">
        <f aca="false">IF(D83&gt;100,"",Inputs!$B$4)</f>
        <v>34</v>
      </c>
      <c r="B83" s="1" t="n">
        <f aca="false">IF(D83&gt;100,"",Inputs!$B$7)</f>
        <v>16</v>
      </c>
      <c r="C83" s="1" t="n">
        <f aca="false">IFERROR(IF(Inputs!$B$7+C82+1&gt;=100,"",C82+1),"")</f>
        <v>81</v>
      </c>
      <c r="D83" s="6" t="n">
        <f aca="false">IFERROR(IF(Inputs!$B$7+C83&gt;=100,"",Inputs!$B$7+C83),"")</f>
        <v>97</v>
      </c>
      <c r="E83" s="8" t="n">
        <f aca="false">IF(D83="","",INDEX(MORTALITY!$B:$B,MATCH(D83,MORTALITY!$A:$A,0)))</f>
        <v>0.54826</v>
      </c>
      <c r="F83" s="8" t="n">
        <f aca="false">IF(D83="","",1-E83)</f>
        <v>0.45174</v>
      </c>
      <c r="G83" s="5" t="n">
        <f aca="false">IF(D83="","",Inputs!$B$23)</f>
        <v>0.025</v>
      </c>
      <c r="H83" s="1" t="n">
        <f aca="false">IF(D83="","",INDEX(Commutation!$L:$L,MATCH(Inputs!$B$7,Commutation!$A:$A,0)))</f>
        <v>11.0901711225671</v>
      </c>
      <c r="I83" s="1" t="n">
        <f aca="false">IF(D83="","",J82)</f>
        <v>961.973016660815</v>
      </c>
      <c r="J83" s="1" t="n">
        <f aca="false">IF(D83&gt;99,"",IF(E83=1,1000,MIN(1000,MAX(0,(INDEX(Commutation!$K:$K,MATCH(D84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84,Commutation!$A:$A,0))-INDEX(Commutation!$H:$H,MATCH(Inputs!$B$8,Commutation!$A:$A,0)))/INDEX(Commutation!$F:$F,MATCH(D84,Commutation!$A:$A,0))))*1000))))</f>
        <v>969.058179654968</v>
      </c>
      <c r="K83" s="1" t="n">
        <f aca="false">IF(Inputs!$B$7+82-1&gt;MAX(MORTALITY!$A:$A),"",IFERROR(J83,0))</f>
        <v>969.058179654968</v>
      </c>
      <c r="M83" s="1" t="n">
        <f aca="false">IF(A83="","",IF(E83=1,1000,IFERROR(((I83+IF(C83&lt;=Inputs!$B$8,$H$2,0))*(1+G83)-E83*1000)/F83,0)))</f>
        <v>969.058179654967</v>
      </c>
    </row>
    <row r="84" customFormat="false" ht="15" hidden="false" customHeight="false" outlineLevel="0" collapsed="false">
      <c r="A84" s="1" t="n">
        <f aca="false">IF(D84&gt;100,"",Inputs!$B$4)</f>
        <v>34</v>
      </c>
      <c r="B84" s="1" t="n">
        <f aca="false">IF(D84&gt;100,"",Inputs!$B$7)</f>
        <v>16</v>
      </c>
      <c r="C84" s="1" t="n">
        <f aca="false">IFERROR(IF(Inputs!$B$7+C83+1&gt;=100,"",C83+1),"")</f>
        <v>82</v>
      </c>
      <c r="D84" s="6" t="n">
        <f aca="false">IFERROR(IF(Inputs!$B$7+C84&gt;=100,"",Inputs!$B$7+C84),"")</f>
        <v>98</v>
      </c>
      <c r="E84" s="8" t="n">
        <f aca="false">IF(D84="","",INDEX(MORTALITY!$B:$B,MATCH(D84,MORTALITY!$A:$A,0)))</f>
        <v>0.72467</v>
      </c>
      <c r="F84" s="8" t="n">
        <f aca="false">IF(D84="","",1-E84)</f>
        <v>0.27533</v>
      </c>
      <c r="G84" s="5" t="n">
        <f aca="false">IF(D84="","",Inputs!$B$23)</f>
        <v>0.025</v>
      </c>
      <c r="H84" s="1" t="n">
        <f aca="false">IF(D84="","",INDEX(Commutation!$L:$L,MATCH(Inputs!$B$7,Commutation!$A:$A,0)))</f>
        <v>11.0901711225671</v>
      </c>
      <c r="I84" s="1" t="n">
        <f aca="false">IF(D84="","",J83)</f>
        <v>969.058179654968</v>
      </c>
      <c r="J84" s="1" t="n">
        <f aca="false">IF(D84&gt;99,"",IF(E84=1,1000,MIN(1000,MAX(0,(INDEX(Commutation!$K:$K,MATCH(D85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85,Commutation!$A:$A,0))-INDEX(Commutation!$H:$H,MATCH(Inputs!$B$8,Commutation!$A:$A,0)))/INDEX(Commutation!$F:$F,MATCH(D85,Commutation!$A:$A,0))))*1000))))</f>
        <v>975.609756097561</v>
      </c>
      <c r="K84" s="1" t="n">
        <f aca="false">IF(Inputs!$B$7+83-1&gt;MAX(MORTALITY!$A:$A),"",IFERROR(J84,0))</f>
        <v>975.609756097561</v>
      </c>
      <c r="M84" s="1" t="n">
        <f aca="false">IF(A84="","",IF(E84=1,1000,IFERROR(((I84+IF(C84&lt;=Inputs!$B$8,$H$2,0))*(1+G84)-E84*1000)/F84,0)))</f>
        <v>975.609756097561</v>
      </c>
    </row>
    <row r="85" customFormat="false" ht="15" hidden="false" customHeight="false" outlineLevel="0" collapsed="false">
      <c r="A85" s="1" t="n">
        <f aca="false">IF(D85&gt;100,"",Inputs!$B$4)</f>
        <v>34</v>
      </c>
      <c r="B85" s="1" t="n">
        <f aca="false">IF(D85&gt;100,"",Inputs!$B$7)</f>
        <v>16</v>
      </c>
      <c r="C85" s="1" t="n">
        <f aca="false">IFERROR(IF(Inputs!$B$7+C84+1&gt;=100,"",C84+1),"")</f>
        <v>83</v>
      </c>
      <c r="D85" s="6" t="n">
        <f aca="false">IFERROR(IF(Inputs!$B$7+C85&gt;=100,"",Inputs!$B$7+C85),"")</f>
        <v>99</v>
      </c>
      <c r="E85" s="8" t="n">
        <f aca="false">IF(D85="","",INDEX(MORTALITY!$B:$B,MATCH(D85,MORTALITY!$A:$A,0)))</f>
        <v>1</v>
      </c>
      <c r="F85" s="8" t="n">
        <f aca="false">IF(D85="","",1-E85)</f>
        <v>0</v>
      </c>
      <c r="G85" s="5" t="n">
        <f aca="false">IF(D85="","",Inputs!$B$23)</f>
        <v>0.025</v>
      </c>
      <c r="H85" s="1" t="n">
        <f aca="false">IF(D85="","",INDEX(Commutation!$L:$L,MATCH(Inputs!$B$7,Commutation!$A:$A,0)))</f>
        <v>11.0901711225671</v>
      </c>
      <c r="I85" s="1" t="n">
        <f aca="false">IF(D85="","",J84)</f>
        <v>975.609756097561</v>
      </c>
      <c r="J85" s="1" t="n">
        <f aca="false">IF(D85&gt;99,"",IF(E85=1,1000,MIN(1000,MAX(0,(INDEX(Commutation!$K:$K,MATCH(D86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86,Commutation!$A:$A,0))-INDEX(Commutation!$H:$H,MATCH(Inputs!$B$8,Commutation!$A:$A,0)))/INDEX(Commutation!$F:$F,MATCH(D86,Commutation!$A:$A,0))))*1000))))</f>
        <v>1000</v>
      </c>
      <c r="K85" s="1" t="n">
        <f aca="false">IF(Inputs!$B$7+84-1&gt;MAX(MORTALITY!$A:$A),"",IFERROR(J85,0))</f>
        <v>1000</v>
      </c>
      <c r="M85" s="1" t="n">
        <f aca="false">IF(A85="","",IF(E85=1,1000,IFERROR(((I85+IF(C85&lt;=Inputs!$B$8,$H$2,0))*(1+G85)-E85*1000)/F85,0)))</f>
        <v>1000</v>
      </c>
    </row>
    <row r="86" customFormat="false" ht="15" hidden="false" customHeight="false" outlineLevel="0" collapsed="false">
      <c r="A86" s="1" t="str">
        <f aca="false">IF(D86&gt;100,"",Inputs!$B$4)</f>
        <v/>
      </c>
      <c r="B86" s="1" t="str">
        <f aca="false">IF(D86&gt;100,"",Inputs!$B$7)</f>
        <v/>
      </c>
      <c r="C86" s="1" t="str">
        <f aca="false">IFERROR(IF(Inputs!$B$7+C85+1&gt;=100,"",C85+1),"")</f>
        <v/>
      </c>
      <c r="D86" s="6" t="str">
        <f aca="false">IFERROR(IF(Inputs!$B$7+C86&gt;=100,"",Inputs!$B$7+C86),"")</f>
        <v/>
      </c>
      <c r="E86" s="8" t="str">
        <f aca="false">IF(D86="","",INDEX(MORTALITY!$B:$B,MATCH(D86,MORTALITY!$A:$A,0)))</f>
        <v/>
      </c>
      <c r="F86" s="8" t="str">
        <f aca="false">IF(D86="","",1-E86)</f>
        <v/>
      </c>
      <c r="G86" s="5" t="str">
        <f aca="false">IF(D86="","",Inputs!$B$23)</f>
        <v/>
      </c>
      <c r="H86" s="1" t="str">
        <f aca="false">IF(D86="","",INDEX(Commutation!$L:$L,MATCH(Inputs!$B$7,Commutation!$A:$A,0)))</f>
        <v/>
      </c>
      <c r="I86" s="1" t="str">
        <f aca="false">IF(D86="","",J85)</f>
        <v/>
      </c>
      <c r="J86" s="1" t="str">
        <f aca="false">IF(D86&gt;99,"",IF(E86=1,1000,MIN(1000,MAX(0,(INDEX(Commutation!$K:$K,MATCH(D87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87,Commutation!$A:$A,0))-INDEX(Commutation!$H:$H,MATCH(Inputs!$B$8,Commutation!$A:$A,0)))/INDEX(Commutation!$F:$F,MATCH(D87,Commutation!$A:$A,0))))*1000))))</f>
        <v/>
      </c>
      <c r="K86" s="1" t="str">
        <f aca="false">IF(Inputs!$B$7+85-1&gt;MAX(MORTALITY!$A:$A),"",IFERROR(J86,0))</f>
        <v/>
      </c>
      <c r="M86" s="1" t="str">
        <f aca="false">IF(A86="","",IF(E86=1,1000,IFERROR(((I86+IF(C86&lt;=Inputs!$B$8,$H$2,0))*(1+G86)-E86*1000)/F86,0)))</f>
        <v/>
      </c>
    </row>
    <row r="87" customFormat="false" ht="15" hidden="false" customHeight="false" outlineLevel="0" collapsed="false">
      <c r="A87" s="1" t="str">
        <f aca="false">IF(D87&gt;100,"",Inputs!$B$4)</f>
        <v/>
      </c>
      <c r="B87" s="1" t="str">
        <f aca="false">IF(D87&gt;100,"",Inputs!$B$7)</f>
        <v/>
      </c>
      <c r="C87" s="1" t="str">
        <f aca="false">IFERROR(IF(Inputs!$B$7+C86+1&gt;=100,"",C86+1),"")</f>
        <v/>
      </c>
      <c r="D87" s="6" t="str">
        <f aca="false">IFERROR(IF(Inputs!$B$7+C87&gt;=100,"",Inputs!$B$7+C87),"")</f>
        <v/>
      </c>
      <c r="E87" s="8" t="str">
        <f aca="false">IF(D87="","",INDEX(MORTALITY!$B:$B,MATCH(D87,MORTALITY!$A:$A,0)))</f>
        <v/>
      </c>
      <c r="F87" s="8" t="str">
        <f aca="false">IF(D87="","",1-E87)</f>
        <v/>
      </c>
      <c r="G87" s="5" t="str">
        <f aca="false">IF(D87="","",Inputs!$B$23)</f>
        <v/>
      </c>
      <c r="H87" s="1" t="str">
        <f aca="false">IF(D87="","",INDEX(Commutation!$L:$L,MATCH(Inputs!$B$7,Commutation!$A:$A,0)))</f>
        <v/>
      </c>
      <c r="I87" s="1" t="str">
        <f aca="false">IF(D87="","",J86)</f>
        <v/>
      </c>
      <c r="J87" s="1" t="str">
        <f aca="false">IF(D87&gt;99,"",IF(E87=1,1000,MIN(1000,MAX(0,(INDEX(Commutation!$K:$K,MATCH(D88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88,Commutation!$A:$A,0))-INDEX(Commutation!$H:$H,MATCH(Inputs!$B$8,Commutation!$A:$A,0)))/INDEX(Commutation!$F:$F,MATCH(D88,Commutation!$A:$A,0))))*1000))))</f>
        <v/>
      </c>
      <c r="K87" s="1" t="str">
        <f aca="false">IF(Inputs!$B$7+86-1&gt;MAX(MORTALITY!$A:$A),"",IFERROR(J87,0))</f>
        <v/>
      </c>
      <c r="M87" s="1" t="str">
        <f aca="false">IF(A87="","",IF(E87=1,1000,IFERROR(((I87+IF(C87&lt;=Inputs!$B$8,$H$2,0))*(1+G87)-E87*1000)/F87,0)))</f>
        <v/>
      </c>
    </row>
    <row r="88" customFormat="false" ht="15" hidden="false" customHeight="false" outlineLevel="0" collapsed="false">
      <c r="A88" s="1" t="str">
        <f aca="false">IF(D88&gt;100,"",Inputs!$B$4)</f>
        <v/>
      </c>
      <c r="B88" s="1" t="str">
        <f aca="false">IF(D88&gt;100,"",Inputs!$B$7)</f>
        <v/>
      </c>
      <c r="C88" s="1" t="str">
        <f aca="false">IFERROR(IF(Inputs!$B$7+C87+1&gt;=100,"",C87+1),"")</f>
        <v/>
      </c>
      <c r="D88" s="6" t="str">
        <f aca="false">IFERROR(IF(Inputs!$B$7+C88&gt;=100,"",Inputs!$B$7+C88),"")</f>
        <v/>
      </c>
      <c r="E88" s="8" t="str">
        <f aca="false">IF(D88="","",INDEX(MORTALITY!$B:$B,MATCH(D88,MORTALITY!$A:$A,0)))</f>
        <v/>
      </c>
      <c r="F88" s="8" t="str">
        <f aca="false">IF(D88="","",1-E88)</f>
        <v/>
      </c>
      <c r="G88" s="5" t="str">
        <f aca="false">IF(D88="","",Inputs!$B$23)</f>
        <v/>
      </c>
      <c r="H88" s="1" t="str">
        <f aca="false">IF(D88="","",INDEX(Commutation!$L:$L,MATCH(Inputs!$B$7,Commutation!$A:$A,0)))</f>
        <v/>
      </c>
      <c r="I88" s="1" t="str">
        <f aca="false">IF(D88="","",J87)</f>
        <v/>
      </c>
      <c r="J88" s="1" t="str">
        <f aca="false">IF(D88&gt;99,"",IF(E88=1,1000,MIN(1000,MAX(0,(INDEX(Commutation!$K:$K,MATCH(D89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89,Commutation!$A:$A,0))-INDEX(Commutation!$H:$H,MATCH(Inputs!$B$8,Commutation!$A:$A,0)))/INDEX(Commutation!$F:$F,MATCH(D89,Commutation!$A:$A,0))))*1000))))</f>
        <v/>
      </c>
      <c r="K88" s="1" t="str">
        <f aca="false">IF(Inputs!$B$7+87-1&gt;MAX(MORTALITY!$A:$A),"",IFERROR(J88,0))</f>
        <v/>
      </c>
      <c r="M88" s="1" t="str">
        <f aca="false">IF(A88="","",IF(E88=1,1000,IFERROR(((I88+IF(C88&lt;=Inputs!$B$8,$H$2,0))*(1+G88)-E88*1000)/F88,0)))</f>
        <v/>
      </c>
    </row>
    <row r="89" customFormat="false" ht="15" hidden="false" customHeight="false" outlineLevel="0" collapsed="false">
      <c r="A89" s="1" t="str">
        <f aca="false">IF(D89&gt;100,"",Inputs!$B$4)</f>
        <v/>
      </c>
      <c r="B89" s="1" t="str">
        <f aca="false">IF(D89&gt;100,"",Inputs!$B$7)</f>
        <v/>
      </c>
      <c r="C89" s="1" t="str">
        <f aca="false">IFERROR(IF(Inputs!$B$7+C88+1&gt;=100,"",C88+1),"")</f>
        <v/>
      </c>
      <c r="D89" s="6" t="str">
        <f aca="false">IFERROR(IF(Inputs!$B$7+C89&gt;=100,"",Inputs!$B$7+C89),"")</f>
        <v/>
      </c>
      <c r="E89" s="8" t="str">
        <f aca="false">IF(D89="","",INDEX(MORTALITY!$B:$B,MATCH(D89,MORTALITY!$A:$A,0)))</f>
        <v/>
      </c>
      <c r="F89" s="8" t="str">
        <f aca="false">IF(D89="","",1-E89)</f>
        <v/>
      </c>
      <c r="G89" s="5" t="str">
        <f aca="false">IF(D89="","",Inputs!$B$23)</f>
        <v/>
      </c>
      <c r="H89" s="1" t="str">
        <f aca="false">IF(D89="","",INDEX(Commutation!$L:$L,MATCH(Inputs!$B$7,Commutation!$A:$A,0)))</f>
        <v/>
      </c>
      <c r="I89" s="1" t="str">
        <f aca="false">IF(D89="","",J88)</f>
        <v/>
      </c>
      <c r="J89" s="1" t="str">
        <f aca="false">IF(D89&gt;99,"",IF(E89=1,1000,MIN(1000,MAX(0,(INDEX(Commutation!$K:$K,MATCH(D90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90,Commutation!$A:$A,0))-INDEX(Commutation!$H:$H,MATCH(Inputs!$B$8,Commutation!$A:$A,0)))/INDEX(Commutation!$F:$F,MATCH(D90,Commutation!$A:$A,0))))*1000))))</f>
        <v/>
      </c>
      <c r="K89" s="1" t="str">
        <f aca="false">IF(Inputs!$B$7+88-1&gt;MAX(MORTALITY!$A:$A),"",IFERROR(J89,0))</f>
        <v/>
      </c>
      <c r="M89" s="1" t="str">
        <f aca="false">IF(A89="","",IF(E89=1,1000,IFERROR(((I89+IF(C89&lt;=Inputs!$B$8,$H$2,0))*(1+G89)-E89*1000)/F89,0)))</f>
        <v/>
      </c>
    </row>
    <row r="90" customFormat="false" ht="15" hidden="false" customHeight="false" outlineLevel="0" collapsed="false">
      <c r="A90" s="1" t="str">
        <f aca="false">IF(D90&gt;100,"",Inputs!$B$4)</f>
        <v/>
      </c>
      <c r="B90" s="1" t="str">
        <f aca="false">IF(D90&gt;100,"",Inputs!$B$7)</f>
        <v/>
      </c>
      <c r="C90" s="1" t="str">
        <f aca="false">IFERROR(IF(Inputs!$B$7+C89+1&gt;=100,"",C89+1),"")</f>
        <v/>
      </c>
      <c r="D90" s="6" t="str">
        <f aca="false">IFERROR(IF(Inputs!$B$7+C90&gt;=100,"",Inputs!$B$7+C90),"")</f>
        <v/>
      </c>
      <c r="E90" s="8" t="str">
        <f aca="false">IF(D90="","",INDEX(MORTALITY!$B:$B,MATCH(D90,MORTALITY!$A:$A,0)))</f>
        <v/>
      </c>
      <c r="F90" s="8" t="str">
        <f aca="false">IF(D90="","",1-E90)</f>
        <v/>
      </c>
      <c r="G90" s="5" t="str">
        <f aca="false">IF(D90="","",Inputs!$B$23)</f>
        <v/>
      </c>
      <c r="H90" s="1" t="str">
        <f aca="false">IF(D90="","",INDEX(Commutation!$L:$L,MATCH(Inputs!$B$7,Commutation!$A:$A,0)))</f>
        <v/>
      </c>
      <c r="I90" s="1" t="str">
        <f aca="false">IF(D90="","",J89)</f>
        <v/>
      </c>
      <c r="J90" s="1" t="str">
        <f aca="false">IF(D90&gt;99,"",IF(E90=1,1000,MIN(1000,MAX(0,(INDEX(Commutation!$K:$K,MATCH(D91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91,Commutation!$A:$A,0))-INDEX(Commutation!$H:$H,MATCH(Inputs!$B$8,Commutation!$A:$A,0)))/INDEX(Commutation!$F:$F,MATCH(D91,Commutation!$A:$A,0))))*1000))))</f>
        <v/>
      </c>
      <c r="K90" s="1" t="str">
        <f aca="false">IF(Inputs!$B$7+89-1&gt;MAX(MORTALITY!$A:$A),"",IFERROR(J90,0))</f>
        <v/>
      </c>
      <c r="M90" s="1" t="str">
        <f aca="false">IF(A90="","",IF(E90=1,1000,IFERROR(((I90+IF(C90&lt;=Inputs!$B$8,$H$2,0))*(1+G90)-E90*1000)/F90,0)))</f>
        <v/>
      </c>
    </row>
    <row r="91" customFormat="false" ht="15" hidden="false" customHeight="false" outlineLevel="0" collapsed="false">
      <c r="A91" s="1" t="str">
        <f aca="false">IF(D91&gt;100,"",Inputs!$B$4)</f>
        <v/>
      </c>
      <c r="B91" s="1" t="str">
        <f aca="false">IF(D91&gt;100,"",Inputs!$B$7)</f>
        <v/>
      </c>
      <c r="C91" s="1" t="str">
        <f aca="false">IFERROR(IF(Inputs!$B$7+C90+1&gt;=100,"",C90+1),"")</f>
        <v/>
      </c>
      <c r="D91" s="6" t="str">
        <f aca="false">IFERROR(IF(Inputs!$B$7+C91&gt;=100,"",Inputs!$B$7+C91),"")</f>
        <v/>
      </c>
      <c r="E91" s="8" t="str">
        <f aca="false">IF(D91="","",INDEX(MORTALITY!$B:$B,MATCH(D91,MORTALITY!$A:$A,0)))</f>
        <v/>
      </c>
      <c r="F91" s="8" t="str">
        <f aca="false">IF(D91="","",1-E91)</f>
        <v/>
      </c>
      <c r="G91" s="5" t="str">
        <f aca="false">IF(D91="","",Inputs!$B$23)</f>
        <v/>
      </c>
      <c r="H91" s="1" t="str">
        <f aca="false">IF(D91="","",INDEX(Commutation!$L:$L,MATCH(Inputs!$B$7,Commutation!$A:$A,0)))</f>
        <v/>
      </c>
      <c r="I91" s="1" t="str">
        <f aca="false">IF(D91="","",J90)</f>
        <v/>
      </c>
      <c r="J91" s="1" t="str">
        <f aca="false">IF(D91&gt;99,"",IF(E91=1,1000,MIN(1000,MAX(0,(INDEX(Commutation!$K:$K,MATCH(D92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92,Commutation!$A:$A,0))-INDEX(Commutation!$H:$H,MATCH(Inputs!$B$8,Commutation!$A:$A,0)))/INDEX(Commutation!$F:$F,MATCH(D92,Commutation!$A:$A,0))))*1000))))</f>
        <v/>
      </c>
      <c r="K91" s="1" t="str">
        <f aca="false">IF(Inputs!$B$7+90-1&gt;MAX(MORTALITY!$A:$A),"",IFERROR(J91,0))</f>
        <v/>
      </c>
      <c r="M91" s="1" t="str">
        <f aca="false">IF(A91="","",IF(E91=1,1000,IFERROR(((I91+IF(C91&lt;=Inputs!$B$8,$H$2,0))*(1+G91)-E91*1000)/F91,0)))</f>
        <v/>
      </c>
    </row>
    <row r="92" customFormat="false" ht="15" hidden="false" customHeight="false" outlineLevel="0" collapsed="false">
      <c r="A92" s="1" t="str">
        <f aca="false">IF(D92&gt;100,"",Inputs!$B$4)</f>
        <v/>
      </c>
      <c r="B92" s="1" t="str">
        <f aca="false">IF(D92&gt;100,"",Inputs!$B$7)</f>
        <v/>
      </c>
      <c r="C92" s="1" t="str">
        <f aca="false">IFERROR(IF(Inputs!$B$7+C91+1&gt;=100,"",C91+1),"")</f>
        <v/>
      </c>
      <c r="D92" s="6" t="str">
        <f aca="false">IFERROR(IF(Inputs!$B$7+C92&gt;=100,"",Inputs!$B$7+C92),"")</f>
        <v/>
      </c>
      <c r="E92" s="8" t="str">
        <f aca="false">IF(D92="","",INDEX(MORTALITY!$B:$B,MATCH(D92,MORTALITY!$A:$A,0)))</f>
        <v/>
      </c>
      <c r="F92" s="8" t="str">
        <f aca="false">IF(D92="","",1-E92)</f>
        <v/>
      </c>
      <c r="G92" s="5" t="str">
        <f aca="false">IF(D92="","",Inputs!$B$23)</f>
        <v/>
      </c>
      <c r="H92" s="1" t="str">
        <f aca="false">IF(D92="","",INDEX(Commutation!$L:$L,MATCH(Inputs!$B$7,Commutation!$A:$A,0)))</f>
        <v/>
      </c>
      <c r="I92" s="1" t="str">
        <f aca="false">IF(D92="","",J91)</f>
        <v/>
      </c>
      <c r="J92" s="1" t="str">
        <f aca="false">IF(D92&gt;99,"",IF(E92=1,1000,MIN(1000,MAX(0,(INDEX(Commutation!$K:$K,MATCH(D93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93,Commutation!$A:$A,0))-INDEX(Commutation!$H:$H,MATCH(Inputs!$B$8,Commutation!$A:$A,0)))/INDEX(Commutation!$F:$F,MATCH(D93,Commutation!$A:$A,0))))*1000))))</f>
        <v/>
      </c>
      <c r="K92" s="1" t="str">
        <f aca="false">IF(Inputs!$B$7+91-1&gt;MAX(MORTALITY!$A:$A),"",IFERROR(J92,0))</f>
        <v/>
      </c>
      <c r="M92" s="1" t="str">
        <f aca="false">IF(A92="","",IF(E92=1,1000,IFERROR(((I92+IF(C92&lt;=Inputs!$B$8,$H$2,0))*(1+G92)-E92*1000)/F92,0)))</f>
        <v/>
      </c>
    </row>
    <row r="93" customFormat="false" ht="15" hidden="false" customHeight="false" outlineLevel="0" collapsed="false">
      <c r="A93" s="1" t="str">
        <f aca="false">IF(D93&gt;100,"",Inputs!$B$4)</f>
        <v/>
      </c>
      <c r="B93" s="1" t="str">
        <f aca="false">IF(D93&gt;100,"",Inputs!$B$7)</f>
        <v/>
      </c>
      <c r="C93" s="1" t="str">
        <f aca="false">IFERROR(IF(Inputs!$B$7+C92+1&gt;=100,"",C92+1),"")</f>
        <v/>
      </c>
      <c r="D93" s="6" t="str">
        <f aca="false">IFERROR(IF(Inputs!$B$7+C93&gt;=100,"",Inputs!$B$7+C93),"")</f>
        <v/>
      </c>
      <c r="E93" s="8" t="str">
        <f aca="false">IF(D93="","",INDEX(MORTALITY!$B:$B,MATCH(D93,MORTALITY!$A:$A,0)))</f>
        <v/>
      </c>
      <c r="F93" s="8" t="str">
        <f aca="false">IF(D93="","",1-E93)</f>
        <v/>
      </c>
      <c r="G93" s="5" t="str">
        <f aca="false">IF(D93="","",Inputs!$B$23)</f>
        <v/>
      </c>
      <c r="H93" s="1" t="str">
        <f aca="false">IF(D93="","",INDEX(Commutation!$L:$L,MATCH(Inputs!$B$7,Commutation!$A:$A,0)))</f>
        <v/>
      </c>
      <c r="I93" s="1" t="str">
        <f aca="false">IF(D93="","",J92)</f>
        <v/>
      </c>
      <c r="J93" s="1" t="str">
        <f aca="false">IF(D93&gt;99,"",IF(E93=1,1000,MIN(1000,MAX(0,(INDEX(Commutation!$K:$K,MATCH(D94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94,Commutation!$A:$A,0))-INDEX(Commutation!$H:$H,MATCH(Inputs!$B$8,Commutation!$A:$A,0)))/INDEX(Commutation!$F:$F,MATCH(D94,Commutation!$A:$A,0))))*1000))))</f>
        <v/>
      </c>
      <c r="K93" s="1" t="str">
        <f aca="false">IF(Inputs!$B$7+92-1&gt;MAX(MORTALITY!$A:$A),"",IFERROR(J93,0))</f>
        <v/>
      </c>
      <c r="M93" s="1" t="str">
        <f aca="false">IF(A93="","",IF(E93=1,1000,IFERROR(((I93+IF(C93&lt;=Inputs!$B$8,$H$2,0))*(1+G93)-E93*1000)/F93,0)))</f>
        <v/>
      </c>
    </row>
    <row r="94" customFormat="false" ht="15" hidden="false" customHeight="false" outlineLevel="0" collapsed="false">
      <c r="A94" s="1" t="str">
        <f aca="false">IF(D94&gt;100,"",Inputs!$B$4)</f>
        <v/>
      </c>
      <c r="B94" s="1" t="str">
        <f aca="false">IF(D94&gt;100,"",Inputs!$B$7)</f>
        <v/>
      </c>
      <c r="C94" s="1" t="str">
        <f aca="false">IFERROR(IF(Inputs!$B$7+C93+1&gt;=100,"",C93+1),"")</f>
        <v/>
      </c>
      <c r="D94" s="6" t="str">
        <f aca="false">IFERROR(IF(Inputs!$B$7+C94&gt;=100,"",Inputs!$B$7+C94),"")</f>
        <v/>
      </c>
      <c r="E94" s="8" t="str">
        <f aca="false">IF(D94="","",INDEX(MORTALITY!$B:$B,MATCH(D94,MORTALITY!$A:$A,0)))</f>
        <v/>
      </c>
      <c r="F94" s="8" t="str">
        <f aca="false">IF(D94="","",1-E94)</f>
        <v/>
      </c>
      <c r="G94" s="5" t="str">
        <f aca="false">IF(D94="","",Inputs!$B$23)</f>
        <v/>
      </c>
      <c r="H94" s="1" t="str">
        <f aca="false">IF(D94="","",INDEX(Commutation!$L:$L,MATCH(Inputs!$B$7,Commutation!$A:$A,0)))</f>
        <v/>
      </c>
      <c r="I94" s="1" t="str">
        <f aca="false">IF(D94="","",J93)</f>
        <v/>
      </c>
      <c r="J94" s="1" t="str">
        <f aca="false">IF(D94&gt;99,"",IF(E94=1,1000,MIN(1000,MAX(0,(INDEX(Commutation!$K:$K,MATCH(D95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95,Commutation!$A:$A,0))-INDEX(Commutation!$H:$H,MATCH(Inputs!$B$8,Commutation!$A:$A,0)))/INDEX(Commutation!$F:$F,MATCH(D95,Commutation!$A:$A,0))))*1000))))</f>
        <v/>
      </c>
      <c r="K94" s="1" t="str">
        <f aca="false">IF(Inputs!$B$7+93-1&gt;MAX(MORTALITY!$A:$A),"",IFERROR(J94,0))</f>
        <v/>
      </c>
      <c r="M94" s="1" t="str">
        <f aca="false">IF(A94="","",IF(E94=1,1000,IFERROR(((I94+IF(C94&lt;=Inputs!$B$8,$H$2,0))*(1+G94)-E94*1000)/F94,0)))</f>
        <v/>
      </c>
    </row>
    <row r="95" customFormat="false" ht="15" hidden="false" customHeight="false" outlineLevel="0" collapsed="false">
      <c r="A95" s="1" t="str">
        <f aca="false">IF(D95&gt;100,"",Inputs!$B$4)</f>
        <v/>
      </c>
      <c r="B95" s="1" t="str">
        <f aca="false">IF(D95&gt;100,"",Inputs!$B$7)</f>
        <v/>
      </c>
      <c r="C95" s="1" t="str">
        <f aca="false">IFERROR(IF(Inputs!$B$7+C94+1&gt;=100,"",C94+1),"")</f>
        <v/>
      </c>
      <c r="D95" s="6" t="str">
        <f aca="false">IFERROR(IF(Inputs!$B$7+C95&gt;=100,"",Inputs!$B$7+C95),"")</f>
        <v/>
      </c>
      <c r="E95" s="8" t="str">
        <f aca="false">IF(D95="","",INDEX(MORTALITY!$B:$B,MATCH(D95,MORTALITY!$A:$A,0)))</f>
        <v/>
      </c>
      <c r="F95" s="8" t="str">
        <f aca="false">IF(D95="","",1-E95)</f>
        <v/>
      </c>
      <c r="G95" s="5" t="str">
        <f aca="false">IF(D95="","",Inputs!$B$23)</f>
        <v/>
      </c>
      <c r="H95" s="1" t="str">
        <f aca="false">IF(D95="","",INDEX(Commutation!$L:$L,MATCH(Inputs!$B$7,Commutation!$A:$A,0)))</f>
        <v/>
      </c>
      <c r="I95" s="1" t="str">
        <f aca="false">IF(D95="","",J94)</f>
        <v/>
      </c>
      <c r="J95" s="1" t="str">
        <f aca="false">IF(D95&gt;99,"",IF(E95=1,1000,MIN(1000,MAX(0,(INDEX(Commutation!$K:$K,MATCH(D96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96,Commutation!$A:$A,0))-INDEX(Commutation!$H:$H,MATCH(Inputs!$B$8,Commutation!$A:$A,0)))/INDEX(Commutation!$F:$F,MATCH(D96,Commutation!$A:$A,0))))*1000))))</f>
        <v/>
      </c>
      <c r="K95" s="1" t="str">
        <f aca="false">IF(Inputs!$B$7+94-1&gt;MAX(MORTALITY!$A:$A),"",IFERROR(J95,0))</f>
        <v/>
      </c>
      <c r="M95" s="1" t="str">
        <f aca="false">IF(A95="","",IF(E95=1,1000,IFERROR(((I95+IF(C95&lt;=Inputs!$B$8,$H$2,0))*(1+G95)-E95*1000)/F95,0)))</f>
        <v/>
      </c>
    </row>
    <row r="96" customFormat="false" ht="15" hidden="false" customHeight="false" outlineLevel="0" collapsed="false">
      <c r="A96" s="1" t="str">
        <f aca="false">IF(D96&gt;100,"",Inputs!$B$4)</f>
        <v/>
      </c>
      <c r="B96" s="1" t="str">
        <f aca="false">IF(D96&gt;100,"",Inputs!$B$7)</f>
        <v/>
      </c>
      <c r="C96" s="1" t="str">
        <f aca="false">IFERROR(IF(Inputs!$B$7+C95+1&gt;=100,"",C95+1),"")</f>
        <v/>
      </c>
      <c r="D96" s="6" t="str">
        <f aca="false">IFERROR(IF(Inputs!$B$7+C96&gt;=100,"",Inputs!$B$7+C96),"")</f>
        <v/>
      </c>
      <c r="E96" s="8" t="str">
        <f aca="false">IF(D96="","",INDEX(MORTALITY!$B:$B,MATCH(D96,MORTALITY!$A:$A,0)))</f>
        <v/>
      </c>
      <c r="F96" s="8" t="str">
        <f aca="false">IF(D96="","",1-E96)</f>
        <v/>
      </c>
      <c r="G96" s="5" t="str">
        <f aca="false">IF(D96="","",Inputs!$B$23)</f>
        <v/>
      </c>
      <c r="H96" s="1" t="str">
        <f aca="false">IF(D96="","",INDEX(Commutation!$L:$L,MATCH(Inputs!$B$7,Commutation!$A:$A,0)))</f>
        <v/>
      </c>
      <c r="I96" s="1" t="str">
        <f aca="false">IF(D96="","",J95)</f>
        <v/>
      </c>
      <c r="J96" s="1" t="str">
        <f aca="false">IF(D96&gt;99,"",IF(E96=1,1000,MIN(1000,MAX(0,(INDEX(Commutation!$K:$K,MATCH(D97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97,Commutation!$A:$A,0))-INDEX(Commutation!$H:$H,MATCH(Inputs!$B$8,Commutation!$A:$A,0)))/INDEX(Commutation!$F:$F,MATCH(D97,Commutation!$A:$A,0))))*1000))))</f>
        <v/>
      </c>
      <c r="K96" s="1" t="str">
        <f aca="false">IF(Inputs!$B$7+95-1&gt;MAX(MORTALITY!$A:$A),"",IFERROR(J96,0))</f>
        <v/>
      </c>
      <c r="M96" s="1" t="str">
        <f aca="false">IF(A96="","",IF(E96=1,1000,IFERROR(((I96+IF(C96&lt;=Inputs!$B$8,$H$2,0))*(1+G96)-E96*1000)/F96,0)))</f>
        <v/>
      </c>
    </row>
    <row r="97" customFormat="false" ht="15" hidden="false" customHeight="false" outlineLevel="0" collapsed="false">
      <c r="A97" s="1" t="str">
        <f aca="false">IF(D97&gt;100,"",Inputs!$B$4)</f>
        <v/>
      </c>
      <c r="B97" s="1" t="str">
        <f aca="false">IF(D97&gt;100,"",Inputs!$B$7)</f>
        <v/>
      </c>
      <c r="C97" s="1" t="str">
        <f aca="false">IFERROR(IF(Inputs!$B$7+C96+1&gt;=100,"",C96+1),"")</f>
        <v/>
      </c>
      <c r="D97" s="6" t="str">
        <f aca="false">IFERROR(IF(Inputs!$B$7+C97&gt;=100,"",Inputs!$B$7+C97),"")</f>
        <v/>
      </c>
      <c r="E97" s="8" t="str">
        <f aca="false">IF(D97="","",INDEX(MORTALITY!$B:$B,MATCH(D97,MORTALITY!$A:$A,0)))</f>
        <v/>
      </c>
      <c r="F97" s="8" t="str">
        <f aca="false">IF(D97="","",1-E97)</f>
        <v/>
      </c>
      <c r="G97" s="5" t="str">
        <f aca="false">IF(D97="","",Inputs!$B$23)</f>
        <v/>
      </c>
      <c r="H97" s="1" t="str">
        <f aca="false">IF(D97="","",INDEX(Commutation!$L:$L,MATCH(Inputs!$B$7,Commutation!$A:$A,0)))</f>
        <v/>
      </c>
      <c r="I97" s="1" t="str">
        <f aca="false">IF(D97="","",J96)</f>
        <v/>
      </c>
      <c r="J97" s="1" t="str">
        <f aca="false">IF(D97&gt;99,"",IF(E97=1,1000,MIN(1000,MAX(0,(INDEX(Commutation!$K:$K,MATCH(D98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98,Commutation!$A:$A,0))-INDEX(Commutation!$H:$H,MATCH(Inputs!$B$8,Commutation!$A:$A,0)))/INDEX(Commutation!$F:$F,MATCH(D98,Commutation!$A:$A,0))))*1000))))</f>
        <v/>
      </c>
      <c r="K97" s="1" t="str">
        <f aca="false">IF(Inputs!$B$7+96-1&gt;MAX(MORTALITY!$A:$A),"",IFERROR(J97,0))</f>
        <v/>
      </c>
      <c r="M97" s="1" t="str">
        <f aca="false">IF(A97="","",IF(E97=1,1000,IFERROR(((I97+IF(C97&lt;=Inputs!$B$8,$H$2,0))*(1+G97)-E97*1000)/F97,0)))</f>
        <v/>
      </c>
    </row>
    <row r="98" customFormat="false" ht="15" hidden="false" customHeight="false" outlineLevel="0" collapsed="false">
      <c r="A98" s="1" t="str">
        <f aca="false">IF(D98&gt;100,"",Inputs!$B$4)</f>
        <v/>
      </c>
      <c r="B98" s="1" t="str">
        <f aca="false">IF(D98&gt;100,"",Inputs!$B$7)</f>
        <v/>
      </c>
      <c r="C98" s="1" t="str">
        <f aca="false">IFERROR(IF(Inputs!$B$7+C97+1&gt;=100,"",C97+1),"")</f>
        <v/>
      </c>
      <c r="D98" s="6" t="str">
        <f aca="false">IFERROR(IF(Inputs!$B$7+C98&gt;=100,"",Inputs!$B$7+C98),"")</f>
        <v/>
      </c>
      <c r="E98" s="8" t="str">
        <f aca="false">IF(D98="","",INDEX(MORTALITY!$B:$B,MATCH(D98,MORTALITY!$A:$A,0)))</f>
        <v/>
      </c>
      <c r="F98" s="8" t="str">
        <f aca="false">IF(D98="","",1-E98)</f>
        <v/>
      </c>
      <c r="G98" s="5" t="str">
        <f aca="false">IF(D98="","",Inputs!$B$23)</f>
        <v/>
      </c>
      <c r="H98" s="1" t="str">
        <f aca="false">IF(D98="","",INDEX(Commutation!$L:$L,MATCH(Inputs!$B$7,Commutation!$A:$A,0)))</f>
        <v/>
      </c>
      <c r="I98" s="1" t="str">
        <f aca="false">IF(D98="","",J97)</f>
        <v/>
      </c>
      <c r="J98" s="1" t="str">
        <f aca="false">IF(D98&gt;99,"",IF(E98=1,1000,MIN(1000,MAX(0,(INDEX(Commutation!$K:$K,MATCH(D99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99,Commutation!$A:$A,0))-INDEX(Commutation!$H:$H,MATCH(Inputs!$B$8,Commutation!$A:$A,0)))/INDEX(Commutation!$F:$F,MATCH(D99,Commutation!$A:$A,0))))*1000))))</f>
        <v/>
      </c>
      <c r="K98" s="1" t="str">
        <f aca="false">IF(Inputs!$B$7+97-1&gt;MAX(MORTALITY!$A:$A),"",IFERROR(J98,0))</f>
        <v/>
      </c>
      <c r="M98" s="1" t="str">
        <f aca="false">IF(A98="","",IF(E98=1,1000,IFERROR(((I98+IF(C98&lt;=Inputs!$B$8,$H$2,0))*(1+G98)-E98*1000)/F98,0)))</f>
        <v/>
      </c>
    </row>
    <row r="99" customFormat="false" ht="15" hidden="false" customHeight="false" outlineLevel="0" collapsed="false">
      <c r="A99" s="1" t="str">
        <f aca="false">IF(D99&gt;100,"",Inputs!$B$4)</f>
        <v/>
      </c>
      <c r="B99" s="1" t="str">
        <f aca="false">IF(D99&gt;100,"",Inputs!$B$7)</f>
        <v/>
      </c>
      <c r="C99" s="1" t="str">
        <f aca="false">IFERROR(IF(Inputs!$B$7+C98+1&gt;=100,"",C98+1),"")</f>
        <v/>
      </c>
      <c r="D99" s="6" t="str">
        <f aca="false">IFERROR(IF(Inputs!$B$7+C99&gt;=100,"",Inputs!$B$7+C99),"")</f>
        <v/>
      </c>
      <c r="E99" s="8" t="str">
        <f aca="false">IF(D99="","",INDEX(MORTALITY!$B:$B,MATCH(D99,MORTALITY!$A:$A,0)))</f>
        <v/>
      </c>
      <c r="F99" s="8" t="str">
        <f aca="false">IF(D99="","",1-E99)</f>
        <v/>
      </c>
      <c r="G99" s="5" t="str">
        <f aca="false">IF(D99="","",Inputs!$B$23)</f>
        <v/>
      </c>
      <c r="H99" s="1" t="str">
        <f aca="false">IF(D99="","",INDEX(Commutation!$L:$L,MATCH(Inputs!$B$7,Commutation!$A:$A,0)))</f>
        <v/>
      </c>
      <c r="I99" s="1" t="str">
        <f aca="false">IF(D99="","",J98)</f>
        <v/>
      </c>
      <c r="J99" s="1" t="str">
        <f aca="false">IF(D99&gt;99,"",IF(E99=1,1000,MIN(1000,MAX(0,(INDEX(Commutation!$K:$K,MATCH(D100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100,Commutation!$A:$A,0))-INDEX(Commutation!$H:$H,MATCH(Inputs!$B$8,Commutation!$A:$A,0)))/INDEX(Commutation!$F:$F,MATCH(D100,Commutation!$A:$A,0))))*1000))))</f>
        <v/>
      </c>
      <c r="K99" s="1" t="str">
        <f aca="false">IF(Inputs!$B$7+98-1&gt;MAX(MORTALITY!$A:$A),"",IFERROR(J99,0))</f>
        <v/>
      </c>
      <c r="M99" s="1" t="str">
        <f aca="false">IF(A99="","",IF(E99=1,1000,IFERROR(((I99+IF(C99&lt;=Inputs!$B$8,$H$2,0))*(1+G99)-E99*1000)/F99,0)))</f>
        <v/>
      </c>
    </row>
    <row r="100" customFormat="false" ht="15" hidden="false" customHeight="false" outlineLevel="0" collapsed="false">
      <c r="A100" s="1" t="str">
        <f aca="false">IF(D100&gt;100,"",Inputs!$B$4)</f>
        <v/>
      </c>
      <c r="B100" s="1" t="str">
        <f aca="false">IF(D100&gt;100,"",Inputs!$B$7)</f>
        <v/>
      </c>
      <c r="C100" s="1" t="str">
        <f aca="false">IFERROR(IF(Inputs!$B$7+C99+1&gt;=100,"",C99+1),"")</f>
        <v/>
      </c>
      <c r="D100" s="6" t="str">
        <f aca="false">IFERROR(IF(Inputs!$B$7+C100&gt;=100,"",Inputs!$B$7+C100),"")</f>
        <v/>
      </c>
      <c r="E100" s="8" t="str">
        <f aca="false">IF(D100="","",INDEX(MORTALITY!$B:$B,MATCH(D100,MORTALITY!$A:$A,0)))</f>
        <v/>
      </c>
      <c r="F100" s="8" t="str">
        <f aca="false">IF(D100="","",1-E100)</f>
        <v/>
      </c>
      <c r="G100" s="5" t="str">
        <f aca="false">IF(D100="","",Inputs!$B$23)</f>
        <v/>
      </c>
      <c r="H100" s="1" t="str">
        <f aca="false">IF(D100="","",INDEX(Commutation!$L:$L,MATCH(Inputs!$B$7,Commutation!$A:$A,0)))</f>
        <v/>
      </c>
      <c r="I100" s="1" t="str">
        <f aca="false">IF(D100="","",J99)</f>
        <v/>
      </c>
      <c r="J100" s="1" t="str">
        <f aca="false">IF(D100&gt;99,"",IF(E100=1,1000,MIN(1000,MAX(0,(INDEX(Commutation!$K:$K,MATCH(D101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101,Commutation!$A:$A,0))-INDEX(Commutation!$H:$H,MATCH(Inputs!$B$8,Commutation!$A:$A,0)))/INDEX(Commutation!$F:$F,MATCH(D101,Commutation!$A:$A,0))))*1000))))</f>
        <v/>
      </c>
      <c r="K100" s="1" t="str">
        <f aca="false">IF(Inputs!$B$7+99-1&gt;MAX(MORTALITY!$A:$A),"",IFERROR(J100,0))</f>
        <v/>
      </c>
      <c r="M100" s="1" t="str">
        <f aca="false">IF(A100="","",IF(E100=1,1000,IFERROR(((I100+IF(C100&lt;=Inputs!$B$8,$H$2,0))*(1+G100)-E100*1000)/F100,0)))</f>
        <v/>
      </c>
    </row>
    <row r="101" customFormat="false" ht="15" hidden="false" customHeight="false" outlineLevel="0" collapsed="false">
      <c r="A101" s="1" t="str">
        <f aca="false">IF(D101&gt;100,"",Inputs!$B$4)</f>
        <v/>
      </c>
      <c r="B101" s="1" t="str">
        <f aca="false">IF(D101&gt;100,"",Inputs!$B$7)</f>
        <v/>
      </c>
      <c r="C101" s="1" t="str">
        <f aca="false">IFERROR(IF(Inputs!$B$7+C100+1&gt;=100,"",C100+1),"")</f>
        <v/>
      </c>
      <c r="D101" s="6" t="str">
        <f aca="false">IFERROR(IF(Inputs!$B$7+C101&gt;=100,"",Inputs!$B$7+C101),"")</f>
        <v/>
      </c>
      <c r="E101" s="8" t="str">
        <f aca="false">IF(D101="","",INDEX(MORTALITY!$B:$B,MATCH(D101,MORTALITY!$A:$A,0)))</f>
        <v/>
      </c>
      <c r="F101" s="8" t="str">
        <f aca="false">IF(D101="","",1-E101)</f>
        <v/>
      </c>
      <c r="G101" s="5" t="str">
        <f aca="false">IF(D101="","",Inputs!$B$23)</f>
        <v/>
      </c>
      <c r="H101" s="1" t="str">
        <f aca="false">IF(D101="","",INDEX(Commutation!$L:$L,MATCH(Inputs!$B$7,Commutation!$A:$A,0)))</f>
        <v/>
      </c>
      <c r="I101" s="1" t="str">
        <f aca="false">IF(D101="","",J100)</f>
        <v/>
      </c>
      <c r="J101" s="1" t="str">
        <f aca="false">IF(D101&gt;99,"",IF(E101=1,1000,MIN(1000,MAX(0,(INDEX(Commutation!$K:$K,MATCH(D102,Commutation!$A:$A,0))-(INDEX(Commutation!$K:$K,MATCH(Inputs!$B$7,Commutation!$A:$A,0))/((INDEX(Commutation!$H:$H,MATCH(Inputs!$B$7,Commutation!$A:$A,0))-INDEX(Commutation!$H:$H,MATCH(Inputs!$B$8,Commutation!$A:$A,0)))/INDEX(Commutation!$F:$F,MATCH(Inputs!$B$7,Commutation!$A:$A,0))))*MAX(0,(INDEX(Commutation!$H:$H,MATCH(D102,Commutation!$A:$A,0))-INDEX(Commutation!$H:$H,MATCH(Inputs!$B$8,Commutation!$A:$A,0)))/INDEX(Commutation!$F:$F,MATCH(D102,Commutation!$A:$A,0))))*1000))))</f>
        <v/>
      </c>
      <c r="K101" s="1" t="str">
        <f aca="false">IF(Inputs!$B$7+100-1&gt;MAX(MORTALITY!$A:$A),"",IFERROR(J101,0))</f>
        <v/>
      </c>
      <c r="M101" s="1" t="str">
        <f aca="false">IF(A101="","",IF(E101=1,1000,IFERROR(((I101+IF(C101&lt;=Inputs!$B$8,$H$2,0))*(1+G101)-E101*1000)/F101,0)))</f>
        <v/>
      </c>
    </row>
    <row r="102" customFormat="false" ht="15" hidden="false" customHeight="false" outlineLevel="0" collapsed="false">
      <c r="M102" s="1" t="str">
        <f aca="false">IF(A102="","",IF(E102=1,1000,IFERROR(((I102+IF(C102&lt;=Inputs!$B$8,$H$2,0))*(1+G102)-E102*1000)/F102,0)))</f>
        <v/>
      </c>
    </row>
    <row r="103" customFormat="false" ht="15" hidden="false" customHeight="false" outlineLevel="0" collapsed="false">
      <c r="M103" s="1" t="str">
        <f aca="false">IF(A103="","",IF(E103=1,1000,IFERROR(((I103+IF(C103&lt;=Inputs!$B$8,$H$2,0))*(1+G103)-E103*1000)/F103,0)))</f>
        <v/>
      </c>
    </row>
    <row r="104" customFormat="false" ht="15" hidden="false" customHeight="false" outlineLevel="0" collapsed="false">
      <c r="M104" s="1" t="str">
        <f aca="false">IF(A104="","",IF(E104=1,1000,IFERROR(((I104+IF(C104&lt;=Inputs!$B$8,$H$2,0))*(1+G104)-E104*1000)/F104,0)))</f>
        <v/>
      </c>
    </row>
    <row r="105" customFormat="false" ht="15" hidden="false" customHeight="false" outlineLevel="0" collapsed="false">
      <c r="M105" s="1" t="str">
        <f aca="false">IF(A105="","",IF(E105=1,1000,IFERROR(((I105+IF(C105&lt;=Inputs!$B$8,$H$2,0))*(1+G105)-E105*1000)/F105,0)))</f>
        <v/>
      </c>
    </row>
    <row r="106" customFormat="false" ht="15" hidden="false" customHeight="false" outlineLevel="0" collapsed="false">
      <c r="M106" s="1" t="str">
        <f aca="false">IF(A106="","",IF(E106=1,1000,IFERROR(((I106+IF(C106&lt;=Inputs!$B$8,$H$2,0))*(1+G106)-E106*1000)/F106,0)))</f>
        <v/>
      </c>
    </row>
    <row r="107" customFormat="false" ht="15" hidden="false" customHeight="false" outlineLevel="0" collapsed="false">
      <c r="M107" s="1" t="str">
        <f aca="false">IF(A107="","",IF(E107=1,1000,IFERROR(((I107+IF(C107&lt;=Inputs!$B$8,$H$2,0))*(1+G107)-E107*1000)/F107,0)))</f>
        <v/>
      </c>
    </row>
    <row r="108" customFormat="false" ht="15" hidden="false" customHeight="false" outlineLevel="0" collapsed="false">
      <c r="M108" s="1" t="str">
        <f aca="false">IF(A108="","",IF(E108=1,1000,IFERROR(((I108+IF(C108&lt;=Inputs!$B$8,$H$2,0))*(1+G108)-E108*1000)/F108,0)))</f>
        <v/>
      </c>
    </row>
    <row r="109" customFormat="false" ht="15" hidden="false" customHeight="false" outlineLevel="0" collapsed="false">
      <c r="M109" s="1" t="str">
        <f aca="false">IF(A109="","",IF(E109=1,1000,IFERROR(((I109+IF(C109&lt;=Inputs!$B$8,$H$2,0))*(1+G109)-E109*1000)/F109,0)))</f>
        <v/>
      </c>
    </row>
    <row r="110" customFormat="false" ht="15" hidden="false" customHeight="false" outlineLevel="0" collapsed="false">
      <c r="M110" s="1" t="str">
        <f aca="false">IF(A110="","",IF(E110=1,1000,IFERROR(((I110+IF(C110&lt;=Inputs!$B$8,$H$2,0))*(1+G110)-E110*1000)/F110,0)))</f>
        <v/>
      </c>
    </row>
    <row r="111" customFormat="false" ht="15" hidden="false" customHeight="false" outlineLevel="0" collapsed="false">
      <c r="M111" s="1" t="str">
        <f aca="false">IF(A111="","",IF(E111=1,1000,IFERROR(((I111+IF(C111&lt;=Inputs!$B$8,$H$2,0))*(1+G111)-E111*1000)/F111,0)))</f>
        <v/>
      </c>
    </row>
    <row r="112" customFormat="false" ht="15" hidden="false" customHeight="false" outlineLevel="0" collapsed="false">
      <c r="M112" s="1" t="str">
        <f aca="false">IF(A112="","",IF(E112=1,1000,IFERROR(((I112+IF(C112&lt;=Inputs!$B$8,$H$2,0))*(1+G112)-E112*1000)/F112,0)))</f>
        <v/>
      </c>
    </row>
    <row r="113" customFormat="false" ht="15" hidden="false" customHeight="false" outlineLevel="0" collapsed="false">
      <c r="M113" s="1" t="str">
        <f aca="false">IF(A113="","",IF(E113=1,1000,IFERROR(((I113+IF(C113&lt;=Inputs!$B$8,$H$2,0))*(1+G113)-E113*1000)/F113,0)))</f>
        <v/>
      </c>
    </row>
    <row r="114" customFormat="false" ht="15" hidden="false" customHeight="false" outlineLevel="0" collapsed="false">
      <c r="M114" s="1" t="str">
        <f aca="false">IF(A114="","",IF(E114=1,1000,IFERROR(((I114+IF(C114&lt;=Inputs!$B$8,$H$2,0))*(1+G114)-E114*1000)/F114,0)))</f>
        <v/>
      </c>
    </row>
    <row r="115" customFormat="false" ht="15" hidden="false" customHeight="false" outlineLevel="0" collapsed="false">
      <c r="M115" s="1" t="str">
        <f aca="false">IF(A115="","",IF(E115=1,1000,IFERROR(((I115+IF(C115&lt;=Inputs!$B$8,$H$2,0))*(1+G115)-E115*1000)/F115,0)))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9.18"/>
    <col collapsed="false" customWidth="true" hidden="false" outlineLevel="0" max="3" min="3" style="1" width="8.82"/>
    <col collapsed="false" customWidth="true" hidden="false" outlineLevel="0" max="4" min="4" style="1" width="15.18"/>
    <col collapsed="false" customWidth="true" hidden="false" outlineLevel="0" max="5" min="5" style="1" width="14"/>
    <col collapsed="false" customWidth="true" hidden="false" outlineLevel="0" max="6" min="6" style="1" width="14.54"/>
    <col collapsed="false" customWidth="true" hidden="false" outlineLevel="0" max="7" min="7" style="1" width="12.54"/>
    <col collapsed="false" customWidth="true" hidden="false" outlineLevel="0" max="8" min="8" style="1" width="11.45"/>
    <col collapsed="false" customWidth="true" hidden="false" outlineLevel="0" max="9" min="9" style="1" width="17.27"/>
  </cols>
  <sheetData>
    <row r="3" customFormat="false" ht="15" hidden="false" customHeight="false" outlineLevel="0" collapsed="false">
      <c r="A3" s="1" t="s">
        <v>40</v>
      </c>
      <c r="B3" s="1" t="s">
        <v>98</v>
      </c>
      <c r="C3" s="1" t="s">
        <v>116</v>
      </c>
      <c r="D3" s="1" t="s">
        <v>123</v>
      </c>
      <c r="E3" s="1" t="s">
        <v>107</v>
      </c>
      <c r="F3" s="1" t="s">
        <v>124</v>
      </c>
      <c r="G3" s="1" t="s">
        <v>110</v>
      </c>
      <c r="H3" s="1" t="s">
        <v>119</v>
      </c>
      <c r="I3" s="1" t="s">
        <v>125</v>
      </c>
    </row>
    <row r="4" customFormat="false" ht="15" hidden="false" customHeight="false" outlineLevel="0" collapsed="false">
      <c r="A4" s="1" t="n">
        <f aca="false">IF(Inputs!$B$7+1-1&gt;MAX(MORTALITY!$A:$A),"",Inputs!$B$7)</f>
        <v>16</v>
      </c>
      <c r="B4" s="1" t="n">
        <f aca="false">IF(Inputs!$B$7+1-1&gt;MAX(MORTALITY!$A:$A),"",1)</f>
        <v>1</v>
      </c>
      <c r="C4" s="6" t="n">
        <f aca="false">IF(Inputs!$B$7+1-1&gt;MAX(MORTALITY!$A:$A),"",Inputs!$B$7+1-1)</f>
        <v>16</v>
      </c>
      <c r="D4" s="12" t="n">
        <f aca="false">IF(C4="","",INDEX(Commutation!$K:$K,MATCH(C4,Commutation!$A:$A,0)))</f>
        <v>0.312571629017049</v>
      </c>
      <c r="E4" s="13" t="n">
        <f aca="false">IF(Inputs!$B$7+1-1&gt;MAX(MORTALITY!$A:$A),"",IFERROR(INDEX(Commutation!$F:$F,MATCH(C4,Commutation!$A:$A,0)),0))</f>
        <v>6322101.74662024</v>
      </c>
      <c r="F4" s="13" t="n">
        <f aca="false">IF(Inputs!$B$7+1-1&gt;MAX(MORTALITY!$A:$A),"",IFERROR(INDEX(Commutation!$H:$H,MATCH(C4+1,Commutation!$A:$A,0)),0))</f>
        <v>171863574.552953</v>
      </c>
      <c r="G4" s="13" t="n">
        <f aca="false">IF(Inputs!$B$7+1-1&gt;MAX(MORTALITY!$A:$A),"",IFERROR(INDEX(Commutation!$I:$I,MATCH(C4,Commutation!$A:$A,0)),0))</f>
        <v>1976109.64175262</v>
      </c>
      <c r="H4" s="13" t="n">
        <f aca="false">IF(Inputs!$B$7+1-1&gt;MAX(MORTALITY!$A:$A),"",IFERROR(1000*INDEX(Commutation!$I:$I,MATCH(Inputs!$B$7,Commutation!$A:$A,0))/INDEX(Commutation!$H:$H,MATCH(Inputs!$B$7,Commutation!$A:$A,0)),0))</f>
        <v>11.0901711225671</v>
      </c>
      <c r="I4" s="13" t="n">
        <f aca="false">IF(Inputs!$B$7+1-1&gt;MAX(MORTALITY!$A:$A),"",IFERROR((1000*G4-H4*F4)/E4,0))</f>
        <v>11.0901711225671</v>
      </c>
    </row>
    <row r="5" customFormat="false" ht="15" hidden="false" customHeight="false" outlineLevel="0" collapsed="false">
      <c r="A5" s="1" t="n">
        <f aca="false">IF(Inputs!$B$7+2-1&gt;MAX(MORTALITY!$A:$A),"",Inputs!$B$7)</f>
        <v>16</v>
      </c>
      <c r="B5" s="1" t="n">
        <f aca="false">IF(Inputs!$B$7+2-1&gt;MAX(MORTALITY!$A:$A),"",2)</f>
        <v>2</v>
      </c>
      <c r="C5" s="6" t="n">
        <f aca="false">IF(Inputs!$B$7+2-1&gt;MAX(MORTALITY!$A:$A),"",Inputs!$B$7+2-1)</f>
        <v>17</v>
      </c>
      <c r="D5" s="12" t="n">
        <f aca="false">IF(C5="","",INDEX(Commutation!$K:$K,MATCH(C5,Commutation!$A:$A,0)))</f>
        <v>0.318894298255655</v>
      </c>
      <c r="E5" s="13" t="n">
        <f aca="false">IF(Inputs!$B$7+2-1&gt;MAX(MORTALITY!$A:$A),"",IFERROR(INDEX(Commutation!$F:$F,MATCH(C5,Commutation!$A:$A,0)),0))</f>
        <v>6154396.43297087</v>
      </c>
      <c r="F5" s="13" t="n">
        <f aca="false">IF(Inputs!$B$7+2-1&gt;MAX(MORTALITY!$A:$A),"",IFERROR(INDEX(Commutation!$H:$H,MATCH(C5+1,Commutation!$A:$A,0)),0))</f>
        <v>165709178.119982</v>
      </c>
      <c r="G5" s="13" t="n">
        <f aca="false">IF(Inputs!$B$7+2-1&gt;MAX(MORTALITY!$A:$A),"",IFERROR(INDEX(Commutation!$I:$I,MATCH(C5,Commutation!$A:$A,0)),0))</f>
        <v>1962601.93167936</v>
      </c>
      <c r="H5" s="13" t="n">
        <f aca="false">IF(Inputs!$B$7+2-1&gt;MAX(MORTALITY!$A:$A),"",IFERROR(1000*INDEX(Commutation!$I:$I,MATCH(Inputs!$B$7,Commutation!$A:$A,0))/INDEX(Commutation!$H:$H,MATCH(Inputs!$B$7,Commutation!$A:$A,0)),0))</f>
        <v>11.0901711225671</v>
      </c>
      <c r="I5" s="13" t="n">
        <f aca="false">IF(Inputs!$B$7+2-1&gt;MAX(MORTALITY!$A:$A),"",IFERROR((1000*G5-H5*F5)/E5,0))</f>
        <v>20.2877391972821</v>
      </c>
    </row>
    <row r="6" customFormat="false" ht="15" hidden="false" customHeight="false" outlineLevel="0" collapsed="false">
      <c r="A6" s="1" t="n">
        <f aca="false">IF(Inputs!$B$7+3-1&gt;MAX(MORTALITY!$A:$A),"",Inputs!$B$7)</f>
        <v>16</v>
      </c>
      <c r="B6" s="1" t="n">
        <f aca="false">IF(Inputs!$B$7+3-1&gt;MAX(MORTALITY!$A:$A),"",3)</f>
        <v>3</v>
      </c>
      <c r="C6" s="6" t="n">
        <f aca="false">IF(Inputs!$B$7+3-1&gt;MAX(MORTALITY!$A:$A),"",Inputs!$B$7+3-1)</f>
        <v>18</v>
      </c>
      <c r="D6" s="12" t="n">
        <f aca="false">IF(C6="","",INDEX(Commutation!$K:$K,MATCH(C6,Commutation!$A:$A,0)))</f>
        <v>0.325348690265143</v>
      </c>
      <c r="E6" s="13" t="n">
        <f aca="false">IF(Inputs!$B$7+3-1&gt;MAX(MORTALITY!$A:$A),"",IFERROR(INDEX(Commutation!$F:$F,MATCH(C6,Commutation!$A:$A,0)),0))</f>
        <v>5990779.55219189</v>
      </c>
      <c r="F6" s="13" t="n">
        <f aca="false">IF(Inputs!$B$7+3-1&gt;MAX(MORTALITY!$A:$A),"",IFERROR(INDEX(Commutation!$H:$H,MATCH(C6+1,Commutation!$A:$A,0)),0))</f>
        <v>159718398.56779</v>
      </c>
      <c r="G6" s="13" t="n">
        <f aca="false">IF(Inputs!$B$7+3-1&gt;MAX(MORTALITY!$A:$A),"",IFERROR(INDEX(Commutation!$I:$I,MATCH(C6,Commutation!$A:$A,0)),0))</f>
        <v>1949092.28097283</v>
      </c>
      <c r="H6" s="13" t="n">
        <f aca="false">IF(Inputs!$B$7+3-1&gt;MAX(MORTALITY!$A:$A),"",IFERROR(1000*INDEX(Commutation!$I:$I,MATCH(Inputs!$B$7,Commutation!$A:$A,0))/INDEX(Commutation!$H:$H,MATCH(Inputs!$B$7,Commutation!$A:$A,0)),0))</f>
        <v>11.0901711225671</v>
      </c>
      <c r="I6" s="13" t="n">
        <f aca="false">IF(Inputs!$B$7+3-1&gt;MAX(MORTALITY!$A:$A),"",IFERROR((1000*G6-H6*F6)/E6,0))</f>
        <v>29.6769239937414</v>
      </c>
    </row>
    <row r="7" customFormat="false" ht="15" hidden="false" customHeight="false" outlineLevel="0" collapsed="false">
      <c r="A7" s="1" t="n">
        <f aca="false">IF(Inputs!$B$7+4-1&gt;MAX(MORTALITY!$A:$A),"",Inputs!$B$7)</f>
        <v>16</v>
      </c>
      <c r="B7" s="1" t="n">
        <f aca="false">IF(Inputs!$B$7+4-1&gt;MAX(MORTALITY!$A:$A),"",4)</f>
        <v>4</v>
      </c>
      <c r="C7" s="6" t="n">
        <f aca="false">IF(Inputs!$B$7+4-1&gt;MAX(MORTALITY!$A:$A),"",Inputs!$B$7+4-1)</f>
        <v>19</v>
      </c>
      <c r="D7" s="12" t="n">
        <f aca="false">IF(C7="","",INDEX(Commutation!$K:$K,MATCH(C7,Commutation!$A:$A,0)))</f>
        <v>0.331945883052793</v>
      </c>
      <c r="E7" s="13" t="n">
        <f aca="false">IF(Inputs!$B$7+4-1&gt;MAX(MORTALITY!$A:$A),"",IFERROR(INDEX(Commutation!$F:$F,MATCH(C7,Commutation!$A:$A,0)),0))</f>
        <v>5831220.25289937</v>
      </c>
      <c r="F7" s="13" t="n">
        <f aca="false">IF(Inputs!$B$7+4-1&gt;MAX(MORTALITY!$A:$A),"",IFERROR(INDEX(Commutation!$H:$H,MATCH(C7+1,Commutation!$A:$A,0)),0))</f>
        <v>153887178.314891</v>
      </c>
      <c r="G7" s="13" t="n">
        <f aca="false">IF(Inputs!$B$7+4-1&gt;MAX(MORTALITY!$A:$A),"",IFERROR(INDEX(Commutation!$I:$I,MATCH(C7,Commutation!$A:$A,0)),0))</f>
        <v>1935649.55612401</v>
      </c>
      <c r="H7" s="13" t="n">
        <f aca="false">IF(Inputs!$B$7+4-1&gt;MAX(MORTALITY!$A:$A),"",IFERROR(1000*INDEX(Commutation!$I:$I,MATCH(Inputs!$B$7,Commutation!$A:$A,0))/INDEX(Commutation!$H:$H,MATCH(Inputs!$B$7,Commutation!$A:$A,0)),0))</f>
        <v>11.0901711225671</v>
      </c>
      <c r="I7" s="13" t="n">
        <f aca="false">IF(Inputs!$B$7+4-1&gt;MAX(MORTALITY!$A:$A),"",IFERROR((1000*G7-H7*F7)/E7,0))</f>
        <v>39.2738406560792</v>
      </c>
    </row>
    <row r="8" customFormat="false" ht="15" hidden="false" customHeight="false" outlineLevel="0" collapsed="false">
      <c r="A8" s="1" t="n">
        <f aca="false">IF(Inputs!$B$7+5-1&gt;MAX(MORTALITY!$A:$A),"",Inputs!$B$7)</f>
        <v>16</v>
      </c>
      <c r="B8" s="1" t="n">
        <f aca="false">IF(Inputs!$B$7+5-1&gt;MAX(MORTALITY!$A:$A),"",5)</f>
        <v>5</v>
      </c>
      <c r="C8" s="6" t="n">
        <f aca="false">IF(Inputs!$B$7+5-1&gt;MAX(MORTALITY!$A:$A),"",Inputs!$B$7+5-1)</f>
        <v>20</v>
      </c>
      <c r="D8" s="12" t="n">
        <f aca="false">IF(C8="","",INDEX(Commutation!$K:$K,MATCH(C8,Commutation!$A:$A,0)))</f>
        <v>0.338677195081456</v>
      </c>
      <c r="E8" s="13" t="n">
        <f aca="false">IF(Inputs!$B$7+5-1&gt;MAX(MORTALITY!$A:$A),"",IFERROR(INDEX(Commutation!$F:$F,MATCH(C8,Commutation!$A:$A,0)),0))</f>
        <v>5675512.44965853</v>
      </c>
      <c r="F8" s="13" t="n">
        <f aca="false">IF(Inputs!$B$7+5-1&gt;MAX(MORTALITY!$A:$A),"",IFERROR(INDEX(Commutation!$H:$H,MATCH(C8+1,Commutation!$A:$A,0)),0))</f>
        <v>148211665.865232</v>
      </c>
      <c r="G8" s="13" t="n">
        <f aca="false">IF(Inputs!$B$7+5-1&gt;MAX(MORTALITY!$A:$A),"",IFERROR(INDEX(Commutation!$I:$I,MATCH(C8,Commutation!$A:$A,0)),0))</f>
        <v>1922166.63710024</v>
      </c>
      <c r="H8" s="13" t="n">
        <f aca="false">IF(Inputs!$B$7+5-1&gt;MAX(MORTALITY!$A:$A),"",IFERROR(1000*INDEX(Commutation!$I:$I,MATCH(Inputs!$B$7,Commutation!$A:$A,0))/INDEX(Commutation!$H:$H,MATCH(Inputs!$B$7,Commutation!$A:$A,0)),0))</f>
        <v>11.0901711225671</v>
      </c>
      <c r="I8" s="13" t="n">
        <f aca="false">IF(Inputs!$B$7+5-1&gt;MAX(MORTALITY!$A:$A),"",IFERROR((1000*G8-H8*F8)/E8,0))</f>
        <v>49.0658601781099</v>
      </c>
    </row>
    <row r="9" customFormat="false" ht="15" hidden="false" customHeight="false" outlineLevel="0" collapsed="false">
      <c r="A9" s="1" t="n">
        <f aca="false">IF(Inputs!$B$7+6-1&gt;MAX(MORTALITY!$A:$A),"",Inputs!$B$7)</f>
        <v>16</v>
      </c>
      <c r="B9" s="1" t="n">
        <f aca="false">IF(Inputs!$B$7+6-1&gt;MAX(MORTALITY!$A:$A),"",6)</f>
        <v>6</v>
      </c>
      <c r="C9" s="6" t="n">
        <f aca="false">IF(Inputs!$B$7+6-1&gt;MAX(MORTALITY!$A:$A),"",Inputs!$B$7+6-1)</f>
        <v>21</v>
      </c>
      <c r="D9" s="12" t="n">
        <f aca="false">IF(C9="","",INDEX(Commutation!$K:$K,MATCH(C9,Commutation!$A:$A,0)))</f>
        <v>0.345553820742898</v>
      </c>
      <c r="E9" s="13" t="n">
        <f aca="false">IF(Inputs!$B$7+6-1&gt;MAX(MORTALITY!$A:$A),"",IFERROR(INDEX(Commutation!$F:$F,MATCH(C9,Commutation!$A:$A,0)),0))</f>
        <v>5523630.19942036</v>
      </c>
      <c r="F9" s="13" t="n">
        <f aca="false">IF(Inputs!$B$7+6-1&gt;MAX(MORTALITY!$A:$A),"",IFERROR(INDEX(Commutation!$H:$H,MATCH(C9+1,Commutation!$A:$A,0)),0))</f>
        <v>142688035.665812</v>
      </c>
      <c r="G9" s="13" t="n">
        <f aca="false">IF(Inputs!$B$7+6-1&gt;MAX(MORTALITY!$A:$A),"",IFERROR(INDEX(Commutation!$I:$I,MATCH(C9,Commutation!$A:$A,0)),0))</f>
        <v>1908711.51978056</v>
      </c>
      <c r="H9" s="13" t="n">
        <f aca="false">IF(Inputs!$B$7+6-1&gt;MAX(MORTALITY!$A:$A),"",IFERROR(1000*INDEX(Commutation!$I:$I,MATCH(Inputs!$B$7,Commutation!$A:$A,0))/INDEX(Commutation!$H:$H,MATCH(Inputs!$B$7,Commutation!$A:$A,0)),0))</f>
        <v>11.0901711225671</v>
      </c>
      <c r="I9" s="13" t="n">
        <f aca="false">IF(Inputs!$B$7+6-1&gt;MAX(MORTALITY!$A:$A),"",IFERROR((1000*G9-H9*F9)/E9,0))</f>
        <v>59.0692670081317</v>
      </c>
    </row>
    <row r="10" customFormat="false" ht="15" hidden="false" customHeight="false" outlineLevel="0" collapsed="false">
      <c r="A10" s="1" t="n">
        <f aca="false">IF(Inputs!$B$7+7-1&gt;MAX(MORTALITY!$A:$A),"",Inputs!$B$7)</f>
        <v>16</v>
      </c>
      <c r="B10" s="1" t="n">
        <f aca="false">IF(Inputs!$B$7+7-1&gt;MAX(MORTALITY!$A:$A),"",7)</f>
        <v>7</v>
      </c>
      <c r="C10" s="6" t="n">
        <f aca="false">IF(Inputs!$B$7+7-1&gt;MAX(MORTALITY!$A:$A),"",Inputs!$B$7+7-1)</f>
        <v>22</v>
      </c>
      <c r="D10" s="12" t="n">
        <f aca="false">IF(C10="","",INDEX(Commutation!$K:$K,MATCH(C10,Commutation!$A:$A,0)))</f>
        <v>0.352567610964992</v>
      </c>
      <c r="E10" s="13" t="n">
        <f aca="false">IF(Inputs!$B$7+7-1&gt;MAX(MORTALITY!$A:$A),"",IFERROR(INDEX(Commutation!$F:$F,MATCH(C10,Commutation!$A:$A,0)),0))</f>
        <v>5375381.35377543</v>
      </c>
      <c r="F10" s="13" t="n">
        <f aca="false">IF(Inputs!$B$7+7-1&gt;MAX(MORTALITY!$A:$A),"",IFERROR(INDEX(Commutation!$H:$H,MATCH(C10+1,Commutation!$A:$A,0)),0))</f>
        <v>137312654.312037</v>
      </c>
      <c r="G10" s="13" t="n">
        <f aca="false">IF(Inputs!$B$7+7-1&gt;MAX(MORTALITY!$A:$A),"",IFERROR(INDEX(Commutation!$I:$I,MATCH(C10,Commutation!$A:$A,0)),0))</f>
        <v>1895185.36192637</v>
      </c>
      <c r="H10" s="13" t="n">
        <f aca="false">IF(Inputs!$B$7+7-1&gt;MAX(MORTALITY!$A:$A),"",IFERROR(1000*INDEX(Commutation!$I:$I,MATCH(Inputs!$B$7,Commutation!$A:$A,0))/INDEX(Commutation!$H:$H,MATCH(Inputs!$B$7,Commutation!$A:$A,0)),0))</f>
        <v>11.0901711225671</v>
      </c>
      <c r="I10" s="13" t="n">
        <f aca="false">IF(Inputs!$B$7+7-1&gt;MAX(MORTALITY!$A:$A),"",IFERROR((1000*G10-H10*F10)/E10,0))</f>
        <v>69.2722067152397</v>
      </c>
    </row>
    <row r="11" customFormat="false" ht="15" hidden="false" customHeight="false" outlineLevel="0" collapsed="false">
      <c r="A11" s="1" t="n">
        <f aca="false">IF(Inputs!$B$7+8-1&gt;MAX(MORTALITY!$A:$A),"",Inputs!$B$7)</f>
        <v>16</v>
      </c>
      <c r="B11" s="1" t="n">
        <f aca="false">IF(Inputs!$B$7+8-1&gt;MAX(MORTALITY!$A:$A),"",8)</f>
        <v>8</v>
      </c>
      <c r="C11" s="6" t="n">
        <f aca="false">IF(Inputs!$B$7+8-1&gt;MAX(MORTALITY!$A:$A),"",Inputs!$B$7+8-1)</f>
        <v>23</v>
      </c>
      <c r="D11" s="12" t="n">
        <f aca="false">IF(C11="","",INDEX(Commutation!$K:$K,MATCH(C11,Commutation!$A:$A,0)))</f>
        <v>0.359723485065437</v>
      </c>
      <c r="E11" s="13" t="n">
        <f aca="false">IF(Inputs!$B$7+8-1&gt;MAX(MORTALITY!$A:$A),"",IFERROR(INDEX(Commutation!$F:$F,MATCH(C11,Commutation!$A:$A,0)),0))</f>
        <v>5230691.82055527</v>
      </c>
      <c r="F11" s="13" t="n">
        <f aca="false">IF(Inputs!$B$7+8-1&gt;MAX(MORTALITY!$A:$A),"",IFERROR(INDEX(Commutation!$H:$H,MATCH(C11+1,Commutation!$A:$A,0)),0))</f>
        <v>132081962.491481</v>
      </c>
      <c r="G11" s="13" t="n">
        <f aca="false">IF(Inputs!$B$7+8-1&gt;MAX(MORTALITY!$A:$A),"",IFERROR(INDEX(Commutation!$I:$I,MATCH(C11,Commutation!$A:$A,0)),0))</f>
        <v>1881602.69099341</v>
      </c>
      <c r="H11" s="13" t="n">
        <f aca="false">IF(Inputs!$B$7+8-1&gt;MAX(MORTALITY!$A:$A),"",IFERROR(1000*INDEX(Commutation!$I:$I,MATCH(Inputs!$B$7,Commutation!$A:$A,0))/INDEX(Commutation!$H:$H,MATCH(Inputs!$B$7,Commutation!$A:$A,0)),0))</f>
        <v>11.0901711225671</v>
      </c>
      <c r="I11" s="13" t="n">
        <f aca="false">IF(Inputs!$B$7+8-1&gt;MAX(MORTALITY!$A:$A),"",IFERROR((1000*G11-H11*F11)/E11,0))</f>
        <v>79.6818354162084</v>
      </c>
    </row>
    <row r="12" customFormat="false" ht="15" hidden="false" customHeight="false" outlineLevel="0" collapsed="false">
      <c r="A12" s="1" t="n">
        <f aca="false">IF(Inputs!$B$7+9-1&gt;MAX(MORTALITY!$A:$A),"",Inputs!$B$7)</f>
        <v>16</v>
      </c>
      <c r="B12" s="1" t="n">
        <f aca="false">IF(Inputs!$B$7+9-1&gt;MAX(MORTALITY!$A:$A),"",9)</f>
        <v>9</v>
      </c>
      <c r="C12" s="6" t="n">
        <f aca="false">IF(Inputs!$B$7+9-1&gt;MAX(MORTALITY!$A:$A),"",Inputs!$B$7+9-1)</f>
        <v>24</v>
      </c>
      <c r="D12" s="12" t="n">
        <f aca="false">IF(C12="","",INDEX(Commutation!$K:$K,MATCH(C12,Commutation!$A:$A,0)))</f>
        <v>0.367020186291333</v>
      </c>
      <c r="E12" s="13" t="n">
        <f aca="false">IF(Inputs!$B$7+9-1&gt;MAX(MORTALITY!$A:$A),"",IFERROR(INDEX(Commutation!$F:$F,MATCH(C12,Commutation!$A:$A,0)),0))</f>
        <v>5089437.62583042</v>
      </c>
      <c r="F12" s="13" t="n">
        <f aca="false">IF(Inputs!$B$7+9-1&gt;MAX(MORTALITY!$A:$A),"",IFERROR(INDEX(Commutation!$H:$H,MATCH(C12+1,Commutation!$A:$A,0)),0))</f>
        <v>126992524.865651</v>
      </c>
      <c r="G12" s="13" t="n">
        <f aca="false">IF(Inputs!$B$7+9-1&gt;MAX(MORTALITY!$A:$A),"",IFERROR(INDEX(Commutation!$I:$I,MATCH(C12,Commutation!$A:$A,0)),0))</f>
        <v>1867926.3455504</v>
      </c>
      <c r="H12" s="13" t="n">
        <f aca="false">IF(Inputs!$B$7+9-1&gt;MAX(MORTALITY!$A:$A),"",IFERROR(1000*INDEX(Commutation!$I:$I,MATCH(Inputs!$B$7,Commutation!$A:$A,0))/INDEX(Commutation!$H:$H,MATCH(Inputs!$B$7,Commutation!$A:$A,0)),0))</f>
        <v>11.0901711225671</v>
      </c>
      <c r="I12" s="13" t="n">
        <f aca="false">IF(Inputs!$B$7+9-1&gt;MAX(MORTALITY!$A:$A),"",IFERROR((1000*G12-H12*F12)/E12,0))</f>
        <v>90.296324916348</v>
      </c>
    </row>
    <row r="13" customFormat="false" ht="15" hidden="false" customHeight="false" outlineLevel="0" collapsed="false">
      <c r="A13" s="1" t="n">
        <f aca="false">IF(Inputs!$B$7+10-1&gt;MAX(MORTALITY!$A:$A),"",Inputs!$B$7)</f>
        <v>16</v>
      </c>
      <c r="B13" s="1" t="n">
        <f aca="false">IF(Inputs!$B$7+10-1&gt;MAX(MORTALITY!$A:$A),"",10)</f>
        <v>10</v>
      </c>
      <c r="C13" s="6" t="n">
        <f aca="false">IF(Inputs!$B$7+10-1&gt;MAX(MORTALITY!$A:$A),"",Inputs!$B$7+10-1)</f>
        <v>25</v>
      </c>
      <c r="D13" s="12" t="n">
        <f aca="false">IF(C13="","",INDEX(Commutation!$K:$K,MATCH(C13,Commutation!$A:$A,0)))</f>
        <v>0.374462953329339</v>
      </c>
      <c r="E13" s="13" t="n">
        <f aca="false">IF(Inputs!$B$7+10-1&gt;MAX(MORTALITY!$A:$A),"",IFERROR(INDEX(Commutation!$F:$F,MATCH(C13,Commutation!$A:$A,0)),0))</f>
        <v>4951551.10595792</v>
      </c>
      <c r="F13" s="13" t="n">
        <f aca="false">IF(Inputs!$B$7+10-1&gt;MAX(MORTALITY!$A:$A),"",IFERROR(INDEX(Commutation!$H:$H,MATCH(C13+1,Commutation!$A:$A,0)),0))</f>
        <v>122040973.759693</v>
      </c>
      <c r="G13" s="13" t="n">
        <f aca="false">IF(Inputs!$B$7+10-1&gt;MAX(MORTALITY!$A:$A),"",IFERROR(INDEX(Commutation!$I:$I,MATCH(C13,Commutation!$A:$A,0)),0))</f>
        <v>1854172.45069816</v>
      </c>
      <c r="H13" s="13" t="n">
        <f aca="false">IF(Inputs!$B$7+10-1&gt;MAX(MORTALITY!$A:$A),"",IFERROR(1000*INDEX(Commutation!$I:$I,MATCH(Inputs!$B$7,Commutation!$A:$A,0))/INDEX(Commutation!$H:$H,MATCH(Inputs!$B$7,Commutation!$A:$A,0)),0))</f>
        <v>11.0901711225671</v>
      </c>
      <c r="I13" s="13" t="n">
        <f aca="false">IF(Inputs!$B$7+10-1&gt;MAX(MORTALITY!$A:$A),"",IFERROR((1000*G13-H13*F13)/E13,0))</f>
        <v>101.123295917506</v>
      </c>
    </row>
    <row r="14" customFormat="false" ht="15" hidden="false" customHeight="false" outlineLevel="0" collapsed="false">
      <c r="A14" s="1" t="n">
        <f aca="false">IF(Inputs!$B$7+11-1&gt;MAX(MORTALITY!$A:$A),"",Inputs!$B$7)</f>
        <v>16</v>
      </c>
      <c r="B14" s="1" t="n">
        <f aca="false">IF(Inputs!$B$7+11-1&gt;MAX(MORTALITY!$A:$A),"",11)</f>
        <v>11</v>
      </c>
      <c r="C14" s="6" t="n">
        <f aca="false">IF(Inputs!$B$7+11-1&gt;MAX(MORTALITY!$A:$A),"",Inputs!$B$7+11-1)</f>
        <v>26</v>
      </c>
      <c r="D14" s="12" t="n">
        <f aca="false">IF(C14="","",INDEX(Commutation!$K:$K,MATCH(C14,Commutation!$A:$A,0)))</f>
        <v>0.382044816233324</v>
      </c>
      <c r="E14" s="13" t="n">
        <f aca="false">IF(Inputs!$B$7+11-1&gt;MAX(MORTALITY!$A:$A),"",IFERROR(INDEX(Commutation!$F:$F,MATCH(C14,Commutation!$A:$A,0)),0))</f>
        <v>4816868.91587587</v>
      </c>
      <c r="F14" s="13" t="n">
        <f aca="false">IF(Inputs!$B$7+11-1&gt;MAX(MORTALITY!$A:$A),"",IFERROR(INDEX(Commutation!$H:$H,MATCH(C14+1,Commutation!$A:$A,0)),0))</f>
        <v>117224104.843817</v>
      </c>
      <c r="G14" s="13" t="n">
        <f aca="false">IF(Inputs!$B$7+11-1&gt;MAX(MORTALITY!$A:$A),"",IFERROR(INDEX(Commutation!$I:$I,MATCH(C14,Commutation!$A:$A,0)),0))</f>
        <v>1840259.79978581</v>
      </c>
      <c r="H14" s="13" t="n">
        <f aca="false">IF(Inputs!$B$7+11-1&gt;MAX(MORTALITY!$A:$A),"",IFERROR(1000*INDEX(Commutation!$I:$I,MATCH(Inputs!$B$7,Commutation!$A:$A,0))/INDEX(Commutation!$H:$H,MATCH(Inputs!$B$7,Commutation!$A:$A,0)),0))</f>
        <v>11.0901711225671</v>
      </c>
      <c r="I14" s="13" t="n">
        <f aca="false">IF(Inputs!$B$7+11-1&gt;MAX(MORTALITY!$A:$A),"",IFERROR((1000*G14-H14*F14)/E14,0))</f>
        <v>112.152609259846</v>
      </c>
    </row>
    <row r="15" customFormat="false" ht="15" hidden="false" customHeight="false" outlineLevel="0" collapsed="false">
      <c r="A15" s="1" t="n">
        <f aca="false">IF(Inputs!$B$7+12-1&gt;MAX(MORTALITY!$A:$A),"",Inputs!$B$7)</f>
        <v>16</v>
      </c>
      <c r="B15" s="1" t="n">
        <f aca="false">IF(Inputs!$B$7+12-1&gt;MAX(MORTALITY!$A:$A),"",12)</f>
        <v>12</v>
      </c>
      <c r="C15" s="6" t="n">
        <f aca="false">IF(Inputs!$B$7+12-1&gt;MAX(MORTALITY!$A:$A),"",Inputs!$B$7+12-1)</f>
        <v>27</v>
      </c>
      <c r="D15" s="12" t="n">
        <f aca="false">IF(C15="","",INDEX(Commutation!$K:$K,MATCH(C15,Commutation!$A:$A,0)))</f>
        <v>0.389771352984581</v>
      </c>
      <c r="E15" s="13" t="n">
        <f aca="false">IF(Inputs!$B$7+12-1&gt;MAX(MORTALITY!$A:$A),"",IFERROR(INDEX(Commutation!$F:$F,MATCH(C15,Commutation!$A:$A,0)),0))</f>
        <v>4685333.14909014</v>
      </c>
      <c r="F15" s="13" t="n">
        <f aca="false">IF(Inputs!$B$7+12-1&gt;MAX(MORTALITY!$A:$A),"",IFERROR(INDEX(Commutation!$H:$H,MATCH(C15+1,Commutation!$A:$A,0)),0))</f>
        <v>112538771.694727</v>
      </c>
      <c r="G15" s="13" t="n">
        <f aca="false">IF(Inputs!$B$7+12-1&gt;MAX(MORTALITY!$A:$A),"",IFERROR(INDEX(Commutation!$I:$I,MATCH(C15,Commutation!$A:$A,0)),0))</f>
        <v>1826208.64070437</v>
      </c>
      <c r="H15" s="13" t="n">
        <f aca="false">IF(Inputs!$B$7+12-1&gt;MAX(MORTALITY!$A:$A),"",IFERROR(1000*INDEX(Commutation!$I:$I,MATCH(Inputs!$B$7,Commutation!$A:$A,0))/INDEX(Commutation!$H:$H,MATCH(Inputs!$B$7,Commutation!$A:$A,0)),0))</f>
        <v>11.0901711225671</v>
      </c>
      <c r="I15" s="13" t="n">
        <f aca="false">IF(Inputs!$B$7+12-1&gt;MAX(MORTALITY!$A:$A),"",IFERROR((1000*G15-H15*F15)/E15,0))</f>
        <v>123.392379216109</v>
      </c>
    </row>
    <row r="16" customFormat="false" ht="15" hidden="false" customHeight="false" outlineLevel="0" collapsed="false">
      <c r="A16" s="1" t="n">
        <f aca="false">IF(Inputs!$B$7+13-1&gt;MAX(MORTALITY!$A:$A),"",Inputs!$B$7)</f>
        <v>16</v>
      </c>
      <c r="B16" s="1" t="n">
        <f aca="false">IF(Inputs!$B$7+13-1&gt;MAX(MORTALITY!$A:$A),"",13)</f>
        <v>13</v>
      </c>
      <c r="C16" s="6" t="n">
        <f aca="false">IF(Inputs!$B$7+13-1&gt;MAX(MORTALITY!$A:$A),"",Inputs!$B$7+13-1)</f>
        <v>28</v>
      </c>
      <c r="D16" s="12" t="n">
        <f aca="false">IF(C16="","",INDEX(Commutation!$K:$K,MATCH(C16,Commutation!$A:$A,0)))</f>
        <v>0.397642304375804</v>
      </c>
      <c r="E16" s="13" t="n">
        <f aca="false">IF(Inputs!$B$7+13-1&gt;MAX(MORTALITY!$A:$A),"",IFERROR(INDEX(Commutation!$F:$F,MATCH(C16,Commutation!$A:$A,0)),0))</f>
        <v>4556840.7443868</v>
      </c>
      <c r="F16" s="13" t="n">
        <f aca="false">IF(Inputs!$B$7+13-1&gt;MAX(MORTALITY!$A:$A),"",IFERROR(INDEX(Commutation!$H:$H,MATCH(C16+1,Commutation!$A:$A,0)),0))</f>
        <v>107981930.95034</v>
      </c>
      <c r="G16" s="13" t="n">
        <f aca="false">IF(Inputs!$B$7+13-1&gt;MAX(MORTALITY!$A:$A),"",IFERROR(INDEX(Commutation!$I:$I,MATCH(C16,Commutation!$A:$A,0)),0))</f>
        <v>1811992.65427152</v>
      </c>
      <c r="H16" s="13" t="n">
        <f aca="false">IF(Inputs!$B$7+13-1&gt;MAX(MORTALITY!$A:$A),"",IFERROR(1000*INDEX(Commutation!$I:$I,MATCH(Inputs!$B$7,Commutation!$A:$A,0))/INDEX(Commutation!$H:$H,MATCH(Inputs!$B$7,Commutation!$A:$A,0)),0))</f>
        <v>11.0901711225671</v>
      </c>
      <c r="I16" s="13" t="n">
        <f aca="false">IF(Inputs!$B$7+13-1&gt;MAX(MORTALITY!$A:$A),"",IFERROR((1000*G16-H16*F16)/E16,0))</f>
        <v>134.842228718201</v>
      </c>
    </row>
    <row r="17" customFormat="false" ht="15" hidden="false" customHeight="false" outlineLevel="0" collapsed="false">
      <c r="A17" s="1" t="n">
        <f aca="false">IF(Inputs!$B$7+14-1&gt;MAX(MORTALITY!$A:$A),"",Inputs!$B$7)</f>
        <v>16</v>
      </c>
      <c r="B17" s="1" t="n">
        <f aca="false">IF(Inputs!$B$7+14-1&gt;MAX(MORTALITY!$A:$A),"",14)</f>
        <v>14</v>
      </c>
      <c r="C17" s="6" t="n">
        <f aca="false">IF(Inputs!$B$7+14-1&gt;MAX(MORTALITY!$A:$A),"",Inputs!$B$7+14-1)</f>
        <v>29</v>
      </c>
      <c r="D17" s="12" t="n">
        <f aca="false">IF(C17="","",INDEX(Commutation!$K:$K,MATCH(C17,Commutation!$A:$A,0)))</f>
        <v>0.405651730108051</v>
      </c>
      <c r="E17" s="13" t="n">
        <f aca="false">IF(Inputs!$B$7+14-1&gt;MAX(MORTALITY!$A:$A),"",IFERROR(INDEX(Commutation!$F:$F,MATCH(C17,Commutation!$A:$A,0)),0))</f>
        <v>4431249.76777322</v>
      </c>
      <c r="F17" s="13" t="n">
        <f aca="false">IF(Inputs!$B$7+14-1&gt;MAX(MORTALITY!$A:$A),"",IFERROR(INDEX(Commutation!$H:$H,MATCH(C17+1,Commutation!$A:$A,0)),0))</f>
        <v>103550681.182567</v>
      </c>
      <c r="G17" s="13" t="n">
        <f aca="false">IF(Inputs!$B$7+14-1&gt;MAX(MORTALITY!$A:$A),"",IFERROR(INDEX(Commutation!$I:$I,MATCH(C17,Commutation!$A:$A,0)),0))</f>
        <v>1797544.1348381</v>
      </c>
      <c r="H17" s="13" t="n">
        <f aca="false">IF(Inputs!$B$7+14-1&gt;MAX(MORTALITY!$A:$A),"",IFERROR(1000*INDEX(Commutation!$I:$I,MATCH(Inputs!$B$7,Commutation!$A:$A,0))/INDEX(Commutation!$H:$H,MATCH(Inputs!$B$7,Commutation!$A:$A,0)),0))</f>
        <v>11.0901711225671</v>
      </c>
      <c r="I17" s="13" t="n">
        <f aca="false">IF(Inputs!$B$7+14-1&gt;MAX(MORTALITY!$A:$A),"",IFERROR((1000*G17-H17*F17)/E17,0))</f>
        <v>146.493516430976</v>
      </c>
    </row>
    <row r="18" customFormat="false" ht="15" hidden="false" customHeight="false" outlineLevel="0" collapsed="false">
      <c r="A18" s="1" t="n">
        <f aca="false">IF(Inputs!$B$7+15-1&gt;MAX(MORTALITY!$A:$A),"",Inputs!$B$7)</f>
        <v>16</v>
      </c>
      <c r="B18" s="1" t="n">
        <f aca="false">IF(Inputs!$B$7+15-1&gt;MAX(MORTALITY!$A:$A),"",15)</f>
        <v>15</v>
      </c>
      <c r="C18" s="6" t="n">
        <f aca="false">IF(Inputs!$B$7+15-1&gt;MAX(MORTALITY!$A:$A),"",Inputs!$B$7+15-1)</f>
        <v>30</v>
      </c>
      <c r="D18" s="12" t="n">
        <f aca="false">IF(C18="","",INDEX(Commutation!$K:$K,MATCH(C18,Commutation!$A:$A,0)))</f>
        <v>0.413799943167521</v>
      </c>
      <c r="E18" s="13" t="n">
        <f aca="false">IF(Inputs!$B$7+15-1&gt;MAX(MORTALITY!$A:$A),"",IFERROR(INDEX(Commutation!$F:$F,MATCH(C18,Commutation!$A:$A,0)),0))</f>
        <v>4308471.72542711</v>
      </c>
      <c r="F18" s="13" t="n">
        <f aca="false">IF(Inputs!$B$7+15-1&gt;MAX(MORTALITY!$A:$A),"",IFERROR(INDEX(Commutation!$H:$H,MATCH(C18+1,Commutation!$A:$A,0)),0))</f>
        <v>99242209.4571398</v>
      </c>
      <c r="G18" s="13" t="n">
        <f aca="false">IF(Inputs!$B$7+15-1&gt;MAX(MORTALITY!$A:$A),"",IFERROR(INDEX(Commutation!$I:$I,MATCH(C18,Commutation!$A:$A,0)),0))</f>
        <v>1782845.35512061</v>
      </c>
      <c r="H18" s="13" t="n">
        <f aca="false">IF(Inputs!$B$7+15-1&gt;MAX(MORTALITY!$A:$A),"",IFERROR(1000*INDEX(Commutation!$I:$I,MATCH(Inputs!$B$7,Commutation!$A:$A,0))/INDEX(Commutation!$H:$H,MATCH(Inputs!$B$7,Commutation!$A:$A,0)),0))</f>
        <v>11.0901711225671</v>
      </c>
      <c r="I18" s="13" t="n">
        <f aca="false">IF(Inputs!$B$7+15-1&gt;MAX(MORTALITY!$A:$A),"",IFERROR((1000*G18-H18*F18)/E18,0))</f>
        <v>158.346697654526</v>
      </c>
    </row>
    <row r="19" customFormat="false" ht="15" hidden="false" customHeight="false" outlineLevel="0" collapsed="false">
      <c r="A19" s="1" t="n">
        <f aca="false">IF(Inputs!$B$7+16-1&gt;MAX(MORTALITY!$A:$A),"",Inputs!$B$7)</f>
        <v>16</v>
      </c>
      <c r="B19" s="1" t="n">
        <f aca="false">IF(Inputs!$B$7+16-1&gt;MAX(MORTALITY!$A:$A),"",16)</f>
        <v>16</v>
      </c>
      <c r="C19" s="6" t="n">
        <f aca="false">IF(Inputs!$B$7+16-1&gt;MAX(MORTALITY!$A:$A),"",Inputs!$B$7+16-1)</f>
        <v>31</v>
      </c>
      <c r="D19" s="12" t="n">
        <f aca="false">IF(C19="","",INDEX(Commutation!$K:$K,MATCH(C19,Commutation!$A:$A,0)))</f>
        <v>0.422087573508399</v>
      </c>
      <c r="E19" s="13" t="n">
        <f aca="false">IF(Inputs!$B$7+16-1&gt;MAX(MORTALITY!$A:$A),"",IFERROR(INDEX(Commutation!$F:$F,MATCH(C19,Commutation!$A:$A,0)),0))</f>
        <v>4188422.99130204</v>
      </c>
      <c r="F19" s="13" t="n">
        <f aca="false">IF(Inputs!$B$7+16-1&gt;MAX(MORTALITY!$A:$A),"",IFERROR(INDEX(Commutation!$H:$H,MATCH(C19+1,Commutation!$A:$A,0)),0))</f>
        <v>95053786.4658378</v>
      </c>
      <c r="G19" s="13" t="n">
        <f aca="false">IF(Inputs!$B$7+16-1&gt;MAX(MORTALITY!$A:$A),"",IFERROR(INDEX(Commutation!$I:$I,MATCH(C19,Commutation!$A:$A,0)),0))</f>
        <v>1767881.29722547</v>
      </c>
      <c r="H19" s="13" t="n">
        <f aca="false">IF(Inputs!$B$7+16-1&gt;MAX(MORTALITY!$A:$A),"",IFERROR(1000*INDEX(Commutation!$I:$I,MATCH(Inputs!$B$7,Commutation!$A:$A,0))/INDEX(Commutation!$H:$H,MATCH(Inputs!$B$7,Commutation!$A:$A,0)),0))</f>
        <v>11.0901711225671</v>
      </c>
      <c r="I19" s="13" t="n">
        <f aca="false">IF(Inputs!$B$7+16-1&gt;MAX(MORTALITY!$A:$A),"",IFERROR((1000*G19-H19*F19)/E19,0))</f>
        <v>170.402688781321</v>
      </c>
    </row>
    <row r="20" customFormat="false" ht="15" hidden="false" customHeight="false" outlineLevel="0" collapsed="false">
      <c r="A20" s="1" t="n">
        <f aca="false">IF(Inputs!$B$7+17-1&gt;MAX(MORTALITY!$A:$A),"",Inputs!$B$7)</f>
        <v>16</v>
      </c>
      <c r="B20" s="1" t="n">
        <f aca="false">IF(Inputs!$B$7+17-1&gt;MAX(MORTALITY!$A:$A),"",17)</f>
        <v>17</v>
      </c>
      <c r="C20" s="6" t="n">
        <f aca="false">IF(Inputs!$B$7+17-1&gt;MAX(MORTALITY!$A:$A),"",Inputs!$B$7+17-1)</f>
        <v>32</v>
      </c>
      <c r="D20" s="12" t="n">
        <f aca="false">IF(C20="","",INDEX(Commutation!$K:$K,MATCH(C20,Commutation!$A:$A,0)))</f>
        <v>0.430515585981821</v>
      </c>
      <c r="E20" s="13" t="n">
        <f aca="false">IF(Inputs!$B$7+17-1&gt;MAX(MORTALITY!$A:$A),"",IFERROR(INDEX(Commutation!$F:$F,MATCH(C20,Commutation!$A:$A,0)),0))</f>
        <v>4071024.55955559</v>
      </c>
      <c r="F20" s="13" t="n">
        <f aca="false">IF(Inputs!$B$7+17-1&gt;MAX(MORTALITY!$A:$A),"",IFERROR(INDEX(Commutation!$H:$H,MATCH(C20+1,Commutation!$A:$A,0)),0))</f>
        <v>90982761.9062822</v>
      </c>
      <c r="G20" s="13" t="n">
        <f aca="false">IF(Inputs!$B$7+17-1&gt;MAX(MORTALITY!$A:$A),"",IFERROR(INDEX(Commutation!$I:$I,MATCH(C20,Commutation!$A:$A,0)),0))</f>
        <v>1752639.52380346</v>
      </c>
      <c r="H20" s="13" t="n">
        <f aca="false">IF(Inputs!$B$7+17-1&gt;MAX(MORTALITY!$A:$A),"",IFERROR(1000*INDEX(Commutation!$I:$I,MATCH(Inputs!$B$7,Commutation!$A:$A,0))/INDEX(Commutation!$H:$H,MATCH(Inputs!$B$7,Commutation!$A:$A,0)),0))</f>
        <v>11.0901711225671</v>
      </c>
      <c r="I20" s="13" t="n">
        <f aca="false">IF(Inputs!$B$7+17-1&gt;MAX(MORTALITY!$A:$A),"",IFERROR((1000*G20-H20*F20)/E20,0))</f>
        <v>182.662893377432</v>
      </c>
    </row>
    <row r="21" customFormat="false" ht="15" hidden="false" customHeight="false" outlineLevel="0" collapsed="false">
      <c r="A21" s="1" t="n">
        <f aca="false">IF(Inputs!$B$7+18-1&gt;MAX(MORTALITY!$A:$A),"",Inputs!$B$7)</f>
        <v>16</v>
      </c>
      <c r="B21" s="1" t="n">
        <f aca="false">IF(Inputs!$B$7+18-1&gt;MAX(MORTALITY!$A:$A),"",18)</f>
        <v>18</v>
      </c>
      <c r="C21" s="6" t="n">
        <f aca="false">IF(Inputs!$B$7+18-1&gt;MAX(MORTALITY!$A:$A),"",Inputs!$B$7+18-1)</f>
        <v>33</v>
      </c>
      <c r="D21" s="12" t="n">
        <f aca="false">IF(C21="","",INDEX(Commutation!$K:$K,MATCH(C21,Commutation!$A:$A,0)))</f>
        <v>0.439079667929651</v>
      </c>
      <c r="E21" s="13" t="n">
        <f aca="false">IF(Inputs!$B$7+18-1&gt;MAX(MORTALITY!$A:$A),"",IFERROR(INDEX(Commutation!$F:$F,MATCH(C21,Commutation!$A:$A,0)),0))</f>
        <v>3956162.09100696</v>
      </c>
      <c r="F21" s="13" t="n">
        <f aca="false">IF(Inputs!$B$7+18-1&gt;MAX(MORTALITY!$A:$A),"",IFERROR(INDEX(Commutation!$H:$H,MATCH(C21+1,Commutation!$A:$A,0)),0))</f>
        <v>87026599.8152752</v>
      </c>
      <c r="G21" s="13" t="n">
        <f aca="false">IF(Inputs!$B$7+18-1&gt;MAX(MORTALITY!$A:$A),"",IFERROR(INDEX(Commutation!$I:$I,MATCH(C21,Commutation!$A:$A,0)),0))</f>
        <v>1737070.33719521</v>
      </c>
      <c r="H21" s="13" t="n">
        <f aca="false">IF(Inputs!$B$7+18-1&gt;MAX(MORTALITY!$A:$A),"",IFERROR(1000*INDEX(Commutation!$I:$I,MATCH(Inputs!$B$7,Commutation!$A:$A,0))/INDEX(Commutation!$H:$H,MATCH(Inputs!$B$7,Commutation!$A:$A,0)),0))</f>
        <v>11.0901711225671</v>
      </c>
      <c r="I21" s="13" t="n">
        <f aca="false">IF(Inputs!$B$7+18-1&gt;MAX(MORTALITY!$A:$A),"",IFERROR((1000*G21-H21*F21)/E21,0))</f>
        <v>195.121037831936</v>
      </c>
    </row>
    <row r="22" customFormat="false" ht="15" hidden="false" customHeight="false" outlineLevel="0" collapsed="false">
      <c r="A22" s="1" t="n">
        <f aca="false">IF(Inputs!$B$7+19-1&gt;MAX(MORTALITY!$A:$A),"",Inputs!$B$7)</f>
        <v>16</v>
      </c>
      <c r="B22" s="1" t="n">
        <f aca="false">IF(Inputs!$B$7+19-1&gt;MAX(MORTALITY!$A:$A),"",19)</f>
        <v>19</v>
      </c>
      <c r="C22" s="6" t="n">
        <f aca="false">IF(Inputs!$B$7+19-1&gt;MAX(MORTALITY!$A:$A),"",Inputs!$B$7+19-1)</f>
        <v>34</v>
      </c>
      <c r="D22" s="12" t="n">
        <f aca="false">IF(C22="","",INDEX(Commutation!$K:$K,MATCH(C22,Commutation!$A:$A,0)))</f>
        <v>0.447781519488184</v>
      </c>
      <c r="E22" s="13" t="n">
        <f aca="false">IF(Inputs!$B$7+19-1&gt;MAX(MORTALITY!$A:$A),"",IFERROR(INDEX(Commutation!$F:$F,MATCH(C22,Commutation!$A:$A,0)),0))</f>
        <v>3843768.49091904</v>
      </c>
      <c r="F22" s="13" t="n">
        <f aca="false">IF(Inputs!$B$7+19-1&gt;MAX(MORTALITY!$A:$A),"",IFERROR(INDEX(Commutation!$H:$H,MATCH(C22+1,Commutation!$A:$A,0)),0))</f>
        <v>83182831.3243562</v>
      </c>
      <c r="G22" s="13" t="n">
        <f aca="false">IF(Inputs!$B$7+19-1&gt;MAX(MORTALITY!$A:$A),"",IFERROR(INDEX(Commutation!$I:$I,MATCH(C22,Commutation!$A:$A,0)),0))</f>
        <v>1721168.49542453</v>
      </c>
      <c r="H22" s="13" t="n">
        <f aca="false">IF(Inputs!$B$7+19-1&gt;MAX(MORTALITY!$A:$A),"",IFERROR(1000*INDEX(Commutation!$I:$I,MATCH(Inputs!$B$7,Commutation!$A:$A,0))/INDEX(Commutation!$H:$H,MATCH(Inputs!$B$7,Commutation!$A:$A,0)),0))</f>
        <v>11.0901711225671</v>
      </c>
      <c r="I22" s="13" t="n">
        <f aca="false">IF(Inputs!$B$7+19-1&gt;MAX(MORTALITY!$A:$A),"",IFERROR((1000*G22-H22*F22)/E22,0))</f>
        <v>207.779595328028</v>
      </c>
    </row>
    <row r="23" customFormat="false" ht="15" hidden="false" customHeight="false" outlineLevel="0" collapsed="false">
      <c r="A23" s="1" t="n">
        <f aca="false">IF(Inputs!$B$7+20-1&gt;MAX(MORTALITY!$A:$A),"",Inputs!$B$7)</f>
        <v>16</v>
      </c>
      <c r="B23" s="1" t="n">
        <f aca="false">IF(Inputs!$B$7+20-1&gt;MAX(MORTALITY!$A:$A),"",20)</f>
        <v>20</v>
      </c>
      <c r="C23" s="6" t="n">
        <f aca="false">IF(Inputs!$B$7+20-1&gt;MAX(MORTALITY!$A:$A),"",Inputs!$B$7+20-1)</f>
        <v>35</v>
      </c>
      <c r="D23" s="12" t="n">
        <f aca="false">IF(C23="","",INDEX(Commutation!$K:$K,MATCH(C23,Commutation!$A:$A,0)))</f>
        <v>0.456612321072052</v>
      </c>
      <c r="E23" s="13" t="n">
        <f aca="false">IF(Inputs!$B$7+20-1&gt;MAX(MORTALITY!$A:$A),"",IFERROR(INDEX(Commutation!$F:$F,MATCH(C23,Commutation!$A:$A,0)),0))</f>
        <v>3733705.46144736</v>
      </c>
      <c r="F23" s="13" t="n">
        <f aca="false">IF(Inputs!$B$7+20-1&gt;MAX(MORTALITY!$A:$A),"",IFERROR(INDEX(Commutation!$H:$H,MATCH(C23+1,Commutation!$A:$A,0)),0))</f>
        <v>79449125.8629088</v>
      </c>
      <c r="G23" s="13" t="n">
        <f aca="false">IF(Inputs!$B$7+20-1&gt;MAX(MORTALITY!$A:$A),"",IFERROR(INDEX(Commutation!$I:$I,MATCH(C23,Commutation!$A:$A,0)),0))</f>
        <v>1704855.91695087</v>
      </c>
      <c r="H23" s="13" t="n">
        <f aca="false">IF(Inputs!$B$7+20-1&gt;MAX(MORTALITY!$A:$A),"",IFERROR(1000*INDEX(Commutation!$I:$I,MATCH(Inputs!$B$7,Commutation!$A:$A,0))/INDEX(Commutation!$H:$H,MATCH(Inputs!$B$7,Commutation!$A:$A,0)),0))</f>
        <v>11.0901711225671</v>
      </c>
      <c r="I23" s="13" t="n">
        <f aca="false">IF(Inputs!$B$7+20-1&gt;MAX(MORTALITY!$A:$A),"",IFERROR((1000*G23-H23*F23)/E23,0))</f>
        <v>220.625736041192</v>
      </c>
    </row>
    <row r="24" customFormat="false" ht="15" hidden="false" customHeight="false" outlineLevel="0" collapsed="false">
      <c r="A24" s="1" t="n">
        <f aca="false">IF(Inputs!$B$7+21-1&gt;MAX(MORTALITY!$A:$A),"",Inputs!$B$7)</f>
        <v>16</v>
      </c>
      <c r="B24" s="1" t="n">
        <f aca="false">IF(Inputs!$B$7+21-1&gt;MAX(MORTALITY!$A:$A),"",21)</f>
        <v>21</v>
      </c>
      <c r="C24" s="6" t="n">
        <f aca="false">IF(Inputs!$B$7+21-1&gt;MAX(MORTALITY!$A:$A),"",Inputs!$B$7+21-1)</f>
        <v>36</v>
      </c>
      <c r="D24" s="12" t="n">
        <f aca="false">IF(C24="","",INDEX(Commutation!$K:$K,MATCH(C24,Commutation!$A:$A,0)))</f>
        <v>0.465574616588996</v>
      </c>
      <c r="E24" s="13" t="n">
        <f aca="false">IF(Inputs!$B$7+21-1&gt;MAX(MORTALITY!$A:$A),"",IFERROR(INDEX(Commutation!$F:$F,MATCH(C24,Commutation!$A:$A,0)),0))</f>
        <v>3625919.75939445</v>
      </c>
      <c r="F24" s="13" t="n">
        <f aca="false">IF(Inputs!$B$7+21-1&gt;MAX(MORTALITY!$A:$A),"",IFERROR(INDEX(Commutation!$H:$H,MATCH(C24+1,Commutation!$A:$A,0)),0))</f>
        <v>75823206.1035144</v>
      </c>
      <c r="G24" s="13" t="n">
        <f aca="false">IF(Inputs!$B$7+21-1&gt;MAX(MORTALITY!$A:$A),"",IFERROR(INDEX(Commutation!$I:$I,MATCH(C24,Commutation!$A:$A,0)),0))</f>
        <v>1688136.20176254</v>
      </c>
      <c r="H24" s="13" t="n">
        <f aca="false">IF(Inputs!$B$7+21-1&gt;MAX(MORTALITY!$A:$A),"",IFERROR(1000*INDEX(Commutation!$I:$I,MATCH(Inputs!$B$7,Commutation!$A:$A,0))/INDEX(Commutation!$H:$H,MATCH(Inputs!$B$7,Commutation!$A:$A,0)),0))</f>
        <v>11.0901711225671</v>
      </c>
      <c r="I24" s="13" t="n">
        <f aca="false">IF(Inputs!$B$7+21-1&gt;MAX(MORTALITY!$A:$A),"",IFERROR((1000*G24-H24*F24)/E24,0))</f>
        <v>233.663160586428</v>
      </c>
    </row>
    <row r="25" customFormat="false" ht="15" hidden="false" customHeight="false" outlineLevel="0" collapsed="false">
      <c r="A25" s="1" t="n">
        <f aca="false">IF(Inputs!$B$7+22-1&gt;MAX(MORTALITY!$A:$A),"",Inputs!$B$7)</f>
        <v>16</v>
      </c>
      <c r="B25" s="1" t="n">
        <f aca="false">IF(Inputs!$B$7+22-1&gt;MAX(MORTALITY!$A:$A),"",22)</f>
        <v>22</v>
      </c>
      <c r="C25" s="6" t="n">
        <f aca="false">IF(Inputs!$B$7+22-1&gt;MAX(MORTALITY!$A:$A),"",Inputs!$B$7+22-1)</f>
        <v>37</v>
      </c>
      <c r="D25" s="12" t="n">
        <f aca="false">IF(C25="","",INDEX(Commutation!$K:$K,MATCH(C25,Commutation!$A:$A,0)))</f>
        <v>0.474660833655286</v>
      </c>
      <c r="E25" s="13" t="n">
        <f aca="false">IF(Inputs!$B$7+22-1&gt;MAX(MORTALITY!$A:$A),"",IFERROR(INDEX(Commutation!$F:$F,MATCH(C25,Commutation!$A:$A,0)),0))</f>
        <v>3520290.52620858</v>
      </c>
      <c r="F25" s="13" t="n">
        <f aca="false">IF(Inputs!$B$7+22-1&gt;MAX(MORTALITY!$A:$A),"",IFERROR(INDEX(Commutation!$H:$H,MATCH(C25+1,Commutation!$A:$A,0)),0))</f>
        <v>72302915.5773058</v>
      </c>
      <c r="G25" s="13" t="n">
        <f aca="false">IF(Inputs!$B$7+22-1&gt;MAX(MORTALITY!$A:$A),"",IFERROR(INDEX(Commutation!$I:$I,MATCH(C25,Commutation!$A:$A,0)),0))</f>
        <v>1670944.03587897</v>
      </c>
      <c r="H25" s="13" t="n">
        <f aca="false">IF(Inputs!$B$7+22-1&gt;MAX(MORTALITY!$A:$A),"",IFERROR(1000*INDEX(Commutation!$I:$I,MATCH(Inputs!$B$7,Commutation!$A:$A,0))/INDEX(Commutation!$H:$H,MATCH(Inputs!$B$7,Commutation!$A:$A,0)),0))</f>
        <v>11.0901711225671</v>
      </c>
      <c r="I25" s="13" t="n">
        <f aca="false">IF(Inputs!$B$7+22-1&gt;MAX(MORTALITY!$A:$A),"",IFERROR((1000*G25-H25*F25)/E25,0))</f>
        <v>246.880853439717</v>
      </c>
    </row>
    <row r="26" customFormat="false" ht="15" hidden="false" customHeight="false" outlineLevel="0" collapsed="false">
      <c r="A26" s="1" t="n">
        <f aca="false">IF(Inputs!$B$7+23-1&gt;MAX(MORTALITY!$A:$A),"",Inputs!$B$7)</f>
        <v>16</v>
      </c>
      <c r="B26" s="1" t="n">
        <f aca="false">IF(Inputs!$B$7+23-1&gt;MAX(MORTALITY!$A:$A),"",23)</f>
        <v>23</v>
      </c>
      <c r="C26" s="6" t="n">
        <f aca="false">IF(Inputs!$B$7+23-1&gt;MAX(MORTALITY!$A:$A),"",Inputs!$B$7+23-1)</f>
        <v>38</v>
      </c>
      <c r="D26" s="12" t="n">
        <f aca="false">IF(C26="","",INDEX(Commutation!$K:$K,MATCH(C26,Commutation!$A:$A,0)))</f>
        <v>0.483869281295339</v>
      </c>
      <c r="E26" s="13" t="n">
        <f aca="false">IF(Inputs!$B$7+23-1&gt;MAX(MORTALITY!$A:$A),"",IFERROR(INDEX(Commutation!$F:$F,MATCH(C26,Commutation!$A:$A,0)),0))</f>
        <v>3416742.46829132</v>
      </c>
      <c r="F26" s="13" t="n">
        <f aca="false">IF(Inputs!$B$7+23-1&gt;MAX(MORTALITY!$A:$A),"",IFERROR(INDEX(Commutation!$H:$H,MATCH(C26+1,Commutation!$A:$A,0)),0))</f>
        <v>68886173.1090145</v>
      </c>
      <c r="G26" s="13" t="n">
        <f aca="false">IF(Inputs!$B$7+23-1&gt;MAX(MORTALITY!$A:$A),"",IFERROR(INDEX(Commutation!$I:$I,MATCH(C26,Commutation!$A:$A,0)),0))</f>
        <v>1653256.72250339</v>
      </c>
      <c r="H26" s="13" t="n">
        <f aca="false">IF(Inputs!$B$7+23-1&gt;MAX(MORTALITY!$A:$A),"",IFERROR(1000*INDEX(Commutation!$I:$I,MATCH(Inputs!$B$7,Commutation!$A:$A,0))/INDEX(Commutation!$H:$H,MATCH(Inputs!$B$7,Commutation!$A:$A,0)),0))</f>
        <v>11.0901711225671</v>
      </c>
      <c r="I26" s="13" t="n">
        <f aca="false">IF(Inputs!$B$7+23-1&gt;MAX(MORTALITY!$A:$A),"",IFERROR((1000*G26-H26*F26)/E26,0))</f>
        <v>260.276354743927</v>
      </c>
    </row>
    <row r="27" customFormat="false" ht="15" hidden="false" customHeight="false" outlineLevel="0" collapsed="false">
      <c r="A27" s="1" t="n">
        <f aca="false">IF(Inputs!$B$7+24-1&gt;MAX(MORTALITY!$A:$A),"",Inputs!$B$7)</f>
        <v>16</v>
      </c>
      <c r="B27" s="1" t="n">
        <f aca="false">IF(Inputs!$B$7+24-1&gt;MAX(MORTALITY!$A:$A),"",24)</f>
        <v>24</v>
      </c>
      <c r="C27" s="6" t="n">
        <f aca="false">IF(Inputs!$B$7+24-1&gt;MAX(MORTALITY!$A:$A),"",Inputs!$B$7+24-1)</f>
        <v>39</v>
      </c>
      <c r="D27" s="12" t="n">
        <f aca="false">IF(C27="","",INDEX(Commutation!$K:$K,MATCH(C27,Commutation!$A:$A,0)))</f>
        <v>0.493198879208199</v>
      </c>
      <c r="E27" s="13" t="n">
        <f aca="false">IF(Inputs!$B$7+24-1&gt;MAX(MORTALITY!$A:$A),"",IFERROR(INDEX(Commutation!$F:$F,MATCH(C27,Commutation!$A:$A,0)),0))</f>
        <v>3315206.88235556</v>
      </c>
      <c r="F27" s="13" t="n">
        <f aca="false">IF(Inputs!$B$7+24-1&gt;MAX(MORTALITY!$A:$A),"",IFERROR(INDEX(Commutation!$H:$H,MATCH(C27+1,Commutation!$A:$A,0)),0))</f>
        <v>65570966.2266589</v>
      </c>
      <c r="G27" s="13" t="n">
        <f aca="false">IF(Inputs!$B$7+24-1&gt;MAX(MORTALITY!$A:$A),"",IFERROR(INDEX(Commutation!$I:$I,MATCH(C27,Commutation!$A:$A,0)),0))</f>
        <v>1635056.31872107</v>
      </c>
      <c r="H27" s="13" t="n">
        <f aca="false">IF(Inputs!$B$7+24-1&gt;MAX(MORTALITY!$A:$A),"",IFERROR(1000*INDEX(Commutation!$I:$I,MATCH(Inputs!$B$7,Commutation!$A:$A,0))/INDEX(Commutation!$H:$H,MATCH(Inputs!$B$7,Commutation!$A:$A,0)),0))</f>
        <v>11.0901711225671</v>
      </c>
      <c r="I27" s="13" t="n">
        <f aca="false">IF(Inputs!$B$7+24-1&gt;MAX(MORTALITY!$A:$A),"",IFERROR((1000*G27-H27*F27)/E27,0))</f>
        <v>273.84809298848</v>
      </c>
    </row>
    <row r="28" customFormat="false" ht="15" hidden="false" customHeight="false" outlineLevel="0" collapsed="false">
      <c r="A28" s="1" t="n">
        <f aca="false">IF(Inputs!$B$7+25-1&gt;MAX(MORTALITY!$A:$A),"",Inputs!$B$7)</f>
        <v>16</v>
      </c>
      <c r="B28" s="1" t="n">
        <f aca="false">IF(Inputs!$B$7+25-1&gt;MAX(MORTALITY!$A:$A),"",25)</f>
        <v>25</v>
      </c>
      <c r="C28" s="6" t="n">
        <f aca="false">IF(Inputs!$B$7+25-1&gt;MAX(MORTALITY!$A:$A),"",Inputs!$B$7+25-1)</f>
        <v>40</v>
      </c>
      <c r="D28" s="12" t="n">
        <f aca="false">IF(C28="","",INDEX(Commutation!$K:$K,MATCH(C28,Commutation!$A:$A,0)))</f>
        <v>0.502639184852397</v>
      </c>
      <c r="E28" s="13" t="n">
        <f aca="false">IF(Inputs!$B$7+25-1&gt;MAX(MORTALITY!$A:$A),"",IFERROR(INDEX(Commutation!$F:$F,MATCH(C28,Commutation!$A:$A,0)),0))</f>
        <v>3215556.61499422</v>
      </c>
      <c r="F28" s="13" t="n">
        <f aca="false">IF(Inputs!$B$7+25-1&gt;MAX(MORTALITY!$A:$A),"",IFERROR(INDEX(Commutation!$H:$H,MATCH(C28+1,Commutation!$A:$A,0)),0))</f>
        <v>62355409.6116647</v>
      </c>
      <c r="G28" s="13" t="n">
        <f aca="false">IF(Inputs!$B$7+25-1&gt;MAX(MORTALITY!$A:$A),"",IFERROR(INDEX(Commutation!$I:$I,MATCH(C28,Commutation!$A:$A,0)),0))</f>
        <v>1616264.75580743</v>
      </c>
      <c r="H28" s="13" t="n">
        <f aca="false">IF(Inputs!$B$7+25-1&gt;MAX(MORTALITY!$A:$A),"",IFERROR(1000*INDEX(Commutation!$I:$I,MATCH(Inputs!$B$7,Commutation!$A:$A,0))/INDEX(Commutation!$H:$H,MATCH(Inputs!$B$7,Commutation!$A:$A,0)),0))</f>
        <v>11.0901711225671</v>
      </c>
      <c r="I28" s="13" t="n">
        <f aca="false">IF(Inputs!$B$7+25-1&gt;MAX(MORTALITY!$A:$A),"",IFERROR((1000*G28-H28*F28)/E28,0))</f>
        <v>287.58087743946</v>
      </c>
    </row>
    <row r="29" customFormat="false" ht="15" hidden="false" customHeight="false" outlineLevel="0" collapsed="false">
      <c r="A29" s="1" t="n">
        <f aca="false">IF(Inputs!$B$7+26-1&gt;MAX(MORTALITY!$A:$A),"",Inputs!$B$7)</f>
        <v>16</v>
      </c>
      <c r="B29" s="1" t="n">
        <f aca="false">IF(Inputs!$B$7+26-1&gt;MAX(MORTALITY!$A:$A),"",26)</f>
        <v>26</v>
      </c>
      <c r="C29" s="6" t="n">
        <f aca="false">IF(Inputs!$B$7+26-1&gt;MAX(MORTALITY!$A:$A),"",Inputs!$B$7+26-1)</f>
        <v>41</v>
      </c>
      <c r="D29" s="12" t="n">
        <f aca="false">IF(C29="","",INDEX(Commutation!$K:$K,MATCH(C29,Commutation!$A:$A,0)))</f>
        <v>0.512190501774674</v>
      </c>
      <c r="E29" s="13" t="n">
        <f aca="false">IF(Inputs!$B$7+26-1&gt;MAX(MORTALITY!$A:$A),"",IFERROR(INDEX(Commutation!$F:$F,MATCH(C29,Commutation!$A:$A,0)),0))</f>
        <v>3117740.9513303</v>
      </c>
      <c r="F29" s="13" t="n">
        <f aca="false">IF(Inputs!$B$7+26-1&gt;MAX(MORTALITY!$A:$A),"",IFERROR(INDEX(Commutation!$H:$H,MATCH(C29+1,Commutation!$A:$A,0)),0))</f>
        <v>59237668.6603344</v>
      </c>
      <c r="G29" s="13" t="n">
        <f aca="false">IF(Inputs!$B$7+26-1&gt;MAX(MORTALITY!$A:$A),"",IFERROR(INDEX(Commutation!$I:$I,MATCH(C29,Commutation!$A:$A,0)),0))</f>
        <v>1596877.30226532</v>
      </c>
      <c r="H29" s="13" t="n">
        <f aca="false">IF(Inputs!$B$7+26-1&gt;MAX(MORTALITY!$A:$A),"",IFERROR(1000*INDEX(Commutation!$I:$I,MATCH(Inputs!$B$7,Commutation!$A:$A,0))/INDEX(Commutation!$H:$H,MATCH(Inputs!$B$7,Commutation!$A:$A,0)),0))</f>
        <v>11.0901711225671</v>
      </c>
      <c r="I29" s="13" t="n">
        <f aca="false">IF(Inputs!$B$7+26-1&gt;MAX(MORTALITY!$A:$A),"",IFERROR((1000*G29-H29*F29)/E29,0))</f>
        <v>301.475149665409</v>
      </c>
    </row>
    <row r="30" customFormat="false" ht="15" hidden="false" customHeight="false" outlineLevel="0" collapsed="false">
      <c r="A30" s="1" t="n">
        <f aca="false">IF(Inputs!$B$7+27-1&gt;MAX(MORTALITY!$A:$A),"",Inputs!$B$7)</f>
        <v>16</v>
      </c>
      <c r="B30" s="1" t="n">
        <f aca="false">IF(Inputs!$B$7+27-1&gt;MAX(MORTALITY!$A:$A),"",27)</f>
        <v>27</v>
      </c>
      <c r="C30" s="6" t="n">
        <f aca="false">IF(Inputs!$B$7+27-1&gt;MAX(MORTALITY!$A:$A),"",Inputs!$B$7+27-1)</f>
        <v>42</v>
      </c>
      <c r="D30" s="12" t="n">
        <f aca="false">IF(C30="","",INDEX(Commutation!$K:$K,MATCH(C30,Commutation!$A:$A,0)))</f>
        <v>0.521844217713775</v>
      </c>
      <c r="E30" s="13" t="n">
        <f aca="false">IF(Inputs!$B$7+27-1&gt;MAX(MORTALITY!$A:$A),"",IFERROR(INDEX(Commutation!$F:$F,MATCH(C30,Commutation!$A:$A,0)),0))</f>
        <v>3021653.69605955</v>
      </c>
      <c r="F30" s="13" t="n">
        <f aca="false">IF(Inputs!$B$7+27-1&gt;MAX(MORTALITY!$A:$A),"",IFERROR(INDEX(Commutation!$H:$H,MATCH(C30+1,Commutation!$A:$A,0)),0))</f>
        <v>56216014.9642748</v>
      </c>
      <c r="G30" s="13" t="n">
        <f aca="false">IF(Inputs!$B$7+27-1&gt;MAX(MORTALITY!$A:$A),"",IFERROR(INDEX(Commutation!$I:$I,MATCH(C30,Commutation!$A:$A,0)),0))</f>
        <v>1576832.50922213</v>
      </c>
      <c r="H30" s="13" t="n">
        <f aca="false">IF(Inputs!$B$7+27-1&gt;MAX(MORTALITY!$A:$A),"",IFERROR(1000*INDEX(Commutation!$I:$I,MATCH(Inputs!$B$7,Commutation!$A:$A,0))/INDEX(Commutation!$H:$H,MATCH(Inputs!$B$7,Commutation!$A:$A,0)),0))</f>
        <v>11.0901711225671</v>
      </c>
      <c r="I30" s="13" t="n">
        <f aca="false">IF(Inputs!$B$7+27-1&gt;MAX(MORTALITY!$A:$A),"",IFERROR((1000*G30-H30*F30)/E30,0))</f>
        <v>315.518381435574</v>
      </c>
    </row>
    <row r="31" customFormat="false" ht="15" hidden="false" customHeight="false" outlineLevel="0" collapsed="false">
      <c r="A31" s="1" t="n">
        <f aca="false">IF(Inputs!$B$7+28-1&gt;MAX(MORTALITY!$A:$A),"",Inputs!$B$7)</f>
        <v>16</v>
      </c>
      <c r="B31" s="1" t="n">
        <f aca="false">IF(Inputs!$B$7+28-1&gt;MAX(MORTALITY!$A:$A),"",28)</f>
        <v>28</v>
      </c>
      <c r="C31" s="6" t="n">
        <f aca="false">IF(Inputs!$B$7+28-1&gt;MAX(MORTALITY!$A:$A),"",Inputs!$B$7+28-1)</f>
        <v>43</v>
      </c>
      <c r="D31" s="12" t="n">
        <f aca="false">IF(C31="","",INDEX(Commutation!$K:$K,MATCH(C31,Commutation!$A:$A,0)))</f>
        <v>0.531597453252987</v>
      </c>
      <c r="E31" s="13" t="n">
        <f aca="false">IF(Inputs!$B$7+28-1&gt;MAX(MORTALITY!$A:$A),"",IFERROR(INDEX(Commutation!$F:$F,MATCH(C31,Commutation!$A:$A,0)),0))</f>
        <v>2927230.70300122</v>
      </c>
      <c r="F31" s="13" t="n">
        <f aca="false">IF(Inputs!$B$7+28-1&gt;MAX(MORTALITY!$A:$A),"",IFERROR(INDEX(Commutation!$H:$H,MATCH(C31+1,Commutation!$A:$A,0)),0))</f>
        <v>53288784.2612736</v>
      </c>
      <c r="G31" s="13" t="n">
        <f aca="false">IF(Inputs!$B$7+28-1&gt;MAX(MORTALITY!$A:$A),"",IFERROR(INDEX(Commutation!$I:$I,MATCH(C31,Commutation!$A:$A,0)),0))</f>
        <v>1556108.3867994</v>
      </c>
      <c r="H31" s="13" t="n">
        <f aca="false">IF(Inputs!$B$7+28-1&gt;MAX(MORTALITY!$A:$A),"",IFERROR(1000*INDEX(Commutation!$I:$I,MATCH(Inputs!$B$7,Commutation!$A:$A,0))/INDEX(Commutation!$H:$H,MATCH(Inputs!$B$7,Commutation!$A:$A,0)),0))</f>
        <v>11.0901711225671</v>
      </c>
      <c r="I31" s="13" t="n">
        <f aca="false">IF(Inputs!$B$7+28-1&gt;MAX(MORTALITY!$A:$A),"",IFERROR((1000*G31-H31*F31)/E31,0))</f>
        <v>329.706384071058</v>
      </c>
    </row>
    <row r="32" customFormat="false" ht="15" hidden="false" customHeight="false" outlineLevel="0" collapsed="false">
      <c r="A32" s="1" t="n">
        <f aca="false">IF(Inputs!$B$7+29-1&gt;MAX(MORTALITY!$A:$A),"",Inputs!$B$7)</f>
        <v>16</v>
      </c>
      <c r="B32" s="1" t="n">
        <f aca="false">IF(Inputs!$B$7+29-1&gt;MAX(MORTALITY!$A:$A),"",29)</f>
        <v>29</v>
      </c>
      <c r="C32" s="6" t="n">
        <f aca="false">IF(Inputs!$B$7+29-1&gt;MAX(MORTALITY!$A:$A),"",Inputs!$B$7+29-1)</f>
        <v>44</v>
      </c>
      <c r="D32" s="12" t="n">
        <f aca="false">IF(C32="","",INDEX(Commutation!$K:$K,MATCH(C32,Commutation!$A:$A,0)))</f>
        <v>0.541443631255037</v>
      </c>
      <c r="E32" s="13" t="n">
        <f aca="false">IF(Inputs!$B$7+29-1&gt;MAX(MORTALITY!$A:$A),"",IFERROR(INDEX(Commutation!$F:$F,MATCH(C32,Commutation!$A:$A,0)),0))</f>
        <v>2834387.51260652</v>
      </c>
      <c r="F32" s="13" t="n">
        <f aca="false">IF(Inputs!$B$7+29-1&gt;MAX(MORTALITY!$A:$A),"",IFERROR(INDEX(Commutation!$H:$H,MATCH(C32+1,Commutation!$A:$A,0)),0))</f>
        <v>50454396.7486671</v>
      </c>
      <c r="G32" s="13" t="n">
        <f aca="false">IF(Inputs!$B$7+29-1&gt;MAX(MORTALITY!$A:$A),"",IFERROR(INDEX(Commutation!$I:$I,MATCH(C32,Commutation!$A:$A,0)),0))</f>
        <v>1534661.06720961</v>
      </c>
      <c r="H32" s="13" t="n">
        <f aca="false">IF(Inputs!$B$7+29-1&gt;MAX(MORTALITY!$A:$A),"",IFERROR(1000*INDEX(Commutation!$I:$I,MATCH(Inputs!$B$7,Commutation!$A:$A,0))/INDEX(Commutation!$H:$H,MATCH(Inputs!$B$7,Commutation!$A:$A,0)),0))</f>
        <v>11.0901711225671</v>
      </c>
      <c r="I32" s="13" t="n">
        <f aca="false">IF(Inputs!$B$7+29-1&gt;MAX(MORTALITY!$A:$A),"",IFERROR((1000*G32-H32*F32)/E32,0))</f>
        <v>344.029589829894</v>
      </c>
    </row>
    <row r="33" customFormat="false" ht="15" hidden="false" customHeight="false" outlineLevel="0" collapsed="false">
      <c r="A33" s="1" t="n">
        <f aca="false">IF(Inputs!$B$7+30-1&gt;MAX(MORTALITY!$A:$A),"",Inputs!$B$7)</f>
        <v>16</v>
      </c>
      <c r="B33" s="1" t="n">
        <f aca="false">IF(Inputs!$B$7+30-1&gt;MAX(MORTALITY!$A:$A),"",30)</f>
        <v>30</v>
      </c>
      <c r="C33" s="6" t="n">
        <f aca="false">IF(Inputs!$B$7+30-1&gt;MAX(MORTALITY!$A:$A),"",Inputs!$B$7+30-1)</f>
        <v>45</v>
      </c>
      <c r="D33" s="12" t="n">
        <f aca="false">IF(C33="","",INDEX(Commutation!$K:$K,MATCH(C33,Commutation!$A:$A,0)))</f>
        <v>0.551372759018925</v>
      </c>
      <c r="E33" s="13" t="n">
        <f aca="false">IF(Inputs!$B$7+30-1&gt;MAX(MORTALITY!$A:$A),"",IFERROR(INDEX(Commutation!$F:$F,MATCH(C33,Commutation!$A:$A,0)),0))</f>
        <v>2743023.45073674</v>
      </c>
      <c r="F33" s="13" t="n">
        <f aca="false">IF(Inputs!$B$7+30-1&gt;MAX(MORTALITY!$A:$A),"",IFERROR(INDEX(Commutation!$H:$H,MATCH(C33+1,Commutation!$A:$A,0)),0))</f>
        <v>47711373.2979303</v>
      </c>
      <c r="G33" s="13" t="n">
        <f aca="false">IF(Inputs!$B$7+30-1&gt;MAX(MORTALITY!$A:$A),"",IFERROR(INDEX(Commutation!$I:$I,MATCH(C33,Commutation!$A:$A,0)),0))</f>
        <v>1512428.40808633</v>
      </c>
      <c r="H33" s="13" t="n">
        <f aca="false">IF(Inputs!$B$7+30-1&gt;MAX(MORTALITY!$A:$A),"",IFERROR(1000*INDEX(Commutation!$I:$I,MATCH(Inputs!$B$7,Commutation!$A:$A,0))/INDEX(Commutation!$H:$H,MATCH(Inputs!$B$7,Commutation!$A:$A,0)),0))</f>
        <v>11.0901711225671</v>
      </c>
      <c r="I33" s="13" t="n">
        <f aca="false">IF(Inputs!$B$7+30-1&gt;MAX(MORTALITY!$A:$A),"",IFERROR((1000*G33-H33*F33)/E33,0))</f>
        <v>358.473462359755</v>
      </c>
    </row>
    <row r="34" customFormat="false" ht="15" hidden="false" customHeight="false" outlineLevel="0" collapsed="false">
      <c r="A34" s="1" t="n">
        <f aca="false">IF(Inputs!$B$7+31-1&gt;MAX(MORTALITY!$A:$A),"",Inputs!$B$7)</f>
        <v>16</v>
      </c>
      <c r="B34" s="1" t="n">
        <f aca="false">IF(Inputs!$B$7+31-1&gt;MAX(MORTALITY!$A:$A),"",31)</f>
        <v>31</v>
      </c>
      <c r="C34" s="6" t="n">
        <f aca="false">IF(Inputs!$B$7+31-1&gt;MAX(MORTALITY!$A:$A),"",Inputs!$B$7+31-1)</f>
        <v>46</v>
      </c>
      <c r="D34" s="12" t="n">
        <f aca="false">IF(C34="","",INDEX(Commutation!$K:$K,MATCH(C34,Commutation!$A:$A,0)))</f>
        <v>0.561380564656087</v>
      </c>
      <c r="E34" s="13" t="n">
        <f aca="false">IF(Inputs!$B$7+31-1&gt;MAX(MORTALITY!$A:$A),"",IFERROR(INDEX(Commutation!$F:$F,MATCH(C34,Commutation!$A:$A,0)),0))</f>
        <v>2653079.04275697</v>
      </c>
      <c r="F34" s="13" t="n">
        <f aca="false">IF(Inputs!$B$7+31-1&gt;MAX(MORTALITY!$A:$A),"",IFERROR(INDEX(Commutation!$H:$H,MATCH(C34+1,Commutation!$A:$A,0)),0))</f>
        <v>45058294.2551734</v>
      </c>
      <c r="G34" s="13" t="n">
        <f aca="false">IF(Inputs!$B$7+31-1&gt;MAX(MORTALITY!$A:$A),"",IFERROR(INDEX(Commutation!$I:$I,MATCH(C34,Commutation!$A:$A,0)),0))</f>
        <v>1489387.01110014</v>
      </c>
      <c r="H34" s="13" t="n">
        <f aca="false">IF(Inputs!$B$7+31-1&gt;MAX(MORTALITY!$A:$A),"",IFERROR(1000*INDEX(Commutation!$I:$I,MATCH(Inputs!$B$7,Commutation!$A:$A,0))/INDEX(Commutation!$H:$H,MATCH(Inputs!$B$7,Commutation!$A:$A,0)),0))</f>
        <v>11.0901711225671</v>
      </c>
      <c r="I34" s="13" t="n">
        <f aca="false">IF(Inputs!$B$7+31-1&gt;MAX(MORTALITY!$A:$A),"",IFERROR((1000*G34-H34*F34)/E34,0))</f>
        <v>373.031787357095</v>
      </c>
    </row>
    <row r="35" customFormat="false" ht="15" hidden="false" customHeight="false" outlineLevel="0" collapsed="false">
      <c r="A35" s="1" t="n">
        <f aca="false">IF(Inputs!$B$7+32-1&gt;MAX(MORTALITY!$A:$A),"",Inputs!$B$7)</f>
        <v>16</v>
      </c>
      <c r="B35" s="1" t="n">
        <f aca="false">IF(Inputs!$B$7+32-1&gt;MAX(MORTALITY!$A:$A),"",32)</f>
        <v>32</v>
      </c>
      <c r="C35" s="6" t="n">
        <f aca="false">IF(Inputs!$B$7+32-1&gt;MAX(MORTALITY!$A:$A),"",Inputs!$B$7+32-1)</f>
        <v>47</v>
      </c>
      <c r="D35" s="12" t="n">
        <f aca="false">IF(C35="","",INDEX(Commutation!$K:$K,MATCH(C35,Commutation!$A:$A,0)))</f>
        <v>0.571459651354491</v>
      </c>
      <c r="E35" s="13" t="n">
        <f aca="false">IF(Inputs!$B$7+32-1&gt;MAX(MORTALITY!$A:$A),"",IFERROR(INDEX(Commutation!$F:$F,MATCH(C35,Commutation!$A:$A,0)),0))</f>
        <v>2564479.14457788</v>
      </c>
      <c r="F35" s="13" t="n">
        <f aca="false">IF(Inputs!$B$7+32-1&gt;MAX(MORTALITY!$A:$A),"",IFERROR(INDEX(Commutation!$H:$H,MATCH(C35+1,Commutation!$A:$A,0)),0))</f>
        <v>42493815.1105955</v>
      </c>
      <c r="G35" s="13" t="n">
        <f aca="false">IF(Inputs!$B$7+32-1&gt;MAX(MORTALITY!$A:$A),"",IFERROR(INDEX(Commutation!$I:$I,MATCH(C35,Commutation!$A:$A,0)),0))</f>
        <v>1465496.35786634</v>
      </c>
      <c r="H35" s="13" t="n">
        <f aca="false">IF(Inputs!$B$7+32-1&gt;MAX(MORTALITY!$A:$A),"",IFERROR(1000*INDEX(Commutation!$I:$I,MATCH(Inputs!$B$7,Commutation!$A:$A,0))/INDEX(Commutation!$H:$H,MATCH(Inputs!$B$7,Commutation!$A:$A,0)),0))</f>
        <v>11.0901711225671</v>
      </c>
      <c r="I35" s="13" t="n">
        <f aca="false">IF(Inputs!$B$7+32-1&gt;MAX(MORTALITY!$A:$A),"",IFERROR((1000*G35-H35*F35)/E35,0))</f>
        <v>387.693804701524</v>
      </c>
    </row>
    <row r="36" customFormat="false" ht="15" hidden="false" customHeight="false" outlineLevel="0" collapsed="false">
      <c r="A36" s="1" t="n">
        <f aca="false">IF(Inputs!$B$7+33-1&gt;MAX(MORTALITY!$A:$A),"",Inputs!$B$7)</f>
        <v>16</v>
      </c>
      <c r="B36" s="1" t="n">
        <f aca="false">IF(Inputs!$B$7+33-1&gt;MAX(MORTALITY!$A:$A),"",33)</f>
        <v>33</v>
      </c>
      <c r="C36" s="6" t="n">
        <f aca="false">IF(Inputs!$B$7+33-1&gt;MAX(MORTALITY!$A:$A),"",Inputs!$B$7+33-1)</f>
        <v>48</v>
      </c>
      <c r="D36" s="12" t="n">
        <f aca="false">IF(C36="","",INDEX(Commutation!$K:$K,MATCH(C36,Commutation!$A:$A,0)))</f>
        <v>0.581599796622886</v>
      </c>
      <c r="E36" s="13" t="n">
        <f aca="false">IF(Inputs!$B$7+33-1&gt;MAX(MORTALITY!$A:$A),"",IFERROR(INDEX(Commutation!$F:$F,MATCH(C36,Commutation!$A:$A,0)),0))</f>
        <v>2477136.73780987</v>
      </c>
      <c r="F36" s="13" t="n">
        <f aca="false">IF(Inputs!$B$7+33-1&gt;MAX(MORTALITY!$A:$A),"",IFERROR(INDEX(Commutation!$H:$H,MATCH(C36+1,Commutation!$A:$A,0)),0))</f>
        <v>40016678.3727856</v>
      </c>
      <c r="G36" s="13" t="n">
        <f aca="false">IF(Inputs!$B$7+33-1&gt;MAX(MORTALITY!$A:$A),"",IFERROR(INDEX(Commutation!$I:$I,MATCH(C36,Commutation!$A:$A,0)),0))</f>
        <v>1440702.2229173</v>
      </c>
      <c r="H36" s="13" t="n">
        <f aca="false">IF(Inputs!$B$7+33-1&gt;MAX(MORTALITY!$A:$A),"",IFERROR(1000*INDEX(Commutation!$I:$I,MATCH(Inputs!$B$7,Commutation!$A:$A,0))/INDEX(Commutation!$H:$H,MATCH(Inputs!$B$7,Commutation!$A:$A,0)),0))</f>
        <v>11.0901711225671</v>
      </c>
      <c r="I36" s="13" t="n">
        <f aca="false">IF(Inputs!$B$7+33-1&gt;MAX(MORTALITY!$A:$A),"",IFERROR((1000*G36-H36*F36)/E36,0))</f>
        <v>402.44464376552</v>
      </c>
    </row>
    <row r="37" customFormat="false" ht="15" hidden="false" customHeight="false" outlineLevel="0" collapsed="false">
      <c r="A37" s="1" t="n">
        <f aca="false">IF(Inputs!$B$7+34-1&gt;MAX(MORTALITY!$A:$A),"",Inputs!$B$7)</f>
        <v>16</v>
      </c>
      <c r="B37" s="1" t="n">
        <f aca="false">IF(Inputs!$B$7+34-1&gt;MAX(MORTALITY!$A:$A),"",34)</f>
        <v>34</v>
      </c>
      <c r="C37" s="6" t="n">
        <f aca="false">IF(Inputs!$B$7+34-1&gt;MAX(MORTALITY!$A:$A),"",Inputs!$B$7+34-1)</f>
        <v>49</v>
      </c>
      <c r="D37" s="12" t="n">
        <f aca="false">IF(C37="","",INDEX(Commutation!$K:$K,MATCH(C37,Commutation!$A:$A,0)))</f>
        <v>0.591796506366195</v>
      </c>
      <c r="E37" s="13" t="n">
        <f aca="false">IF(Inputs!$B$7+34-1&gt;MAX(MORTALITY!$A:$A),"",IFERROR(INDEX(Commutation!$F:$F,MATCH(C37,Commutation!$A:$A,0)),0))</f>
        <v>2391004.88089714</v>
      </c>
      <c r="F37" s="13" t="n">
        <f aca="false">IF(Inputs!$B$7+34-1&gt;MAX(MORTALITY!$A:$A),"",IFERROR(INDEX(Commutation!$H:$H,MATCH(C37+1,Commutation!$A:$A,0)),0))</f>
        <v>37625673.4918885</v>
      </c>
      <c r="G37" s="13" t="n">
        <f aca="false">IF(Inputs!$B$7+34-1&gt;MAX(MORTALITY!$A:$A),"",IFERROR(INDEX(Commutation!$I:$I,MATCH(C37,Commutation!$A:$A,0)),0))</f>
        <v>1414988.33521945</v>
      </c>
      <c r="H37" s="13" t="n">
        <f aca="false">IF(Inputs!$B$7+34-1&gt;MAX(MORTALITY!$A:$A),"",IFERROR(1000*INDEX(Commutation!$I:$I,MATCH(Inputs!$B$7,Commutation!$A:$A,0))/INDEX(Commutation!$H:$H,MATCH(Inputs!$B$7,Commutation!$A:$A,0)),0))</f>
        <v>11.0901711225671</v>
      </c>
      <c r="I37" s="13" t="n">
        <f aca="false">IF(Inputs!$B$7+34-1&gt;MAX(MORTALITY!$A:$A),"",IFERROR((1000*G37-H37*F37)/E37,0))</f>
        <v>417.277767002387</v>
      </c>
    </row>
    <row r="38" customFormat="false" ht="15" hidden="false" customHeight="false" outlineLevel="0" collapsed="false">
      <c r="A38" s="1" t="n">
        <f aca="false">IF(Inputs!$B$7+35-1&gt;MAX(MORTALITY!$A:$A),"",Inputs!$B$7)</f>
        <v>16</v>
      </c>
      <c r="B38" s="1" t="n">
        <f aca="false">IF(Inputs!$B$7+35-1&gt;MAX(MORTALITY!$A:$A),"",35)</f>
        <v>35</v>
      </c>
      <c r="C38" s="6" t="n">
        <f aca="false">IF(Inputs!$B$7+35-1&gt;MAX(MORTALITY!$A:$A),"",Inputs!$B$7+35-1)</f>
        <v>50</v>
      </c>
      <c r="D38" s="12" t="n">
        <f aca="false">IF(C38="","",INDEX(Commutation!$K:$K,MATCH(C38,Commutation!$A:$A,0)))</f>
        <v>0.602034716529614</v>
      </c>
      <c r="E38" s="13" t="n">
        <f aca="false">IF(Inputs!$B$7+35-1&gt;MAX(MORTALITY!$A:$A),"",IFERROR(INDEX(Commutation!$F:$F,MATCH(C38,Commutation!$A:$A,0)),0))</f>
        <v>2305978.41464475</v>
      </c>
      <c r="F38" s="13" t="n">
        <f aca="false">IF(Inputs!$B$7+35-1&gt;MAX(MORTALITY!$A:$A),"",IFERROR(INDEX(Commutation!$H:$H,MATCH(C38+1,Commutation!$A:$A,0)),0))</f>
        <v>35319695.0772437</v>
      </c>
      <c r="G38" s="13" t="n">
        <f aca="false">IF(Inputs!$B$7+35-1&gt;MAX(MORTALITY!$A:$A),"",IFERROR(INDEX(Commutation!$I:$I,MATCH(C38,Commutation!$A:$A,0)),0))</f>
        <v>1388279.06118406</v>
      </c>
      <c r="H38" s="13" t="n">
        <f aca="false">IF(Inputs!$B$7+35-1&gt;MAX(MORTALITY!$A:$A),"",IFERROR(1000*INDEX(Commutation!$I:$I,MATCH(Inputs!$B$7,Commutation!$A:$A,0))/INDEX(Commutation!$H:$H,MATCH(Inputs!$B$7,Commutation!$A:$A,0)),0))</f>
        <v>11.0901711225671</v>
      </c>
      <c r="I38" s="13" t="n">
        <f aca="false">IF(Inputs!$B$7+35-1&gt;MAX(MORTALITY!$A:$A),"",IFERROR((1000*G38-H38*F38)/E38,0))</f>
        <v>432.171260776552</v>
      </c>
    </row>
    <row r="39" customFormat="false" ht="15" hidden="false" customHeight="false" outlineLevel="0" collapsed="false">
      <c r="A39" s="1" t="n">
        <f aca="false">IF(Inputs!$B$7+36-1&gt;MAX(MORTALITY!$A:$A),"",Inputs!$B$7)</f>
        <v>16</v>
      </c>
      <c r="B39" s="1" t="n">
        <f aca="false">IF(Inputs!$B$7+36-1&gt;MAX(MORTALITY!$A:$A),"",36)</f>
        <v>36</v>
      </c>
      <c r="C39" s="6" t="n">
        <f aca="false">IF(Inputs!$B$7+36-1&gt;MAX(MORTALITY!$A:$A),"",Inputs!$B$7+36-1)</f>
        <v>51</v>
      </c>
      <c r="D39" s="12" t="n">
        <f aca="false">IF(C39="","",INDEX(Commutation!$K:$K,MATCH(C39,Commutation!$A:$A,0)))</f>
        <v>0.6123092342083</v>
      </c>
      <c r="E39" s="13" t="n">
        <f aca="false">IF(Inputs!$B$7+36-1&gt;MAX(MORTALITY!$A:$A),"",IFERROR(INDEX(Commutation!$F:$F,MATCH(C39,Commutation!$A:$A,0)),0))</f>
        <v>2222018.3030013</v>
      </c>
      <c r="F39" s="13" t="n">
        <f aca="false">IF(Inputs!$B$7+36-1&gt;MAX(MORTALITY!$A:$A),"",IFERROR(INDEX(Commutation!$H:$H,MATCH(C39+1,Commutation!$A:$A,0)),0))</f>
        <v>33097676.7742424</v>
      </c>
      <c r="G39" s="13" t="n">
        <f aca="false">IF(Inputs!$B$7+36-1&gt;MAX(MORTALITY!$A:$A),"",IFERROR(INDEX(Commutation!$I:$I,MATCH(C39,Commutation!$A:$A,0)),0))</f>
        <v>1360562.32550755</v>
      </c>
      <c r="H39" s="13" t="n">
        <f aca="false">IF(Inputs!$B$7+36-1&gt;MAX(MORTALITY!$A:$A),"",IFERROR(1000*INDEX(Commutation!$I:$I,MATCH(Inputs!$B$7,Commutation!$A:$A,0))/INDEX(Commutation!$H:$H,MATCH(Inputs!$B$7,Commutation!$A:$A,0)),0))</f>
        <v>11.0901711225671</v>
      </c>
      <c r="I39" s="13" t="n">
        <f aca="false">IF(Inputs!$B$7+36-1&gt;MAX(MORTALITY!$A:$A),"",IFERROR((1000*G39-H39*F39)/E39,0))</f>
        <v>447.117570984836</v>
      </c>
    </row>
    <row r="40" customFormat="false" ht="15" hidden="false" customHeight="false" outlineLevel="0" collapsed="false">
      <c r="A40" s="1" t="n">
        <f aca="false">IF(Inputs!$B$7+37-1&gt;MAX(MORTALITY!$A:$A),"",Inputs!$B$7)</f>
        <v>16</v>
      </c>
      <c r="B40" s="1" t="n">
        <f aca="false">IF(Inputs!$B$7+37-1&gt;MAX(MORTALITY!$A:$A),"",37)</f>
        <v>37</v>
      </c>
      <c r="C40" s="6" t="n">
        <f aca="false">IF(Inputs!$B$7+37-1&gt;MAX(MORTALITY!$A:$A),"",Inputs!$B$7+37-1)</f>
        <v>52</v>
      </c>
      <c r="D40" s="12" t="n">
        <f aca="false">IF(C40="","",INDEX(Commutation!$K:$K,MATCH(C40,Commutation!$A:$A,0)))</f>
        <v>0.622608986311866</v>
      </c>
      <c r="E40" s="13" t="n">
        <f aca="false">IF(Inputs!$B$7+37-1&gt;MAX(MORTALITY!$A:$A),"",IFERROR(INDEX(Commutation!$F:$F,MATCH(C40,Commutation!$A:$A,0)),0))</f>
        <v>2139055.7269468</v>
      </c>
      <c r="F40" s="13" t="n">
        <f aca="false">IF(Inputs!$B$7+37-1&gt;MAX(MORTALITY!$A:$A),"",IFERROR(INDEX(Commutation!$H:$H,MATCH(C40+1,Commutation!$A:$A,0)),0))</f>
        <v>30958621.0472956</v>
      </c>
      <c r="G40" s="13" t="n">
        <f aca="false">IF(Inputs!$B$7+37-1&gt;MAX(MORTALITY!$A:$A),"",IFERROR(INDEX(Commutation!$I:$I,MATCH(C40,Commutation!$A:$A,0)),0))</f>
        <v>1331795.31781894</v>
      </c>
      <c r="H40" s="13" t="n">
        <f aca="false">IF(Inputs!$B$7+37-1&gt;MAX(MORTALITY!$A:$A),"",IFERROR(1000*INDEX(Commutation!$I:$I,MATCH(Inputs!$B$7,Commutation!$A:$A,0))/INDEX(Commutation!$H:$H,MATCH(Inputs!$B$7,Commutation!$A:$A,0)),0))</f>
        <v>11.0901711225671</v>
      </c>
      <c r="I40" s="13" t="n">
        <f aca="false">IF(Inputs!$B$7+37-1&gt;MAX(MORTALITY!$A:$A),"",IFERROR((1000*G40-H40*F40)/E40,0))</f>
        <v>462.100589635693</v>
      </c>
    </row>
    <row r="41" customFormat="false" ht="15" hidden="false" customHeight="false" outlineLevel="0" collapsed="false">
      <c r="A41" s="1" t="n">
        <f aca="false">IF(Inputs!$B$7+38-1&gt;MAX(MORTALITY!$A:$A),"",Inputs!$B$7)</f>
        <v>16</v>
      </c>
      <c r="B41" s="1" t="n">
        <f aca="false">IF(Inputs!$B$7+38-1&gt;MAX(MORTALITY!$A:$A),"",38)</f>
        <v>38</v>
      </c>
      <c r="C41" s="6" t="n">
        <f aca="false">IF(Inputs!$B$7+38-1&gt;MAX(MORTALITY!$A:$A),"",Inputs!$B$7+38-1)</f>
        <v>53</v>
      </c>
      <c r="D41" s="12" t="n">
        <f aca="false">IF(C41="","",INDEX(Commutation!$K:$K,MATCH(C41,Commutation!$A:$A,0)))</f>
        <v>0.63292503902776</v>
      </c>
      <c r="E41" s="13" t="n">
        <f aca="false">IF(Inputs!$B$7+38-1&gt;MAX(MORTALITY!$A:$A),"",IFERROR(INDEX(Commutation!$F:$F,MATCH(C41,Commutation!$A:$A,0)),0))</f>
        <v>2057041.2000502</v>
      </c>
      <c r="F41" s="13" t="n">
        <f aca="false">IF(Inputs!$B$7+38-1&gt;MAX(MORTALITY!$A:$A),"",IFERROR(INDEX(Commutation!$H:$H,MATCH(C41+1,Commutation!$A:$A,0)),0))</f>
        <v>28901579.8472454</v>
      </c>
      <c r="G41" s="13" t="n">
        <f aca="false">IF(Inputs!$B$7+38-1&gt;MAX(MORTALITY!$A:$A),"",IFERROR(INDEX(Commutation!$I:$I,MATCH(C41,Commutation!$A:$A,0)),0))</f>
        <v>1301952.88182349</v>
      </c>
      <c r="H41" s="13" t="n">
        <f aca="false">IF(Inputs!$B$7+38-1&gt;MAX(MORTALITY!$A:$A),"",IFERROR(1000*INDEX(Commutation!$I:$I,MATCH(Inputs!$B$7,Commutation!$A:$A,0))/INDEX(Commutation!$H:$H,MATCH(Inputs!$B$7,Commutation!$A:$A,0)),0))</f>
        <v>11.0901711225671</v>
      </c>
      <c r="I41" s="13" t="n">
        <f aca="false">IF(Inputs!$B$7+38-1&gt;MAX(MORTALITY!$A:$A),"",IFERROR((1000*G41-H41*F41)/E41,0))</f>
        <v>477.107320738662</v>
      </c>
    </row>
    <row r="42" customFormat="false" ht="15" hidden="false" customHeight="false" outlineLevel="0" collapsed="false">
      <c r="A42" s="1" t="n">
        <f aca="false">IF(Inputs!$B$7+39-1&gt;MAX(MORTALITY!$A:$A),"",Inputs!$B$7)</f>
        <v>16</v>
      </c>
      <c r="B42" s="1" t="n">
        <f aca="false">IF(Inputs!$B$7+39-1&gt;MAX(MORTALITY!$A:$A),"",39)</f>
        <v>39</v>
      </c>
      <c r="C42" s="6" t="n">
        <f aca="false">IF(Inputs!$B$7+39-1&gt;MAX(MORTALITY!$A:$A),"",Inputs!$B$7+39-1)</f>
        <v>54</v>
      </c>
      <c r="D42" s="12" t="n">
        <f aca="false">IF(C42="","",INDEX(Commutation!$K:$K,MATCH(C42,Commutation!$A:$A,0)))</f>
        <v>0.643243410832601</v>
      </c>
      <c r="E42" s="13" t="n">
        <f aca="false">IF(Inputs!$B$7+39-1&gt;MAX(MORTALITY!$A:$A),"",IFERROR(INDEX(Commutation!$F:$F,MATCH(C42,Commutation!$A:$A,0)),0))</f>
        <v>1975903.46764237</v>
      </c>
      <c r="F42" s="13" t="n">
        <f aca="false">IF(Inputs!$B$7+39-1&gt;MAX(MORTALITY!$A:$A),"",IFERROR(INDEX(Commutation!$H:$H,MATCH(C42+1,Commutation!$A:$A,0)),0))</f>
        <v>26925676.3796031</v>
      </c>
      <c r="G42" s="13" t="n">
        <f aca="false">IF(Inputs!$B$7+39-1&gt;MAX(MORTALITY!$A:$A),"",IFERROR(INDEX(Commutation!$I:$I,MATCH(C42,Commutation!$A:$A,0)),0))</f>
        <v>1270986.88600224</v>
      </c>
      <c r="H42" s="13" t="n">
        <f aca="false">IF(Inputs!$B$7+39-1&gt;MAX(MORTALITY!$A:$A),"",IFERROR(1000*INDEX(Commutation!$I:$I,MATCH(Inputs!$B$7,Commutation!$A:$A,0))/INDEX(Commutation!$H:$H,MATCH(Inputs!$B$7,Commutation!$A:$A,0)),0))</f>
        <v>11.0901711225671</v>
      </c>
      <c r="I42" s="13" t="n">
        <f aca="false">IF(Inputs!$B$7+39-1&gt;MAX(MORTALITY!$A:$A),"",IFERROR((1000*G42-H42*F42)/E42,0))</f>
        <v>492.117425413404</v>
      </c>
    </row>
    <row r="43" customFormat="false" ht="15" hidden="false" customHeight="false" outlineLevel="0" collapsed="false">
      <c r="A43" s="1" t="n">
        <f aca="false">IF(Inputs!$B$7+40-1&gt;MAX(MORTALITY!$A:$A),"",Inputs!$B$7)</f>
        <v>16</v>
      </c>
      <c r="B43" s="1" t="n">
        <f aca="false">IF(Inputs!$B$7+40-1&gt;MAX(MORTALITY!$A:$A),"",40)</f>
        <v>40</v>
      </c>
      <c r="C43" s="6" t="n">
        <f aca="false">IF(Inputs!$B$7+40-1&gt;MAX(MORTALITY!$A:$A),"",Inputs!$B$7+40-1)</f>
        <v>55</v>
      </c>
      <c r="D43" s="12" t="n">
        <f aca="false">IF(C43="","",INDEX(Commutation!$K:$K,MATCH(C43,Commutation!$A:$A,0)))</f>
        <v>0.653556206949118</v>
      </c>
      <c r="E43" s="13" t="n">
        <f aca="false">IF(Inputs!$B$7+40-1&gt;MAX(MORTALITY!$A:$A),"",IFERROR(INDEX(Commutation!$F:$F,MATCH(C43,Commutation!$A:$A,0)),0))</f>
        <v>1895614.31698159</v>
      </c>
      <c r="F43" s="13" t="n">
        <f aca="false">IF(Inputs!$B$7+40-1&gt;MAX(MORTALITY!$A:$A),"",IFERROR(INDEX(Commutation!$H:$H,MATCH(C43+1,Commutation!$A:$A,0)),0))</f>
        <v>25030062.0626215</v>
      </c>
      <c r="G43" s="13" t="n">
        <f aca="false">IF(Inputs!$B$7+40-1&gt;MAX(MORTALITY!$A:$A),"",IFERROR(INDEX(Commutation!$I:$I,MATCH(C43,Commutation!$A:$A,0)),0))</f>
        <v>1238890.50284493</v>
      </c>
      <c r="H43" s="13" t="n">
        <f aca="false">IF(Inputs!$B$7+40-1&gt;MAX(MORTALITY!$A:$A),"",IFERROR(1000*INDEX(Commutation!$I:$I,MATCH(Inputs!$B$7,Commutation!$A:$A,0))/INDEX(Commutation!$H:$H,MATCH(Inputs!$B$7,Commutation!$A:$A,0)),0))</f>
        <v>11.0901711225671</v>
      </c>
      <c r="I43" s="13" t="n">
        <f aca="false">IF(Inputs!$B$7+40-1&gt;MAX(MORTALITY!$A:$A),"",IFERROR((1000*G43-H43*F43)/E43,0))</f>
        <v>507.119419150979</v>
      </c>
    </row>
    <row r="44" customFormat="false" ht="15" hidden="false" customHeight="false" outlineLevel="0" collapsed="false">
      <c r="A44" s="1" t="n">
        <f aca="false">IF(Inputs!$B$7+41-1&gt;MAX(MORTALITY!$A:$A),"",Inputs!$B$7)</f>
        <v>16</v>
      </c>
      <c r="B44" s="1" t="n">
        <f aca="false">IF(Inputs!$B$7+41-1&gt;MAX(MORTALITY!$A:$A),"",41)</f>
        <v>41</v>
      </c>
      <c r="C44" s="6" t="n">
        <f aca="false">IF(Inputs!$B$7+41-1&gt;MAX(MORTALITY!$A:$A),"",Inputs!$B$7+41-1)</f>
        <v>56</v>
      </c>
      <c r="D44" s="12" t="n">
        <f aca="false">IF(C44="","",INDEX(Commutation!$K:$K,MATCH(C44,Commutation!$A:$A,0)))</f>
        <v>0.663851155906037</v>
      </c>
      <c r="E44" s="13" t="n">
        <f aca="false">IF(Inputs!$B$7+41-1&gt;MAX(MORTALITY!$A:$A),"",IFERROR(INDEX(Commutation!$F:$F,MATCH(C44,Commutation!$A:$A,0)),0))</f>
        <v>1816127.97225586</v>
      </c>
      <c r="F44" s="13" t="n">
        <f aca="false">IF(Inputs!$B$7+41-1&gt;MAX(MORTALITY!$A:$A),"",IFERROR(INDEX(Commutation!$H:$H,MATCH(C44+1,Commutation!$A:$A,0)),0))</f>
        <v>23213934.0903656</v>
      </c>
      <c r="G44" s="13" t="n">
        <f aca="false">IF(Inputs!$B$7+41-1&gt;MAX(MORTALITY!$A:$A),"",IFERROR(INDEX(Commutation!$I:$I,MATCH(C44,Commutation!$A:$A,0)),0))</f>
        <v>1205638.65365534</v>
      </c>
      <c r="H44" s="13" t="n">
        <f aca="false">IF(Inputs!$B$7+41-1&gt;MAX(MORTALITY!$A:$A),"",IFERROR(1000*INDEX(Commutation!$I:$I,MATCH(Inputs!$B$7,Commutation!$A:$A,0))/INDEX(Commutation!$H:$H,MATCH(Inputs!$B$7,Commutation!$A:$A,0)),0))</f>
        <v>11.0901711225671</v>
      </c>
      <c r="I44" s="13" t="n">
        <f aca="false">IF(Inputs!$B$7+41-1&gt;MAX(MORTALITY!$A:$A),"",IFERROR((1000*G44-H44*F44)/E44,0))</f>
        <v>522.09545067874</v>
      </c>
    </row>
    <row r="45" customFormat="false" ht="15" hidden="false" customHeight="false" outlineLevel="0" collapsed="false">
      <c r="A45" s="1" t="n">
        <f aca="false">IF(Inputs!$B$7+42-1&gt;MAX(MORTALITY!$A:$A),"",Inputs!$B$7)</f>
        <v>16</v>
      </c>
      <c r="B45" s="1" t="n">
        <f aca="false">IF(Inputs!$B$7+42-1&gt;MAX(MORTALITY!$A:$A),"",42)</f>
        <v>42</v>
      </c>
      <c r="C45" s="6" t="n">
        <f aca="false">IF(Inputs!$B$7+42-1&gt;MAX(MORTALITY!$A:$A),"",Inputs!$B$7+42-1)</f>
        <v>57</v>
      </c>
      <c r="D45" s="12" t="n">
        <f aca="false">IF(C45="","",INDEX(Commutation!$K:$K,MATCH(C45,Commutation!$A:$A,0)))</f>
        <v>0.674115498948252</v>
      </c>
      <c r="E45" s="13" t="n">
        <f aca="false">IF(Inputs!$B$7+42-1&gt;MAX(MORTALITY!$A:$A),"",IFERROR(INDEX(Commutation!$F:$F,MATCH(C45,Commutation!$A:$A,0)),0))</f>
        <v>1737405.4690292</v>
      </c>
      <c r="F45" s="13" t="n">
        <f aca="false">IF(Inputs!$B$7+42-1&gt;MAX(MORTALITY!$A:$A),"",IFERROR(INDEX(Commutation!$H:$H,MATCH(C45+1,Commutation!$A:$A,0)),0))</f>
        <v>21476528.6213364</v>
      </c>
      <c r="G45" s="13" t="n">
        <f aca="false">IF(Inputs!$B$7+42-1&gt;MAX(MORTALITY!$A:$A),"",IFERROR(INDEX(Commutation!$I:$I,MATCH(C45,Commutation!$A:$A,0)),0))</f>
        <v>1171211.95463004</v>
      </c>
      <c r="H45" s="13" t="n">
        <f aca="false">IF(Inputs!$B$7+42-1&gt;MAX(MORTALITY!$A:$A),"",IFERROR(1000*INDEX(Commutation!$I:$I,MATCH(Inputs!$B$7,Commutation!$A:$A,0))/INDEX(Commutation!$H:$H,MATCH(Inputs!$B$7,Commutation!$A:$A,0)),0))</f>
        <v>11.0901711225671</v>
      </c>
      <c r="I45" s="13" t="n">
        <f aca="false">IF(Inputs!$B$7+42-1&gt;MAX(MORTALITY!$A:$A),"",IFERROR((1000*G45-H45*F45)/E45,0))</f>
        <v>537.026959873711</v>
      </c>
    </row>
    <row r="46" customFormat="false" ht="15" hidden="false" customHeight="false" outlineLevel="0" collapsed="false">
      <c r="A46" s="1" t="n">
        <f aca="false">IF(Inputs!$B$7+43-1&gt;MAX(MORTALITY!$A:$A),"",Inputs!$B$7)</f>
        <v>16</v>
      </c>
      <c r="B46" s="1" t="n">
        <f aca="false">IF(Inputs!$B$7+43-1&gt;MAX(MORTALITY!$A:$A),"",43)</f>
        <v>43</v>
      </c>
      <c r="C46" s="6" t="n">
        <f aca="false">IF(Inputs!$B$7+43-1&gt;MAX(MORTALITY!$A:$A),"",Inputs!$B$7+43-1)</f>
        <v>58</v>
      </c>
      <c r="D46" s="12" t="n">
        <f aca="false">IF(C46="","",INDEX(Commutation!$K:$K,MATCH(C46,Commutation!$A:$A,0)))</f>
        <v>0.684339516263492</v>
      </c>
      <c r="E46" s="13" t="n">
        <f aca="false">IF(Inputs!$B$7+43-1&gt;MAX(MORTALITY!$A:$A),"",IFERROR(INDEX(Commutation!$F:$F,MATCH(C46,Commutation!$A:$A,0)),0))</f>
        <v>1659434.10163862</v>
      </c>
      <c r="F46" s="13" t="n">
        <f aca="false">IF(Inputs!$B$7+43-1&gt;MAX(MORTALITY!$A:$A),"",IFERROR(INDEX(Commutation!$H:$H,MATCH(C46+1,Commutation!$A:$A,0)),0))</f>
        <v>19817094.5196978</v>
      </c>
      <c r="G46" s="13" t="n">
        <f aca="false">IF(Inputs!$B$7+43-1&gt;MAX(MORTALITY!$A:$A),"",IFERROR(INDEX(Commutation!$I:$I,MATCH(C46,Commutation!$A:$A,0)),0))</f>
        <v>1135616.33038652</v>
      </c>
      <c r="H46" s="13" t="n">
        <f aca="false">IF(Inputs!$B$7+43-1&gt;MAX(MORTALITY!$A:$A),"",IFERROR(1000*INDEX(Commutation!$I:$I,MATCH(Inputs!$B$7,Commutation!$A:$A,0))/INDEX(Commutation!$H:$H,MATCH(Inputs!$B$7,Commutation!$A:$A,0)),0))</f>
        <v>11.0901711225671</v>
      </c>
      <c r="I46" s="13" t="n">
        <f aca="false">IF(Inputs!$B$7+43-1&gt;MAX(MORTALITY!$A:$A),"",IFERROR((1000*G46-H46*F46)/E46,0))</f>
        <v>551.89980735398</v>
      </c>
    </row>
    <row r="47" customFormat="false" ht="15" hidden="false" customHeight="false" outlineLevel="0" collapsed="false">
      <c r="A47" s="1" t="n">
        <f aca="false">IF(Inputs!$B$7+44-1&gt;MAX(MORTALITY!$A:$A),"",Inputs!$B$7)</f>
        <v>16</v>
      </c>
      <c r="B47" s="1" t="n">
        <f aca="false">IF(Inputs!$B$7+44-1&gt;MAX(MORTALITY!$A:$A),"",44)</f>
        <v>44</v>
      </c>
      <c r="C47" s="6" t="n">
        <f aca="false">IF(Inputs!$B$7+44-1&gt;MAX(MORTALITY!$A:$A),"",Inputs!$B$7+44-1)</f>
        <v>59</v>
      </c>
      <c r="D47" s="12" t="n">
        <f aca="false">IF(C47="","",INDEX(Commutation!$K:$K,MATCH(C47,Commutation!$A:$A,0)))</f>
        <v>0.694510333851855</v>
      </c>
      <c r="E47" s="13" t="n">
        <f aca="false">IF(Inputs!$B$7+44-1&gt;MAX(MORTALITY!$A:$A),"",IFERROR(INDEX(Commutation!$F:$F,MATCH(C47,Commutation!$A:$A,0)),0))</f>
        <v>1582193.51530772</v>
      </c>
      <c r="F47" s="13" t="n">
        <f aca="false">IF(Inputs!$B$7+44-1&gt;MAX(MORTALITY!$A:$A),"",IFERROR(INDEX(Commutation!$H:$H,MATCH(C47+1,Commutation!$A:$A,0)),0))</f>
        <v>18234901.0043901</v>
      </c>
      <c r="G47" s="13" t="n">
        <f aca="false">IF(Inputs!$B$7+44-1&gt;MAX(MORTALITY!$A:$A),"",IFERROR(INDEX(Commutation!$I:$I,MATCH(C47,Commutation!$A:$A,0)),0))</f>
        <v>1098849.7465346</v>
      </c>
      <c r="H47" s="13" t="n">
        <f aca="false">IF(Inputs!$B$7+44-1&gt;MAX(MORTALITY!$A:$A),"",IFERROR(1000*INDEX(Commutation!$I:$I,MATCH(Inputs!$B$7,Commutation!$A:$A,0))/INDEX(Commutation!$H:$H,MATCH(Inputs!$B$7,Commutation!$A:$A,0)),0))</f>
        <v>11.0901711225671</v>
      </c>
      <c r="I47" s="13" t="n">
        <f aca="false">IF(Inputs!$B$7+44-1&gt;MAX(MORTALITY!$A:$A),"",IFERROR((1000*G47-H47*F47)/E47,0))</f>
        <v>566.695265350309</v>
      </c>
    </row>
    <row r="48" customFormat="false" ht="15" hidden="false" customHeight="false" outlineLevel="0" collapsed="false">
      <c r="A48" s="1" t="n">
        <f aca="false">IF(Inputs!$B$7+45-1&gt;MAX(MORTALITY!$A:$A),"",Inputs!$B$7)</f>
        <v>16</v>
      </c>
      <c r="B48" s="1" t="n">
        <f aca="false">IF(Inputs!$B$7+45-1&gt;MAX(MORTALITY!$A:$A),"",45)</f>
        <v>45</v>
      </c>
      <c r="C48" s="6" t="n">
        <f aca="false">IF(Inputs!$B$7+45-1&gt;MAX(MORTALITY!$A:$A),"",Inputs!$B$7+45-1)</f>
        <v>60</v>
      </c>
      <c r="D48" s="12" t="n">
        <f aca="false">IF(C48="","",INDEX(Commutation!$K:$K,MATCH(C48,Commutation!$A:$A,0)))</f>
        <v>0.704615494908041</v>
      </c>
      <c r="E48" s="13" t="n">
        <f aca="false">IF(Inputs!$B$7+45-1&gt;MAX(MORTALITY!$A:$A),"",IFERROR(INDEX(Commutation!$F:$F,MATCH(C48,Commutation!$A:$A,0)),0))</f>
        <v>1505677.093304</v>
      </c>
      <c r="F48" s="13" t="n">
        <f aca="false">IF(Inputs!$B$7+45-1&gt;MAX(MORTALITY!$A:$A),"",IFERROR(INDEX(Commutation!$H:$H,MATCH(C48+1,Commutation!$A:$A,0)),0))</f>
        <v>16729223.9110861</v>
      </c>
      <c r="G48" s="13" t="n">
        <f aca="false">IF(Inputs!$B$7+45-1&gt;MAX(MORTALITY!$A:$A),"",IFERROR(INDEX(Commutation!$I:$I,MATCH(C48,Commutation!$A:$A,0)),0))</f>
        <v>1060923.4102701</v>
      </c>
      <c r="H48" s="13" t="n">
        <f aca="false">IF(Inputs!$B$7+45-1&gt;MAX(MORTALITY!$A:$A),"",IFERROR(1000*INDEX(Commutation!$I:$I,MATCH(Inputs!$B$7,Commutation!$A:$A,0))/INDEX(Commutation!$H:$H,MATCH(Inputs!$B$7,Commutation!$A:$A,0)),0))</f>
        <v>11.0901711225671</v>
      </c>
      <c r="I48" s="13" t="n">
        <f aca="false">IF(Inputs!$B$7+45-1&gt;MAX(MORTALITY!$A:$A),"",IFERROR((1000*G48-H48*F48)/E48,0))</f>
        <v>581.395212985198</v>
      </c>
    </row>
    <row r="49" customFormat="false" ht="15" hidden="false" customHeight="false" outlineLevel="0" collapsed="false">
      <c r="A49" s="1" t="n">
        <f aca="false">IF(Inputs!$B$7+46-1&gt;MAX(MORTALITY!$A:$A),"",Inputs!$B$7)</f>
        <v>16</v>
      </c>
      <c r="B49" s="1" t="n">
        <f aca="false">IF(Inputs!$B$7+46-1&gt;MAX(MORTALITY!$A:$A),"",46)</f>
        <v>46</v>
      </c>
      <c r="C49" s="6" t="n">
        <f aca="false">IF(Inputs!$B$7+46-1&gt;MAX(MORTALITY!$A:$A),"",Inputs!$B$7+46-1)</f>
        <v>61</v>
      </c>
      <c r="D49" s="12" t="n">
        <f aca="false">IF(C49="","",INDEX(Commutation!$K:$K,MATCH(C49,Commutation!$A:$A,0)))</f>
        <v>0.714643246197124</v>
      </c>
      <c r="E49" s="13" t="n">
        <f aca="false">IF(Inputs!$B$7+46-1&gt;MAX(MORTALITY!$A:$A),"",IFERROR(INDEX(Commutation!$F:$F,MATCH(C49,Commutation!$A:$A,0)),0))</f>
        <v>1429893.79452981</v>
      </c>
      <c r="F49" s="13" t="n">
        <f aca="false">IF(Inputs!$B$7+46-1&gt;MAX(MORTALITY!$A:$A),"",IFERROR(INDEX(Commutation!$H:$H,MATCH(C49+1,Commutation!$A:$A,0)),0))</f>
        <v>15299330.1165563</v>
      </c>
      <c r="G49" s="13" t="n">
        <f aca="false">IF(Inputs!$B$7+46-1&gt;MAX(MORTALITY!$A:$A),"",IFERROR(INDEX(Commutation!$I:$I,MATCH(C49,Commutation!$A:$A,0)),0))</f>
        <v>1021863.9430399</v>
      </c>
      <c r="H49" s="13" t="n">
        <f aca="false">IF(Inputs!$B$7+46-1&gt;MAX(MORTALITY!$A:$A),"",IFERROR(1000*INDEX(Commutation!$I:$I,MATCH(Inputs!$B$7,Commutation!$A:$A,0))/INDEX(Commutation!$H:$H,MATCH(Inputs!$B$7,Commutation!$A:$A,0)),0))</f>
        <v>11.0901711225671</v>
      </c>
      <c r="I49" s="13" t="n">
        <f aca="false">IF(Inputs!$B$7+46-1&gt;MAX(MORTALITY!$A:$A),"",IFERROR((1000*G49-H49*F49)/E49,0))</f>
        <v>595.98255286287</v>
      </c>
    </row>
    <row r="50" customFormat="false" ht="15" hidden="false" customHeight="false" outlineLevel="0" collapsed="false">
      <c r="A50" s="1" t="n">
        <f aca="false">IF(Inputs!$B$7+47-1&gt;MAX(MORTALITY!$A:$A),"",Inputs!$B$7)</f>
        <v>16</v>
      </c>
      <c r="B50" s="1" t="n">
        <f aca="false">IF(Inputs!$B$7+47-1&gt;MAX(MORTALITY!$A:$A),"",47)</f>
        <v>47</v>
      </c>
      <c r="C50" s="6" t="n">
        <f aca="false">IF(Inputs!$B$7+47-1&gt;MAX(MORTALITY!$A:$A),"",Inputs!$B$7+47-1)</f>
        <v>62</v>
      </c>
      <c r="D50" s="12" t="n">
        <f aca="false">IF(C50="","",INDEX(Commutation!$K:$K,MATCH(C50,Commutation!$A:$A,0)))</f>
        <v>0.724582820938667</v>
      </c>
      <c r="E50" s="13" t="n">
        <f aca="false">IF(Inputs!$B$7+47-1&gt;MAX(MORTALITY!$A:$A),"",IFERROR(INDEX(Commutation!$F:$F,MATCH(C50,Commutation!$A:$A,0)),0))</f>
        <v>1354869.70841292</v>
      </c>
      <c r="F50" s="13" t="n">
        <f aca="false">IF(Inputs!$B$7+47-1&gt;MAX(MORTALITY!$A:$A),"",IFERROR(INDEX(Commutation!$H:$H,MATCH(C50+1,Commutation!$A:$A,0)),0))</f>
        <v>13944460.4081433</v>
      </c>
      <c r="G50" s="13" t="n">
        <f aca="false">IF(Inputs!$B$7+47-1&gt;MAX(MORTALITY!$A:$A),"",IFERROR(INDEX(Commutation!$I:$I,MATCH(C50,Commutation!$A:$A,0)),0))</f>
        <v>981715.315326179</v>
      </c>
      <c r="H50" s="13" t="n">
        <f aca="false">IF(Inputs!$B$7+47-1&gt;MAX(MORTALITY!$A:$A),"",IFERROR(1000*INDEX(Commutation!$I:$I,MATCH(Inputs!$B$7,Commutation!$A:$A,0))/INDEX(Commutation!$H:$H,MATCH(Inputs!$B$7,Commutation!$A:$A,0)),0))</f>
        <v>11.0901711225671</v>
      </c>
      <c r="I50" s="13" t="n">
        <f aca="false">IF(Inputs!$B$7+47-1&gt;MAX(MORTALITY!$A:$A),"",IFERROR((1000*G50-H50*F50)/E50,0))</f>
        <v>610.441622579952</v>
      </c>
    </row>
    <row r="51" customFormat="false" ht="15" hidden="false" customHeight="false" outlineLevel="0" collapsed="false">
      <c r="A51" s="1" t="n">
        <f aca="false">IF(Inputs!$B$7+48-1&gt;MAX(MORTALITY!$A:$A),"",Inputs!$B$7)</f>
        <v>16</v>
      </c>
      <c r="B51" s="1" t="n">
        <f aca="false">IF(Inputs!$B$7+48-1&gt;MAX(MORTALITY!$A:$A),"",48)</f>
        <v>48</v>
      </c>
      <c r="C51" s="6" t="n">
        <f aca="false">IF(Inputs!$B$7+48-1&gt;MAX(MORTALITY!$A:$A),"",Inputs!$B$7+48-1)</f>
        <v>63</v>
      </c>
      <c r="D51" s="12" t="n">
        <f aca="false">IF(C51="","",INDEX(Commutation!$K:$K,MATCH(C51,Commutation!$A:$A,0)))</f>
        <v>0.734416497865582</v>
      </c>
      <c r="E51" s="13" t="n">
        <f aca="false">IF(Inputs!$B$7+48-1&gt;MAX(MORTALITY!$A:$A),"",IFERROR(INDEX(Commutation!$F:$F,MATCH(C51,Commutation!$A:$A,0)),0))</f>
        <v>1280609.63015083</v>
      </c>
      <c r="F51" s="13" t="n">
        <f aca="false">IF(Inputs!$B$7+48-1&gt;MAX(MORTALITY!$A:$A),"",IFERROR(INDEX(Commutation!$H:$H,MATCH(C51+1,Commutation!$A:$A,0)),0))</f>
        <v>12663850.7779925</v>
      </c>
      <c r="G51" s="13" t="n">
        <f aca="false">IF(Inputs!$B$7+48-1&gt;MAX(MORTALITY!$A:$A),"",IFERROR(INDEX(Commutation!$I:$I,MATCH(C51,Commutation!$A:$A,0)),0))</f>
        <v>940500.839708311</v>
      </c>
      <c r="H51" s="13" t="n">
        <f aca="false">IF(Inputs!$B$7+48-1&gt;MAX(MORTALITY!$A:$A),"",IFERROR(1000*INDEX(Commutation!$I:$I,MATCH(Inputs!$B$7,Commutation!$A:$A,0))/INDEX(Commutation!$H:$H,MATCH(Inputs!$B$7,Commutation!$A:$A,0)),0))</f>
        <v>11.0901711225671</v>
      </c>
      <c r="I51" s="13" t="n">
        <f aca="false">IF(Inputs!$B$7+48-1&gt;MAX(MORTALITY!$A:$A),"",IFERROR((1000*G51-H51*F51)/E51,0))</f>
        <v>624.746643062092</v>
      </c>
    </row>
    <row r="52" customFormat="false" ht="15" hidden="false" customHeight="false" outlineLevel="0" collapsed="false">
      <c r="A52" s="1" t="n">
        <f aca="false">IF(Inputs!$B$7+49-1&gt;MAX(MORTALITY!$A:$A),"",Inputs!$B$7)</f>
        <v>16</v>
      </c>
      <c r="B52" s="1" t="n">
        <f aca="false">IF(Inputs!$B$7+49-1&gt;MAX(MORTALITY!$A:$A),"",49)</f>
        <v>49</v>
      </c>
      <c r="C52" s="6" t="n">
        <f aca="false">IF(Inputs!$B$7+49-1&gt;MAX(MORTALITY!$A:$A),"",Inputs!$B$7+49-1)</f>
        <v>64</v>
      </c>
      <c r="D52" s="12" t="n">
        <f aca="false">IF(C52="","",INDEX(Commutation!$K:$K,MATCH(C52,Commutation!$A:$A,0)))</f>
        <v>0.744139044452953</v>
      </c>
      <c r="E52" s="13" t="n">
        <f aca="false">IF(Inputs!$B$7+49-1&gt;MAX(MORTALITY!$A:$A),"",IFERROR(INDEX(Commutation!$F:$F,MATCH(C52,Commutation!$A:$A,0)),0))</f>
        <v>1207196.34052384</v>
      </c>
      <c r="F52" s="13" t="n">
        <f aca="false">IF(Inputs!$B$7+49-1&gt;MAX(MORTALITY!$A:$A),"",IFERROR(INDEX(Commutation!$H:$H,MATCH(C52+1,Commutation!$A:$A,0)),0))</f>
        <v>11456654.4374687</v>
      </c>
      <c r="G52" s="13" t="n">
        <f aca="false">IF(Inputs!$B$7+49-1&gt;MAX(MORTALITY!$A:$A),"",IFERROR(INDEX(Commutation!$I:$I,MATCH(C52,Commutation!$A:$A,0)),0))</f>
        <v>898321.931304514</v>
      </c>
      <c r="H52" s="13" t="n">
        <f aca="false">IF(Inputs!$B$7+49-1&gt;MAX(MORTALITY!$A:$A),"",IFERROR(1000*INDEX(Commutation!$I:$I,MATCH(Inputs!$B$7,Commutation!$A:$A,0))/INDEX(Commutation!$H:$H,MATCH(Inputs!$B$7,Commutation!$A:$A,0)),0))</f>
        <v>11.0901711225671</v>
      </c>
      <c r="I52" s="13" t="n">
        <f aca="false">IF(Inputs!$B$7+49-1&gt;MAX(MORTALITY!$A:$A),"",IFERROR((1000*G52-H52*F52)/E52,0))</f>
        <v>638.890002570908</v>
      </c>
    </row>
    <row r="53" customFormat="false" ht="15" hidden="false" customHeight="false" outlineLevel="0" collapsed="false">
      <c r="A53" s="1" t="n">
        <f aca="false">IF(Inputs!$B$7+50-1&gt;MAX(MORTALITY!$A:$A),"",Inputs!$B$7)</f>
        <v>16</v>
      </c>
      <c r="B53" s="1" t="n">
        <f aca="false">IF(Inputs!$B$7+50-1&gt;MAX(MORTALITY!$A:$A),"",50)</f>
        <v>50</v>
      </c>
      <c r="C53" s="6" t="n">
        <f aca="false">IF(Inputs!$B$7+50-1&gt;MAX(MORTALITY!$A:$A),"",Inputs!$B$7+50-1)</f>
        <v>65</v>
      </c>
      <c r="D53" s="12" t="n">
        <f aca="false">IF(C53="","",INDEX(Commutation!$K:$K,MATCH(C53,Commutation!$A:$A,0)))</f>
        <v>0.75373411447165</v>
      </c>
      <c r="E53" s="13" t="n">
        <f aca="false">IF(Inputs!$B$7+50-1&gt;MAX(MORTALITY!$A:$A),"",IFERROR(INDEX(Commutation!$F:$F,MATCH(C53,Commutation!$A:$A,0)),0))</f>
        <v>1134670.33989022</v>
      </c>
      <c r="F53" s="13" t="n">
        <f aca="false">IF(Inputs!$B$7+50-1&gt;MAX(MORTALITY!$A:$A),"",IFERROR(INDEX(Commutation!$H:$H,MATCH(C53+1,Commutation!$A:$A,0)),0))</f>
        <v>10321984.0975784</v>
      </c>
      <c r="G53" s="13" t="n">
        <f aca="false">IF(Inputs!$B$7+50-1&gt;MAX(MORTALITY!$A:$A),"",IFERROR(INDEX(Commutation!$I:$I,MATCH(C53,Commutation!$A:$A,0)),0))</f>
        <v>855239.743854405</v>
      </c>
      <c r="H53" s="13" t="n">
        <f aca="false">IF(Inputs!$B$7+50-1&gt;MAX(MORTALITY!$A:$A),"",IFERROR(1000*INDEX(Commutation!$I:$I,MATCH(Inputs!$B$7,Commutation!$A:$A,0))/INDEX(Commutation!$H:$H,MATCH(Inputs!$B$7,Commutation!$A:$A,0)),0))</f>
        <v>11.0901711225671</v>
      </c>
      <c r="I53" s="13" t="n">
        <f aca="false">IF(Inputs!$B$7+50-1&gt;MAX(MORTALITY!$A:$A),"",IFERROR((1000*G53-H53*F53)/E53,0))</f>
        <v>652.84792229566</v>
      </c>
    </row>
    <row r="54" customFormat="false" ht="15" hidden="false" customHeight="false" outlineLevel="0" collapsed="false">
      <c r="A54" s="1" t="n">
        <f aca="false">IF(Inputs!$B$7+51-1&gt;MAX(MORTALITY!$A:$A),"",Inputs!$B$7)</f>
        <v>16</v>
      </c>
      <c r="B54" s="1" t="n">
        <f aca="false">IF(Inputs!$B$7+51-1&gt;MAX(MORTALITY!$A:$A),"",51)</f>
        <v>51</v>
      </c>
      <c r="C54" s="6" t="n">
        <f aca="false">IF(Inputs!$B$7+51-1&gt;MAX(MORTALITY!$A:$A),"",Inputs!$B$7+51-1)</f>
        <v>66</v>
      </c>
      <c r="D54" s="12" t="n">
        <f aca="false">IF(C54="","",INDEX(Commutation!$K:$K,MATCH(C54,Commutation!$A:$A,0)))</f>
        <v>0.763190332097798</v>
      </c>
      <c r="E54" s="13" t="n">
        <f aca="false">IF(Inputs!$B$7+51-1&gt;MAX(MORTALITY!$A:$A),"",IFERROR(INDEX(Commutation!$F:$F,MATCH(C54,Commutation!$A:$A,0)),0))</f>
        <v>1063114.15377266</v>
      </c>
      <c r="F54" s="13" t="n">
        <f aca="false">IF(Inputs!$B$7+51-1&gt;MAX(MORTALITY!$A:$A),"",IFERROR(INDEX(Commutation!$H:$H,MATCH(C54+1,Commutation!$A:$A,0)),0))</f>
        <v>9258869.94380578</v>
      </c>
      <c r="G54" s="13" t="n">
        <f aca="false">IF(Inputs!$B$7+51-1&gt;MAX(MORTALITY!$A:$A),"",IFERROR(INDEX(Commutation!$I:$I,MATCH(C54,Commutation!$A:$A,0)),0))</f>
        <v>811358.444075626</v>
      </c>
      <c r="H54" s="13" t="n">
        <f aca="false">IF(Inputs!$B$7+51-1&gt;MAX(MORTALITY!$A:$A),"",IFERROR(1000*INDEX(Commutation!$I:$I,MATCH(Inputs!$B$7,Commutation!$A:$A,0))/INDEX(Commutation!$H:$H,MATCH(Inputs!$B$7,Commutation!$A:$A,0)),0))</f>
        <v>11.0901711225671</v>
      </c>
      <c r="I54" s="13" t="n">
        <f aca="false">IF(Inputs!$B$7+51-1&gt;MAX(MORTALITY!$A:$A),"",IFERROR((1000*G54-H54*F54)/E54,0))</f>
        <v>666.603853859302</v>
      </c>
    </row>
    <row r="55" customFormat="false" ht="15" hidden="false" customHeight="false" outlineLevel="0" collapsed="false">
      <c r="A55" s="1" t="n">
        <f aca="false">IF(Inputs!$B$7+52-1&gt;MAX(MORTALITY!$A:$A),"",Inputs!$B$7)</f>
        <v>16</v>
      </c>
      <c r="B55" s="1" t="n">
        <f aca="false">IF(Inputs!$B$7+52-1&gt;MAX(MORTALITY!$A:$A),"",52)</f>
        <v>52</v>
      </c>
      <c r="C55" s="6" t="n">
        <f aca="false">IF(Inputs!$B$7+52-1&gt;MAX(MORTALITY!$A:$A),"",Inputs!$B$7+52-1)</f>
        <v>67</v>
      </c>
      <c r="D55" s="12" t="n">
        <f aca="false">IF(C55="","",INDEX(Commutation!$K:$K,MATCH(C55,Commutation!$A:$A,0)))</f>
        <v>0.772496541837585</v>
      </c>
      <c r="E55" s="13" t="n">
        <f aca="false">IF(Inputs!$B$7+52-1&gt;MAX(MORTALITY!$A:$A),"",IFERROR(INDEX(Commutation!$F:$F,MATCH(C55,Commutation!$A:$A,0)),0))</f>
        <v>992627.092416182</v>
      </c>
      <c r="F55" s="13" t="n">
        <f aca="false">IF(Inputs!$B$7+52-1&gt;MAX(MORTALITY!$A:$A),"",IFERROR(INDEX(Commutation!$H:$H,MATCH(C55+1,Commutation!$A:$A,0)),0))</f>
        <v>8266242.8513896</v>
      </c>
      <c r="G55" s="13" t="n">
        <f aca="false">IF(Inputs!$B$7+52-1&gt;MAX(MORTALITY!$A:$A),"",IFERROR(INDEX(Commutation!$I:$I,MATCH(C55,Commutation!$A:$A,0)),0))</f>
        <v>766800.996225798</v>
      </c>
      <c r="H55" s="13" t="n">
        <f aca="false">IF(Inputs!$B$7+52-1&gt;MAX(MORTALITY!$A:$A),"",IFERROR(1000*INDEX(Commutation!$I:$I,MATCH(Inputs!$B$7,Commutation!$A:$A,0))/INDEX(Commutation!$H:$H,MATCH(Inputs!$B$7,Commutation!$A:$A,0)),0))</f>
        <v>11.0901711225671</v>
      </c>
      <c r="I55" s="13" t="n">
        <f aca="false">IF(Inputs!$B$7+52-1&gt;MAX(MORTALITY!$A:$A),"",IFERROR((1000*G55-H55*F55)/E55,0))</f>
        <v>680.141569398276</v>
      </c>
    </row>
    <row r="56" customFormat="false" ht="15" hidden="false" customHeight="false" outlineLevel="0" collapsed="false">
      <c r="A56" s="1" t="n">
        <f aca="false">IF(Inputs!$B$7+53-1&gt;MAX(MORTALITY!$A:$A),"",Inputs!$B$7)</f>
        <v>16</v>
      </c>
      <c r="B56" s="1" t="n">
        <f aca="false">IF(Inputs!$B$7+53-1&gt;MAX(MORTALITY!$A:$A),"",53)</f>
        <v>53</v>
      </c>
      <c r="C56" s="6" t="n">
        <f aca="false">IF(Inputs!$B$7+53-1&gt;MAX(MORTALITY!$A:$A),"",Inputs!$B$7+53-1)</f>
        <v>68</v>
      </c>
      <c r="D56" s="12" t="n">
        <f aca="false">IF(C56="","",INDEX(Commutation!$K:$K,MATCH(C56,Commutation!$A:$A,0)))</f>
        <v>0.781642217007389</v>
      </c>
      <c r="E56" s="13" t="n">
        <f aca="false">IF(Inputs!$B$7+53-1&gt;MAX(MORTALITY!$A:$A),"",IFERROR(INDEX(Commutation!$F:$F,MATCH(C56,Commutation!$A:$A,0)),0))</f>
        <v>923327.1951154</v>
      </c>
      <c r="F56" s="13" t="n">
        <f aca="false">IF(Inputs!$B$7+53-1&gt;MAX(MORTALITY!$A:$A),"",IFERROR(INDEX(Commutation!$H:$H,MATCH(C56+1,Commutation!$A:$A,0)),0))</f>
        <v>7342915.6562742</v>
      </c>
      <c r="G56" s="13" t="n">
        <f aca="false">IF(Inputs!$B$7+53-1&gt;MAX(MORTALITY!$A:$A),"",IFERROR(INDEX(Commutation!$I:$I,MATCH(C56,Commutation!$A:$A,0)),0))</f>
        <v>721711.515813215</v>
      </c>
      <c r="H56" s="13" t="n">
        <f aca="false">IF(Inputs!$B$7+53-1&gt;MAX(MORTALITY!$A:$A),"",IFERROR(1000*INDEX(Commutation!$I:$I,MATCH(Inputs!$B$7,Commutation!$A:$A,0))/INDEX(Commutation!$H:$H,MATCH(Inputs!$B$7,Commutation!$A:$A,0)),0))</f>
        <v>11.0901711225671</v>
      </c>
      <c r="I56" s="13" t="n">
        <f aca="false">IF(Inputs!$B$7+53-1&gt;MAX(MORTALITY!$A:$A),"",IFERROR((1000*G56-H56*F56)/E56,0))</f>
        <v>693.445755777326</v>
      </c>
    </row>
    <row r="57" customFormat="false" ht="15" hidden="false" customHeight="false" outlineLevel="0" collapsed="false">
      <c r="A57" s="1" t="n">
        <f aca="false">IF(Inputs!$B$7+54-1&gt;MAX(MORTALITY!$A:$A),"",Inputs!$B$7)</f>
        <v>16</v>
      </c>
      <c r="B57" s="1" t="n">
        <f aca="false">IF(Inputs!$B$7+54-1&gt;MAX(MORTALITY!$A:$A),"",54)</f>
        <v>54</v>
      </c>
      <c r="C57" s="6" t="n">
        <f aca="false">IF(Inputs!$B$7+54-1&gt;MAX(MORTALITY!$A:$A),"",Inputs!$B$7+54-1)</f>
        <v>69</v>
      </c>
      <c r="D57" s="12" t="n">
        <f aca="false">IF(C57="","",INDEX(Commutation!$K:$K,MATCH(C57,Commutation!$A:$A,0)))</f>
        <v>0.790617849098062</v>
      </c>
      <c r="E57" s="13" t="n">
        <f aca="false">IF(Inputs!$B$7+54-1&gt;MAX(MORTALITY!$A:$A),"",IFERROR(INDEX(Commutation!$F:$F,MATCH(C57,Commutation!$A:$A,0)),0))</f>
        <v>855352.297414514</v>
      </c>
      <c r="F57" s="13" t="n">
        <f aca="false">IF(Inputs!$B$7+54-1&gt;MAX(MORTALITY!$A:$A),"",IFERROR(INDEX(Commutation!$H:$H,MATCH(C57+1,Commutation!$A:$A,0)),0))</f>
        <v>6487563.35885969</v>
      </c>
      <c r="G57" s="13" t="n">
        <f aca="false">IF(Inputs!$B$7+54-1&gt;MAX(MORTALITY!$A:$A),"",IFERROR(INDEX(Commutation!$I:$I,MATCH(C57,Commutation!$A:$A,0)),0))</f>
        <v>676256.793602948</v>
      </c>
      <c r="H57" s="13" t="n">
        <f aca="false">IF(Inputs!$B$7+54-1&gt;MAX(MORTALITY!$A:$A),"",IFERROR(1000*INDEX(Commutation!$I:$I,MATCH(Inputs!$B$7,Commutation!$A:$A,0))/INDEX(Commutation!$H:$H,MATCH(Inputs!$B$7,Commutation!$A:$A,0)),0))</f>
        <v>11.0901711225671</v>
      </c>
      <c r="I57" s="13" t="n">
        <f aca="false">IF(Inputs!$B$7+54-1&gt;MAX(MORTALITY!$A:$A),"",IFERROR((1000*G57-H57*F57)/E57,0))</f>
        <v>706.502580996568</v>
      </c>
    </row>
    <row r="58" customFormat="false" ht="15" hidden="false" customHeight="false" outlineLevel="0" collapsed="false">
      <c r="A58" s="1" t="n">
        <f aca="false">IF(Inputs!$B$7+55-1&gt;MAX(MORTALITY!$A:$A),"",Inputs!$B$7)</f>
        <v>16</v>
      </c>
      <c r="B58" s="1" t="n">
        <f aca="false">IF(Inputs!$B$7+55-1&gt;MAX(MORTALITY!$A:$A),"",55)</f>
        <v>55</v>
      </c>
      <c r="C58" s="6" t="n">
        <f aca="false">IF(Inputs!$B$7+55-1&gt;MAX(MORTALITY!$A:$A),"",Inputs!$B$7+55-1)</f>
        <v>70</v>
      </c>
      <c r="D58" s="12" t="n">
        <f aca="false">IF(C58="","",INDEX(Commutation!$K:$K,MATCH(C58,Commutation!$A:$A,0)))</f>
        <v>0.799411081482612</v>
      </c>
      <c r="E58" s="13" t="n">
        <f aca="false">IF(Inputs!$B$7+55-1&gt;MAX(MORTALITY!$A:$A),"",IFERROR(INDEX(Commutation!$F:$F,MATCH(C58,Commutation!$A:$A,0)),0))</f>
        <v>788843.440727746</v>
      </c>
      <c r="F58" s="13" t="n">
        <f aca="false">IF(Inputs!$B$7+55-1&gt;MAX(MORTALITY!$A:$A),"",IFERROR(INDEX(Commutation!$H:$H,MATCH(C58+1,Commutation!$A:$A,0)),0))</f>
        <v>5698719.91813194</v>
      </c>
      <c r="G58" s="13" t="n">
        <f aca="false">IF(Inputs!$B$7+55-1&gt;MAX(MORTALITY!$A:$A),"",IFERROR(INDEX(Commutation!$I:$I,MATCH(C58,Commutation!$A:$A,0)),0))</f>
        <v>630610.188072632</v>
      </c>
      <c r="H58" s="13" t="n">
        <f aca="false">IF(Inputs!$B$7+55-1&gt;MAX(MORTALITY!$A:$A),"",IFERROR(1000*INDEX(Commutation!$I:$I,MATCH(Inputs!$B$7,Commutation!$A:$A,0))/INDEX(Commutation!$H:$H,MATCH(Inputs!$B$7,Commutation!$A:$A,0)),0))</f>
        <v>11.0901711225671</v>
      </c>
      <c r="I58" s="13" t="n">
        <f aca="false">IF(Inputs!$B$7+55-1&gt;MAX(MORTALITY!$A:$A),"",IFERROR((1000*G58-H58*F58)/E58,0))</f>
        <v>719.29406990759</v>
      </c>
    </row>
    <row r="59" customFormat="false" ht="15" hidden="false" customHeight="false" outlineLevel="0" collapsed="false">
      <c r="A59" s="1" t="n">
        <f aca="false">IF(Inputs!$B$7+56-1&gt;MAX(MORTALITY!$A:$A),"",Inputs!$B$7)</f>
        <v>16</v>
      </c>
      <c r="B59" s="1" t="n">
        <f aca="false">IF(Inputs!$B$7+56-1&gt;MAX(MORTALITY!$A:$A),"",56)</f>
        <v>56</v>
      </c>
      <c r="C59" s="6" t="n">
        <f aca="false">IF(Inputs!$B$7+56-1&gt;MAX(MORTALITY!$A:$A),"",Inputs!$B$7+56-1)</f>
        <v>71</v>
      </c>
      <c r="D59" s="12" t="n">
        <f aca="false">IF(C59="","",INDEX(Commutation!$K:$K,MATCH(C59,Commutation!$A:$A,0)))</f>
        <v>0.808011436716995</v>
      </c>
      <c r="E59" s="13" t="n">
        <f aca="false">IF(Inputs!$B$7+56-1&gt;MAX(MORTALITY!$A:$A),"",IFERROR(INDEX(Commutation!$F:$F,MATCH(C59,Commutation!$A:$A,0)),0))</f>
        <v>723965.877748869</v>
      </c>
      <c r="F59" s="13" t="n">
        <f aca="false">IF(Inputs!$B$7+56-1&gt;MAX(MORTALITY!$A:$A),"",IFERROR(INDEX(Commutation!$H:$H,MATCH(C59+1,Commutation!$A:$A,0)),0))</f>
        <v>4974754.04038307</v>
      </c>
      <c r="G59" s="13" t="n">
        <f aca="false">IF(Inputs!$B$7+56-1&gt;MAX(MORTALITY!$A:$A),"",IFERROR(INDEX(Commutation!$I:$I,MATCH(C59,Commutation!$A:$A,0)),0))</f>
        <v>584972.709013944</v>
      </c>
      <c r="H59" s="13" t="n">
        <f aca="false">IF(Inputs!$B$7+56-1&gt;MAX(MORTALITY!$A:$A),"",IFERROR(1000*INDEX(Commutation!$I:$I,MATCH(Inputs!$B$7,Commutation!$A:$A,0))/INDEX(Commutation!$H:$H,MATCH(Inputs!$B$7,Commutation!$A:$A,0)),0))</f>
        <v>11.0901711225671</v>
      </c>
      <c r="I59" s="13" t="n">
        <f aca="false">IF(Inputs!$B$7+56-1&gt;MAX(MORTALITY!$A:$A),"",IFERROR((1000*G59-H59*F59)/E59,0))</f>
        <v>731.804981003804</v>
      </c>
    </row>
    <row r="60" customFormat="false" ht="15" hidden="false" customHeight="false" outlineLevel="0" collapsed="false">
      <c r="A60" s="1" t="n">
        <f aca="false">IF(Inputs!$B$7+57-1&gt;MAX(MORTALITY!$A:$A),"",Inputs!$B$7)</f>
        <v>16</v>
      </c>
      <c r="B60" s="1" t="n">
        <f aca="false">IF(Inputs!$B$7+57-1&gt;MAX(MORTALITY!$A:$A),"",57)</f>
        <v>57</v>
      </c>
      <c r="C60" s="6" t="n">
        <f aca="false">IF(Inputs!$B$7+57-1&gt;MAX(MORTALITY!$A:$A),"",Inputs!$B$7+57-1)</f>
        <v>72</v>
      </c>
      <c r="D60" s="12" t="n">
        <f aca="false">IF(C60="","",INDEX(Commutation!$K:$K,MATCH(C60,Commutation!$A:$A,0)))</f>
        <v>0.816412557719556</v>
      </c>
      <c r="E60" s="13" t="n">
        <f aca="false">IF(Inputs!$B$7+57-1&gt;MAX(MORTALITY!$A:$A),"",IFERROR(INDEX(Commutation!$F:$F,MATCH(C60,Commutation!$A:$A,0)),0))</f>
        <v>660913.747108243</v>
      </c>
      <c r="F60" s="13" t="n">
        <f aca="false">IF(Inputs!$B$7+57-1&gt;MAX(MORTALITY!$A:$A),"",IFERROR(INDEX(Commutation!$H:$H,MATCH(C60+1,Commutation!$A:$A,0)),0))</f>
        <v>4313840.29327483</v>
      </c>
      <c r="G60" s="13" t="n">
        <f aca="false">IF(Inputs!$B$7+57-1&gt;MAX(MORTALITY!$A:$A),"",IFERROR(INDEX(Commutation!$I:$I,MATCH(C60,Commutation!$A:$A,0)),0))</f>
        <v>539578.282708657</v>
      </c>
      <c r="H60" s="13" t="n">
        <f aca="false">IF(Inputs!$B$7+57-1&gt;MAX(MORTALITY!$A:$A),"",IFERROR(1000*INDEX(Commutation!$I:$I,MATCH(Inputs!$B$7,Commutation!$A:$A,0))/INDEX(Commutation!$H:$H,MATCH(Inputs!$B$7,Commutation!$A:$A,0)),0))</f>
        <v>11.0901711225671</v>
      </c>
      <c r="I60" s="13" t="n">
        <f aca="false">IF(Inputs!$B$7+57-1&gt;MAX(MORTALITY!$A:$A),"",IFERROR((1000*G60-H60*F60)/E60,0))</f>
        <v>744.026066657497</v>
      </c>
    </row>
    <row r="61" customFormat="false" ht="15" hidden="false" customHeight="false" outlineLevel="0" collapsed="false">
      <c r="A61" s="1" t="n">
        <f aca="false">IF(Inputs!$B$7+58-1&gt;MAX(MORTALITY!$A:$A),"",Inputs!$B$7)</f>
        <v>16</v>
      </c>
      <c r="B61" s="1" t="n">
        <f aca="false">IF(Inputs!$B$7+58-1&gt;MAX(MORTALITY!$A:$A),"",58)</f>
        <v>58</v>
      </c>
      <c r="C61" s="6" t="n">
        <f aca="false">IF(Inputs!$B$7+58-1&gt;MAX(MORTALITY!$A:$A),"",Inputs!$B$7+58-1)</f>
        <v>73</v>
      </c>
      <c r="D61" s="12" t="n">
        <f aca="false">IF(C61="","",INDEX(Commutation!$K:$K,MATCH(C61,Commutation!$A:$A,0)))</f>
        <v>0.824604845177618</v>
      </c>
      <c r="E61" s="13" t="n">
        <f aca="false">IF(Inputs!$B$7+58-1&gt;MAX(MORTALITY!$A:$A),"",IFERROR(INDEX(Commutation!$F:$F,MATCH(C61,Commutation!$A:$A,0)),0))</f>
        <v>599877.556570423</v>
      </c>
      <c r="F61" s="13" t="n">
        <f aca="false">IF(Inputs!$B$7+58-1&gt;MAX(MORTALITY!$A:$A),"",IFERROR(INDEX(Commutation!$H:$H,MATCH(C61+1,Commutation!$A:$A,0)),0))</f>
        <v>3713962.73670441</v>
      </c>
      <c r="G61" s="13" t="n">
        <f aca="false">IF(Inputs!$B$7+58-1&gt;MAX(MORTALITY!$A:$A),"",IFERROR(INDEX(Commutation!$I:$I,MATCH(C61,Commutation!$A:$A,0)),0))</f>
        <v>494661.939661281</v>
      </c>
      <c r="H61" s="13" t="n">
        <f aca="false">IF(Inputs!$B$7+58-1&gt;MAX(MORTALITY!$A:$A),"",IFERROR(1000*INDEX(Commutation!$I:$I,MATCH(Inputs!$B$7,Commutation!$A:$A,0))/INDEX(Commutation!$H:$H,MATCH(Inputs!$B$7,Commutation!$A:$A,0)),0))</f>
        <v>11.0901711225671</v>
      </c>
      <c r="I61" s="13" t="n">
        <f aca="false">IF(Inputs!$B$7+58-1&gt;MAX(MORTALITY!$A:$A),"",IFERROR((1000*G61-H61*F61)/E61,0))</f>
        <v>755.94336277716</v>
      </c>
    </row>
    <row r="62" customFormat="false" ht="15" hidden="false" customHeight="false" outlineLevel="0" collapsed="false">
      <c r="A62" s="1" t="n">
        <f aca="false">IF(Inputs!$B$7+59-1&gt;MAX(MORTALITY!$A:$A),"",Inputs!$B$7)</f>
        <v>16</v>
      </c>
      <c r="B62" s="1" t="n">
        <f aca="false">IF(Inputs!$B$7+59-1&gt;MAX(MORTALITY!$A:$A),"",59)</f>
        <v>59</v>
      </c>
      <c r="C62" s="6" t="n">
        <f aca="false">IF(Inputs!$B$7+59-1&gt;MAX(MORTALITY!$A:$A),"",Inputs!$B$7+59-1)</f>
        <v>74</v>
      </c>
      <c r="D62" s="12" t="n">
        <f aca="false">IF(C62="","",INDEX(Commutation!$K:$K,MATCH(C62,Commutation!$A:$A,0)))</f>
        <v>0.832579736405687</v>
      </c>
      <c r="E62" s="13" t="n">
        <f aca="false">IF(Inputs!$B$7+59-1&gt;MAX(MORTALITY!$A:$A),"",IFERROR(INDEX(Commutation!$F:$F,MATCH(C62,Commutation!$A:$A,0)),0))</f>
        <v>541060.293706688</v>
      </c>
      <c r="F62" s="13" t="n">
        <f aca="false">IF(Inputs!$B$7+59-1&gt;MAX(MORTALITY!$A:$A),"",IFERROR(INDEX(Commutation!$H:$H,MATCH(C62+1,Commutation!$A:$A,0)),0))</f>
        <v>3172902.44299772</v>
      </c>
      <c r="G62" s="13" t="n">
        <f aca="false">IF(Inputs!$B$7+59-1&gt;MAX(MORTALITY!$A:$A),"",IFERROR(INDEX(Commutation!$I:$I,MATCH(C62,Commutation!$A:$A,0)),0))</f>
        <v>450475.836713898</v>
      </c>
      <c r="H62" s="13" t="n">
        <f aca="false">IF(Inputs!$B$7+59-1&gt;MAX(MORTALITY!$A:$A),"",IFERROR(1000*INDEX(Commutation!$I:$I,MATCH(Inputs!$B$7,Commutation!$A:$A,0))/INDEX(Commutation!$H:$H,MATCH(Inputs!$B$7,Commutation!$A:$A,0)),0))</f>
        <v>11.0901711225671</v>
      </c>
      <c r="I62" s="13" t="n">
        <f aca="false">IF(Inputs!$B$7+59-1&gt;MAX(MORTALITY!$A:$A),"",IFERROR((1000*G62-H62*F62)/E62,0))</f>
        <v>767.544413249759</v>
      </c>
    </row>
    <row r="63" customFormat="false" ht="15" hidden="false" customHeight="false" outlineLevel="0" collapsed="false">
      <c r="A63" s="1" t="n">
        <f aca="false">IF(Inputs!$B$7+60-1&gt;MAX(MORTALITY!$A:$A),"",Inputs!$B$7)</f>
        <v>16</v>
      </c>
      <c r="B63" s="1" t="n">
        <f aca="false">IF(Inputs!$B$7+60-1&gt;MAX(MORTALITY!$A:$A),"",60)</f>
        <v>60</v>
      </c>
      <c r="C63" s="6" t="n">
        <f aca="false">IF(Inputs!$B$7+60-1&gt;MAX(MORTALITY!$A:$A),"",Inputs!$B$7+60-1)</f>
        <v>75</v>
      </c>
      <c r="D63" s="12" t="n">
        <f aca="false">IF(C63="","",INDEX(Commutation!$K:$K,MATCH(C63,Commutation!$A:$A,0)))</f>
        <v>0.840331772090558</v>
      </c>
      <c r="E63" s="13" t="n">
        <f aca="false">IF(Inputs!$B$7+60-1&gt;MAX(MORTALITY!$A:$A),"",IFERROR(INDEX(Commutation!$F:$F,MATCH(C63,Commutation!$A:$A,0)),0))</f>
        <v>484679.171783946</v>
      </c>
      <c r="F63" s="13" t="n">
        <f aca="false">IF(Inputs!$B$7+60-1&gt;MAX(MORTALITY!$A:$A),"",IFERROR(INDEX(Commutation!$H:$H,MATCH(C63+1,Commutation!$A:$A,0)),0))</f>
        <v>2688223.27121377</v>
      </c>
      <c r="G63" s="13" t="n">
        <f aca="false">IF(Inputs!$B$7+60-1&gt;MAX(MORTALITY!$A:$A),"",IFERROR(INDEX(Commutation!$I:$I,MATCH(C63,Commutation!$A:$A,0)),0))</f>
        <v>407291.307320587</v>
      </c>
      <c r="H63" s="13" t="n">
        <f aca="false">IF(Inputs!$B$7+60-1&gt;MAX(MORTALITY!$A:$A),"",IFERROR(1000*INDEX(Commutation!$I:$I,MATCH(Inputs!$B$7,Commutation!$A:$A,0))/INDEX(Commutation!$H:$H,MATCH(Inputs!$B$7,Commutation!$A:$A,0)),0))</f>
        <v>11.0901711225671</v>
      </c>
      <c r="I63" s="13" t="n">
        <f aca="false">IF(Inputs!$B$7+60-1&gt;MAX(MORTALITY!$A:$A),"",IFERROR((1000*G63-H63*F63)/E63,0))</f>
        <v>778.821276428662</v>
      </c>
    </row>
    <row r="64" customFormat="false" ht="15" hidden="false" customHeight="false" outlineLevel="0" collapsed="false">
      <c r="A64" s="1" t="n">
        <f aca="false">IF(Inputs!$B$7+61-1&gt;MAX(MORTALITY!$A:$A),"",Inputs!$B$7)</f>
        <v>16</v>
      </c>
      <c r="B64" s="1" t="n">
        <f aca="false">IF(Inputs!$B$7+61-1&gt;MAX(MORTALITY!$A:$A),"",61)</f>
        <v>61</v>
      </c>
      <c r="C64" s="6" t="n">
        <f aca="false">IF(Inputs!$B$7+61-1&gt;MAX(MORTALITY!$A:$A),"",Inputs!$B$7+61-1)</f>
        <v>76</v>
      </c>
      <c r="D64" s="12" t="n">
        <f aca="false">IF(C64="","",INDEX(Commutation!$K:$K,MATCH(C64,Commutation!$A:$A,0)))</f>
        <v>0.847853829872742</v>
      </c>
      <c r="E64" s="13" t="n">
        <f aca="false">IF(Inputs!$B$7+61-1&gt;MAX(MORTALITY!$A:$A),"",IFERROR(INDEX(Commutation!$F:$F,MATCH(C64,Commutation!$A:$A,0)),0))</f>
        <v>430943.619509285</v>
      </c>
      <c r="F64" s="13" t="n">
        <f aca="false">IF(Inputs!$B$7+61-1&gt;MAX(MORTALITY!$A:$A),"",IFERROR(INDEX(Commutation!$H:$H,MATCH(C64+1,Commutation!$A:$A,0)),0))</f>
        <v>2257279.65170449</v>
      </c>
      <c r="G64" s="13" t="n">
        <f aca="false">IF(Inputs!$B$7+61-1&gt;MAX(MORTALITY!$A:$A),"",IFERROR(INDEX(Commutation!$I:$I,MATCH(C64,Commutation!$A:$A,0)),0))</f>
        <v>365377.198260169</v>
      </c>
      <c r="H64" s="13" t="n">
        <f aca="false">IF(Inputs!$B$7+61-1&gt;MAX(MORTALITY!$A:$A),"",IFERROR(1000*INDEX(Commutation!$I:$I,MATCH(Inputs!$B$7,Commutation!$A:$A,0))/INDEX(Commutation!$H:$H,MATCH(Inputs!$B$7,Commutation!$A:$A,0)),0))</f>
        <v>11.0901711225671</v>
      </c>
      <c r="I64" s="13" t="n">
        <f aca="false">IF(Inputs!$B$7+61-1&gt;MAX(MORTALITY!$A:$A),"",IFERROR((1000*G64-H64*F64)/E64,0))</f>
        <v>789.763591438774</v>
      </c>
    </row>
    <row r="65" customFormat="false" ht="15" hidden="false" customHeight="false" outlineLevel="0" collapsed="false">
      <c r="A65" s="1" t="n">
        <f aca="false">IF(Inputs!$B$7+62-1&gt;MAX(MORTALITY!$A:$A),"",Inputs!$B$7)</f>
        <v>16</v>
      </c>
      <c r="B65" s="1" t="n">
        <f aca="false">IF(Inputs!$B$7+62-1&gt;MAX(MORTALITY!$A:$A),"",62)</f>
        <v>62</v>
      </c>
      <c r="C65" s="6" t="n">
        <f aca="false">IF(Inputs!$B$7+62-1&gt;MAX(MORTALITY!$A:$A),"",Inputs!$B$7+62-1)</f>
        <v>77</v>
      </c>
      <c r="D65" s="12" t="n">
        <f aca="false">IF(C65="","",INDEX(Commutation!$K:$K,MATCH(C65,Commutation!$A:$A,0)))</f>
        <v>0.855140794729485</v>
      </c>
      <c r="E65" s="13" t="n">
        <f aca="false">IF(Inputs!$B$7+62-1&gt;MAX(MORTALITY!$A:$A),"",IFERROR(INDEX(Commutation!$F:$F,MATCH(C65,Commutation!$A:$A,0)),0))</f>
        <v>380062.842111223</v>
      </c>
      <c r="F65" s="13" t="n">
        <f aca="false">IF(Inputs!$B$7+62-1&gt;MAX(MORTALITY!$A:$A),"",IFERROR(INDEX(Commutation!$H:$H,MATCH(C65+1,Commutation!$A:$A,0)),0))</f>
        <v>1877216.80959326</v>
      </c>
      <c r="G65" s="13" t="n">
        <f aca="false">IF(Inputs!$B$7+62-1&gt;MAX(MORTALITY!$A:$A),"",IFERROR(INDEX(Commutation!$I:$I,MATCH(C65,Commutation!$A:$A,0)),0))</f>
        <v>325007.240850138</v>
      </c>
      <c r="H65" s="13" t="n">
        <f aca="false">IF(Inputs!$B$7+62-1&gt;MAX(MORTALITY!$A:$A),"",IFERROR(1000*INDEX(Commutation!$I:$I,MATCH(Inputs!$B$7,Commutation!$A:$A,0))/INDEX(Commutation!$H:$H,MATCH(Inputs!$B$7,Commutation!$A:$A,0)),0))</f>
        <v>11.0901711225671</v>
      </c>
      <c r="I65" s="13" t="n">
        <f aca="false">IF(Inputs!$B$7+62-1&gt;MAX(MORTALITY!$A:$A),"",IFERROR((1000*G65-H65*F65)/E65,0))</f>
        <v>800.36391747176</v>
      </c>
    </row>
    <row r="66" customFormat="false" ht="15" hidden="false" customHeight="false" outlineLevel="0" collapsed="false">
      <c r="A66" s="1" t="n">
        <f aca="false">IF(Inputs!$B$7+63-1&gt;MAX(MORTALITY!$A:$A),"",Inputs!$B$7)</f>
        <v>16</v>
      </c>
      <c r="B66" s="1" t="n">
        <f aca="false">IF(Inputs!$B$7+63-1&gt;MAX(MORTALITY!$A:$A),"",63)</f>
        <v>63</v>
      </c>
      <c r="C66" s="6" t="n">
        <f aca="false">IF(Inputs!$B$7+63-1&gt;MAX(MORTALITY!$A:$A),"",Inputs!$B$7+63-1)</f>
        <v>78</v>
      </c>
      <c r="D66" s="12" t="n">
        <f aca="false">IF(C66="","",INDEX(Commutation!$K:$K,MATCH(C66,Commutation!$A:$A,0)))</f>
        <v>0.86218827311941</v>
      </c>
      <c r="E66" s="13" t="n">
        <f aca="false">IF(Inputs!$B$7+63-1&gt;MAX(MORTALITY!$A:$A),"",IFERROR(INDEX(Commutation!$F:$F,MATCH(C66,Commutation!$A:$A,0)),0))</f>
        <v>332234.25088788</v>
      </c>
      <c r="F66" s="13" t="n">
        <f aca="false">IF(Inputs!$B$7+63-1&gt;MAX(MORTALITY!$A:$A),"",IFERROR(INDEX(Commutation!$H:$H,MATCH(C66+1,Commutation!$A:$A,0)),0))</f>
        <v>1544982.55870538</v>
      </c>
      <c r="G66" s="13" t="n">
        <f aca="false">IF(Inputs!$B$7+63-1&gt;MAX(MORTALITY!$A:$A),"",IFERROR(INDEX(Commutation!$I:$I,MATCH(C66,Commutation!$A:$A,0)),0))</f>
        <v>286448.475044142</v>
      </c>
      <c r="H66" s="13" t="n">
        <f aca="false">IF(Inputs!$B$7+63-1&gt;MAX(MORTALITY!$A:$A),"",IFERROR(1000*INDEX(Commutation!$I:$I,MATCH(Inputs!$B$7,Commutation!$A:$A,0))/INDEX(Commutation!$H:$H,MATCH(Inputs!$B$7,Commutation!$A:$A,0)),0))</f>
        <v>11.0901711225671</v>
      </c>
      <c r="I66" s="13" t="n">
        <f aca="false">IF(Inputs!$B$7+63-1&gt;MAX(MORTALITY!$A:$A),"",IFERROR((1000*G66-H66*F66)/E66,0))</f>
        <v>810.615863256085</v>
      </c>
    </row>
    <row r="67" customFormat="false" ht="15" hidden="false" customHeight="false" outlineLevel="0" collapsed="false">
      <c r="A67" s="1" t="n">
        <f aca="false">IF(Inputs!$B$7+64-1&gt;MAX(MORTALITY!$A:$A),"",Inputs!$B$7)</f>
        <v>16</v>
      </c>
      <c r="B67" s="1" t="n">
        <f aca="false">IF(Inputs!$B$7+64-1&gt;MAX(MORTALITY!$A:$A),"",64)</f>
        <v>64</v>
      </c>
      <c r="C67" s="6" t="n">
        <f aca="false">IF(Inputs!$B$7+64-1&gt;MAX(MORTALITY!$A:$A),"",Inputs!$B$7+64-1)</f>
        <v>79</v>
      </c>
      <c r="D67" s="12" t="n">
        <f aca="false">IF(C67="","",INDEX(Commutation!$K:$K,MATCH(C67,Commutation!$A:$A,0)))</f>
        <v>0.868992889360493</v>
      </c>
      <c r="E67" s="13" t="n">
        <f aca="false">IF(Inputs!$B$7+64-1&gt;MAX(MORTALITY!$A:$A),"",IFERROR(INDEX(Commutation!$F:$F,MATCH(C67,Commutation!$A:$A,0)),0))</f>
        <v>287637.06983455</v>
      </c>
      <c r="F67" s="13" t="n">
        <f aca="false">IF(Inputs!$B$7+64-1&gt;MAX(MORTALITY!$A:$A),"",IFERROR(INDEX(Commutation!$H:$H,MATCH(C67+1,Commutation!$A:$A,0)),0))</f>
        <v>1257345.48887083</v>
      </c>
      <c r="G67" s="13" t="n">
        <f aca="false">IF(Inputs!$B$7+64-1&gt;MAX(MORTALITY!$A:$A),"",IFERROR(INDEX(Commutation!$I:$I,MATCH(C67,Commutation!$A:$A,0)),0))</f>
        <v>249954.568402711</v>
      </c>
      <c r="H67" s="13" t="n">
        <f aca="false">IF(Inputs!$B$7+64-1&gt;MAX(MORTALITY!$A:$A),"",IFERROR(1000*INDEX(Commutation!$I:$I,MATCH(Inputs!$B$7,Commutation!$A:$A,0))/INDEX(Commutation!$H:$H,MATCH(Inputs!$B$7,Commutation!$A:$A,0)),0))</f>
        <v>11.0901711225671</v>
      </c>
      <c r="I67" s="13" t="n">
        <f aca="false">IF(Inputs!$B$7+64-1&gt;MAX(MORTALITY!$A:$A),"",IFERROR((1000*G67-H67*F67)/E67,0))</f>
        <v>820.514518197186</v>
      </c>
    </row>
    <row r="68" customFormat="false" ht="15" hidden="false" customHeight="false" outlineLevel="0" collapsed="false">
      <c r="A68" s="1" t="n">
        <f aca="false">IF(Inputs!$B$7+65-1&gt;MAX(MORTALITY!$A:$A),"",Inputs!$B$7)</f>
        <v>16</v>
      </c>
      <c r="B68" s="1" t="n">
        <f aca="false">IF(Inputs!$B$7+65-1&gt;MAX(MORTALITY!$A:$A),"",65)</f>
        <v>65</v>
      </c>
      <c r="C68" s="6" t="n">
        <f aca="false">IF(Inputs!$B$7+65-1&gt;MAX(MORTALITY!$A:$A),"",Inputs!$B$7+65-1)</f>
        <v>80</v>
      </c>
      <c r="D68" s="12" t="n">
        <f aca="false">IF(C68="","",INDEX(Commutation!$K:$K,MATCH(C68,Commutation!$A:$A,0)))</f>
        <v>0.875552544690488</v>
      </c>
      <c r="E68" s="13" t="n">
        <f aca="false">IF(Inputs!$B$7+65-1&gt;MAX(MORTALITY!$A:$A),"",IFERROR(INDEX(Commutation!$F:$F,MATCH(C68,Commutation!$A:$A,0)),0))</f>
        <v>246424.991711718</v>
      </c>
      <c r="F68" s="13" t="n">
        <f aca="false">IF(Inputs!$B$7+65-1&gt;MAX(MORTALITY!$A:$A),"",IFERROR(INDEX(Commutation!$H:$H,MATCH(C68+1,Commutation!$A:$A,0)),0))</f>
        <v>1010920.49715912</v>
      </c>
      <c r="G68" s="13" t="n">
        <f aca="false">IF(Inputs!$B$7+65-1&gt;MAX(MORTALITY!$A:$A),"",IFERROR(INDEX(Commutation!$I:$I,MATCH(C68,Commutation!$A:$A,0)),0))</f>
        <v>215758.028568527</v>
      </c>
      <c r="H68" s="13" t="n">
        <f aca="false">IF(Inputs!$B$7+65-1&gt;MAX(MORTALITY!$A:$A),"",IFERROR(1000*INDEX(Commutation!$I:$I,MATCH(Inputs!$B$7,Commutation!$A:$A,0))/INDEX(Commutation!$H:$H,MATCH(Inputs!$B$7,Commutation!$A:$A,0)),0))</f>
        <v>11.0901711225671</v>
      </c>
      <c r="I68" s="13" t="n">
        <f aca="false">IF(Inputs!$B$7+65-1&gt;MAX(MORTALITY!$A:$A),"",IFERROR((1000*G68-H68*F68)/E68,0))</f>
        <v>830.056829231884</v>
      </c>
    </row>
    <row r="69" customFormat="false" ht="15" hidden="false" customHeight="false" outlineLevel="0" collapsed="false">
      <c r="A69" s="1" t="n">
        <f aca="false">IF(Inputs!$B$7+66-1&gt;MAX(MORTALITY!$A:$A),"",Inputs!$B$7)</f>
        <v>16</v>
      </c>
      <c r="B69" s="1" t="n">
        <f aca="false">IF(Inputs!$B$7+66-1&gt;MAX(MORTALITY!$A:$A),"",66)</f>
        <v>66</v>
      </c>
      <c r="C69" s="6" t="n">
        <f aca="false">IF(Inputs!$B$7+66-1&gt;MAX(MORTALITY!$A:$A),"",Inputs!$B$7+66-1)</f>
        <v>81</v>
      </c>
      <c r="D69" s="12" t="n">
        <f aca="false">IF(C69="","",INDEX(Commutation!$K:$K,MATCH(C69,Commutation!$A:$A,0)))</f>
        <v>0.881865297826124</v>
      </c>
      <c r="E69" s="13" t="n">
        <f aca="false">IF(Inputs!$B$7+66-1&gt;MAX(MORTALITY!$A:$A),"",IFERROR(INDEX(Commutation!$F:$F,MATCH(C69,Commutation!$A:$A,0)),0))</f>
        <v>208715.957614174</v>
      </c>
      <c r="F69" s="13" t="n">
        <f aca="false">IF(Inputs!$B$7+66-1&gt;MAX(MORTALITY!$A:$A),"",IFERROR(INDEX(Commutation!$H:$H,MATCH(C69+1,Commutation!$A:$A,0)),0))</f>
        <v>802204.539544942</v>
      </c>
      <c r="G69" s="13" t="n">
        <f aca="false">IF(Inputs!$B$7+66-1&gt;MAX(MORTALITY!$A:$A),"",IFERROR(INDEX(Commutation!$I:$I,MATCH(C69,Commutation!$A:$A,0)),0))</f>
        <v>184059.360122488</v>
      </c>
      <c r="H69" s="13" t="n">
        <f aca="false">IF(Inputs!$B$7+66-1&gt;MAX(MORTALITY!$A:$A),"",IFERROR(1000*INDEX(Commutation!$I:$I,MATCH(Inputs!$B$7,Commutation!$A:$A,0))/INDEX(Commutation!$H:$H,MATCH(Inputs!$B$7,Commutation!$A:$A,0)),0))</f>
        <v>11.0901711225671</v>
      </c>
      <c r="I69" s="13" t="n">
        <f aca="false">IF(Inputs!$B$7+66-1&gt;MAX(MORTALITY!$A:$A),"",IFERROR((1000*G69-H69*F69)/E69,0))</f>
        <v>839.239972381198</v>
      </c>
    </row>
    <row r="70" customFormat="false" ht="15" hidden="false" customHeight="false" outlineLevel="0" collapsed="false">
      <c r="A70" s="1" t="n">
        <f aca="false">IF(Inputs!$B$7+67-1&gt;MAX(MORTALITY!$A:$A),"",Inputs!$B$7)</f>
        <v>16</v>
      </c>
      <c r="B70" s="1" t="n">
        <f aca="false">IF(Inputs!$B$7+67-1&gt;MAX(MORTALITY!$A:$A),"",67)</f>
        <v>67</v>
      </c>
      <c r="C70" s="6" t="n">
        <f aca="false">IF(Inputs!$B$7+67-1&gt;MAX(MORTALITY!$A:$A),"",Inputs!$B$7+67-1)</f>
        <v>82</v>
      </c>
      <c r="D70" s="12" t="n">
        <f aca="false">IF(C70="","",INDEX(Commutation!$K:$K,MATCH(C70,Commutation!$A:$A,0)))</f>
        <v>0.887930872721924</v>
      </c>
      <c r="E70" s="13" t="n">
        <f aca="false">IF(Inputs!$B$7+67-1&gt;MAX(MORTALITY!$A:$A),"",IFERROR(INDEX(Commutation!$F:$F,MATCH(C70,Commutation!$A:$A,0)),0))</f>
        <v>174588.3532277</v>
      </c>
      <c r="F70" s="13" t="n">
        <f aca="false">IF(Inputs!$B$7+67-1&gt;MAX(MORTALITY!$A:$A),"",IFERROR(INDEX(Commutation!$H:$H,MATCH(C70+1,Commutation!$A:$A,0)),0))</f>
        <v>627616.186317242</v>
      </c>
      <c r="G70" s="13" t="n">
        <f aca="false">IF(Inputs!$B$7+67-1&gt;MAX(MORTALITY!$A:$A),"",IFERROR(INDEX(Commutation!$I:$I,MATCH(C70,Commutation!$A:$A,0)),0))</f>
        <v>155022.388848555</v>
      </c>
      <c r="H70" s="13" t="n">
        <f aca="false">IF(Inputs!$B$7+67-1&gt;MAX(MORTALITY!$A:$A),"",IFERROR(1000*INDEX(Commutation!$I:$I,MATCH(Inputs!$B$7,Commutation!$A:$A,0))/INDEX(Commutation!$H:$H,MATCH(Inputs!$B$7,Commutation!$A:$A,0)),0))</f>
        <v>11.0901711225671</v>
      </c>
      <c r="I70" s="13" t="n">
        <f aca="false">IF(Inputs!$B$7+67-1&gt;MAX(MORTALITY!$A:$A),"",IFERROR((1000*G70-H70*F70)/E70,0))</f>
        <v>848.063546082595</v>
      </c>
    </row>
    <row r="71" customFormat="false" ht="15" hidden="false" customHeight="false" outlineLevel="0" collapsed="false">
      <c r="A71" s="1" t="n">
        <f aca="false">IF(Inputs!$B$7+68-1&gt;MAX(MORTALITY!$A:$A),"",Inputs!$B$7)</f>
        <v>16</v>
      </c>
      <c r="B71" s="1" t="n">
        <f aca="false">IF(Inputs!$B$7+68-1&gt;MAX(MORTALITY!$A:$A),"",68)</f>
        <v>68</v>
      </c>
      <c r="C71" s="6" t="n">
        <f aca="false">IF(Inputs!$B$7+68-1&gt;MAX(MORTALITY!$A:$A),"",Inputs!$B$7+68-1)</f>
        <v>83</v>
      </c>
      <c r="D71" s="12" t="n">
        <f aca="false">IF(C71="","",INDEX(Commutation!$K:$K,MATCH(C71,Commutation!$A:$A,0)))</f>
        <v>0.893749579755003</v>
      </c>
      <c r="E71" s="13" t="n">
        <f aca="false">IF(Inputs!$B$7+68-1&gt;MAX(MORTALITY!$A:$A),"",IFERROR(INDEX(Commutation!$F:$F,MATCH(C71,Commutation!$A:$A,0)),0))</f>
        <v>144072.012384505</v>
      </c>
      <c r="F71" s="13" t="n">
        <f aca="false">IF(Inputs!$B$7+68-1&gt;MAX(MORTALITY!$A:$A),"",IFERROR(INDEX(Commutation!$H:$H,MATCH(C71+1,Commutation!$A:$A,0)),0))</f>
        <v>483544.173932737</v>
      </c>
      <c r="G71" s="13" t="n">
        <f aca="false">IF(Inputs!$B$7+68-1&gt;MAX(MORTALITY!$A:$A),"",IFERROR(INDEX(Commutation!$I:$I,MATCH(C71,Commutation!$A:$A,0)),0))</f>
        <v>128764.300523109</v>
      </c>
      <c r="H71" s="13" t="n">
        <f aca="false">IF(Inputs!$B$7+68-1&gt;MAX(MORTALITY!$A:$A),"",IFERROR(1000*INDEX(Commutation!$I:$I,MATCH(Inputs!$B$7,Commutation!$A:$A,0))/INDEX(Commutation!$H:$H,MATCH(Inputs!$B$7,Commutation!$A:$A,0)),0))</f>
        <v>11.0901711225671</v>
      </c>
      <c r="I71" s="13" t="n">
        <f aca="false">IF(Inputs!$B$7+68-1&gt;MAX(MORTALITY!$A:$A),"",IFERROR((1000*G71-H71*F71)/E71,0))</f>
        <v>856.528001840741</v>
      </c>
    </row>
    <row r="72" customFormat="false" ht="15" hidden="false" customHeight="false" outlineLevel="0" collapsed="false">
      <c r="A72" s="1" t="n">
        <f aca="false">IF(Inputs!$B$7+69-1&gt;MAX(MORTALITY!$A:$A),"",Inputs!$B$7)</f>
        <v>16</v>
      </c>
      <c r="B72" s="1" t="n">
        <f aca="false">IF(Inputs!$B$7+69-1&gt;MAX(MORTALITY!$A:$A),"",69)</f>
        <v>69</v>
      </c>
      <c r="C72" s="6" t="n">
        <f aca="false">IF(Inputs!$B$7+69-1&gt;MAX(MORTALITY!$A:$A),"",Inputs!$B$7+69-1)</f>
        <v>84</v>
      </c>
      <c r="D72" s="12" t="n">
        <f aca="false">IF(C72="","",INDEX(Commutation!$K:$K,MATCH(C72,Commutation!$A:$A,0)))</f>
        <v>0.899323661553913</v>
      </c>
      <c r="E72" s="13" t="n">
        <f aca="false">IF(Inputs!$B$7+69-1&gt;MAX(MORTALITY!$A:$A),"",IFERROR(INDEX(Commutation!$F:$F,MATCH(C72,Commutation!$A:$A,0)),0))</f>
        <v>117145.304664994</v>
      </c>
      <c r="F72" s="13" t="n">
        <f aca="false">IF(Inputs!$B$7+69-1&gt;MAX(MORTALITY!$A:$A),"",IFERROR(INDEX(Commutation!$H:$H,MATCH(C72+1,Commutation!$A:$A,0)),0))</f>
        <v>366398.869267743</v>
      </c>
      <c r="G72" s="13" t="n">
        <f aca="false">IF(Inputs!$B$7+69-1&gt;MAX(MORTALITY!$A:$A),"",IFERROR(INDEX(Commutation!$I:$I,MATCH(C72,Commutation!$A:$A,0)),0))</f>
        <v>105351.544325171</v>
      </c>
      <c r="H72" s="13" t="n">
        <f aca="false">IF(Inputs!$B$7+69-1&gt;MAX(MORTALITY!$A:$A),"",IFERROR(1000*INDEX(Commutation!$I:$I,MATCH(Inputs!$B$7,Commutation!$A:$A,0))/INDEX(Commutation!$H:$H,MATCH(Inputs!$B$7,Commutation!$A:$A,0)),0))</f>
        <v>11.0901711225671</v>
      </c>
      <c r="I72" s="13" t="n">
        <f aca="false">IF(Inputs!$B$7+69-1&gt;MAX(MORTALITY!$A:$A),"",IFERROR((1000*G72-H72*F72)/E72,0))</f>
        <v>864.636602000696</v>
      </c>
    </row>
    <row r="73" customFormat="false" ht="15" hidden="false" customHeight="false" outlineLevel="0" collapsed="false">
      <c r="A73" s="1" t="n">
        <f aca="false">IF(Inputs!$B$7+70-1&gt;MAX(MORTALITY!$A:$A),"",Inputs!$B$7)</f>
        <v>16</v>
      </c>
      <c r="B73" s="1" t="n">
        <f aca="false">IF(Inputs!$B$7+70-1&gt;MAX(MORTALITY!$A:$A),"",70)</f>
        <v>70</v>
      </c>
      <c r="C73" s="6" t="n">
        <f aca="false">IF(Inputs!$B$7+70-1&gt;MAX(MORTALITY!$A:$A),"",Inputs!$B$7+70-1)</f>
        <v>85</v>
      </c>
      <c r="D73" s="12" t="n">
        <f aca="false">IF(C73="","",INDEX(Commutation!$K:$K,MATCH(C73,Commutation!$A:$A,0)))</f>
        <v>0.90465633455197</v>
      </c>
      <c r="E73" s="13" t="n">
        <f aca="false">IF(Inputs!$B$7+70-1&gt;MAX(MORTALITY!$A:$A),"",IFERROR(INDEX(Commutation!$F:$F,MATCH(C73,Commutation!$A:$A,0)),0))</f>
        <v>93729.9583042483</v>
      </c>
      <c r="F73" s="13" t="n">
        <f aca="false">IF(Inputs!$B$7+70-1&gt;MAX(MORTALITY!$A:$A),"",IFERROR(INDEX(Commutation!$H:$H,MATCH(C73+1,Commutation!$A:$A,0)),0))</f>
        <v>272668.910963495</v>
      </c>
      <c r="G73" s="13" t="n">
        <f aca="false">IF(Inputs!$B$7+70-1&gt;MAX(MORTALITY!$A:$A),"",IFERROR(INDEX(Commutation!$I:$I,MATCH(C73,Commutation!$A:$A,0)),0))</f>
        <v>84793.4005172302</v>
      </c>
      <c r="H73" s="13" t="n">
        <f aca="false">IF(Inputs!$B$7+70-1&gt;MAX(MORTALITY!$A:$A),"",IFERROR(1000*INDEX(Commutation!$I:$I,MATCH(Inputs!$B$7,Commutation!$A:$A,0))/INDEX(Commutation!$H:$H,MATCH(Inputs!$B$7,Commutation!$A:$A,0)),0))</f>
        <v>11.0901711225671</v>
      </c>
      <c r="I73" s="13" t="n">
        <f aca="false">IF(Inputs!$B$7+70-1&gt;MAX(MORTALITY!$A:$A),"",IFERROR((1000*G73-H73*F73)/E73,0))</f>
        <v>872.394025498407</v>
      </c>
    </row>
    <row r="74" customFormat="false" ht="15" hidden="false" customHeight="false" outlineLevel="0" collapsed="false">
      <c r="A74" s="1" t="n">
        <f aca="false">IF(Inputs!$B$7+71-1&gt;MAX(MORTALITY!$A:$A),"",Inputs!$B$7)</f>
        <v>16</v>
      </c>
      <c r="B74" s="1" t="n">
        <f aca="false">IF(Inputs!$B$7+71-1&gt;MAX(MORTALITY!$A:$A),"",71)</f>
        <v>71</v>
      </c>
      <c r="C74" s="6" t="n">
        <f aca="false">IF(Inputs!$B$7+71-1&gt;MAX(MORTALITY!$A:$A),"",Inputs!$B$7+71-1)</f>
        <v>86</v>
      </c>
      <c r="D74" s="12" t="n">
        <f aca="false">IF(C74="","",INDEX(Commutation!$K:$K,MATCH(C74,Commutation!$A:$A,0)))</f>
        <v>0.909753115162208</v>
      </c>
      <c r="E74" s="13" t="n">
        <f aca="false">IF(Inputs!$B$7+71-1&gt;MAX(MORTALITY!$A:$A),"",IFERROR(INDEX(Commutation!$F:$F,MATCH(C74,Commutation!$A:$A,0)),0))</f>
        <v>73691.8648767264</v>
      </c>
      <c r="F74" s="13" t="n">
        <f aca="false">IF(Inputs!$B$7+71-1&gt;MAX(MORTALITY!$A:$A),"",IFERROR(INDEX(Commutation!$H:$H,MATCH(C74+1,Commutation!$A:$A,0)),0))</f>
        <v>198977.046086768</v>
      </c>
      <c r="G74" s="13" t="n">
        <f aca="false">IF(Inputs!$B$7+71-1&gt;MAX(MORTALITY!$A:$A),"",IFERROR(INDEX(Commutation!$I:$I,MATCH(C74,Commutation!$A:$A,0)),0))</f>
        <v>67041.4036337144</v>
      </c>
      <c r="H74" s="13" t="n">
        <f aca="false">IF(Inputs!$B$7+71-1&gt;MAX(MORTALITY!$A:$A),"",IFERROR(1000*INDEX(Commutation!$I:$I,MATCH(Inputs!$B$7,Commutation!$A:$A,0))/INDEX(Commutation!$H:$H,MATCH(Inputs!$B$7,Commutation!$A:$A,0)),0))</f>
        <v>11.0901711225671</v>
      </c>
      <c r="I74" s="13" t="n">
        <f aca="false">IF(Inputs!$B$7+71-1&gt;MAX(MORTALITY!$A:$A),"",IFERROR((1000*G74-H74*F74)/E74,0))</f>
        <v>879.808297043457</v>
      </c>
    </row>
    <row r="75" customFormat="false" ht="15" hidden="false" customHeight="false" outlineLevel="0" collapsed="false">
      <c r="A75" s="1" t="n">
        <f aca="false">IF(Inputs!$B$7+72-1&gt;MAX(MORTALITY!$A:$A),"",Inputs!$B$7)</f>
        <v>16</v>
      </c>
      <c r="B75" s="1" t="n">
        <f aca="false">IF(Inputs!$B$7+72-1&gt;MAX(MORTALITY!$A:$A),"",72)</f>
        <v>72</v>
      </c>
      <c r="C75" s="6" t="n">
        <f aca="false">IF(Inputs!$B$7+72-1&gt;MAX(MORTALITY!$A:$A),"",Inputs!$B$7+72-1)</f>
        <v>87</v>
      </c>
      <c r="D75" s="12" t="n">
        <f aca="false">IF(C75="","",INDEX(Commutation!$K:$K,MATCH(C75,Commutation!$A:$A,0)))</f>
        <v>0.91462117936489</v>
      </c>
      <c r="E75" s="13" t="n">
        <f aca="false">IF(Inputs!$B$7+72-1&gt;MAX(MORTALITY!$A:$A),"",IFERROR(INDEX(Commutation!$F:$F,MATCH(C75,Commutation!$A:$A,0)),0))</f>
        <v>56841.9503682792</v>
      </c>
      <c r="F75" s="13" t="n">
        <f aca="false">IF(Inputs!$B$7+72-1&gt;MAX(MORTALITY!$A:$A),"",IFERROR(INDEX(Commutation!$H:$H,MATCH(C75+1,Commutation!$A:$A,0)),0))</f>
        <v>142135.095718489</v>
      </c>
      <c r="G75" s="13" t="n">
        <f aca="false">IF(Inputs!$B$7+72-1&gt;MAX(MORTALITY!$A:$A),"",IFERROR(INDEX(Commutation!$I:$I,MATCH(C75,Commutation!$A:$A,0)),0))</f>
        <v>51988.8516832361</v>
      </c>
      <c r="H75" s="13" t="n">
        <f aca="false">IF(Inputs!$B$7+72-1&gt;MAX(MORTALITY!$A:$A),"",IFERROR(1000*INDEX(Commutation!$I:$I,MATCH(Inputs!$B$7,Commutation!$A:$A,0))/INDEX(Commutation!$H:$H,MATCH(Inputs!$B$7,Commutation!$A:$A,0)),0))</f>
        <v>11.0901711225671</v>
      </c>
      <c r="I75" s="13" t="n">
        <f aca="false">IF(Inputs!$B$7+72-1&gt;MAX(MORTALITY!$A:$A),"",IFERROR((1000*G75-H75*F75)/E75,0))</f>
        <v>886.889855512918</v>
      </c>
    </row>
    <row r="76" customFormat="false" ht="15" hidden="false" customHeight="false" outlineLevel="0" collapsed="false">
      <c r="A76" s="1" t="n">
        <f aca="false">IF(Inputs!$B$7+73-1&gt;MAX(MORTALITY!$A:$A),"",Inputs!$B$7)</f>
        <v>16</v>
      </c>
      <c r="B76" s="1" t="n">
        <f aca="false">IF(Inputs!$B$7+73-1&gt;MAX(MORTALITY!$A:$A),"",73)</f>
        <v>73</v>
      </c>
      <c r="C76" s="6" t="n">
        <f aca="false">IF(Inputs!$B$7+73-1&gt;MAX(MORTALITY!$A:$A),"",Inputs!$B$7+73-1)</f>
        <v>88</v>
      </c>
      <c r="D76" s="12" t="n">
        <f aca="false">IF(C76="","",INDEX(Commutation!$K:$K,MATCH(C76,Commutation!$A:$A,0)))</f>
        <v>0.91927206483853</v>
      </c>
      <c r="E76" s="13" t="n">
        <f aca="false">IF(Inputs!$B$7+73-1&gt;MAX(MORTALITY!$A:$A),"",IFERROR(INDEX(Commutation!$F:$F,MATCH(C76,Commutation!$A:$A,0)),0))</f>
        <v>42943.1230309116</v>
      </c>
      <c r="F76" s="13" t="n">
        <f aca="false">IF(Inputs!$B$7+73-1&gt;MAX(MORTALITY!$A:$A),"",IFERROR(INDEX(Commutation!$H:$H,MATCH(C76+1,Commutation!$A:$A,0)),0))</f>
        <v>99191.9726875776</v>
      </c>
      <c r="G76" s="13" t="n">
        <f aca="false">IF(Inputs!$B$7+73-1&gt;MAX(MORTALITY!$A:$A),"",IFERROR(INDEX(Commutation!$I:$I,MATCH(C76,Commutation!$A:$A,0)),0))</f>
        <v>39476.4133792411</v>
      </c>
      <c r="H76" s="13" t="n">
        <f aca="false">IF(Inputs!$B$7+73-1&gt;MAX(MORTALITY!$A:$A),"",IFERROR(1000*INDEX(Commutation!$I:$I,MATCH(Inputs!$B$7,Commutation!$A:$A,0))/INDEX(Commutation!$H:$H,MATCH(Inputs!$B$7,Commutation!$A:$A,0)),0))</f>
        <v>11.0901711225671</v>
      </c>
      <c r="I76" s="13" t="n">
        <f aca="false">IF(Inputs!$B$7+73-1&gt;MAX(MORTALITY!$A:$A),"",IFERROR((1000*G76-H76*F76)/E76,0))</f>
        <v>893.655484733297</v>
      </c>
    </row>
    <row r="77" customFormat="false" ht="15" hidden="false" customHeight="false" outlineLevel="0" collapsed="false">
      <c r="A77" s="1" t="n">
        <f aca="false">IF(Inputs!$B$7+74-1&gt;MAX(MORTALITY!$A:$A),"",Inputs!$B$7)</f>
        <v>16</v>
      </c>
      <c r="B77" s="1" t="n">
        <f aca="false">IF(Inputs!$B$7+74-1&gt;MAX(MORTALITY!$A:$A),"",74)</f>
        <v>74</v>
      </c>
      <c r="C77" s="6" t="n">
        <f aca="false">IF(Inputs!$B$7+74-1&gt;MAX(MORTALITY!$A:$A),"",Inputs!$B$7+74-1)</f>
        <v>89</v>
      </c>
      <c r="D77" s="12" t="n">
        <f aca="false">IF(C77="","",INDEX(Commutation!$K:$K,MATCH(C77,Commutation!$A:$A,0)))</f>
        <v>0.923717128744377</v>
      </c>
      <c r="E77" s="13" t="n">
        <f aca="false">IF(Inputs!$B$7+74-1&gt;MAX(MORTALITY!$A:$A),"",IFERROR(INDEX(Commutation!$F:$F,MATCH(C77,Commutation!$A:$A,0)),0))</f>
        <v>31715.0674481952</v>
      </c>
      <c r="F77" s="13" t="n">
        <f aca="false">IF(Inputs!$B$7+74-1&gt;MAX(MORTALITY!$A:$A),"",IFERROR(INDEX(Commutation!$H:$H,MATCH(C77+1,Commutation!$A:$A,0)),0))</f>
        <v>67476.9052393824</v>
      </c>
      <c r="G77" s="13" t="n">
        <f aca="false">IF(Inputs!$B$7+74-1&gt;MAX(MORTALITY!$A:$A),"",IFERROR(INDEX(Commutation!$I:$I,MATCH(C77,Commutation!$A:$A,0)),0))</f>
        <v>29295.7510411811</v>
      </c>
      <c r="H77" s="13" t="n">
        <f aca="false">IF(Inputs!$B$7+74-1&gt;MAX(MORTALITY!$A:$A),"",IFERROR(1000*INDEX(Commutation!$I:$I,MATCH(Inputs!$B$7,Commutation!$A:$A,0))/INDEX(Commutation!$H:$H,MATCH(Inputs!$B$7,Commutation!$A:$A,0)),0))</f>
        <v>11.0901711225671</v>
      </c>
      <c r="I77" s="13" t="n">
        <f aca="false">IF(Inputs!$B$7+74-1&gt;MAX(MORTALITY!$A:$A),"",IFERROR((1000*G77-H77*F77)/E77,0))</f>
        <v>900.121705933174</v>
      </c>
    </row>
    <row r="78" customFormat="false" ht="15" hidden="false" customHeight="false" outlineLevel="0" collapsed="false">
      <c r="A78" s="1" t="n">
        <f aca="false">IF(Inputs!$B$7+75-1&gt;MAX(MORTALITY!$A:$A),"",Inputs!$B$7)</f>
        <v>16</v>
      </c>
      <c r="B78" s="1" t="n">
        <f aca="false">IF(Inputs!$B$7+75-1&gt;MAX(MORTALITY!$A:$A),"",75)</f>
        <v>75</v>
      </c>
      <c r="C78" s="6" t="n">
        <f aca="false">IF(Inputs!$B$7+75-1&gt;MAX(MORTALITY!$A:$A),"",Inputs!$B$7+75-1)</f>
        <v>90</v>
      </c>
      <c r="D78" s="12" t="n">
        <f aca="false">IF(C78="","",INDEX(Commutation!$K:$K,MATCH(C78,Commutation!$A:$A,0)))</f>
        <v>0.927981554596764</v>
      </c>
      <c r="E78" s="13" t="n">
        <f aca="false">IF(Inputs!$B$7+75-1&gt;MAX(MORTALITY!$A:$A),"",IFERROR(INDEX(Commutation!$F:$F,MATCH(C78,Commutation!$A:$A,0)),0))</f>
        <v>22852.1758190625</v>
      </c>
      <c r="F78" s="13" t="n">
        <f aca="false">IF(Inputs!$B$7+75-1&gt;MAX(MORTALITY!$A:$A),"",IFERROR(INDEX(Commutation!$H:$H,MATCH(C78+1,Commutation!$A:$A,0)),0))</f>
        <v>44624.7294203199</v>
      </c>
      <c r="G78" s="13" t="n">
        <f aca="false">IF(Inputs!$B$7+75-1&gt;MAX(MORTALITY!$A:$A),"",IFERROR(INDEX(Commutation!$I:$I,MATCH(C78,Commutation!$A:$A,0)),0))</f>
        <v>21206.3976424922</v>
      </c>
      <c r="H78" s="13" t="n">
        <f aca="false">IF(Inputs!$B$7+75-1&gt;MAX(MORTALITY!$A:$A),"",IFERROR(1000*INDEX(Commutation!$I:$I,MATCH(Inputs!$B$7,Commutation!$A:$A,0))/INDEX(Commutation!$H:$H,MATCH(Inputs!$B$7,Commutation!$A:$A,0)),0))</f>
        <v>11.0901711225671</v>
      </c>
      <c r="I78" s="13" t="n">
        <f aca="false">IF(Inputs!$B$7+75-1&gt;MAX(MORTALITY!$A:$A),"",IFERROR((1000*G78-H78*F78)/E78,0))</f>
        <v>906.325153495702</v>
      </c>
    </row>
    <row r="79" customFormat="false" ht="15" hidden="false" customHeight="false" outlineLevel="0" collapsed="false">
      <c r="A79" s="1" t="n">
        <f aca="false">IF(Inputs!$B$7+76-1&gt;MAX(MORTALITY!$A:$A),"",Inputs!$B$7)</f>
        <v>16</v>
      </c>
      <c r="B79" s="1" t="n">
        <f aca="false">IF(Inputs!$B$7+76-1&gt;MAX(MORTALITY!$A:$A),"",76)</f>
        <v>76</v>
      </c>
      <c r="C79" s="6" t="n">
        <f aca="false">IF(Inputs!$B$7+76-1&gt;MAX(MORTALITY!$A:$A),"",Inputs!$B$7+76-1)</f>
        <v>91</v>
      </c>
      <c r="D79" s="12" t="n">
        <f aca="false">IF(C79="","",INDEX(Commutation!$K:$K,MATCH(C79,Commutation!$A:$A,0)))</f>
        <v>0.932102604222032</v>
      </c>
      <c r="E79" s="13" t="n">
        <f aca="false">IF(Inputs!$B$7+76-1&gt;MAX(MORTALITY!$A:$A),"",IFERROR(INDEX(Commutation!$F:$F,MATCH(C79,Commutation!$A:$A,0)),0))</f>
        <v>16030.1882299162</v>
      </c>
      <c r="F79" s="13" t="n">
        <f aca="false">IF(Inputs!$B$7+76-1&gt;MAX(MORTALITY!$A:$A),"",IFERROR(INDEX(Commutation!$H:$H,MATCH(C79+1,Commutation!$A:$A,0)),0))</f>
        <v>28594.5411904037</v>
      </c>
      <c r="G79" s="13" t="n">
        <f aca="false">IF(Inputs!$B$7+76-1&gt;MAX(MORTALITY!$A:$A),"",IFERROR(INDEX(Commutation!$I:$I,MATCH(C79,Commutation!$A:$A,0)),0))</f>
        <v>14941.7801952743</v>
      </c>
      <c r="H79" s="13" t="n">
        <f aca="false">IF(Inputs!$B$7+76-1&gt;MAX(MORTALITY!$A:$A),"",IFERROR(1000*INDEX(Commutation!$I:$I,MATCH(Inputs!$B$7,Commutation!$A:$A,0))/INDEX(Commutation!$H:$H,MATCH(Inputs!$B$7,Commutation!$A:$A,0)),0))</f>
        <v>11.0901711225671</v>
      </c>
      <c r="I79" s="13" t="n">
        <f aca="false">IF(Inputs!$B$7+76-1&gt;MAX(MORTALITY!$A:$A),"",IFERROR((1000*G79-H79*F79)/E79,0))</f>
        <v>912.320032088472</v>
      </c>
    </row>
    <row r="80" customFormat="false" ht="15" hidden="false" customHeight="false" outlineLevel="0" collapsed="false">
      <c r="A80" s="1" t="n">
        <f aca="false">IF(Inputs!$B$7+77-1&gt;MAX(MORTALITY!$A:$A),"",Inputs!$B$7)</f>
        <v>16</v>
      </c>
      <c r="B80" s="1" t="n">
        <f aca="false">IF(Inputs!$B$7+77-1&gt;MAX(MORTALITY!$A:$A),"",77)</f>
        <v>77</v>
      </c>
      <c r="C80" s="6" t="n">
        <f aca="false">IF(Inputs!$B$7+77-1&gt;MAX(MORTALITY!$A:$A),"",Inputs!$B$7+77-1)</f>
        <v>92</v>
      </c>
      <c r="D80" s="12" t="n">
        <f aca="false">IF(C80="","",INDEX(Commutation!$K:$K,MATCH(C80,Commutation!$A:$A,0)))</f>
        <v>0.936135261900959</v>
      </c>
      <c r="E80" s="13" t="n">
        <f aca="false">IF(Inputs!$B$7+77-1&gt;MAX(MORTALITY!$A:$A),"",IFERROR(INDEX(Commutation!$F:$F,MATCH(C80,Commutation!$A:$A,0)),0))</f>
        <v>10920.3897905401</v>
      </c>
      <c r="F80" s="13" t="n">
        <f aca="false">IF(Inputs!$B$7+77-1&gt;MAX(MORTALITY!$A:$A),"",IFERROR(INDEX(Commutation!$H:$H,MATCH(C80+1,Commutation!$A:$A,0)),0))</f>
        <v>17674.1513998636</v>
      </c>
      <c r="G80" s="13" t="n">
        <f aca="false">IF(Inputs!$B$7+77-1&gt;MAX(MORTALITY!$A:$A),"",IFERROR(INDEX(Commutation!$I:$I,MATCH(C80,Commutation!$A:$A,0)),0))</f>
        <v>10222.9619566278</v>
      </c>
      <c r="H80" s="13" t="n">
        <f aca="false">IF(Inputs!$B$7+77-1&gt;MAX(MORTALITY!$A:$A),"",IFERROR(1000*INDEX(Commutation!$I:$I,MATCH(Inputs!$B$7,Commutation!$A:$A,0))/INDEX(Commutation!$H:$H,MATCH(Inputs!$B$7,Commutation!$A:$A,0)),0))</f>
        <v>11.0901711225671</v>
      </c>
      <c r="I80" s="13" t="n">
        <f aca="false">IF(Inputs!$B$7+77-1&gt;MAX(MORTALITY!$A:$A),"",IFERROR((1000*G80-H80*F80)/E80,0))</f>
        <v>918.186327180658</v>
      </c>
    </row>
    <row r="81" customFormat="false" ht="15" hidden="false" customHeight="false" outlineLevel="0" collapsed="false">
      <c r="A81" s="1" t="n">
        <f aca="false">IF(Inputs!$B$7+78-1&gt;MAX(MORTALITY!$A:$A),"",Inputs!$B$7)</f>
        <v>16</v>
      </c>
      <c r="B81" s="1" t="n">
        <f aca="false">IF(Inputs!$B$7+78-1&gt;MAX(MORTALITY!$A:$A),"",78)</f>
        <v>78</v>
      </c>
      <c r="C81" s="6" t="n">
        <f aca="false">IF(Inputs!$B$7+78-1&gt;MAX(MORTALITY!$A:$A),"",Inputs!$B$7+78-1)</f>
        <v>93</v>
      </c>
      <c r="D81" s="12" t="n">
        <f aca="false">IF(C81="","",INDEX(Commutation!$K:$K,MATCH(C81,Commutation!$A:$A,0)))</f>
        <v>0.94017778024792</v>
      </c>
      <c r="E81" s="13" t="n">
        <f aca="false">IF(Inputs!$B$7+78-1&gt;MAX(MORTALITY!$A:$A),"",IFERROR(INDEX(Commutation!$F:$F,MATCH(C81,Commutation!$A:$A,0)),0))</f>
        <v>7205.96569632166</v>
      </c>
      <c r="F81" s="13" t="n">
        <f aca="false">IF(Inputs!$B$7+78-1&gt;MAX(MORTALITY!$A:$A),"",IFERROR(INDEX(Commutation!$H:$H,MATCH(C81+1,Commutation!$A:$A,0)),0))</f>
        <v>10468.1857035419</v>
      </c>
      <c r="G81" s="13" t="n">
        <f aca="false">IF(Inputs!$B$7+78-1&gt;MAX(MORTALITY!$A:$A),"",IFERROR(INDEX(Commutation!$I:$I,MATCH(C81,Commutation!$A:$A,0)),0))</f>
        <v>6774.88883291035</v>
      </c>
      <c r="H81" s="13" t="n">
        <f aca="false">IF(Inputs!$B$7+78-1&gt;MAX(MORTALITY!$A:$A),"",IFERROR(1000*INDEX(Commutation!$I:$I,MATCH(Inputs!$B$7,Commutation!$A:$A,0))/INDEX(Commutation!$H:$H,MATCH(Inputs!$B$7,Commutation!$A:$A,0)),0))</f>
        <v>11.0901711225671</v>
      </c>
      <c r="I81" s="13" t="n">
        <f aca="false">IF(Inputs!$B$7+78-1&gt;MAX(MORTALITY!$A:$A),"",IFERROR((1000*G81-H81*F81)/E81,0))</f>
        <v>924.066966557209</v>
      </c>
    </row>
    <row r="82" customFormat="false" ht="15" hidden="false" customHeight="false" outlineLevel="0" collapsed="false">
      <c r="A82" s="1" t="n">
        <f aca="false">IF(Inputs!$B$7+79-1&gt;MAX(MORTALITY!$A:$A),"",Inputs!$B$7)</f>
        <v>16</v>
      </c>
      <c r="B82" s="1" t="n">
        <f aca="false">IF(Inputs!$B$7+79-1&gt;MAX(MORTALITY!$A:$A),"",79)</f>
        <v>79</v>
      </c>
      <c r="C82" s="6" t="n">
        <f aca="false">IF(Inputs!$B$7+79-1&gt;MAX(MORTALITY!$A:$A),"",Inputs!$B$7+79-1)</f>
        <v>94</v>
      </c>
      <c r="D82" s="12" t="n">
        <f aca="false">IF(C82="","",INDEX(Commutation!$K:$K,MATCH(C82,Commutation!$A:$A,0)))</f>
        <v>0.944412135724305</v>
      </c>
      <c r="E82" s="13" t="n">
        <f aca="false">IF(Inputs!$B$7+79-1&gt;MAX(MORTALITY!$A:$A),"",IFERROR(INDEX(Commutation!$F:$F,MATCH(C82,Commutation!$A:$A,0)),0))</f>
        <v>4593.1176858876</v>
      </c>
      <c r="F82" s="13" t="n">
        <f aca="false">IF(Inputs!$B$7+79-1&gt;MAX(MORTALITY!$A:$A),"",IFERROR(INDEX(Commutation!$H:$H,MATCH(C82+1,Commutation!$A:$A,0)),0))</f>
        <v>5875.06801765435</v>
      </c>
      <c r="G82" s="13" t="n">
        <f aca="false">IF(Inputs!$B$7+79-1&gt;MAX(MORTALITY!$A:$A),"",IFERROR(INDEX(Commutation!$I:$I,MATCH(C82,Commutation!$A:$A,0)),0))</f>
        <v>4337.79608336219</v>
      </c>
      <c r="H82" s="13" t="n">
        <f aca="false">IF(Inputs!$B$7+79-1&gt;MAX(MORTALITY!$A:$A),"",IFERROR(1000*INDEX(Commutation!$I:$I,MATCH(Inputs!$B$7,Commutation!$A:$A,0))/INDEX(Commutation!$H:$H,MATCH(Inputs!$B$7,Commutation!$A:$A,0)),0))</f>
        <v>11.0901711225671</v>
      </c>
      <c r="I82" s="13" t="n">
        <f aca="false">IF(Inputs!$B$7+79-1&gt;MAX(MORTALITY!$A:$A),"",IFERROR((1000*G82-H82*F82)/E82,0))</f>
        <v>930.226670833498</v>
      </c>
    </row>
    <row r="83" customFormat="false" ht="15" hidden="false" customHeight="false" outlineLevel="0" collapsed="false">
      <c r="A83" s="1" t="n">
        <f aca="false">IF(Inputs!$B$7+80-1&gt;MAX(MORTALITY!$A:$A),"",Inputs!$B$7)</f>
        <v>16</v>
      </c>
      <c r="B83" s="1" t="n">
        <f aca="false">IF(Inputs!$B$7+80-1&gt;MAX(MORTALITY!$A:$A),"",80)</f>
        <v>80</v>
      </c>
      <c r="C83" s="6" t="n">
        <f aca="false">IF(Inputs!$B$7+80-1&gt;MAX(MORTALITY!$A:$A),"",Inputs!$B$7+80-1)</f>
        <v>95</v>
      </c>
      <c r="D83" s="12" t="n">
        <f aca="false">IF(C83="","",INDEX(Commutation!$K:$K,MATCH(C83,Commutation!$A:$A,0)))</f>
        <v>0.949161270456937</v>
      </c>
      <c r="E83" s="13" t="n">
        <f aca="false">IF(Inputs!$B$7+80-1&gt;MAX(MORTALITY!$A:$A),"",IFERROR(INDEX(Commutation!$F:$F,MATCH(C83,Commutation!$A:$A,0)),0))</f>
        <v>2818.60587748615</v>
      </c>
      <c r="F83" s="13" t="n">
        <f aca="false">IF(Inputs!$B$7+80-1&gt;MAX(MORTALITY!$A:$A),"",IFERROR(INDEX(Commutation!$H:$H,MATCH(C83+1,Commutation!$A:$A,0)),0))</f>
        <v>3056.4621401682</v>
      </c>
      <c r="G83" s="13" t="n">
        <f aca="false">IF(Inputs!$B$7+80-1&gt;MAX(MORTALITY!$A:$A),"",IFERROR(INDEX(Commutation!$I:$I,MATCH(C83,Commutation!$A:$A,0)),0))</f>
        <v>2675.31153559214</v>
      </c>
      <c r="H83" s="13" t="n">
        <f aca="false">IF(Inputs!$B$7+80-1&gt;MAX(MORTALITY!$A:$A),"",IFERROR(1000*INDEX(Commutation!$I:$I,MATCH(Inputs!$B$7,Commutation!$A:$A,0))/INDEX(Commutation!$H:$H,MATCH(Inputs!$B$7,Commutation!$A:$A,0)),0))</f>
        <v>11.0901711225671</v>
      </c>
      <c r="I83" s="13" t="n">
        <f aca="false">IF(Inputs!$B$7+80-1&gt;MAX(MORTALITY!$A:$A),"",IFERROR((1000*G83-H83*F83)/E83,0))</f>
        <v>937.135222957758</v>
      </c>
    </row>
    <row r="84" customFormat="false" ht="15" hidden="false" customHeight="false" outlineLevel="0" collapsed="false">
      <c r="A84" s="1" t="n">
        <f aca="false">IF(Inputs!$B$7+81-1&gt;MAX(MORTALITY!$A:$A),"",Inputs!$B$7)</f>
        <v>16</v>
      </c>
      <c r="B84" s="1" t="n">
        <f aca="false">IF(Inputs!$B$7+81-1&gt;MAX(MORTALITY!$A:$A),"",81)</f>
        <v>81</v>
      </c>
      <c r="C84" s="6" t="n">
        <f aca="false">IF(Inputs!$B$7+81-1&gt;MAX(MORTALITY!$A:$A),"",Inputs!$B$7+81-1)</f>
        <v>96</v>
      </c>
      <c r="D84" s="12" t="n">
        <f aca="false">IF(C84="","",INDEX(Commutation!$K:$K,MATCH(C84,Commutation!$A:$A,0)))</f>
        <v>0.9551007837466</v>
      </c>
      <c r="E84" s="13" t="n">
        <f aca="false">IF(Inputs!$B$7+81-1&gt;MAX(MORTALITY!$A:$A),"",IFERROR(INDEX(Commutation!$F:$F,MATCH(C84,Commutation!$A:$A,0)),0))</f>
        <v>1660.33760269987</v>
      </c>
      <c r="F84" s="13" t="n">
        <f aca="false">IF(Inputs!$B$7+81-1&gt;MAX(MORTALITY!$A:$A),"",IFERROR(INDEX(Commutation!$H:$H,MATCH(C84+1,Commutation!$A:$A,0)),0))</f>
        <v>1396.12453746833</v>
      </c>
      <c r="G84" s="13" t="n">
        <f aca="false">IF(Inputs!$B$7+81-1&gt;MAX(MORTALITY!$A:$A),"",IFERROR(INDEX(Commutation!$I:$I,MATCH(C84,Commutation!$A:$A,0)),0))</f>
        <v>1585.78974562259</v>
      </c>
      <c r="H84" s="13" t="n">
        <f aca="false">IF(Inputs!$B$7+81-1&gt;MAX(MORTALITY!$A:$A),"",IFERROR(1000*INDEX(Commutation!$I:$I,MATCH(Inputs!$B$7,Commutation!$A:$A,0))/INDEX(Commutation!$H:$H,MATCH(Inputs!$B$7,Commutation!$A:$A,0)),0))</f>
        <v>11.0901711225671</v>
      </c>
      <c r="I84" s="13" t="n">
        <f aca="false">IF(Inputs!$B$7+81-1&gt;MAX(MORTALITY!$A:$A),"",IFERROR((1000*G84-H84*F84)/E84,0))</f>
        <v>945.775415216874</v>
      </c>
    </row>
    <row r="85" customFormat="false" ht="15" hidden="false" customHeight="false" outlineLevel="0" collapsed="false">
      <c r="A85" s="1" t="n">
        <f aca="false">IF(Inputs!$B$7+82-1&gt;MAX(MORTALITY!$A:$A),"",Inputs!$B$7)</f>
        <v>16</v>
      </c>
      <c r="B85" s="1" t="n">
        <f aca="false">IF(Inputs!$B$7+82-1&gt;MAX(MORTALITY!$A:$A),"",82)</f>
        <v>82</v>
      </c>
      <c r="C85" s="6" t="n">
        <f aca="false">IF(Inputs!$B$7+82-1&gt;MAX(MORTALITY!$A:$A),"",Inputs!$B$7+82-1)</f>
        <v>97</v>
      </c>
      <c r="D85" s="12" t="n">
        <f aca="false">IF(C85="","",INDEX(Commutation!$K:$K,MATCH(C85,Commutation!$A:$A,0)))</f>
        <v>0.961973016660815</v>
      </c>
      <c r="E85" s="13" t="n">
        <f aca="false">IF(Inputs!$B$7+82-1&gt;MAX(MORTALITY!$A:$A),"",IFERROR(INDEX(Commutation!$F:$F,MATCH(C85,Commutation!$A:$A,0)),0))</f>
        <v>895.464614779037</v>
      </c>
      <c r="F85" s="13" t="n">
        <f aca="false">IF(Inputs!$B$7+82-1&gt;MAX(MORTALITY!$A:$A),"",IFERROR(INDEX(Commutation!$H:$H,MATCH(C85+1,Commutation!$A:$A,0)),0))</f>
        <v>500.659922689297</v>
      </c>
      <c r="G85" s="13" t="n">
        <f aca="false">IF(Inputs!$B$7+82-1&gt;MAX(MORTALITY!$A:$A),"",IFERROR(INDEX(Commutation!$I:$I,MATCH(C85,Commutation!$A:$A,0)),0))</f>
        <v>861.412796792004</v>
      </c>
      <c r="H85" s="13" t="n">
        <f aca="false">IF(Inputs!$B$7+82-1&gt;MAX(MORTALITY!$A:$A),"",IFERROR(1000*INDEX(Commutation!$I:$I,MATCH(Inputs!$B$7,Commutation!$A:$A,0))/INDEX(Commutation!$H:$H,MATCH(Inputs!$B$7,Commutation!$A:$A,0)),0))</f>
        <v>11.0901711225671</v>
      </c>
      <c r="I85" s="13" t="n">
        <f aca="false">IF(Inputs!$B$7+82-1&gt;MAX(MORTALITY!$A:$A),"",IFERROR((1000*G85-H85*F85)/E85,0))</f>
        <v>955.772431930612</v>
      </c>
    </row>
    <row r="86" customFormat="false" ht="15" hidden="false" customHeight="false" outlineLevel="0" collapsed="false">
      <c r="A86" s="1" t="n">
        <f aca="false">IF(Inputs!$B$7+83-1&gt;MAX(MORTALITY!$A:$A),"",Inputs!$B$7)</f>
        <v>16</v>
      </c>
      <c r="B86" s="1" t="n">
        <f aca="false">IF(Inputs!$B$7+83-1&gt;MAX(MORTALITY!$A:$A),"",83)</f>
        <v>83</v>
      </c>
      <c r="C86" s="6" t="n">
        <f aca="false">IF(Inputs!$B$7+83-1&gt;MAX(MORTALITY!$A:$A),"",Inputs!$B$7+83-1)</f>
        <v>98</v>
      </c>
      <c r="D86" s="12" t="n">
        <f aca="false">IF(C86="","",INDEX(Commutation!$K:$K,MATCH(C86,Commutation!$A:$A,0)))</f>
        <v>0.969058179654967</v>
      </c>
      <c r="E86" s="13" t="n">
        <f aca="false">IF(Inputs!$B$7+83-1&gt;MAX(MORTALITY!$A:$A),"",IFERROR(INDEX(Commutation!$F:$F,MATCH(C86,Commutation!$A:$A,0)),0))</f>
        <v>394.650912273446</v>
      </c>
      <c r="F86" s="13" t="n">
        <f aca="false">IF(Inputs!$B$7+83-1&gt;MAX(MORTALITY!$A:$A),"",IFERROR(INDEX(Commutation!$H:$H,MATCH(C86+1,Commutation!$A:$A,0)),0))</f>
        <v>106.009010415852</v>
      </c>
      <c r="G86" s="13" t="n">
        <f aca="false">IF(Inputs!$B$7+83-1&gt;MAX(MORTALITY!$A:$A),"",IFERROR(INDEX(Commutation!$I:$I,MATCH(C86,Commutation!$A:$A,0)),0))</f>
        <v>382.439694646878</v>
      </c>
      <c r="H86" s="13" t="n">
        <f aca="false">IF(Inputs!$B$7+83-1&gt;MAX(MORTALITY!$A:$A),"",IFERROR(1000*INDEX(Commutation!$I:$I,MATCH(Inputs!$B$7,Commutation!$A:$A,0))/INDEX(Commutation!$H:$H,MATCH(Inputs!$B$7,Commutation!$A:$A,0)),0))</f>
        <v>11.0901711225671</v>
      </c>
      <c r="I86" s="13" t="n">
        <f aca="false">IF(Inputs!$B$7+83-1&gt;MAX(MORTALITY!$A:$A),"",IFERROR((1000*G86-H86*F86)/E86,0))</f>
        <v>966.079197396259</v>
      </c>
    </row>
    <row r="87" customFormat="false" ht="15" hidden="false" customHeight="false" outlineLevel="0" collapsed="false">
      <c r="A87" s="1" t="n">
        <f aca="false">IF(Inputs!$B$7+84-1&gt;MAX(MORTALITY!$A:$A),"",Inputs!$B$7)</f>
        <v>16</v>
      </c>
      <c r="B87" s="1" t="n">
        <f aca="false">IF(Inputs!$B$7+84-1&gt;MAX(MORTALITY!$A:$A),"",84)</f>
        <v>84</v>
      </c>
      <c r="C87" s="6" t="n">
        <f aca="false">IF(Inputs!$B$7+84-1&gt;MAX(MORTALITY!$A:$A),"",Inputs!$B$7+84-1)</f>
        <v>99</v>
      </c>
      <c r="D87" s="12" t="n">
        <f aca="false">IF(C87="","",INDEX(Commutation!$K:$K,MATCH(C87,Commutation!$A:$A,0)))</f>
        <v>0.975609756097561</v>
      </c>
      <c r="E87" s="13" t="n">
        <f aca="false">IF(Inputs!$B$7+84-1&gt;MAX(MORTALITY!$A:$A),"",IFERROR(INDEX(Commutation!$F:$F,MATCH(C87,Commutation!$A:$A,0)),0))</f>
        <v>106.009010415852</v>
      </c>
      <c r="F87" s="13" t="n">
        <f aca="false">IF(Inputs!$B$7+84-1&gt;MAX(MORTALITY!$A:$A),"",IFERROR(INDEX(Commutation!$H:$H,MATCH(C87+1,Commutation!$A:$A,0)),0))</f>
        <v>0</v>
      </c>
      <c r="G87" s="13" t="n">
        <f aca="false">IF(Inputs!$B$7+84-1&gt;MAX(MORTALITY!$A:$A),"",IFERROR(INDEX(Commutation!$I:$I,MATCH(C87,Commutation!$A:$A,0)),0))</f>
        <v>103.423424795953</v>
      </c>
      <c r="H87" s="13" t="n">
        <f aca="false">IF(Inputs!$B$7+84-1&gt;MAX(MORTALITY!$A:$A),"",IFERROR(1000*INDEX(Commutation!$I:$I,MATCH(Inputs!$B$7,Commutation!$A:$A,0))/INDEX(Commutation!$H:$H,MATCH(Inputs!$B$7,Commutation!$A:$A,0)),0))</f>
        <v>11.0901711225671</v>
      </c>
      <c r="I87" s="13" t="n">
        <f aca="false">IF(Inputs!$B$7+84-1&gt;MAX(MORTALITY!$A:$A),"",IFERROR((1000*G87-H87*F87)/E87,0))</f>
        <v>975.609756097561</v>
      </c>
    </row>
    <row r="88" customFormat="false" ht="15" hidden="false" customHeight="false" outlineLevel="0" collapsed="false">
      <c r="A88" s="1" t="str">
        <f aca="false">IF(Inputs!$B$7+85-1&gt;MAX(MORTALITY!$A:$A),"",Inputs!$B$7)</f>
        <v/>
      </c>
      <c r="B88" s="1" t="str">
        <f aca="false">IF(Inputs!$B$7+85-1&gt;MAX(MORTALITY!$A:$A),"",85)</f>
        <v/>
      </c>
      <c r="C88" s="6" t="str">
        <f aca="false">IF(Inputs!$B$7+85-1&gt;MAX(MORTALITY!$A:$A),"",Inputs!$B$7+85-1)</f>
        <v/>
      </c>
      <c r="D88" s="12" t="str">
        <f aca="false">IF(C88="","",INDEX(Commutation!$K:$K,MATCH(C88,Commutation!$A:$A,0)))</f>
        <v/>
      </c>
      <c r="E88" s="13" t="str">
        <f aca="false">IF(Inputs!$B$7+85-1&gt;MAX(MORTALITY!$A:$A),"",IFERROR(INDEX(Commutation!$F:$F,MATCH(C88,Commutation!$A:$A,0)),0))</f>
        <v/>
      </c>
      <c r="F88" s="13" t="str">
        <f aca="false">IF(Inputs!$B$7+85-1&gt;MAX(MORTALITY!$A:$A),"",IFERROR(INDEX(Commutation!$H:$H,MATCH(C88+1,Commutation!$A:$A,0)),0))</f>
        <v/>
      </c>
      <c r="G88" s="13" t="str">
        <f aca="false">IF(Inputs!$B$7+85-1&gt;MAX(MORTALITY!$A:$A),"",IFERROR(INDEX(Commutation!$I:$I,MATCH(C88,Commutation!$A:$A,0)),0))</f>
        <v/>
      </c>
      <c r="H88" s="13" t="str">
        <f aca="false">IF(Inputs!$B$7+85-1&gt;MAX(MORTALITY!$A:$A),"",IFERROR(1000*INDEX(Commutation!$I:$I,MATCH(Inputs!$B$7,Commutation!$A:$A,0))/INDEX(Commutation!$H:$H,MATCH(Inputs!$B$7,Commutation!$A:$A,0)),0))</f>
        <v/>
      </c>
      <c r="I88" s="13" t="str">
        <f aca="false">IF(Inputs!$B$7+85-1&gt;MAX(MORTALITY!$A:$A),"",IFERROR((1000*G88-H88*F88)/E88,0))</f>
        <v/>
      </c>
    </row>
    <row r="89" customFormat="false" ht="15" hidden="false" customHeight="false" outlineLevel="0" collapsed="false">
      <c r="A89" s="1" t="str">
        <f aca="false">IF(Inputs!$B$7+86-1&gt;MAX(MORTALITY!$A:$A),"",Inputs!$B$7)</f>
        <v/>
      </c>
      <c r="B89" s="1" t="str">
        <f aca="false">IF(Inputs!$B$7+86-1&gt;MAX(MORTALITY!$A:$A),"",86)</f>
        <v/>
      </c>
      <c r="C89" s="6" t="str">
        <f aca="false">IF(Inputs!$B$7+86-1&gt;MAX(MORTALITY!$A:$A),"",Inputs!$B$7+86-1)</f>
        <v/>
      </c>
      <c r="D89" s="12" t="str">
        <f aca="false">IF(C89="","",INDEX(Commutation!$K:$K,MATCH(C89,Commutation!$A:$A,0)))</f>
        <v/>
      </c>
      <c r="E89" s="13" t="str">
        <f aca="false">IF(Inputs!$B$7+86-1&gt;MAX(MORTALITY!$A:$A),"",IFERROR(INDEX(Commutation!$F:$F,MATCH(C89,Commutation!$A:$A,0)),0))</f>
        <v/>
      </c>
      <c r="F89" s="13" t="str">
        <f aca="false">IF(Inputs!$B$7+86-1&gt;MAX(MORTALITY!$A:$A),"",IFERROR(INDEX(Commutation!$H:$H,MATCH(C89+1,Commutation!$A:$A,0)),0))</f>
        <v/>
      </c>
      <c r="G89" s="13" t="str">
        <f aca="false">IF(Inputs!$B$7+86-1&gt;MAX(MORTALITY!$A:$A),"",IFERROR(INDEX(Commutation!$I:$I,MATCH(C89,Commutation!$A:$A,0)),0))</f>
        <v/>
      </c>
      <c r="H89" s="13" t="str">
        <f aca="false">IF(Inputs!$B$7+86-1&gt;MAX(MORTALITY!$A:$A),"",IFERROR(1000*INDEX(Commutation!$I:$I,MATCH(Inputs!$B$7,Commutation!$A:$A,0))/INDEX(Commutation!$H:$H,MATCH(Inputs!$B$7,Commutation!$A:$A,0)),0))</f>
        <v/>
      </c>
      <c r="I89" s="13" t="str">
        <f aca="false">IF(Inputs!$B$7+86-1&gt;MAX(MORTALITY!$A:$A),"",IFERROR((1000*G89-H89*F89)/E89,0))</f>
        <v/>
      </c>
    </row>
    <row r="90" customFormat="false" ht="15" hidden="false" customHeight="false" outlineLevel="0" collapsed="false">
      <c r="A90" s="1" t="str">
        <f aca="false">IF(Inputs!$B$7+87-1&gt;MAX(MORTALITY!$A:$A),"",Inputs!$B$7)</f>
        <v/>
      </c>
      <c r="B90" s="1" t="str">
        <f aca="false">IF(Inputs!$B$7+87-1&gt;MAX(MORTALITY!$A:$A),"",87)</f>
        <v/>
      </c>
      <c r="C90" s="6" t="str">
        <f aca="false">IF(Inputs!$B$7+87-1&gt;MAX(MORTALITY!$A:$A),"",Inputs!$B$7+87-1)</f>
        <v/>
      </c>
      <c r="D90" s="12" t="str">
        <f aca="false">IF(C90="","",INDEX(Commutation!$K:$K,MATCH(C90,Commutation!$A:$A,0)))</f>
        <v/>
      </c>
      <c r="E90" s="13" t="str">
        <f aca="false">IF(Inputs!$B$7+87-1&gt;MAX(MORTALITY!$A:$A),"",IFERROR(INDEX(Commutation!$F:$F,MATCH(C90,Commutation!$A:$A,0)),0))</f>
        <v/>
      </c>
      <c r="F90" s="13" t="str">
        <f aca="false">IF(Inputs!$B$7+87-1&gt;MAX(MORTALITY!$A:$A),"",IFERROR(INDEX(Commutation!$H:$H,MATCH(C90+1,Commutation!$A:$A,0)),0))</f>
        <v/>
      </c>
      <c r="G90" s="13" t="str">
        <f aca="false">IF(Inputs!$B$7+87-1&gt;MAX(MORTALITY!$A:$A),"",IFERROR(INDEX(Commutation!$I:$I,MATCH(C90,Commutation!$A:$A,0)),0))</f>
        <v/>
      </c>
      <c r="H90" s="13" t="str">
        <f aca="false">IF(Inputs!$B$7+87-1&gt;MAX(MORTALITY!$A:$A),"",IFERROR(1000*INDEX(Commutation!$I:$I,MATCH(Inputs!$B$7,Commutation!$A:$A,0))/INDEX(Commutation!$H:$H,MATCH(Inputs!$B$7,Commutation!$A:$A,0)),0))</f>
        <v/>
      </c>
      <c r="I90" s="13" t="str">
        <f aca="false">IF(Inputs!$B$7+87-1&gt;MAX(MORTALITY!$A:$A),"",IFERROR((1000*G90-H90*F90)/E90,0))</f>
        <v/>
      </c>
    </row>
    <row r="91" customFormat="false" ht="15" hidden="false" customHeight="false" outlineLevel="0" collapsed="false">
      <c r="A91" s="1" t="str">
        <f aca="false">IF(Inputs!$B$7+88-1&gt;MAX(MORTALITY!$A:$A),"",Inputs!$B$7)</f>
        <v/>
      </c>
      <c r="B91" s="1" t="str">
        <f aca="false">IF(Inputs!$B$7+88-1&gt;MAX(MORTALITY!$A:$A),"",88)</f>
        <v/>
      </c>
      <c r="C91" s="6" t="str">
        <f aca="false">IF(Inputs!$B$7+88-1&gt;MAX(MORTALITY!$A:$A),"",Inputs!$B$7+88-1)</f>
        <v/>
      </c>
      <c r="D91" s="12" t="str">
        <f aca="false">IF(C91="","",INDEX(Commutation!$K:$K,MATCH(C91,Commutation!$A:$A,0)))</f>
        <v/>
      </c>
      <c r="E91" s="13" t="str">
        <f aca="false">IF(Inputs!$B$7+88-1&gt;MAX(MORTALITY!$A:$A),"",IFERROR(INDEX(Commutation!$F:$F,MATCH(C91,Commutation!$A:$A,0)),0))</f>
        <v/>
      </c>
      <c r="F91" s="13" t="str">
        <f aca="false">IF(Inputs!$B$7+88-1&gt;MAX(MORTALITY!$A:$A),"",IFERROR(INDEX(Commutation!$H:$H,MATCH(C91+1,Commutation!$A:$A,0)),0))</f>
        <v/>
      </c>
      <c r="G91" s="13" t="str">
        <f aca="false">IF(Inputs!$B$7+88-1&gt;MAX(MORTALITY!$A:$A),"",IFERROR(INDEX(Commutation!$I:$I,MATCH(C91,Commutation!$A:$A,0)),0))</f>
        <v/>
      </c>
      <c r="H91" s="13" t="str">
        <f aca="false">IF(Inputs!$B$7+88-1&gt;MAX(MORTALITY!$A:$A),"",IFERROR(1000*INDEX(Commutation!$I:$I,MATCH(Inputs!$B$7,Commutation!$A:$A,0))/INDEX(Commutation!$H:$H,MATCH(Inputs!$B$7,Commutation!$A:$A,0)),0))</f>
        <v/>
      </c>
      <c r="I91" s="13" t="str">
        <f aca="false">IF(Inputs!$B$7+88-1&gt;MAX(MORTALITY!$A:$A),"",IFERROR((1000*G91-H91*F91)/E91,0))</f>
        <v/>
      </c>
    </row>
    <row r="92" customFormat="false" ht="15" hidden="false" customHeight="false" outlineLevel="0" collapsed="false">
      <c r="A92" s="1" t="str">
        <f aca="false">IF(Inputs!$B$7+89-1&gt;MAX(MORTALITY!$A:$A),"",Inputs!$B$7)</f>
        <v/>
      </c>
      <c r="B92" s="1" t="str">
        <f aca="false">IF(Inputs!$B$7+89-1&gt;MAX(MORTALITY!$A:$A),"",89)</f>
        <v/>
      </c>
      <c r="C92" s="6" t="str">
        <f aca="false">IF(Inputs!$B$7+89-1&gt;MAX(MORTALITY!$A:$A),"",Inputs!$B$7+89-1)</f>
        <v/>
      </c>
      <c r="D92" s="12" t="str">
        <f aca="false">IF(C92="","",INDEX(Commutation!$K:$K,MATCH(C92,Commutation!$A:$A,0)))</f>
        <v/>
      </c>
      <c r="E92" s="13" t="str">
        <f aca="false">IF(Inputs!$B$7+89-1&gt;MAX(MORTALITY!$A:$A),"",IFERROR(INDEX(Commutation!$F:$F,MATCH(C92,Commutation!$A:$A,0)),0))</f>
        <v/>
      </c>
      <c r="F92" s="13" t="str">
        <f aca="false">IF(Inputs!$B$7+89-1&gt;MAX(MORTALITY!$A:$A),"",IFERROR(INDEX(Commutation!$H:$H,MATCH(C92+1,Commutation!$A:$A,0)),0))</f>
        <v/>
      </c>
      <c r="G92" s="13" t="str">
        <f aca="false">IF(Inputs!$B$7+89-1&gt;MAX(MORTALITY!$A:$A),"",IFERROR(INDEX(Commutation!$I:$I,MATCH(C92,Commutation!$A:$A,0)),0))</f>
        <v/>
      </c>
      <c r="H92" s="13" t="str">
        <f aca="false">IF(Inputs!$B$7+89-1&gt;MAX(MORTALITY!$A:$A),"",IFERROR(1000*INDEX(Commutation!$I:$I,MATCH(Inputs!$B$7,Commutation!$A:$A,0))/INDEX(Commutation!$H:$H,MATCH(Inputs!$B$7,Commutation!$A:$A,0)),0))</f>
        <v/>
      </c>
      <c r="I92" s="13" t="str">
        <f aca="false">IF(Inputs!$B$7+89-1&gt;MAX(MORTALITY!$A:$A),"",IFERROR((1000*G92-H92*F92)/E92,0))</f>
        <v/>
      </c>
    </row>
    <row r="93" customFormat="false" ht="15" hidden="false" customHeight="false" outlineLevel="0" collapsed="false">
      <c r="A93" s="1" t="str">
        <f aca="false">IF(Inputs!$B$7+90-1&gt;MAX(MORTALITY!$A:$A),"",Inputs!$B$7)</f>
        <v/>
      </c>
      <c r="B93" s="1" t="str">
        <f aca="false">IF(Inputs!$B$7+90-1&gt;MAX(MORTALITY!$A:$A),"",90)</f>
        <v/>
      </c>
      <c r="C93" s="6" t="str">
        <f aca="false">IF(Inputs!$B$7+90-1&gt;MAX(MORTALITY!$A:$A),"",Inputs!$B$7+90-1)</f>
        <v/>
      </c>
      <c r="D93" s="12" t="str">
        <f aca="false">IF(C93="","",INDEX(Commutation!$K:$K,MATCH(C93,Commutation!$A:$A,0)))</f>
        <v/>
      </c>
      <c r="E93" s="13" t="str">
        <f aca="false">IF(Inputs!$B$7+90-1&gt;MAX(MORTALITY!$A:$A),"",IFERROR(INDEX(Commutation!$F:$F,MATCH(C93,Commutation!$A:$A,0)),0))</f>
        <v/>
      </c>
      <c r="F93" s="13" t="str">
        <f aca="false">IF(Inputs!$B$7+90-1&gt;MAX(MORTALITY!$A:$A),"",IFERROR(INDEX(Commutation!$H:$H,MATCH(C93+1,Commutation!$A:$A,0)),0))</f>
        <v/>
      </c>
      <c r="G93" s="13" t="str">
        <f aca="false">IF(Inputs!$B$7+90-1&gt;MAX(MORTALITY!$A:$A),"",IFERROR(INDEX(Commutation!$I:$I,MATCH(C93,Commutation!$A:$A,0)),0))</f>
        <v/>
      </c>
      <c r="H93" s="13" t="str">
        <f aca="false">IF(Inputs!$B$7+90-1&gt;MAX(MORTALITY!$A:$A),"",IFERROR(1000*INDEX(Commutation!$I:$I,MATCH(Inputs!$B$7,Commutation!$A:$A,0))/INDEX(Commutation!$H:$H,MATCH(Inputs!$B$7,Commutation!$A:$A,0)),0))</f>
        <v/>
      </c>
      <c r="I93" s="13" t="str">
        <f aca="false">IF(Inputs!$B$7+90-1&gt;MAX(MORTALITY!$A:$A),"",IFERROR((1000*G93-H93*F93)/E93,0))</f>
        <v/>
      </c>
    </row>
    <row r="94" customFormat="false" ht="15" hidden="false" customHeight="false" outlineLevel="0" collapsed="false">
      <c r="A94" s="1" t="str">
        <f aca="false">IF(Inputs!$B$7+91-1&gt;MAX(MORTALITY!$A:$A),"",Inputs!$B$7)</f>
        <v/>
      </c>
      <c r="B94" s="1" t="str">
        <f aca="false">IF(Inputs!$B$7+91-1&gt;MAX(MORTALITY!$A:$A),"",91)</f>
        <v/>
      </c>
      <c r="C94" s="6" t="str">
        <f aca="false">IF(Inputs!$B$7+91-1&gt;MAX(MORTALITY!$A:$A),"",Inputs!$B$7+91-1)</f>
        <v/>
      </c>
      <c r="D94" s="12" t="str">
        <f aca="false">IF(C94="","",INDEX(Commutation!$K:$K,MATCH(C94,Commutation!$A:$A,0)))</f>
        <v/>
      </c>
      <c r="E94" s="13" t="str">
        <f aca="false">IF(Inputs!$B$7+91-1&gt;MAX(MORTALITY!$A:$A),"",IFERROR(INDEX(Commutation!$F:$F,MATCH(C94,Commutation!$A:$A,0)),0))</f>
        <v/>
      </c>
      <c r="F94" s="13" t="str">
        <f aca="false">IF(Inputs!$B$7+91-1&gt;MAX(MORTALITY!$A:$A),"",IFERROR(INDEX(Commutation!$H:$H,MATCH(C94+1,Commutation!$A:$A,0)),0))</f>
        <v/>
      </c>
      <c r="G94" s="13" t="str">
        <f aca="false">IF(Inputs!$B$7+91-1&gt;MAX(MORTALITY!$A:$A),"",IFERROR(INDEX(Commutation!$I:$I,MATCH(C94,Commutation!$A:$A,0)),0))</f>
        <v/>
      </c>
      <c r="H94" s="13" t="str">
        <f aca="false">IF(Inputs!$B$7+91-1&gt;MAX(MORTALITY!$A:$A),"",IFERROR(1000*INDEX(Commutation!$I:$I,MATCH(Inputs!$B$7,Commutation!$A:$A,0))/INDEX(Commutation!$H:$H,MATCH(Inputs!$B$7,Commutation!$A:$A,0)),0))</f>
        <v/>
      </c>
      <c r="I94" s="13" t="str">
        <f aca="false">IF(Inputs!$B$7+91-1&gt;MAX(MORTALITY!$A:$A),"",IFERROR((1000*G94-H94*F94)/E94,0))</f>
        <v/>
      </c>
    </row>
    <row r="95" customFormat="false" ht="15" hidden="false" customHeight="false" outlineLevel="0" collapsed="false">
      <c r="A95" s="1" t="str">
        <f aca="false">IF(Inputs!$B$7+92-1&gt;MAX(MORTALITY!$A:$A),"",Inputs!$B$7)</f>
        <v/>
      </c>
      <c r="B95" s="1" t="str">
        <f aca="false">IF(Inputs!$B$7+92-1&gt;MAX(MORTALITY!$A:$A),"",92)</f>
        <v/>
      </c>
      <c r="C95" s="6" t="str">
        <f aca="false">IF(Inputs!$B$7+92-1&gt;MAX(MORTALITY!$A:$A),"",Inputs!$B$7+92-1)</f>
        <v/>
      </c>
      <c r="D95" s="12" t="str">
        <f aca="false">IF(C95="","",INDEX(Commutation!$K:$K,MATCH(C95,Commutation!$A:$A,0)))</f>
        <v/>
      </c>
      <c r="E95" s="13" t="str">
        <f aca="false">IF(Inputs!$B$7+92-1&gt;MAX(MORTALITY!$A:$A),"",IFERROR(INDEX(Commutation!$F:$F,MATCH(C95,Commutation!$A:$A,0)),0))</f>
        <v/>
      </c>
      <c r="F95" s="13" t="str">
        <f aca="false">IF(Inputs!$B$7+92-1&gt;MAX(MORTALITY!$A:$A),"",IFERROR(INDEX(Commutation!$H:$H,MATCH(C95+1,Commutation!$A:$A,0)),0))</f>
        <v/>
      </c>
      <c r="G95" s="13" t="str">
        <f aca="false">IF(Inputs!$B$7+92-1&gt;MAX(MORTALITY!$A:$A),"",IFERROR(INDEX(Commutation!$I:$I,MATCH(C95,Commutation!$A:$A,0)),0))</f>
        <v/>
      </c>
      <c r="H95" s="13" t="str">
        <f aca="false">IF(Inputs!$B$7+92-1&gt;MAX(MORTALITY!$A:$A),"",IFERROR(1000*INDEX(Commutation!$I:$I,MATCH(Inputs!$B$7,Commutation!$A:$A,0))/INDEX(Commutation!$H:$H,MATCH(Inputs!$B$7,Commutation!$A:$A,0)),0))</f>
        <v/>
      </c>
      <c r="I95" s="13" t="str">
        <f aca="false">IF(Inputs!$B$7+92-1&gt;MAX(MORTALITY!$A:$A),"",IFERROR((1000*G95-H95*F95)/E95,0))</f>
        <v/>
      </c>
    </row>
    <row r="96" customFormat="false" ht="15" hidden="false" customHeight="false" outlineLevel="0" collapsed="false">
      <c r="A96" s="1" t="str">
        <f aca="false">IF(Inputs!$B$7+93-1&gt;MAX(MORTALITY!$A:$A),"",Inputs!$B$7)</f>
        <v/>
      </c>
      <c r="B96" s="1" t="str">
        <f aca="false">IF(Inputs!$B$7+93-1&gt;MAX(MORTALITY!$A:$A),"",93)</f>
        <v/>
      </c>
      <c r="C96" s="6" t="str">
        <f aca="false">IF(Inputs!$B$7+93-1&gt;MAX(MORTALITY!$A:$A),"",Inputs!$B$7+93-1)</f>
        <v/>
      </c>
      <c r="D96" s="12" t="str">
        <f aca="false">IF(C96="","",INDEX(Commutation!$K:$K,MATCH(C96,Commutation!$A:$A,0)))</f>
        <v/>
      </c>
      <c r="E96" s="13" t="str">
        <f aca="false">IF(Inputs!$B$7+93-1&gt;MAX(MORTALITY!$A:$A),"",IFERROR(INDEX(Commutation!$F:$F,MATCH(C96,Commutation!$A:$A,0)),0))</f>
        <v/>
      </c>
      <c r="F96" s="13" t="str">
        <f aca="false">IF(Inputs!$B$7+93-1&gt;MAX(MORTALITY!$A:$A),"",IFERROR(INDEX(Commutation!$H:$H,MATCH(C96+1,Commutation!$A:$A,0)),0))</f>
        <v/>
      </c>
      <c r="G96" s="13" t="str">
        <f aca="false">IF(Inputs!$B$7+93-1&gt;MAX(MORTALITY!$A:$A),"",IFERROR(INDEX(Commutation!$I:$I,MATCH(C96,Commutation!$A:$A,0)),0))</f>
        <v/>
      </c>
      <c r="H96" s="13" t="str">
        <f aca="false">IF(Inputs!$B$7+93-1&gt;MAX(MORTALITY!$A:$A),"",IFERROR(1000*INDEX(Commutation!$I:$I,MATCH(Inputs!$B$7,Commutation!$A:$A,0))/INDEX(Commutation!$H:$H,MATCH(Inputs!$B$7,Commutation!$A:$A,0)),0))</f>
        <v/>
      </c>
      <c r="I96" s="13" t="str">
        <f aca="false">IF(Inputs!$B$7+93-1&gt;MAX(MORTALITY!$A:$A),"",IFERROR((1000*G96-H96*F96)/E96,0))</f>
        <v/>
      </c>
    </row>
    <row r="97" customFormat="false" ht="15" hidden="false" customHeight="false" outlineLevel="0" collapsed="false">
      <c r="A97" s="1" t="str">
        <f aca="false">IF(Inputs!$B$7+94-1&gt;MAX(MORTALITY!$A:$A),"",Inputs!$B$7)</f>
        <v/>
      </c>
      <c r="B97" s="1" t="str">
        <f aca="false">IF(Inputs!$B$7+94-1&gt;MAX(MORTALITY!$A:$A),"",94)</f>
        <v/>
      </c>
      <c r="C97" s="6" t="str">
        <f aca="false">IF(Inputs!$B$7+94-1&gt;MAX(MORTALITY!$A:$A),"",Inputs!$B$7+94-1)</f>
        <v/>
      </c>
      <c r="D97" s="12" t="str">
        <f aca="false">IF(C97="","",INDEX(Commutation!$K:$K,MATCH(C97,Commutation!$A:$A,0)))</f>
        <v/>
      </c>
      <c r="E97" s="13" t="str">
        <f aca="false">IF(Inputs!$B$7+94-1&gt;MAX(MORTALITY!$A:$A),"",IFERROR(INDEX(Commutation!$F:$F,MATCH(C97,Commutation!$A:$A,0)),0))</f>
        <v/>
      </c>
      <c r="F97" s="13" t="str">
        <f aca="false">IF(Inputs!$B$7+94-1&gt;MAX(MORTALITY!$A:$A),"",IFERROR(INDEX(Commutation!$H:$H,MATCH(C97+1,Commutation!$A:$A,0)),0))</f>
        <v/>
      </c>
      <c r="G97" s="13" t="str">
        <f aca="false">IF(Inputs!$B$7+94-1&gt;MAX(MORTALITY!$A:$A),"",IFERROR(INDEX(Commutation!$I:$I,MATCH(C97,Commutation!$A:$A,0)),0))</f>
        <v/>
      </c>
      <c r="H97" s="13" t="str">
        <f aca="false">IF(Inputs!$B$7+94-1&gt;MAX(MORTALITY!$A:$A),"",IFERROR(1000*INDEX(Commutation!$I:$I,MATCH(Inputs!$B$7,Commutation!$A:$A,0))/INDEX(Commutation!$H:$H,MATCH(Inputs!$B$7,Commutation!$A:$A,0)),0))</f>
        <v/>
      </c>
      <c r="I97" s="13" t="str">
        <f aca="false">IF(Inputs!$B$7+94-1&gt;MAX(MORTALITY!$A:$A),"",IFERROR((1000*G97-H97*F97)/E97,0))</f>
        <v/>
      </c>
    </row>
    <row r="98" customFormat="false" ht="15" hidden="false" customHeight="false" outlineLevel="0" collapsed="false">
      <c r="A98" s="1" t="str">
        <f aca="false">IF(Inputs!$B$7+95-1&gt;MAX(MORTALITY!$A:$A),"",Inputs!$B$7)</f>
        <v/>
      </c>
      <c r="B98" s="1" t="str">
        <f aca="false">IF(Inputs!$B$7+95-1&gt;MAX(MORTALITY!$A:$A),"",95)</f>
        <v/>
      </c>
      <c r="C98" s="6" t="str">
        <f aca="false">IF(Inputs!$B$7+95-1&gt;MAX(MORTALITY!$A:$A),"",Inputs!$B$7+95-1)</f>
        <v/>
      </c>
      <c r="D98" s="12" t="str">
        <f aca="false">IF(C98="","",INDEX(Commutation!$K:$K,MATCH(C98,Commutation!$A:$A,0)))</f>
        <v/>
      </c>
      <c r="E98" s="13" t="str">
        <f aca="false">IF(Inputs!$B$7+95-1&gt;MAX(MORTALITY!$A:$A),"",IFERROR(INDEX(Commutation!$F:$F,MATCH(C98,Commutation!$A:$A,0)),0))</f>
        <v/>
      </c>
      <c r="F98" s="13" t="str">
        <f aca="false">IF(Inputs!$B$7+95-1&gt;MAX(MORTALITY!$A:$A),"",IFERROR(INDEX(Commutation!$H:$H,MATCH(C98+1,Commutation!$A:$A,0)),0))</f>
        <v/>
      </c>
      <c r="G98" s="13" t="str">
        <f aca="false">IF(Inputs!$B$7+95-1&gt;MAX(MORTALITY!$A:$A),"",IFERROR(INDEX(Commutation!$I:$I,MATCH(C98,Commutation!$A:$A,0)),0))</f>
        <v/>
      </c>
      <c r="H98" s="13" t="str">
        <f aca="false">IF(Inputs!$B$7+95-1&gt;MAX(MORTALITY!$A:$A),"",IFERROR(1000*INDEX(Commutation!$I:$I,MATCH(Inputs!$B$7,Commutation!$A:$A,0))/INDEX(Commutation!$H:$H,MATCH(Inputs!$B$7,Commutation!$A:$A,0)),0))</f>
        <v/>
      </c>
      <c r="I98" s="13" t="str">
        <f aca="false">IF(Inputs!$B$7+95-1&gt;MAX(MORTALITY!$A:$A),"",IFERROR((1000*G98-H98*F98)/E98,0))</f>
        <v/>
      </c>
    </row>
    <row r="99" customFormat="false" ht="15" hidden="false" customHeight="false" outlineLevel="0" collapsed="false">
      <c r="A99" s="1" t="str">
        <f aca="false">IF(Inputs!$B$7+96-1&gt;MAX(MORTALITY!$A:$A),"",Inputs!$B$7)</f>
        <v/>
      </c>
      <c r="B99" s="1" t="str">
        <f aca="false">IF(Inputs!$B$7+96-1&gt;MAX(MORTALITY!$A:$A),"",96)</f>
        <v/>
      </c>
      <c r="C99" s="6" t="str">
        <f aca="false">IF(Inputs!$B$7+96-1&gt;MAX(MORTALITY!$A:$A),"",Inputs!$B$7+96-1)</f>
        <v/>
      </c>
      <c r="D99" s="12" t="str">
        <f aca="false">IF(C99="","",INDEX(Commutation!$K:$K,MATCH(C99,Commutation!$A:$A,0)))</f>
        <v/>
      </c>
      <c r="E99" s="13" t="str">
        <f aca="false">IF(Inputs!$B$7+96-1&gt;MAX(MORTALITY!$A:$A),"",IFERROR(INDEX(Commutation!$F:$F,MATCH(C99,Commutation!$A:$A,0)),0))</f>
        <v/>
      </c>
      <c r="F99" s="13" t="str">
        <f aca="false">IF(Inputs!$B$7+96-1&gt;MAX(MORTALITY!$A:$A),"",IFERROR(INDEX(Commutation!$H:$H,MATCH(C99+1,Commutation!$A:$A,0)),0))</f>
        <v/>
      </c>
      <c r="G99" s="13" t="str">
        <f aca="false">IF(Inputs!$B$7+96-1&gt;MAX(MORTALITY!$A:$A),"",IFERROR(INDEX(Commutation!$I:$I,MATCH(C99,Commutation!$A:$A,0)),0))</f>
        <v/>
      </c>
      <c r="H99" s="13" t="str">
        <f aca="false">IF(Inputs!$B$7+96-1&gt;MAX(MORTALITY!$A:$A),"",IFERROR(1000*INDEX(Commutation!$I:$I,MATCH(Inputs!$B$7,Commutation!$A:$A,0))/INDEX(Commutation!$H:$H,MATCH(Inputs!$B$7,Commutation!$A:$A,0)),0))</f>
        <v/>
      </c>
      <c r="I99" s="13" t="str">
        <f aca="false">IF(Inputs!$B$7+96-1&gt;MAX(MORTALITY!$A:$A),"",IFERROR((1000*G99-H99*F99)/E99,0))</f>
        <v/>
      </c>
    </row>
    <row r="100" customFormat="false" ht="15" hidden="false" customHeight="false" outlineLevel="0" collapsed="false">
      <c r="A100" s="1" t="str">
        <f aca="false">IF(Inputs!$B$7+97-1&gt;MAX(MORTALITY!$A:$A),"",Inputs!$B$7)</f>
        <v/>
      </c>
      <c r="B100" s="1" t="str">
        <f aca="false">IF(Inputs!$B$7+97-1&gt;MAX(MORTALITY!$A:$A),"",97)</f>
        <v/>
      </c>
      <c r="C100" s="6" t="str">
        <f aca="false">IF(Inputs!$B$7+97-1&gt;MAX(MORTALITY!$A:$A),"",Inputs!$B$7+97-1)</f>
        <v/>
      </c>
      <c r="D100" s="12" t="str">
        <f aca="false">IF(C100="","",INDEX(Commutation!$K:$K,MATCH(C100,Commutation!$A:$A,0)))</f>
        <v/>
      </c>
      <c r="E100" s="13" t="str">
        <f aca="false">IF(Inputs!$B$7+97-1&gt;MAX(MORTALITY!$A:$A),"",IFERROR(INDEX(Commutation!$F:$F,MATCH(C100,Commutation!$A:$A,0)),0))</f>
        <v/>
      </c>
      <c r="F100" s="13" t="str">
        <f aca="false">IF(Inputs!$B$7+97-1&gt;MAX(MORTALITY!$A:$A),"",IFERROR(INDEX(Commutation!$H:$H,MATCH(C100+1,Commutation!$A:$A,0)),0))</f>
        <v/>
      </c>
      <c r="G100" s="13" t="str">
        <f aca="false">IF(Inputs!$B$7+97-1&gt;MAX(MORTALITY!$A:$A),"",IFERROR(INDEX(Commutation!$I:$I,MATCH(C100,Commutation!$A:$A,0)),0))</f>
        <v/>
      </c>
      <c r="H100" s="13" t="str">
        <f aca="false">IF(Inputs!$B$7+97-1&gt;MAX(MORTALITY!$A:$A),"",IFERROR(1000*INDEX(Commutation!$I:$I,MATCH(Inputs!$B$7,Commutation!$A:$A,0))/INDEX(Commutation!$H:$H,MATCH(Inputs!$B$7,Commutation!$A:$A,0)),0))</f>
        <v/>
      </c>
      <c r="I100" s="13" t="str">
        <f aca="false">IF(Inputs!$B$7+97-1&gt;MAX(MORTALITY!$A:$A),"",IFERROR((1000*G100-H100*F100)/E100,0))</f>
        <v/>
      </c>
    </row>
    <row r="101" customFormat="false" ht="15" hidden="false" customHeight="false" outlineLevel="0" collapsed="false">
      <c r="A101" s="1" t="str">
        <f aca="false">IF(Inputs!$B$7+98-1&gt;MAX(MORTALITY!$A:$A),"",Inputs!$B$7)</f>
        <v/>
      </c>
      <c r="B101" s="1" t="str">
        <f aca="false">IF(Inputs!$B$7+98-1&gt;MAX(MORTALITY!$A:$A),"",98)</f>
        <v/>
      </c>
      <c r="C101" s="6" t="str">
        <f aca="false">IF(Inputs!$B$7+98-1&gt;MAX(MORTALITY!$A:$A),"",Inputs!$B$7+98-1)</f>
        <v/>
      </c>
      <c r="D101" s="12" t="str">
        <f aca="false">IF(C101="","",INDEX(Commutation!$K:$K,MATCH(C101,Commutation!$A:$A,0)))</f>
        <v/>
      </c>
      <c r="E101" s="13" t="str">
        <f aca="false">IF(Inputs!$B$7+98-1&gt;MAX(MORTALITY!$A:$A),"",IFERROR(INDEX(Commutation!$F:$F,MATCH(C101,Commutation!$A:$A,0)),0))</f>
        <v/>
      </c>
      <c r="F101" s="13" t="str">
        <f aca="false">IF(Inputs!$B$7+98-1&gt;MAX(MORTALITY!$A:$A),"",IFERROR(INDEX(Commutation!$H:$H,MATCH(C101+1,Commutation!$A:$A,0)),0))</f>
        <v/>
      </c>
      <c r="G101" s="13" t="str">
        <f aca="false">IF(Inputs!$B$7+98-1&gt;MAX(MORTALITY!$A:$A),"",IFERROR(INDEX(Commutation!$I:$I,MATCH(C101,Commutation!$A:$A,0)),0))</f>
        <v/>
      </c>
      <c r="H101" s="13" t="str">
        <f aca="false">IF(Inputs!$B$7+98-1&gt;MAX(MORTALITY!$A:$A),"",IFERROR(1000*INDEX(Commutation!$I:$I,MATCH(Inputs!$B$7,Commutation!$A:$A,0))/INDEX(Commutation!$H:$H,MATCH(Inputs!$B$7,Commutation!$A:$A,0)),0))</f>
        <v/>
      </c>
      <c r="I101" s="13" t="str">
        <f aca="false">IF(Inputs!$B$7+98-1&gt;MAX(MORTALITY!$A:$A),"",IFERROR((1000*G101-H101*F101)/E101,0))</f>
        <v/>
      </c>
    </row>
    <row r="102" customFormat="false" ht="15" hidden="false" customHeight="false" outlineLevel="0" collapsed="false">
      <c r="A102" s="1" t="str">
        <f aca="false">IF(Inputs!$B$7+99-1&gt;MAX(MORTALITY!$A:$A),"",Inputs!$B$7)</f>
        <v/>
      </c>
      <c r="B102" s="1" t="str">
        <f aca="false">IF(Inputs!$B$7+99-1&gt;MAX(MORTALITY!$A:$A),"",99)</f>
        <v/>
      </c>
      <c r="C102" s="6" t="str">
        <f aca="false">IF(Inputs!$B$7+99-1&gt;MAX(MORTALITY!$A:$A),"",Inputs!$B$7+99-1)</f>
        <v/>
      </c>
      <c r="D102" s="12" t="str">
        <f aca="false">IF(C102="","",INDEX(Commutation!$K:$K,MATCH(C102,Commutation!$A:$A,0)))</f>
        <v/>
      </c>
      <c r="E102" s="13" t="str">
        <f aca="false">IF(Inputs!$B$7+99-1&gt;MAX(MORTALITY!$A:$A),"",IFERROR(INDEX(Commutation!$F:$F,MATCH(C102,Commutation!$A:$A,0)),0))</f>
        <v/>
      </c>
      <c r="F102" s="13" t="str">
        <f aca="false">IF(Inputs!$B$7+99-1&gt;MAX(MORTALITY!$A:$A),"",IFERROR(INDEX(Commutation!$H:$H,MATCH(C102+1,Commutation!$A:$A,0)),0))</f>
        <v/>
      </c>
      <c r="G102" s="13" t="str">
        <f aca="false">IF(Inputs!$B$7+99-1&gt;MAX(MORTALITY!$A:$A),"",IFERROR(INDEX(Commutation!$I:$I,MATCH(C102,Commutation!$A:$A,0)),0))</f>
        <v/>
      </c>
      <c r="H102" s="13" t="str">
        <f aca="false">IF(Inputs!$B$7+99-1&gt;MAX(MORTALITY!$A:$A),"",IFERROR(1000*INDEX(Commutation!$I:$I,MATCH(Inputs!$B$7,Commutation!$A:$A,0))/INDEX(Commutation!$H:$H,MATCH(Inputs!$B$7,Commutation!$A:$A,0)),0))</f>
        <v/>
      </c>
      <c r="I102" s="13" t="str">
        <f aca="false">IF(Inputs!$B$7+99-1&gt;MAX(MORTALITY!$A:$A),"",IFERROR((1000*G102-H102*F102)/E102,0))</f>
        <v/>
      </c>
    </row>
    <row r="103" customFormat="false" ht="15" hidden="false" customHeight="false" outlineLevel="0" collapsed="false">
      <c r="A103" s="1" t="str">
        <f aca="false">IF(Inputs!$B$7+100-1&gt;MAX(MORTALITY!$A:$A),"",Inputs!$B$7)</f>
        <v/>
      </c>
      <c r="B103" s="1" t="str">
        <f aca="false">IF(Inputs!$B$7+100-1&gt;MAX(MORTALITY!$A:$A),"",100)</f>
        <v/>
      </c>
      <c r="C103" s="6" t="str">
        <f aca="false">IF(Inputs!$B$7+100-1&gt;MAX(MORTALITY!$A:$A),"",Inputs!$B$7+100-1)</f>
        <v/>
      </c>
      <c r="D103" s="12" t="str">
        <f aca="false">IF(C103="","",INDEX(Commutation!$K:$K,MATCH(C103,Commutation!$A:$A,0)))</f>
        <v/>
      </c>
      <c r="E103" s="13" t="str">
        <f aca="false">IF(Inputs!$B$7+100-1&gt;MAX(MORTALITY!$A:$A),"",IFERROR(INDEX(Commutation!$F:$F,MATCH(C103,Commutation!$A:$A,0)),0))</f>
        <v/>
      </c>
      <c r="F103" s="13" t="str">
        <f aca="false">IF(Inputs!$B$7+100-1&gt;MAX(MORTALITY!$A:$A),"",IFERROR(INDEX(Commutation!$H:$H,MATCH(C103+1,Commutation!$A:$A,0)),0))</f>
        <v/>
      </c>
      <c r="G103" s="13" t="str">
        <f aca="false">IF(Inputs!$B$7+100-1&gt;MAX(MORTALITY!$A:$A),"",IFERROR(INDEX(Commutation!$I:$I,MATCH(C103,Commutation!$A:$A,0)),0))</f>
        <v/>
      </c>
      <c r="H103" s="13" t="str">
        <f aca="false">IF(Inputs!$B$7+100-1&gt;MAX(MORTALITY!$A:$A),"",IFERROR(1000*INDEX(Commutation!$I:$I,MATCH(Inputs!$B$7,Commutation!$A:$A,0))/INDEX(Commutation!$H:$H,MATCH(Inputs!$B$7,Commutation!$A:$A,0)),0))</f>
        <v/>
      </c>
      <c r="I103" s="13" t="str">
        <f aca="false">IF(Inputs!$B$7+100-1&gt;MAX(MORTALITY!$A:$A),"",IFERROR((1000*G103-H103*F103)/E103,0))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1" width="18.73"/>
    <col collapsed="false" customWidth="true" hidden="false" outlineLevel="0" max="3" min="3" style="1" width="12.45"/>
    <col collapsed="false" customWidth="true" hidden="false" outlineLevel="0" max="4" min="4" style="1" width="10.27"/>
    <col collapsed="false" customWidth="true" hidden="false" outlineLevel="0" max="6" min="6" style="1" width="12.45"/>
  </cols>
  <sheetData>
    <row r="1" customFormat="false" ht="1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1" t="s">
        <v>93</v>
      </c>
      <c r="B2" s="1" t="s">
        <v>127</v>
      </c>
      <c r="C2" s="1" t="s">
        <v>103</v>
      </c>
      <c r="D2" s="1" t="s">
        <v>128</v>
      </c>
      <c r="E2" s="1" t="s">
        <v>129</v>
      </c>
    </row>
    <row r="3" customFormat="false" ht="15" hidden="false" customHeight="false" outlineLevel="0" collapsed="false">
      <c r="A3" s="1" t="n">
        <v>0</v>
      </c>
      <c r="B3" s="1" t="n">
        <f aca="false">IFERROR(IF(C3=1,ETI!$B$7,ETI!$B$7*C3+ETI!$B$7*(1-C3)*B4),"")</f>
        <v>0.1930839393286</v>
      </c>
      <c r="C3" s="9" t="n">
        <f aca="false">IFERROR(IF(Inputs!$B$6="Male",INDEX(MORTALITY!$B:$B,MATCH(A3,MORTALITY!$A:$A,0)),INDEX(MORTALITY!$E:$E,MATCH(A3,MORTALITY!$D:$D,0))),"")</f>
        <v>0.00376</v>
      </c>
      <c r="D3" s="1" t="n">
        <f aca="false">IFERROR(ETI!$B$7*C3,"")</f>
        <v>0.00366829268292683</v>
      </c>
      <c r="E3" s="1" t="n">
        <v>1</v>
      </c>
    </row>
    <row r="4" customFormat="false" ht="15" hidden="false" customHeight="false" outlineLevel="0" collapsed="false">
      <c r="A4" s="1" t="n">
        <f aca="false">IF(A3&gt;=MAX(MORTALITY!$A:$A),"",A3+1)</f>
        <v>1</v>
      </c>
      <c r="B4" s="1" t="n">
        <f aca="false">IF(A4="","",IFERROR(IF(C4=1,ETI!$B$7,ETI!$B$7*C4+ETI!$B$7*(1-C4)*B5),""))</f>
        <v>0.194883800903211</v>
      </c>
      <c r="C4" s="9" t="n">
        <f aca="false">IF(A4="","",IFERROR(IF(Inputs!$B$6="Male",INDEX(MORTALITY!$B:$B,MATCH(A4,MORTALITY!$A:$A,0)),INDEX(MORTALITY!$E:$E,MATCH(A4,MORTALITY!$D:$D,0))),""))</f>
        <v>0.00162</v>
      </c>
      <c r="D4" s="1" t="n">
        <f aca="false">IF(A4="","",IFERROR(ETI!$B$7*C4,""))</f>
        <v>0.00158048780487805</v>
      </c>
      <c r="E4" s="14" t="n">
        <f aca="false">IF(A4="","",D4*(1-C3))</f>
        <v>0.00157454517073171</v>
      </c>
    </row>
    <row r="5" customFormat="false" ht="15" hidden="false" customHeight="false" outlineLevel="0" collapsed="false">
      <c r="A5" s="1" t="n">
        <f aca="false">IF(A4&gt;=MAX(MORTALITY!$A:$A),"",A4+1)</f>
        <v>2</v>
      </c>
      <c r="B5" s="1" t="n">
        <f aca="false">IF(A5="","",IFERROR(IF(C5=1,ETI!$B$7,ETI!$B$7*C5+ETI!$B$7*(1-C5)*B6),""))</f>
        <v>0.198457396908783</v>
      </c>
      <c r="C5" s="9" t="n">
        <f aca="false">IF(A5="","",IFERROR(IF(Inputs!$B$6="Male",INDEX(MORTALITY!$B:$B,MATCH(A5,MORTALITY!$A:$A,0)),INDEX(MORTALITY!$E:$E,MATCH(A5,MORTALITY!$D:$D,0))),""))</f>
        <v>0.00156</v>
      </c>
      <c r="D5" s="1" t="n">
        <f aca="false">IF(A5="","",IFERROR(ETI!$B$7*C5,""))</f>
        <v>0.0015219512195122</v>
      </c>
      <c r="E5" s="14" t="n">
        <f aca="false">IF(A5="","",D5*(1-C4))</f>
        <v>0.00151948565853659</v>
      </c>
    </row>
    <row r="6" customFormat="false" ht="15" hidden="false" customHeight="false" outlineLevel="0" collapsed="false">
      <c r="A6" s="1" t="n">
        <f aca="false">IF(A5&gt;=MAX(MORTALITY!$A:$A),"",A5+1)</f>
        <v>3</v>
      </c>
      <c r="B6" s="1" t="n">
        <f aca="false">IF(A6="","",IFERROR(IF(C6=1,ETI!$B$7,ETI!$B$7*C6+ETI!$B$7*(1-C6)*B7),""))</f>
        <v>0.20217422362035</v>
      </c>
      <c r="C6" s="9" t="n">
        <f aca="false">IF(A6="","",IFERROR(IF(Inputs!$B$6="Male",INDEX(MORTALITY!$B:$B,MATCH(A6,MORTALITY!$A:$A,0)),INDEX(MORTALITY!$E:$E,MATCH(A6,MORTALITY!$D:$D,0))),""))</f>
        <v>0.00154</v>
      </c>
      <c r="D6" s="1" t="n">
        <f aca="false">IF(A6="","",IFERROR(ETI!$B$7*C6,""))</f>
        <v>0.00150243902439024</v>
      </c>
      <c r="E6" s="14" t="n">
        <f aca="false">IF(A6="","",D6*(1-C5))</f>
        <v>0.0015000952195122</v>
      </c>
    </row>
    <row r="7" customFormat="false" ht="15" hidden="false" customHeight="false" outlineLevel="0" collapsed="false">
      <c r="A7" s="1" t="n">
        <f aca="false">IF(A6&gt;=MAX(MORTALITY!$A:$A),"",A6+1)</f>
        <v>4</v>
      </c>
      <c r="B7" s="1" t="n">
        <f aca="false">IF(A7="","",IFERROR(IF(C7=1,ETI!$B$7,ETI!$B$7*C7+ETI!$B$7*(1-C7)*B8),""))</f>
        <v>0.206005828186266</v>
      </c>
      <c r="C7" s="9" t="n">
        <f aca="false">IF(A7="","",IFERROR(IF(Inputs!$B$6="Male",INDEX(MORTALITY!$B:$B,MATCH(A7,MORTALITY!$A:$A,0)),INDEX(MORTALITY!$E:$E,MATCH(A7,MORTALITY!$D:$D,0))),""))</f>
        <v>0.00152</v>
      </c>
      <c r="D7" s="1" t="n">
        <f aca="false">IF(A7="","",IFERROR(ETI!$B$7*C7,""))</f>
        <v>0.00148292682926829</v>
      </c>
      <c r="E7" s="14" t="n">
        <f aca="false">IF(A7="","",D7*(1-C6))</f>
        <v>0.00148064312195122</v>
      </c>
    </row>
    <row r="8" customFormat="false" ht="15" hidden="false" customHeight="false" outlineLevel="0" collapsed="false">
      <c r="A8" s="1" t="n">
        <f aca="false">IF(A7&gt;=MAX(MORTALITY!$A:$A),"",A7+1)</f>
        <v>5</v>
      </c>
      <c r="B8" s="1" t="n">
        <f aca="false">IF(A8="","",IFERROR(IF(C8=1,ETI!$B$7,ETI!$B$7*C8+ETI!$B$7*(1-C8)*B9),""))</f>
        <v>0.209955105651513</v>
      </c>
      <c r="C8" s="9" t="n">
        <f aca="false">IF(A8="","",IFERROR(IF(Inputs!$B$6="Male",INDEX(MORTALITY!$B:$B,MATCH(A8,MORTALITY!$A:$A,0)),INDEX(MORTALITY!$E:$E,MATCH(A8,MORTALITY!$D:$D,0))),""))</f>
        <v>0.00151</v>
      </c>
      <c r="D8" s="1" t="n">
        <f aca="false">IF(A8="","",IFERROR(ETI!$B$7*C8,""))</f>
        <v>0.00147317073170732</v>
      </c>
      <c r="E8" s="14" t="n">
        <f aca="false">IF(A8="","",D8*(1-C7))</f>
        <v>0.00147093151219512</v>
      </c>
    </row>
    <row r="9" customFormat="false" ht="15" hidden="false" customHeight="false" outlineLevel="0" collapsed="false">
      <c r="A9" s="1" t="n">
        <f aca="false">IF(A8&gt;=MAX(MORTALITY!$A:$A),"",A8+1)</f>
        <v>6</v>
      </c>
      <c r="B9" s="1" t="n">
        <f aca="false">IF(A9="","",IFERROR(IF(C9=1,ETI!$B$7,ETI!$B$7*C9+ETI!$B$7*(1-C9)*B10),""))</f>
        <v>0.214017149188075</v>
      </c>
      <c r="C9" s="9" t="n">
        <f aca="false">IF(A9="","",IFERROR(IF(Inputs!$B$6="Male",INDEX(MORTALITY!$B:$B,MATCH(A9,MORTALITY!$A:$A,0)),INDEX(MORTALITY!$E:$E,MATCH(A9,MORTALITY!$D:$D,0))),""))</f>
        <v>0.00148</v>
      </c>
      <c r="D9" s="1" t="n">
        <f aca="false">IF(A9="","",IFERROR(ETI!$B$7*C9,""))</f>
        <v>0.00144390243902439</v>
      </c>
      <c r="E9" s="14" t="n">
        <f aca="false">IF(A9="","",D9*(1-C8))</f>
        <v>0.00144172214634146</v>
      </c>
    </row>
    <row r="10" customFormat="false" ht="15" hidden="false" customHeight="false" outlineLevel="0" collapsed="false">
      <c r="A10" s="1" t="n">
        <f aca="false">IF(A9&gt;=MAX(MORTALITY!$A:$A),"",A9+1)</f>
        <v>7</v>
      </c>
      <c r="B10" s="1" t="n">
        <f aca="false">IF(A10="","",IFERROR(IF(C10=1,ETI!$B$7,ETI!$B$7*C10+ETI!$B$7*(1-C10)*B11),""))</f>
        <v>0.218210529501439</v>
      </c>
      <c r="C10" s="9" t="n">
        <f aca="false">IF(A10="","",IFERROR(IF(Inputs!$B$6="Male",INDEX(MORTALITY!$B:$B,MATCH(A10,MORTALITY!$A:$A,0)),INDEX(MORTALITY!$E:$E,MATCH(A10,MORTALITY!$D:$D,0))),""))</f>
        <v>0.00147</v>
      </c>
      <c r="D10" s="1" t="n">
        <f aca="false">IF(A10="","",IFERROR(ETI!$B$7*C10,""))</f>
        <v>0.00143414634146341</v>
      </c>
      <c r="E10" s="14" t="n">
        <f aca="false">IF(A10="","",D10*(1-C9))</f>
        <v>0.00143202380487805</v>
      </c>
    </row>
    <row r="11" customFormat="false" ht="15" hidden="false" customHeight="false" outlineLevel="0" collapsed="false">
      <c r="A11" s="1" t="n">
        <f aca="false">IF(A10&gt;=MAX(MORTALITY!$A:$A),"",A10+1)</f>
        <v>8</v>
      </c>
      <c r="B11" s="1" t="n">
        <f aca="false">IF(A11="","",IFERROR(IF(C11=1,ETI!$B$7,ETI!$B$7*C11+ETI!$B$7*(1-C11)*B12),""))</f>
        <v>0.222522901404039</v>
      </c>
      <c r="C11" s="9" t="n">
        <f aca="false">IF(A11="","",IFERROR(IF(Inputs!$B$6="Male",INDEX(MORTALITY!$B:$B,MATCH(A11,MORTALITY!$A:$A,0)),INDEX(MORTALITY!$E:$E,MATCH(A11,MORTALITY!$D:$D,0))),""))</f>
        <v>0.00145</v>
      </c>
      <c r="D11" s="1" t="n">
        <f aca="false">IF(A11="","",IFERROR(ETI!$B$7*C11,""))</f>
        <v>0.00141463414634146</v>
      </c>
      <c r="E11" s="14" t="n">
        <f aca="false">IF(A11="","",D11*(1-C10))</f>
        <v>0.00141255463414634</v>
      </c>
    </row>
    <row r="12" customFormat="false" ht="15" hidden="false" customHeight="false" outlineLevel="0" collapsed="false">
      <c r="A12" s="1" t="n">
        <f aca="false">IF(A11&gt;=MAX(MORTALITY!$A:$A),"",A11+1)</f>
        <v>9</v>
      </c>
      <c r="B12" s="1" t="n">
        <f aca="false">IF(A12="","",IFERROR(IF(C12=1,ETI!$B$7,ETI!$B$7*C12+ETI!$B$7*(1-C12)*B13),""))</f>
        <v>0.226965073295418</v>
      </c>
      <c r="C12" s="9" t="n">
        <f aca="false">IF(A12="","",IFERROR(IF(Inputs!$B$6="Male",INDEX(MORTALITY!$B:$B,MATCH(A12,MORTALITY!$A:$A,0)),INDEX(MORTALITY!$E:$E,MATCH(A12,MORTALITY!$D:$D,0))),""))</f>
        <v>0.00144</v>
      </c>
      <c r="D12" s="1" t="n">
        <f aca="false">IF(A12="","",IFERROR(ETI!$B$7*C12,""))</f>
        <v>0.00140487804878049</v>
      </c>
      <c r="E12" s="14" t="n">
        <f aca="false">IF(A12="","",D12*(1-C11))</f>
        <v>0.00140284097560976</v>
      </c>
    </row>
    <row r="13" customFormat="false" ht="15" hidden="false" customHeight="false" outlineLevel="0" collapsed="false">
      <c r="A13" s="1" t="n">
        <f aca="false">IF(A12&gt;=MAX(MORTALITY!$A:$A),"",A12+1)</f>
        <v>10</v>
      </c>
      <c r="B13" s="1" t="n">
        <f aca="false">IF(A13="","",IFERROR(IF(C13=1,ETI!$B$7,ETI!$B$7*C13+ETI!$B$7*(1-C13)*B14),""))</f>
        <v>0.231532607082001</v>
      </c>
      <c r="C13" s="9" t="n">
        <f aca="false">IF(A13="","",IFERROR(IF(Inputs!$B$6="Male",INDEX(MORTALITY!$B:$B,MATCH(A13,MORTALITY!$A:$A,0)),INDEX(MORTALITY!$E:$E,MATCH(A13,MORTALITY!$D:$D,0))),""))</f>
        <v>0.00143</v>
      </c>
      <c r="D13" s="1" t="n">
        <f aca="false">IF(A13="","",IFERROR(ETI!$B$7*C13,""))</f>
        <v>0.00139512195121951</v>
      </c>
      <c r="E13" s="14" t="n">
        <f aca="false">IF(A13="","",D13*(1-C12))</f>
        <v>0.00139311297560976</v>
      </c>
    </row>
    <row r="14" customFormat="false" ht="15" hidden="false" customHeight="false" outlineLevel="0" collapsed="false">
      <c r="A14" s="1" t="n">
        <f aca="false">IF(A13&gt;=MAX(MORTALITY!$A:$A),"",A13+1)</f>
        <v>11</v>
      </c>
      <c r="B14" s="1" t="n">
        <f aca="false">IF(A14="","",IFERROR(IF(C14=1,ETI!$B$7,ETI!$B$7*C14+ETI!$B$7*(1-C14)*B15),""))</f>
        <v>0.23622872934201</v>
      </c>
      <c r="C14" s="9" t="n">
        <f aca="false">IF(A14="","",IFERROR(IF(Inputs!$B$6="Male",INDEX(MORTALITY!$B:$B,MATCH(A14,MORTALITY!$A:$A,0)),INDEX(MORTALITY!$E:$E,MATCH(A14,MORTALITY!$D:$D,0))),""))</f>
        <v>0.00144</v>
      </c>
      <c r="D14" s="1" t="n">
        <f aca="false">IF(A14="","",IFERROR(ETI!$B$7*C14,""))</f>
        <v>0.00140487804878049</v>
      </c>
      <c r="E14" s="14" t="n">
        <f aca="false">IF(A14="","",D14*(1-C13))</f>
        <v>0.00140286907317073</v>
      </c>
    </row>
    <row r="15" customFormat="false" ht="15" hidden="false" customHeight="false" outlineLevel="0" collapsed="false">
      <c r="A15" s="1" t="n">
        <f aca="false">IF(A14&gt;=MAX(MORTALITY!$A:$A),"",A14+1)</f>
        <v>12</v>
      </c>
      <c r="B15" s="1" t="n">
        <f aca="false">IF(A15="","",IFERROR(IF(C15=1,ETI!$B$7,ETI!$B$7*C15+ETI!$B$7*(1-C15)*B16),""))</f>
        <v>0.241041547403822</v>
      </c>
      <c r="C15" s="9" t="n">
        <f aca="false">IF(A15="","",IFERROR(IF(Inputs!$B$6="Male",INDEX(MORTALITY!$B:$B,MATCH(A15,MORTALITY!$A:$A,0)),INDEX(MORTALITY!$E:$E,MATCH(A15,MORTALITY!$D:$D,0))),""))</f>
        <v>0.00147</v>
      </c>
      <c r="D15" s="1" t="n">
        <f aca="false">IF(A15="","",IFERROR(ETI!$B$7*C15,""))</f>
        <v>0.00143414634146341</v>
      </c>
      <c r="E15" s="14" t="n">
        <f aca="false">IF(A15="","",D15*(1-C14))</f>
        <v>0.00143208117073171</v>
      </c>
    </row>
    <row r="16" customFormat="false" ht="15" hidden="false" customHeight="false" outlineLevel="0" collapsed="false">
      <c r="A16" s="1" t="n">
        <f aca="false">IF(A15&gt;=MAX(MORTALITY!$A:$A),"",A15+1)</f>
        <v>13</v>
      </c>
      <c r="B16" s="1" t="n">
        <f aca="false">IF(A16="","",IFERROR(IF(C16=1,ETI!$B$7,ETI!$B$7*C16+ETI!$B$7*(1-C16)*B17),""))</f>
        <v>0.245959146033587</v>
      </c>
      <c r="C16" s="9" t="n">
        <f aca="false">IF(A16="","",IFERROR(IF(Inputs!$B$6="Male",INDEX(MORTALITY!$B:$B,MATCH(A16,MORTALITY!$A:$A,0)),INDEX(MORTALITY!$E:$E,MATCH(A16,MORTALITY!$D:$D,0))),""))</f>
        <v>0.0015</v>
      </c>
      <c r="D16" s="1" t="n">
        <f aca="false">IF(A16="","",IFERROR(ETI!$B$7*C16,""))</f>
        <v>0.00146341463414634</v>
      </c>
      <c r="E16" s="14" t="n">
        <f aca="false">IF(A16="","",D16*(1-C15))</f>
        <v>0.00146126341463415</v>
      </c>
    </row>
    <row r="17" customFormat="false" ht="15" hidden="false" customHeight="false" outlineLevel="0" collapsed="false">
      <c r="A17" s="1" t="n">
        <f aca="false">IF(A16&gt;=MAX(MORTALITY!$A:$A),"",A16+1)</f>
        <v>14</v>
      </c>
      <c r="B17" s="1" t="n">
        <f aca="false">IF(A17="","",IFERROR(IF(C17=1,ETI!$B$7,ETI!$B$7*C17+ETI!$B$7*(1-C17)*B18),""))</f>
        <v>0.250984601586807</v>
      </c>
      <c r="C17" s="9" t="n">
        <f aca="false">IF(A17="","",IFERROR(IF(Inputs!$B$6="Male",INDEX(MORTALITY!$B:$B,MATCH(A17,MORTALITY!$A:$A,0)),INDEX(MORTALITY!$E:$E,MATCH(A17,MORTALITY!$D:$D,0))),""))</f>
        <v>0.00155</v>
      </c>
      <c r="D17" s="1" t="n">
        <f aca="false">IF(A17="","",IFERROR(ETI!$B$7*C17,""))</f>
        <v>0.00151219512195122</v>
      </c>
      <c r="E17" s="14" t="n">
        <f aca="false">IF(A17="","",D17*(1-C16))</f>
        <v>0.00150992682926829</v>
      </c>
    </row>
    <row r="18" customFormat="false" ht="15" hidden="false" customHeight="false" outlineLevel="0" collapsed="false">
      <c r="A18" s="1" t="n">
        <f aca="false">IF(A17&gt;=MAX(MORTALITY!$A:$A),"",A17+1)</f>
        <v>15</v>
      </c>
      <c r="B18" s="1" t="n">
        <f aca="false">IF(A18="","",IFERROR(IF(C18=1,ETI!$B$7,ETI!$B$7*C18+ETI!$B$7*(1-C18)*B19),""))</f>
        <v>0.256106181207349</v>
      </c>
      <c r="C18" s="9" t="n">
        <f aca="false">IF(A18="","",IFERROR(IF(Inputs!$B$6="Male",INDEX(MORTALITY!$B:$B,MATCH(A18,MORTALITY!$A:$A,0)),INDEX(MORTALITY!$E:$E,MATCH(A18,MORTALITY!$D:$D,0))),""))</f>
        <v>0.0016</v>
      </c>
      <c r="D18" s="1" t="n">
        <f aca="false">IF(A18="","",IFERROR(ETI!$B$7*C18,""))</f>
        <v>0.0015609756097561</v>
      </c>
      <c r="E18" s="14" t="n">
        <f aca="false">IF(A18="","",D18*(1-C17))</f>
        <v>0.00155855609756098</v>
      </c>
    </row>
    <row r="19" customFormat="false" ht="15" hidden="false" customHeight="false" outlineLevel="0" collapsed="false">
      <c r="A19" s="1" t="n">
        <f aca="false">IF(A18&gt;=MAX(MORTALITY!$A:$A),"",A18+1)</f>
        <v>16</v>
      </c>
      <c r="B19" s="1" t="n">
        <f aca="false">IF(A19="","",IFERROR(IF(C19=1,ETI!$B$7,ETI!$B$7*C19+ETI!$B$7*(1-C19)*B20),""))</f>
        <v>0.261326958871727</v>
      </c>
      <c r="C19" s="9" t="n">
        <f aca="false">IF(A19="","",IFERROR(IF(Inputs!$B$6="Male",INDEX(MORTALITY!$B:$B,MATCH(A19,MORTALITY!$A:$A,0)),INDEX(MORTALITY!$E:$E,MATCH(A19,MORTALITY!$D:$D,0))),""))</f>
        <v>0.00165</v>
      </c>
      <c r="D19" s="1" t="n">
        <f aca="false">IF(A19="","",IFERROR(ETI!$B$7*C19,""))</f>
        <v>0.00160975609756098</v>
      </c>
      <c r="E19" s="14" t="n">
        <f aca="false">IF(A19="","",D19*(1-C18))</f>
        <v>0.00160718048780488</v>
      </c>
    </row>
    <row r="20" customFormat="false" ht="15" hidden="false" customHeight="false" outlineLevel="0" collapsed="false">
      <c r="A20" s="1" t="n">
        <f aca="false">IF(A19&gt;=MAX(MORTALITY!$A:$A),"",A19+1)</f>
        <v>17</v>
      </c>
      <c r="B20" s="1" t="n">
        <f aca="false">IF(A20="","",IFERROR(IF(C20=1,ETI!$B$7,ETI!$B$7*C20+ETI!$B$7*(1-C20)*B21),""))</f>
        <v>0.266650105517624</v>
      </c>
      <c r="C20" s="9" t="n">
        <f aca="false">IF(A20="","",IFERROR(IF(Inputs!$B$6="Male",INDEX(MORTALITY!$B:$B,MATCH(A20,MORTALITY!$A:$A,0)),INDEX(MORTALITY!$E:$E,MATCH(A20,MORTALITY!$D:$D,0))),""))</f>
        <v>0.0017</v>
      </c>
      <c r="D20" s="1" t="n">
        <f aca="false">IF(A20="","",IFERROR(ETI!$B$7*C20,""))</f>
        <v>0.00165853658536585</v>
      </c>
      <c r="E20" s="14" t="n">
        <f aca="false">IF(A20="","",D20*(1-C19))</f>
        <v>0.0016558</v>
      </c>
    </row>
    <row r="21" customFormat="false" ht="15" hidden="false" customHeight="false" outlineLevel="0" collapsed="false">
      <c r="A21" s="1" t="n">
        <f aca="false">IF(A20&gt;=MAX(MORTALITY!$A:$A),"",A20+1)</f>
        <v>18</v>
      </c>
      <c r="B21" s="1" t="n">
        <f aca="false">IF(A21="","",IFERROR(IF(C21=1,ETI!$B$7,ETI!$B$7*C21+ETI!$B$7*(1-C21)*B22),""))</f>
        <v>0.272078892272428</v>
      </c>
      <c r="C21" s="9" t="n">
        <f aca="false">IF(A21="","",IFERROR(IF(Inputs!$B$6="Male",INDEX(MORTALITY!$B:$B,MATCH(A21,MORTALITY!$A:$A,0)),INDEX(MORTALITY!$E:$E,MATCH(A21,MORTALITY!$D:$D,0))),""))</f>
        <v>0.00173</v>
      </c>
      <c r="D21" s="1" t="n">
        <f aca="false">IF(A21="","",IFERROR(ETI!$B$7*C21,""))</f>
        <v>0.00168780487804878</v>
      </c>
      <c r="E21" s="14" t="n">
        <f aca="false">IF(A21="","",D21*(1-C20))</f>
        <v>0.0016849356097561</v>
      </c>
    </row>
    <row r="22" customFormat="false" ht="15" hidden="false" customHeight="false" outlineLevel="0" collapsed="false">
      <c r="A22" s="1" t="n">
        <f aca="false">IF(A21&gt;=MAX(MORTALITY!$A:$A),"",A21+1)</f>
        <v>19</v>
      </c>
      <c r="B22" s="1" t="n">
        <f aca="false">IF(A22="","",IFERROR(IF(C22=1,ETI!$B$7,ETI!$B$7*C22+ETI!$B$7*(1-C22)*B23),""))</f>
        <v>0.277631166497279</v>
      </c>
      <c r="C22" s="9" t="n">
        <f aca="false">IF(A22="","",IFERROR(IF(Inputs!$B$6="Male",INDEX(MORTALITY!$B:$B,MATCH(A22,MORTALITY!$A:$A,0)),INDEX(MORTALITY!$E:$E,MATCH(A22,MORTALITY!$D:$D,0))),""))</f>
        <v>0.00177</v>
      </c>
      <c r="D22" s="1" t="n">
        <f aca="false">IF(A22="","",IFERROR(ETI!$B$7*C22,""))</f>
        <v>0.00172682926829268</v>
      </c>
      <c r="E22" s="14" t="n">
        <f aca="false">IF(A22="","",D22*(1-C21))</f>
        <v>0.00172384185365854</v>
      </c>
    </row>
    <row r="23" customFormat="false" ht="15" hidden="false" customHeight="false" outlineLevel="0" collapsed="false">
      <c r="A23" s="1" t="n">
        <f aca="false">IF(A22&gt;=MAX(MORTALITY!$A:$A),"",A22+1)</f>
        <v>20</v>
      </c>
      <c r="B23" s="1" t="n">
        <f aca="false">IF(A23="","",IFERROR(IF(C23=1,ETI!$B$7,ETI!$B$7*C23+ETI!$B$7*(1-C23)*B24),""))</f>
        <v>0.283303392664727</v>
      </c>
      <c r="C23" s="9" t="n">
        <f aca="false">IF(A23="","",IFERROR(IF(Inputs!$B$6="Male",INDEX(MORTALITY!$B:$B,MATCH(A23,MORTALITY!$A:$A,0)),INDEX(MORTALITY!$E:$E,MATCH(A23,MORTALITY!$D:$D,0))),""))</f>
        <v>0.0018</v>
      </c>
      <c r="D23" s="1" t="n">
        <f aca="false">IF(A23="","",IFERROR(ETI!$B$7*C23,""))</f>
        <v>0.00175609756097561</v>
      </c>
      <c r="E23" s="14" t="n">
        <f aca="false">IF(A23="","",D23*(1-C22))</f>
        <v>0.00175298926829268</v>
      </c>
    </row>
    <row r="24" customFormat="false" ht="15" hidden="false" customHeight="false" outlineLevel="0" collapsed="false">
      <c r="A24" s="1" t="n">
        <f aca="false">IF(A23&gt;=MAX(MORTALITY!$A:$A),"",A23+1)</f>
        <v>21</v>
      </c>
      <c r="B24" s="1" t="n">
        <f aca="false">IF(A24="","",IFERROR(IF(C24=1,ETI!$B$7,ETI!$B$7*C24+ETI!$B$7*(1-C24)*B25),""))</f>
        <v>0.289106368945447</v>
      </c>
      <c r="C24" s="9" t="n">
        <f aca="false">IF(A24="","",IFERROR(IF(Inputs!$B$6="Male",INDEX(MORTALITY!$B:$B,MATCH(A24,MORTALITY!$A:$A,0)),INDEX(MORTALITY!$E:$E,MATCH(A24,MORTALITY!$D:$D,0))),""))</f>
        <v>0.00182</v>
      </c>
      <c r="D24" s="1" t="n">
        <f aca="false">IF(A24="","",IFERROR(ETI!$B$7*C24,""))</f>
        <v>0.00177560975609756</v>
      </c>
      <c r="E24" s="14" t="n">
        <f aca="false">IF(A24="","",D24*(1-C23))</f>
        <v>0.00177241365853659</v>
      </c>
    </row>
    <row r="25" customFormat="false" ht="15" hidden="false" customHeight="false" outlineLevel="0" collapsed="false">
      <c r="A25" s="1" t="n">
        <f aca="false">IF(A24&gt;=MAX(MORTALITY!$A:$A),"",A24+1)</f>
        <v>22</v>
      </c>
      <c r="B25" s="1" t="n">
        <f aca="false">IF(A25="","",IFERROR(IF(C25=1,ETI!$B$7,ETI!$B$7*C25+ETI!$B$7*(1-C25)*B26),""))</f>
        <v>0.295051021027353</v>
      </c>
      <c r="C25" s="9" t="n">
        <f aca="false">IF(A25="","",IFERROR(IF(Inputs!$B$6="Male",INDEX(MORTALITY!$B:$B,MATCH(A25,MORTALITY!$A:$A,0)),INDEX(MORTALITY!$E:$E,MATCH(A25,MORTALITY!$D:$D,0))),""))</f>
        <v>0.00184</v>
      </c>
      <c r="D25" s="1" t="n">
        <f aca="false">IF(A25="","",IFERROR(ETI!$B$7*C25,""))</f>
        <v>0.00179512195121951</v>
      </c>
      <c r="E25" s="14" t="n">
        <f aca="false">IF(A25="","",D25*(1-C24))</f>
        <v>0.00179185482926829</v>
      </c>
    </row>
    <row r="26" customFormat="false" ht="15" hidden="false" customHeight="false" outlineLevel="0" collapsed="false">
      <c r="A26" s="1" t="n">
        <f aca="false">IF(A25&gt;=MAX(MORTALITY!$A:$A),"",A25+1)</f>
        <v>23</v>
      </c>
      <c r="B26" s="1" t="n">
        <f aca="false">IF(A26="","",IFERROR(IF(C26=1,ETI!$B$7,ETI!$B$7*C26+ETI!$B$7*(1-C26)*B27),""))</f>
        <v>0.301141396723007</v>
      </c>
      <c r="C26" s="9" t="n">
        <f aca="false">IF(A26="","",IFERROR(IF(Inputs!$B$6="Male",INDEX(MORTALITY!$B:$B,MATCH(A26,MORTALITY!$A:$A,0)),INDEX(MORTALITY!$E:$E,MATCH(A26,MORTALITY!$D:$D,0))),""))</f>
        <v>0.00186</v>
      </c>
      <c r="D26" s="1" t="n">
        <f aca="false">IF(A26="","",IFERROR(ETI!$B$7*C26,""))</f>
        <v>0.00181463414634146</v>
      </c>
      <c r="E26" s="14" t="n">
        <f aca="false">IF(A26="","",D26*(1-C25))</f>
        <v>0.0018112952195122</v>
      </c>
    </row>
    <row r="27" customFormat="false" ht="15" hidden="false" customHeight="false" outlineLevel="0" collapsed="false">
      <c r="A27" s="1" t="n">
        <f aca="false">IF(A26&gt;=MAX(MORTALITY!$A:$A),"",A26+1)</f>
        <v>24</v>
      </c>
      <c r="B27" s="1" t="n">
        <f aca="false">IF(A27="","",IFERROR(IF(C27=1,ETI!$B$7,ETI!$B$7*C27+ETI!$B$7*(1-C27)*B28),""))</f>
        <v>0.307381661531531</v>
      </c>
      <c r="C27" s="9" t="n">
        <f aca="false">IF(A27="","",IFERROR(IF(Inputs!$B$6="Male",INDEX(MORTALITY!$B:$B,MATCH(A27,MORTALITY!$A:$A,0)),INDEX(MORTALITY!$E:$E,MATCH(A27,MORTALITY!$D:$D,0))),""))</f>
        <v>0.00189</v>
      </c>
      <c r="D27" s="1" t="n">
        <f aca="false">IF(A27="","",IFERROR(ETI!$B$7*C27,""))</f>
        <v>0.00184390243902439</v>
      </c>
      <c r="E27" s="14" t="n">
        <f aca="false">IF(A27="","",D27*(1-C26))</f>
        <v>0.00184047278048781</v>
      </c>
    </row>
    <row r="28" customFormat="false" ht="15" hidden="false" customHeight="false" outlineLevel="0" collapsed="false">
      <c r="A28" s="1" t="n">
        <f aca="false">IF(A27&gt;=MAX(MORTALITY!$A:$A),"",A27+1)</f>
        <v>25</v>
      </c>
      <c r="B28" s="1" t="n">
        <f aca="false">IF(A28="","",IFERROR(IF(C28=1,ETI!$B$7,ETI!$B$7*C28+ETI!$B$7*(1-C28)*B29),""))</f>
        <v>0.313769226908677</v>
      </c>
      <c r="C28" s="9" t="n">
        <f aca="false">IF(A28="","",IFERROR(IF(Inputs!$B$6="Male",INDEX(MORTALITY!$B:$B,MATCH(A28,MORTALITY!$A:$A,0)),INDEX(MORTALITY!$E:$E,MATCH(A28,MORTALITY!$D:$D,0))),""))</f>
        <v>0.00191</v>
      </c>
      <c r="D28" s="1" t="n">
        <f aca="false">IF(A28="","",IFERROR(ETI!$B$7*C28,""))</f>
        <v>0.00186341463414634</v>
      </c>
      <c r="E28" s="14" t="n">
        <f aca="false">IF(A28="","",D28*(1-C27))</f>
        <v>0.00185989278048781</v>
      </c>
    </row>
    <row r="29" customFormat="false" ht="15" hidden="false" customHeight="false" outlineLevel="0" collapsed="false">
      <c r="A29" s="1" t="n">
        <f aca="false">IF(A28&gt;=MAX(MORTALITY!$A:$A),"",A28+1)</f>
        <v>26</v>
      </c>
      <c r="B29" s="1" t="n">
        <f aca="false">IF(A29="","",IFERROR(IF(C29=1,ETI!$B$7,ETI!$B$7*C29+ETI!$B$7*(1-C29)*B30),""))</f>
        <v>0.320315259727473</v>
      </c>
      <c r="C29" s="9" t="n">
        <f aca="false">IF(A29="","",IFERROR(IF(Inputs!$B$6="Male",INDEX(MORTALITY!$B:$B,MATCH(A29,MORTALITY!$A:$A,0)),INDEX(MORTALITY!$E:$E,MATCH(A29,MORTALITY!$D:$D,0))),""))</f>
        <v>0.00194</v>
      </c>
      <c r="D29" s="1" t="n">
        <f aca="false">IF(A29="","",IFERROR(ETI!$B$7*C29,""))</f>
        <v>0.00189268292682927</v>
      </c>
      <c r="E29" s="14" t="n">
        <f aca="false">IF(A29="","",D29*(1-C28))</f>
        <v>0.00188906790243902</v>
      </c>
    </row>
    <row r="30" customFormat="false" ht="15" hidden="false" customHeight="false" outlineLevel="0" collapsed="false">
      <c r="A30" s="1" t="n">
        <f aca="false">IF(A29&gt;=MAX(MORTALITY!$A:$A),"",A29+1)</f>
        <v>27</v>
      </c>
      <c r="B30" s="1" t="n">
        <f aca="false">IF(A30="","",IFERROR(IF(C30=1,ETI!$B$7,ETI!$B$7*C30+ETI!$B$7*(1-C30)*B31),""))</f>
        <v>0.327017555277899</v>
      </c>
      <c r="C30" s="9" t="n">
        <f aca="false">IF(A30="","",IFERROR(IF(Inputs!$B$6="Male",INDEX(MORTALITY!$B:$B,MATCH(A30,MORTALITY!$A:$A,0)),INDEX(MORTALITY!$E:$E,MATCH(A30,MORTALITY!$D:$D,0))),""))</f>
        <v>0.00197</v>
      </c>
      <c r="D30" s="1" t="n">
        <f aca="false">IF(A30="","",IFERROR(ETI!$B$7*C30,""))</f>
        <v>0.0019219512195122</v>
      </c>
      <c r="E30" s="14" t="n">
        <f aca="false">IF(A30="","",D30*(1-C29))</f>
        <v>0.00191822263414634</v>
      </c>
    </row>
    <row r="31" customFormat="false" ht="15" hidden="false" customHeight="false" outlineLevel="0" collapsed="false">
      <c r="A31" s="1" t="n">
        <f aca="false">IF(A30&gt;=MAX(MORTALITY!$A:$A),"",A30+1)</f>
        <v>28</v>
      </c>
      <c r="B31" s="1" t="n">
        <f aca="false">IF(A31="","",IFERROR(IF(C31=1,ETI!$B$7,ETI!$B$7*C31+ETI!$B$7*(1-C31)*B32),""))</f>
        <v>0.333880739216102</v>
      </c>
      <c r="C31" s="9" t="n">
        <f aca="false">IF(A31="","",IFERROR(IF(Inputs!$B$6="Male",INDEX(MORTALITY!$B:$B,MATCH(A31,MORTALITY!$A:$A,0)),INDEX(MORTALITY!$E:$E,MATCH(A31,MORTALITY!$D:$D,0))),""))</f>
        <v>0.00201</v>
      </c>
      <c r="D31" s="1" t="n">
        <f aca="false">IF(A31="","",IFERROR(ETI!$B$7*C31,""))</f>
        <v>0.0019609756097561</v>
      </c>
      <c r="E31" s="14" t="n">
        <f aca="false">IF(A31="","",D31*(1-C30))</f>
        <v>0.00195711248780488</v>
      </c>
    </row>
    <row r="32" customFormat="false" ht="15" hidden="false" customHeight="false" outlineLevel="0" collapsed="false">
      <c r="A32" s="1" t="n">
        <f aca="false">IF(A31&gt;=MAX(MORTALITY!$A:$A),"",A31+1)</f>
        <v>29</v>
      </c>
      <c r="B32" s="1" t="n">
        <f aca="false">IF(A32="","",IFERROR(IF(C32=1,ETI!$B$7,ETI!$B$7*C32+ETI!$B$7*(1-C32)*B33),""))</f>
        <v>0.340902972671575</v>
      </c>
      <c r="C32" s="9" t="n">
        <f aca="false">IF(A32="","",IFERROR(IF(Inputs!$B$6="Male",INDEX(MORTALITY!$B:$B,MATCH(A32,MORTALITY!$A:$A,0)),INDEX(MORTALITY!$E:$E,MATCH(A32,MORTALITY!$D:$D,0))),""))</f>
        <v>0.00205</v>
      </c>
      <c r="D32" s="1" t="n">
        <f aca="false">IF(A32="","",IFERROR(ETI!$B$7*C32,""))</f>
        <v>0.002</v>
      </c>
      <c r="E32" s="14" t="n">
        <f aca="false">IF(A32="","",D32*(1-C31))</f>
        <v>0.00199598</v>
      </c>
    </row>
    <row r="33" customFormat="false" ht="15" hidden="false" customHeight="false" outlineLevel="0" collapsed="false">
      <c r="A33" s="1" t="n">
        <f aca="false">IF(A32&gt;=MAX(MORTALITY!$A:$A),"",A32+1)</f>
        <v>30</v>
      </c>
      <c r="B33" s="1" t="n">
        <f aca="false">IF(A33="","",IFERROR(IF(C33=1,ETI!$B$7,ETI!$B$7*C33+ETI!$B$7*(1-C33)*B34),""))</f>
        <v>0.348089129704258</v>
      </c>
      <c r="C33" s="9" t="n">
        <f aca="false">IF(A33="","",IFERROR(IF(Inputs!$B$6="Male",INDEX(MORTALITY!$B:$B,MATCH(A33,MORTALITY!$A:$A,0)),INDEX(MORTALITY!$E:$E,MATCH(A33,MORTALITY!$D:$D,0))),""))</f>
        <v>0.0021</v>
      </c>
      <c r="D33" s="1" t="n">
        <f aca="false">IF(A33="","",IFERROR(ETI!$B$7*C33,""))</f>
        <v>0.00204878048780488</v>
      </c>
      <c r="E33" s="14" t="n">
        <f aca="false">IF(A33="","",D33*(1-C32))</f>
        <v>0.00204458048780488</v>
      </c>
    </row>
    <row r="34" customFormat="false" ht="15" hidden="false" customHeight="false" outlineLevel="0" collapsed="false">
      <c r="A34" s="1" t="n">
        <f aca="false">IF(A33&gt;=MAX(MORTALITY!$A:$A),"",A33+1)</f>
        <v>31</v>
      </c>
      <c r="B34" s="1" t="n">
        <f aca="false">IF(A34="","",IFERROR(IF(C34=1,ETI!$B$7,ETI!$B$7*C34+ETI!$B$7*(1-C34)*B35),""))</f>
        <v>0.35543777727915</v>
      </c>
      <c r="C34" s="9" t="n">
        <f aca="false">IF(A34="","",IFERROR(IF(Inputs!$B$6="Male",INDEX(MORTALITY!$B:$B,MATCH(A34,MORTALITY!$A:$A,0)),INDEX(MORTALITY!$E:$E,MATCH(A34,MORTALITY!$D:$D,0))),""))</f>
        <v>0.00215</v>
      </c>
      <c r="D34" s="1" t="n">
        <f aca="false">IF(A34="","",IFERROR(ETI!$B$7*C34,""))</f>
        <v>0.00209756097560976</v>
      </c>
      <c r="E34" s="14" t="n">
        <f aca="false">IF(A34="","",D34*(1-C33))</f>
        <v>0.00209315609756098</v>
      </c>
    </row>
    <row r="35" customFormat="false" ht="15" hidden="false" customHeight="false" outlineLevel="0" collapsed="false">
      <c r="A35" s="1" t="n">
        <f aca="false">IF(A34&gt;=MAX(MORTALITY!$A:$A),"",A34+1)</f>
        <v>32</v>
      </c>
      <c r="B35" s="1" t="n">
        <f aca="false">IF(A35="","",IFERROR(IF(C35=1,ETI!$B$7,ETI!$B$7*C35+ETI!$B$7*(1-C35)*B36),""))</f>
        <v>0.36295407296801</v>
      </c>
      <c r="C35" s="9" t="n">
        <f aca="false">IF(A35="","",IFERROR(IF(Inputs!$B$6="Male",INDEX(MORTALITY!$B:$B,MATCH(A35,MORTALITY!$A:$A,0)),INDEX(MORTALITY!$E:$E,MATCH(A35,MORTALITY!$D:$D,0))),""))</f>
        <v>0.0022</v>
      </c>
      <c r="D35" s="1" t="n">
        <f aca="false">IF(A35="","",IFERROR(ETI!$B$7*C35,""))</f>
        <v>0.00214634146341463</v>
      </c>
      <c r="E35" s="14" t="n">
        <f aca="false">IF(A35="","",D35*(1-C34))</f>
        <v>0.00214172682926829</v>
      </c>
    </row>
    <row r="36" customFormat="false" ht="15" hidden="false" customHeight="false" outlineLevel="0" collapsed="false">
      <c r="A36" s="1" t="n">
        <f aca="false">IF(A35&gt;=MAX(MORTALITY!$A:$A),"",A35+1)</f>
        <v>33</v>
      </c>
      <c r="B36" s="1" t="n">
        <f aca="false">IF(A36="","",IFERROR(IF(C36=1,ETI!$B$7,ETI!$B$7*C36+ETI!$B$7*(1-C36)*B37),""))</f>
        <v>0.37064334014052</v>
      </c>
      <c r="C36" s="9" t="n">
        <f aca="false">IF(A36="","",IFERROR(IF(Inputs!$B$6="Male",INDEX(MORTALITY!$B:$B,MATCH(A36,MORTALITY!$A:$A,0)),INDEX(MORTALITY!$E:$E,MATCH(A36,MORTALITY!$D:$D,0))),""))</f>
        <v>0.00225</v>
      </c>
      <c r="D36" s="1" t="n">
        <f aca="false">IF(A36="","",IFERROR(ETI!$B$7*C36,""))</f>
        <v>0.00219512195121951</v>
      </c>
      <c r="E36" s="14" t="n">
        <f aca="false">IF(A36="","",D36*(1-C35))</f>
        <v>0.00219029268292683</v>
      </c>
    </row>
    <row r="37" customFormat="false" ht="15" hidden="false" customHeight="false" outlineLevel="0" collapsed="false">
      <c r="A37" s="1" t="n">
        <f aca="false">IF(A36&gt;=MAX(MORTALITY!$A:$A),"",A36+1)</f>
        <v>34</v>
      </c>
      <c r="B37" s="1" t="n">
        <f aca="false">IF(A37="","",IFERROR(IF(C37=1,ETI!$B$7,ETI!$B$7*C37+ETI!$B$7*(1-C37)*B38),""))</f>
        <v>0.378511073559542</v>
      </c>
      <c r="C37" s="9" t="n">
        <f aca="false">IF(A37="","",IFERROR(IF(Inputs!$B$6="Male",INDEX(MORTALITY!$B:$B,MATCH(A37,MORTALITY!$A:$A,0)),INDEX(MORTALITY!$E:$E,MATCH(A37,MORTALITY!$D:$D,0))),""))</f>
        <v>0.00233</v>
      </c>
      <c r="D37" s="1" t="n">
        <f aca="false">IF(A37="","",IFERROR(ETI!$B$7*C37,""))</f>
        <v>0.00227317073170732</v>
      </c>
      <c r="E37" s="14" t="n">
        <f aca="false">IF(A37="","",D37*(1-C36))</f>
        <v>0.00226805609756098</v>
      </c>
    </row>
    <row r="38" customFormat="false" ht="15" hidden="false" customHeight="false" outlineLevel="0" collapsed="false">
      <c r="A38" s="1" t="n">
        <f aca="false">IF(A37&gt;=MAX(MORTALITY!$A:$A),"",A37+1)</f>
        <v>35</v>
      </c>
      <c r="B38" s="1" t="n">
        <f aca="false">IF(A38="","",IFERROR(IF(C38=1,ETI!$B$7,ETI!$B$7*C38+ETI!$B$7*(1-C38)*B39),""))</f>
        <v>0.38654449908139</v>
      </c>
      <c r="C38" s="9" t="n">
        <f aca="false">IF(A38="","",IFERROR(IF(Inputs!$B$6="Male",INDEX(MORTALITY!$B:$B,MATCH(A38,MORTALITY!$A:$A,0)),INDEX(MORTALITY!$E:$E,MATCH(A38,MORTALITY!$D:$D,0))),""))</f>
        <v>0.0024</v>
      </c>
      <c r="D38" s="1" t="n">
        <f aca="false">IF(A38="","",IFERROR(ETI!$B$7*C38,""))</f>
        <v>0.00234146341463415</v>
      </c>
      <c r="E38" s="14" t="n">
        <f aca="false">IF(A38="","",D38*(1-C37))</f>
        <v>0.00233600780487805</v>
      </c>
    </row>
    <row r="39" customFormat="false" ht="15" hidden="false" customHeight="false" outlineLevel="0" collapsed="false">
      <c r="A39" s="1" t="n">
        <f aca="false">IF(A38&gt;=MAX(MORTALITY!$A:$A),"",A38+1)</f>
        <v>36</v>
      </c>
      <c r="B39" s="1" t="n">
        <f aca="false">IF(A39="","",IFERROR(IF(C39=1,ETI!$B$7,ETI!$B$7*C39+ETI!$B$7*(1-C39)*B40),""))</f>
        <v>0.394755524817988</v>
      </c>
      <c r="C39" s="9" t="n">
        <f aca="false">IF(A39="","",IFERROR(IF(Inputs!$B$6="Male",INDEX(MORTALITY!$B:$B,MATCH(A39,MORTALITY!$A:$A,0)),INDEX(MORTALITY!$E:$E,MATCH(A39,MORTALITY!$D:$D,0))),""))</f>
        <v>0.00251</v>
      </c>
      <c r="D39" s="1" t="n">
        <f aca="false">IF(A39="","",IFERROR(ETI!$B$7*C39,""))</f>
        <v>0.00244878048780488</v>
      </c>
      <c r="E39" s="14" t="n">
        <f aca="false">IF(A39="","",D39*(1-C38))</f>
        <v>0.00244290341463415</v>
      </c>
    </row>
    <row r="40" customFormat="false" ht="15" hidden="false" customHeight="false" outlineLevel="0" collapsed="false">
      <c r="A40" s="1" t="n">
        <f aca="false">IF(A39&gt;=MAX(MORTALITY!$A:$A),"",A39+1)</f>
        <v>37</v>
      </c>
      <c r="B40" s="1" t="n">
        <f aca="false">IF(A40="","",IFERROR(IF(C40=1,ETI!$B$7,ETI!$B$7*C40+ETI!$B$7*(1-C40)*B41),""))</f>
        <v>0.403126259850662</v>
      </c>
      <c r="C40" s="9" t="n">
        <f aca="false">IF(A40="","",IFERROR(IF(Inputs!$B$6="Male",INDEX(MORTALITY!$B:$B,MATCH(A40,MORTALITY!$A:$A,0)),INDEX(MORTALITY!$E:$E,MATCH(A40,MORTALITY!$D:$D,0))),""))</f>
        <v>0.00264</v>
      </c>
      <c r="D40" s="1" t="n">
        <f aca="false">IF(A40="","",IFERROR(ETI!$B$7*C40,""))</f>
        <v>0.00257560975609756</v>
      </c>
      <c r="E40" s="14" t="n">
        <f aca="false">IF(A40="","",D40*(1-C39))</f>
        <v>0.00256914497560976</v>
      </c>
    </row>
    <row r="41" customFormat="false" ht="15" hidden="false" customHeight="false" outlineLevel="0" collapsed="false">
      <c r="A41" s="1" t="n">
        <f aca="false">IF(A40&gt;=MAX(MORTALITY!$A:$A),"",A40+1)</f>
        <v>38</v>
      </c>
      <c r="B41" s="1" t="n">
        <f aca="false">IF(A41="","",IFERROR(IF(C41=1,ETI!$B$7,ETI!$B$7*C41+ETI!$B$7*(1-C41)*B42),""))</f>
        <v>0.411651175450117</v>
      </c>
      <c r="C41" s="9" t="n">
        <f aca="false">IF(A41="","",IFERROR(IF(Inputs!$B$6="Male",INDEX(MORTALITY!$B:$B,MATCH(A41,MORTALITY!$A:$A,0)),INDEX(MORTALITY!$E:$E,MATCH(A41,MORTALITY!$D:$D,0))),""))</f>
        <v>0.00279</v>
      </c>
      <c r="D41" s="1" t="n">
        <f aca="false">IF(A41="","",IFERROR(ETI!$B$7*C41,""))</f>
        <v>0.0027219512195122</v>
      </c>
      <c r="E41" s="14" t="n">
        <f aca="false">IF(A41="","",D41*(1-C40))</f>
        <v>0.00271476526829268</v>
      </c>
    </row>
    <row r="42" customFormat="false" ht="15" hidden="false" customHeight="false" outlineLevel="0" collapsed="false">
      <c r="A42" s="1" t="n">
        <f aca="false">IF(A41&gt;=MAX(MORTALITY!$A:$A),"",A41+1)</f>
        <v>39</v>
      </c>
      <c r="B42" s="1" t="n">
        <f aca="false">IF(A42="","",IFERROR(IF(C42=1,ETI!$B$7,ETI!$B$7*C42+ETI!$B$7*(1-C42)*B43),""))</f>
        <v>0.420325162038457</v>
      </c>
      <c r="C42" s="9" t="n">
        <f aca="false">IF(A42="","",IFERROR(IF(Inputs!$B$6="Male",INDEX(MORTALITY!$B:$B,MATCH(A42,MORTALITY!$A:$A,0)),INDEX(MORTALITY!$E:$E,MATCH(A42,MORTALITY!$D:$D,0))),""))</f>
        <v>0.00297</v>
      </c>
      <c r="D42" s="1" t="n">
        <f aca="false">IF(A42="","",IFERROR(ETI!$B$7*C42,""))</f>
        <v>0.00289756097560976</v>
      </c>
      <c r="E42" s="14" t="n">
        <f aca="false">IF(A42="","",D42*(1-C41))</f>
        <v>0.00288947678048781</v>
      </c>
    </row>
    <row r="43" customFormat="false" ht="15" hidden="false" customHeight="false" outlineLevel="0" collapsed="false">
      <c r="A43" s="1" t="n">
        <f aca="false">IF(A42&gt;=MAX(MORTALITY!$A:$A),"",A42+1)</f>
        <v>40</v>
      </c>
      <c r="B43" s="1" t="n">
        <f aca="false">IF(A43="","",IFERROR(IF(C43=1,ETI!$B$7,ETI!$B$7*C43+ETI!$B$7*(1-C43)*B44),""))</f>
        <v>0.429137830445843</v>
      </c>
      <c r="C43" s="9" t="n">
        <f aca="false">IF(A43="","",IFERROR(IF(Inputs!$B$6="Male",INDEX(MORTALITY!$B:$B,MATCH(A43,MORTALITY!$A:$A,0)),INDEX(MORTALITY!$E:$E,MATCH(A43,MORTALITY!$D:$D,0))),""))</f>
        <v>0.00317</v>
      </c>
      <c r="D43" s="1" t="n">
        <f aca="false">IF(A43="","",IFERROR(ETI!$B$7*C43,""))</f>
        <v>0.00309268292682927</v>
      </c>
      <c r="E43" s="14" t="n">
        <f aca="false">IF(A43="","",D43*(1-C42))</f>
        <v>0.00308349765853659</v>
      </c>
    </row>
    <row r="44" customFormat="false" ht="15" hidden="false" customHeight="false" outlineLevel="0" collapsed="false">
      <c r="A44" s="1" t="n">
        <f aca="false">IF(A43&gt;=MAX(MORTALITY!$A:$A),"",A43+1)</f>
        <v>41</v>
      </c>
      <c r="B44" s="1" t="n">
        <f aca="false">IF(A44="","",IFERROR(IF(C44=1,ETI!$B$7,ETI!$B$7*C44+ETI!$B$7*(1-C44)*B45),""))</f>
        <v>0.438085005674979</v>
      </c>
      <c r="C44" s="9" t="n">
        <f aca="false">IF(A44="","",IFERROR(IF(Inputs!$B$6="Male",INDEX(MORTALITY!$B:$B,MATCH(A44,MORTALITY!$A:$A,0)),INDEX(MORTALITY!$E:$E,MATCH(A44,MORTALITY!$D:$D,0))),""))</f>
        <v>0.00343</v>
      </c>
      <c r="D44" s="1" t="n">
        <f aca="false">IF(A44="","",IFERROR(ETI!$B$7*C44,""))</f>
        <v>0.00334634146341463</v>
      </c>
      <c r="E44" s="14" t="n">
        <f aca="false">IF(A44="","",D44*(1-C43))</f>
        <v>0.00333573356097561</v>
      </c>
    </row>
    <row r="45" customFormat="false" ht="15" hidden="false" customHeight="false" outlineLevel="0" collapsed="false">
      <c r="A45" s="1" t="n">
        <f aca="false">IF(A44&gt;=MAX(MORTALITY!$A:$A),"",A44+1)</f>
        <v>42</v>
      </c>
      <c r="B45" s="1" t="n">
        <f aca="false">IF(A45="","",IFERROR(IF(C45=1,ETI!$B$7,ETI!$B$7*C45+ETI!$B$7*(1-C45)*B46),""))</f>
        <v>0.447140823842633</v>
      </c>
      <c r="C45" s="9" t="n">
        <f aca="false">IF(A45="","",IFERROR(IF(Inputs!$B$6="Male",INDEX(MORTALITY!$B:$B,MATCH(A45,MORTALITY!$A:$A,0)),INDEX(MORTALITY!$E:$E,MATCH(A45,MORTALITY!$D:$D,0))),""))</f>
        <v>0.00373</v>
      </c>
      <c r="D45" s="1" t="n">
        <f aca="false">IF(A45="","",IFERROR(ETI!$B$7*C45,""))</f>
        <v>0.0036390243902439</v>
      </c>
      <c r="E45" s="14" t="n">
        <f aca="false">IF(A45="","",D45*(1-C44))</f>
        <v>0.00362654253658537</v>
      </c>
    </row>
    <row r="46" customFormat="false" ht="15" hidden="false" customHeight="false" outlineLevel="0" collapsed="false">
      <c r="A46" s="1" t="n">
        <f aca="false">IF(A45&gt;=MAX(MORTALITY!$A:$A),"",A45+1)</f>
        <v>43</v>
      </c>
      <c r="B46" s="1" t="n">
        <f aca="false">IF(A46="","",IFERROR(IF(C46=1,ETI!$B$7,ETI!$B$7*C46+ETI!$B$7*(1-C46)*B47),""))</f>
        <v>0.456291311028837</v>
      </c>
      <c r="C46" s="9" t="n">
        <f aca="false">IF(A46="","",IFERROR(IF(Inputs!$B$6="Male",INDEX(MORTALITY!$B:$B,MATCH(A46,MORTALITY!$A:$A,0)),INDEX(MORTALITY!$E:$E,MATCH(A46,MORTALITY!$D:$D,0))),""))</f>
        <v>0.00402</v>
      </c>
      <c r="D46" s="1" t="n">
        <f aca="false">IF(A46="","",IFERROR(ETI!$B$7*C46,""))</f>
        <v>0.0039219512195122</v>
      </c>
      <c r="E46" s="14" t="n">
        <f aca="false">IF(A46="","",D46*(1-C45))</f>
        <v>0.00390732234146342</v>
      </c>
    </row>
    <row r="47" customFormat="false" ht="15" hidden="false" customHeight="false" outlineLevel="0" collapsed="false">
      <c r="A47" s="1" t="n">
        <f aca="false">IF(A46&gt;=MAX(MORTALITY!$A:$A),"",A46+1)</f>
        <v>44</v>
      </c>
      <c r="B47" s="1" t="n">
        <f aca="false">IF(A47="","",IFERROR(IF(C47=1,ETI!$B$7,ETI!$B$7*C47+ETI!$B$7*(1-C47)*B48),""))</f>
        <v>0.465550105227572</v>
      </c>
      <c r="C47" s="9" t="n">
        <f aca="false">IF(A47="","",IFERROR(IF(Inputs!$B$6="Male",INDEX(MORTALITY!$B:$B,MATCH(A47,MORTALITY!$A:$A,0)),INDEX(MORTALITY!$E:$E,MATCH(A47,MORTALITY!$D:$D,0))),""))</f>
        <v>0.00432</v>
      </c>
      <c r="D47" s="1" t="n">
        <f aca="false">IF(A47="","",IFERROR(ETI!$B$7*C47,""))</f>
        <v>0.00421463414634146</v>
      </c>
      <c r="E47" s="14" t="n">
        <f aca="false">IF(A47="","",D47*(1-C46))</f>
        <v>0.00419769131707317</v>
      </c>
    </row>
    <row r="48" customFormat="false" ht="15" hidden="false" customHeight="false" outlineLevel="0" collapsed="false">
      <c r="A48" s="1" t="n">
        <f aca="false">IF(A47&gt;=MAX(MORTALITY!$A:$A),"",A47+1)</f>
        <v>45</v>
      </c>
      <c r="B48" s="1" t="n">
        <f aca="false">IF(A48="","",IFERROR(IF(C48=1,ETI!$B$7,ETI!$B$7*C48+ETI!$B$7*(1-C48)*B49),""))</f>
        <v>0.474920514480819</v>
      </c>
      <c r="C48" s="9" t="n">
        <f aca="false">IF(A48="","",IFERROR(IF(Inputs!$B$6="Male",INDEX(MORTALITY!$B:$B,MATCH(A48,MORTALITY!$A:$A,0)),INDEX(MORTALITY!$E:$E,MATCH(A48,MORTALITY!$D:$D,0))),""))</f>
        <v>0.00463</v>
      </c>
      <c r="D48" s="1" t="n">
        <f aca="false">IF(A48="","",IFERROR(ETI!$B$7*C48,""))</f>
        <v>0.00451707317073171</v>
      </c>
      <c r="E48" s="14" t="n">
        <f aca="false">IF(A48="","",D48*(1-C47))</f>
        <v>0.00449755941463415</v>
      </c>
    </row>
    <row r="49" customFormat="false" ht="15" hidden="false" customHeight="false" outlineLevel="0" collapsed="false">
      <c r="A49" s="1" t="n">
        <f aca="false">IF(A48&gt;=MAX(MORTALITY!$A:$A),"",A48+1)</f>
        <v>46</v>
      </c>
      <c r="B49" s="1" t="n">
        <f aca="false">IF(A49="","",IFERROR(IF(C49=1,ETI!$B$7,ETI!$B$7*C49+ETI!$B$7*(1-C49)*B50),""))</f>
        <v>0.484406328644463</v>
      </c>
      <c r="C49" s="9" t="n">
        <f aca="false">IF(A49="","",IFERROR(IF(Inputs!$B$6="Male",INDEX(MORTALITY!$B:$B,MATCH(A49,MORTALITY!$A:$A,0)),INDEX(MORTALITY!$E:$E,MATCH(A49,MORTALITY!$D:$D,0))),""))</f>
        <v>0.00494</v>
      </c>
      <c r="D49" s="1" t="n">
        <f aca="false">IF(A49="","",IFERROR(ETI!$B$7*C49,""))</f>
        <v>0.00481951219512195</v>
      </c>
      <c r="E49" s="14" t="n">
        <f aca="false">IF(A49="","",D49*(1-C48))</f>
        <v>0.00479719785365854</v>
      </c>
    </row>
    <row r="50" customFormat="false" ht="15" hidden="false" customHeight="false" outlineLevel="0" collapsed="false">
      <c r="A50" s="1" t="n">
        <f aca="false">IF(A49&gt;=MAX(MORTALITY!$A:$A),"",A49+1)</f>
        <v>47</v>
      </c>
      <c r="B50" s="1" t="n">
        <f aca="false">IF(A50="","",IFERROR(IF(C50=1,ETI!$B$7,ETI!$B$7*C50+ETI!$B$7*(1-C50)*B51),""))</f>
        <v>0.494016930497231</v>
      </c>
      <c r="C50" s="9" t="n">
        <f aca="false">IF(A50="","",IFERROR(IF(Inputs!$B$6="Male",INDEX(MORTALITY!$B:$B,MATCH(A50,MORTALITY!$A:$A,0)),INDEX(MORTALITY!$E:$E,MATCH(A50,MORTALITY!$D:$D,0))),""))</f>
        <v>0.00527</v>
      </c>
      <c r="D50" s="1" t="n">
        <f aca="false">IF(A50="","",IFERROR(ETI!$B$7*C50,""))</f>
        <v>0.00514146341463415</v>
      </c>
      <c r="E50" s="14" t="n">
        <f aca="false">IF(A50="","",D50*(1-C49))</f>
        <v>0.00511606458536586</v>
      </c>
    </row>
    <row r="51" customFormat="false" ht="15" hidden="false" customHeight="false" outlineLevel="0" collapsed="false">
      <c r="A51" s="1" t="n">
        <f aca="false">IF(A50&gt;=MAX(MORTALITY!$A:$A),"",A50+1)</f>
        <v>48</v>
      </c>
      <c r="B51" s="1" t="n">
        <f aca="false">IF(A51="","",IFERROR(IF(C51=1,ETI!$B$7,ETI!$B$7*C51+ETI!$B$7*(1-C51)*B52),""))</f>
        <v>0.503752127471436</v>
      </c>
      <c r="C51" s="9" t="n">
        <f aca="false">IF(A51="","",IFERROR(IF(Inputs!$B$6="Male",INDEX(MORTALITY!$B:$B,MATCH(A51,MORTALITY!$A:$A,0)),INDEX(MORTALITY!$E:$E,MATCH(A51,MORTALITY!$D:$D,0))),""))</f>
        <v>0.00563</v>
      </c>
      <c r="D51" s="1" t="n">
        <f aca="false">IF(A51="","",IFERROR(ETI!$B$7*C51,""))</f>
        <v>0.00549268292682927</v>
      </c>
      <c r="E51" s="14" t="n">
        <f aca="false">IF(A51="","",D51*(1-C50))</f>
        <v>0.00546373648780488</v>
      </c>
    </row>
    <row r="52" customFormat="false" ht="15" hidden="false" customHeight="false" outlineLevel="0" collapsed="false">
      <c r="A52" s="1" t="n">
        <f aca="false">IF(A51&gt;=MAX(MORTALITY!$A:$A),"",A51+1)</f>
        <v>49</v>
      </c>
      <c r="B52" s="1" t="n">
        <f aca="false">IF(A52="","",IFERROR(IF(C52=1,ETI!$B$7,ETI!$B$7*C52+ETI!$B$7*(1-C52)*B53),""))</f>
        <v>0.513607541114698</v>
      </c>
      <c r="C52" s="9" t="n">
        <f aca="false">IF(A52="","",IFERROR(IF(Inputs!$B$6="Male",INDEX(MORTALITY!$B:$B,MATCH(A52,MORTALITY!$A:$A,0)),INDEX(MORTALITY!$E:$E,MATCH(A52,MORTALITY!$D:$D,0))),""))</f>
        <v>0.00602</v>
      </c>
      <c r="D52" s="1" t="n">
        <f aca="false">IF(A52="","",IFERROR(ETI!$B$7*C52,""))</f>
        <v>0.00587317073170732</v>
      </c>
      <c r="E52" s="14" t="n">
        <f aca="false">IF(A52="","",D52*(1-C51))</f>
        <v>0.00584010478048781</v>
      </c>
    </row>
    <row r="53" customFormat="false" ht="15" hidden="false" customHeight="false" outlineLevel="0" collapsed="false">
      <c r="A53" s="1" t="n">
        <f aca="false">IF(A52&gt;=MAX(MORTALITY!$A:$A),"",A52+1)</f>
        <v>50</v>
      </c>
      <c r="B53" s="1" t="n">
        <f aca="false">IF(A53="","",IFERROR(IF(C53=1,ETI!$B$7,ETI!$B$7*C53+ETI!$B$7*(1-C53)*B54),""))</f>
        <v>0.523579679312023</v>
      </c>
      <c r="C53" s="9" t="n">
        <f aca="false">IF(A53="","",IFERROR(IF(Inputs!$B$6="Male",INDEX(MORTALITY!$B:$B,MATCH(A53,MORTALITY!$A:$A,0)),INDEX(MORTALITY!$E:$E,MATCH(A53,MORTALITY!$D:$D,0))),""))</f>
        <v>0.00645</v>
      </c>
      <c r="D53" s="1" t="n">
        <f aca="false">IF(A53="","",IFERROR(ETI!$B$7*C53,""))</f>
        <v>0.00629268292682927</v>
      </c>
      <c r="E53" s="14" t="n">
        <f aca="false">IF(A53="","",D53*(1-C52))</f>
        <v>0.00625480097560976</v>
      </c>
    </row>
    <row r="54" customFormat="false" ht="15" hidden="false" customHeight="false" outlineLevel="0" collapsed="false">
      <c r="A54" s="1" t="n">
        <f aca="false">IF(A53&gt;=MAX(MORTALITY!$A:$A),"",A53+1)</f>
        <v>51</v>
      </c>
      <c r="B54" s="1" t="n">
        <f aca="false">IF(A54="","",IFERROR(IF(C54=1,ETI!$B$7,ETI!$B$7*C54+ETI!$B$7*(1-C54)*B55),""))</f>
        <v>0.533661286593351</v>
      </c>
      <c r="C54" s="9" t="n">
        <f aca="false">IF(A54="","",IFERROR(IF(Inputs!$B$6="Male",INDEX(MORTALITY!$B:$B,MATCH(A54,MORTALITY!$A:$A,0)),INDEX(MORTALITY!$E:$E,MATCH(A54,MORTALITY!$D:$D,0))),""))</f>
        <v>0.0069</v>
      </c>
      <c r="D54" s="1" t="n">
        <f aca="false">IF(A54="","",IFERROR(ETI!$B$7*C54,""))</f>
        <v>0.00673170731707317</v>
      </c>
      <c r="E54" s="14" t="n">
        <f aca="false">IF(A54="","",D54*(1-C53))</f>
        <v>0.00668828780487805</v>
      </c>
    </row>
    <row r="55" customFormat="false" ht="15" hidden="false" customHeight="false" outlineLevel="0" collapsed="false">
      <c r="A55" s="1" t="n">
        <f aca="false">IF(A54&gt;=MAX(MORTALITY!$A:$A),"",A54+1)</f>
        <v>52</v>
      </c>
      <c r="B55" s="1" t="n">
        <f aca="false">IF(A55="","",IFERROR(IF(C55=1,ETI!$B$7,ETI!$B$7*C55+ETI!$B$7*(1-C55)*B56),""))</f>
        <v>0.543855421164218</v>
      </c>
      <c r="C55" s="9" t="n">
        <f aca="false">IF(A55="","",IFERROR(IF(Inputs!$B$6="Male",INDEX(MORTALITY!$B:$B,MATCH(A55,MORTALITY!$A:$A,0)),INDEX(MORTALITY!$E:$E,MATCH(A55,MORTALITY!$D:$D,0))),""))</f>
        <v>0.00741</v>
      </c>
      <c r="D55" s="1" t="n">
        <f aca="false">IF(A55="","",IFERROR(ETI!$B$7*C55,""))</f>
        <v>0.00722926829268293</v>
      </c>
      <c r="E55" s="14" t="n">
        <f aca="false">IF(A55="","",D55*(1-C54))</f>
        <v>0.00717938634146342</v>
      </c>
    </row>
    <row r="56" customFormat="false" ht="15" hidden="false" customHeight="false" outlineLevel="0" collapsed="false">
      <c r="A56" s="1" t="n">
        <f aca="false">IF(A55&gt;=MAX(MORTALITY!$A:$A),"",A55+1)</f>
        <v>53</v>
      </c>
      <c r="B56" s="1" t="n">
        <f aca="false">IF(A56="","",IFERROR(IF(C56=1,ETI!$B$7,ETI!$B$7*C56+ETI!$B$7*(1-C56)*B57),""))</f>
        <v>0.554148043697119</v>
      </c>
      <c r="C56" s="9" t="n">
        <f aca="false">IF(A56="","",IFERROR(IF(Inputs!$B$6="Male",INDEX(MORTALITY!$B:$B,MATCH(A56,MORTALITY!$A:$A,0)),INDEX(MORTALITY!$E:$E,MATCH(A56,MORTALITY!$D:$D,0))),""))</f>
        <v>0.008</v>
      </c>
      <c r="D56" s="1" t="n">
        <f aca="false">IF(A56="","",IFERROR(ETI!$B$7*C56,""))</f>
        <v>0.00780487804878049</v>
      </c>
      <c r="E56" s="14" t="n">
        <f aca="false">IF(A56="","",D56*(1-C55))</f>
        <v>0.00774704390243903</v>
      </c>
    </row>
    <row r="57" customFormat="false" ht="15" hidden="false" customHeight="false" outlineLevel="0" collapsed="false">
      <c r="A57" s="1" t="n">
        <f aca="false">IF(A56&gt;=MAX(MORTALITY!$A:$A),"",A56+1)</f>
        <v>54</v>
      </c>
      <c r="B57" s="1" t="n">
        <f aca="false">IF(A57="","",IFERROR(IF(C57=1,ETI!$B$7,ETI!$B$7*C57+ETI!$B$7*(1-C57)*B58),""))</f>
        <v>0.564517887892688</v>
      </c>
      <c r="C57" s="9" t="n">
        <f aca="false">IF(A57="","",IFERROR(IF(Inputs!$B$6="Male",INDEX(MORTALITY!$B:$B,MATCH(A57,MORTALITY!$A:$A,0)),INDEX(MORTALITY!$E:$E,MATCH(A57,MORTALITY!$D:$D,0))),""))</f>
        <v>0.00859</v>
      </c>
      <c r="D57" s="1" t="n">
        <f aca="false">IF(A57="","",IFERROR(ETI!$B$7*C57,""))</f>
        <v>0.00838048780487805</v>
      </c>
      <c r="E57" s="14" t="n">
        <f aca="false">IF(A57="","",D57*(1-C56))</f>
        <v>0.00831344390243903</v>
      </c>
    </row>
    <row r="58" customFormat="false" ht="15" hidden="false" customHeight="false" outlineLevel="0" collapsed="false">
      <c r="A58" s="1" t="n">
        <f aca="false">IF(A57&gt;=MAX(MORTALITY!$A:$A),"",A57+1)</f>
        <v>55</v>
      </c>
      <c r="B58" s="1" t="n">
        <f aca="false">IF(A58="","",IFERROR(IF(C58=1,ETI!$B$7,ETI!$B$7*C58+ETI!$B$7*(1-C58)*B59),""))</f>
        <v>0.574979912538713</v>
      </c>
      <c r="C58" s="9" t="n">
        <f aca="false">IF(A58="","",IFERROR(IF(Inputs!$B$6="Male",INDEX(MORTALITY!$B:$B,MATCH(A58,MORTALITY!$A:$A,0)),INDEX(MORTALITY!$E:$E,MATCH(A58,MORTALITY!$D:$D,0))),""))</f>
        <v>0.00922</v>
      </c>
      <c r="D58" s="1" t="n">
        <f aca="false">IF(A58="","",IFERROR(ETI!$B$7*C58,""))</f>
        <v>0.00899512195121951</v>
      </c>
      <c r="E58" s="14" t="n">
        <f aca="false">IF(A58="","",D58*(1-C57))</f>
        <v>0.00891785385365854</v>
      </c>
    </row>
    <row r="59" customFormat="false" ht="15" hidden="false" customHeight="false" outlineLevel="0" collapsed="false">
      <c r="A59" s="1" t="n">
        <f aca="false">IF(A58&gt;=MAX(MORTALITY!$A:$A),"",A58+1)</f>
        <v>56</v>
      </c>
      <c r="B59" s="1" t="n">
        <f aca="false">IF(A59="","",IFERROR(IF(C59=1,ETI!$B$7,ETI!$B$7*C59+ETI!$B$7*(1-C59)*B60),""))</f>
        <v>0.585533024841217</v>
      </c>
      <c r="C59" s="9" t="n">
        <f aca="false">IF(A59="","",IFERROR(IF(Inputs!$B$6="Male",INDEX(MORTALITY!$B:$B,MATCH(A59,MORTALITY!$A:$A,0)),INDEX(MORTALITY!$E:$E,MATCH(A59,MORTALITY!$D:$D,0))),""))</f>
        <v>0.00984</v>
      </c>
      <c r="D59" s="1" t="n">
        <f aca="false">IF(A59="","",IFERROR(ETI!$B$7*C59,""))</f>
        <v>0.0096</v>
      </c>
      <c r="E59" s="14" t="n">
        <f aca="false">IF(A59="","",D59*(1-C58))</f>
        <v>0.009511488</v>
      </c>
    </row>
    <row r="60" customFormat="false" ht="15" hidden="false" customHeight="false" outlineLevel="0" collapsed="false">
      <c r="A60" s="1" t="n">
        <f aca="false">IF(A59&gt;=MAX(MORTALITY!$A:$A),"",A59+1)</f>
        <v>57</v>
      </c>
      <c r="B60" s="1" t="n">
        <f aca="false">IF(A60="","",IFERROR(IF(C60=1,ETI!$B$7,ETI!$B$7*C60+ETI!$B$7*(1-C60)*B61),""))</f>
        <v>0.596197938173878</v>
      </c>
      <c r="C60" s="9" t="n">
        <f aca="false">IF(A60="","",IFERROR(IF(Inputs!$B$6="Male",INDEX(MORTALITY!$B:$B,MATCH(A60,MORTALITY!$A:$A,0)),INDEX(MORTALITY!$E:$E,MATCH(A60,MORTALITY!$D:$D,0))),""))</f>
        <v>0.01044</v>
      </c>
      <c r="D60" s="1" t="n">
        <f aca="false">IF(A60="","",IFERROR(ETI!$B$7*C60,""))</f>
        <v>0.0101853658536585</v>
      </c>
      <c r="E60" s="14" t="n">
        <f aca="false">IF(A60="","",D60*(1-C59))</f>
        <v>0.0100851418536585</v>
      </c>
    </row>
    <row r="61" customFormat="false" ht="15" hidden="false" customHeight="false" outlineLevel="0" collapsed="false">
      <c r="A61" s="1" t="n">
        <f aca="false">IF(A60&gt;=MAX(MORTALITY!$A:$A),"",A60+1)</f>
        <v>58</v>
      </c>
      <c r="B61" s="1" t="n">
        <f aca="false">IF(A61="","",IFERROR(IF(C61=1,ETI!$B$7,ETI!$B$7*C61+ETI!$B$7*(1-C61)*B62),""))</f>
        <v>0.606999966276148</v>
      </c>
      <c r="C61" s="9" t="n">
        <f aca="false">IF(A61="","",IFERROR(IF(Inputs!$B$6="Male",INDEX(MORTALITY!$B:$B,MATCH(A61,MORTALITY!$A:$A,0)),INDEX(MORTALITY!$E:$E,MATCH(A61,MORTALITY!$D:$D,0))),""))</f>
        <v>0.01101</v>
      </c>
      <c r="D61" s="1" t="n">
        <f aca="false">IF(A61="","",IFERROR(ETI!$B$7*C61,""))</f>
        <v>0.0107414634146341</v>
      </c>
      <c r="E61" s="14" t="n">
        <f aca="false">IF(A61="","",D61*(1-C60))</f>
        <v>0.0106293225365854</v>
      </c>
    </row>
    <row r="62" customFormat="false" ht="15" hidden="false" customHeight="false" outlineLevel="0" collapsed="false">
      <c r="A62" s="1" t="n">
        <f aca="false">IF(A61&gt;=MAX(MORTALITY!$A:$A),"",A61+1)</f>
        <v>59</v>
      </c>
      <c r="B62" s="1" t="n">
        <f aca="false">IF(A62="","",IFERROR(IF(C62=1,ETI!$B$7,ETI!$B$7*C62+ETI!$B$7*(1-C62)*B63),""))</f>
        <v>0.617968801942438</v>
      </c>
      <c r="C62" s="9" t="n">
        <f aca="false">IF(A62="","",IFERROR(IF(Inputs!$B$6="Male",INDEX(MORTALITY!$B:$B,MATCH(A62,MORTALITY!$A:$A,0)),INDEX(MORTALITY!$E:$E,MATCH(A62,MORTALITY!$D:$D,0))),""))</f>
        <v>0.01162</v>
      </c>
      <c r="D62" s="1" t="n">
        <f aca="false">IF(A62="","",IFERROR(ETI!$B$7*C62,""))</f>
        <v>0.0113365853658537</v>
      </c>
      <c r="E62" s="14" t="n">
        <f aca="false">IF(A62="","",D62*(1-C61))</f>
        <v>0.0112117695609756</v>
      </c>
    </row>
    <row r="63" customFormat="false" ht="15" hidden="false" customHeight="false" outlineLevel="0" collapsed="false">
      <c r="A63" s="1" t="n">
        <f aca="false">IF(A62&gt;=MAX(MORTALITY!$A:$A),"",A62+1)</f>
        <v>60</v>
      </c>
      <c r="B63" s="1" t="n">
        <f aca="false">IF(A63="","",IFERROR(IF(C63=1,ETI!$B$7,ETI!$B$7*C63+ETI!$B$7*(1-C63)*B64),""))</f>
        <v>0.629108259971872</v>
      </c>
      <c r="C63" s="9" t="n">
        <f aca="false">IF(A63="","",IFERROR(IF(Inputs!$B$6="Male",INDEX(MORTALITY!$B:$B,MATCH(A63,MORTALITY!$A:$A,0)),INDEX(MORTALITY!$E:$E,MATCH(A63,MORTALITY!$D:$D,0))),""))</f>
        <v>0.01231</v>
      </c>
      <c r="D63" s="1" t="n">
        <f aca="false">IF(A63="","",IFERROR(ETI!$B$7*C63,""))</f>
        <v>0.012009756097561</v>
      </c>
      <c r="E63" s="14" t="n">
        <f aca="false">IF(A63="","",D63*(1-C62))</f>
        <v>0.0118702027317073</v>
      </c>
    </row>
    <row r="64" customFormat="false" ht="15" hidden="false" customHeight="false" outlineLevel="0" collapsed="false">
      <c r="A64" s="1" t="n">
        <f aca="false">IF(A63&gt;=MAX(MORTALITY!$A:$A),"",A63+1)</f>
        <v>61</v>
      </c>
      <c r="B64" s="1" t="n">
        <f aca="false">IF(A64="","",IFERROR(IF(C64=1,ETI!$B$7,ETI!$B$7*C64+ETI!$B$7*(1-C64)*B65),""))</f>
        <v>0.640409406262257</v>
      </c>
      <c r="C64" s="9" t="n">
        <f aca="false">IF(A64="","",IFERROR(IF(Inputs!$B$6="Male",INDEX(MORTALITY!$B:$B,MATCH(A64,MORTALITY!$A:$A,0)),INDEX(MORTALITY!$E:$E,MATCH(A64,MORTALITY!$D:$D,0))),""))</f>
        <v>0.01317</v>
      </c>
      <c r="D64" s="1" t="n">
        <f aca="false">IF(A64="","",IFERROR(ETI!$B$7*C64,""))</f>
        <v>0.0128487804878049</v>
      </c>
      <c r="E64" s="14" t="n">
        <f aca="false">IF(A64="","",D64*(1-C63))</f>
        <v>0.012690612</v>
      </c>
    </row>
    <row r="65" customFormat="false" ht="15" hidden="false" customHeight="false" outlineLevel="0" collapsed="false">
      <c r="A65" s="1" t="n">
        <f aca="false">IF(A64&gt;=MAX(MORTALITY!$A:$A),"",A64+1)</f>
        <v>62</v>
      </c>
      <c r="B65" s="1" t="n">
        <f aca="false">IF(A65="","",IFERROR(IF(C65=1,ETI!$B$7,ETI!$B$7*C65+ETI!$B$7*(1-C65)*B66),""))</f>
        <v>0.651834299138467</v>
      </c>
      <c r="C65" s="9" t="n">
        <f aca="false">IF(A65="","",IFERROR(IF(Inputs!$B$6="Male",INDEX(MORTALITY!$B:$B,MATCH(A65,MORTALITY!$A:$A,0)),INDEX(MORTALITY!$E:$E,MATCH(A65,MORTALITY!$D:$D,0))),""))</f>
        <v>0.01425</v>
      </c>
      <c r="D65" s="1" t="n">
        <f aca="false">IF(A65="","",IFERROR(ETI!$B$7*C65,""))</f>
        <v>0.0139024390243902</v>
      </c>
      <c r="E65" s="14" t="n">
        <f aca="false">IF(A65="","",D65*(1-C64))</f>
        <v>0.013719343902439</v>
      </c>
    </row>
    <row r="66" customFormat="false" ht="15" hidden="false" customHeight="false" outlineLevel="0" collapsed="false">
      <c r="A66" s="1" t="n">
        <f aca="false">IF(A65&gt;=MAX(MORTALITY!$A:$A),"",A65+1)</f>
        <v>63</v>
      </c>
      <c r="B66" s="1" t="n">
        <f aca="false">IF(A66="","",IFERROR(IF(C66=1,ETI!$B$7,ETI!$B$7*C66+ETI!$B$7*(1-C66)*B67),""))</f>
        <v>0.663332646834318</v>
      </c>
      <c r="C66" s="9" t="n">
        <f aca="false">IF(A66="","",IFERROR(IF(Inputs!$B$6="Male",INDEX(MORTALITY!$B:$B,MATCH(A66,MORTALITY!$A:$A,0)),INDEX(MORTALITY!$E:$E,MATCH(A66,MORTALITY!$D:$D,0))),""))</f>
        <v>0.01563</v>
      </c>
      <c r="D66" s="1" t="n">
        <f aca="false">IF(A66="","",IFERROR(ETI!$B$7*C66,""))</f>
        <v>0.0152487804878049</v>
      </c>
      <c r="E66" s="14" t="n">
        <f aca="false">IF(A66="","",D66*(1-C65))</f>
        <v>0.0150314853658537</v>
      </c>
    </row>
    <row r="67" customFormat="false" ht="15" hidden="false" customHeight="false" outlineLevel="0" collapsed="false">
      <c r="A67" s="1" t="n">
        <f aca="false">IF(A66&gt;=MAX(MORTALITY!$A:$A),"",A66+1)</f>
        <v>64</v>
      </c>
      <c r="B67" s="1" t="n">
        <f aca="false">IF(A67="","",IFERROR(IF(C67=1,ETI!$B$7,ETI!$B$7*C67+ETI!$B$7*(1-C67)*B68),""))</f>
        <v>0.674833612366463</v>
      </c>
      <c r="C67" s="9" t="n">
        <f aca="false">IF(A67="","",IFERROR(IF(Inputs!$B$6="Male",INDEX(MORTALITY!$B:$B,MATCH(A67,MORTALITY!$A:$A,0)),INDEX(MORTALITY!$E:$E,MATCH(A67,MORTALITY!$D:$D,0))),""))</f>
        <v>0.01723</v>
      </c>
      <c r="D67" s="1" t="n">
        <f aca="false">IF(A67="","",IFERROR(ETI!$B$7*C67,""))</f>
        <v>0.016809756097561</v>
      </c>
      <c r="E67" s="14" t="n">
        <f aca="false">IF(A67="","",D67*(1-C66))</f>
        <v>0.0165470196097561</v>
      </c>
    </row>
    <row r="68" customFormat="false" ht="15" hidden="false" customHeight="false" outlineLevel="0" collapsed="false">
      <c r="A68" s="1" t="n">
        <f aca="false">IF(A67&gt;=MAX(MORTALITY!$A:$A),"",A67+1)</f>
        <v>65</v>
      </c>
      <c r="B68" s="1" t="n">
        <f aca="false">IF(A68="","",IFERROR(IF(C68=1,ETI!$B$7,ETI!$B$7*C68+ETI!$B$7*(1-C68)*B69),""))</f>
        <v>0.686299391185756</v>
      </c>
      <c r="C68" s="9" t="n">
        <f aca="false">IF(A68="","",IFERROR(IF(Inputs!$B$6="Male",INDEX(MORTALITY!$B:$B,MATCH(A68,MORTALITY!$A:$A,0)),INDEX(MORTALITY!$E:$E,MATCH(A68,MORTALITY!$D:$D,0))),""))</f>
        <v>0.01897</v>
      </c>
      <c r="D68" s="1" t="n">
        <f aca="false">IF(A68="","",IFERROR(ETI!$B$7*C68,""))</f>
        <v>0.0185073170731707</v>
      </c>
      <c r="E68" s="14" t="n">
        <f aca="false">IF(A68="","",D68*(1-C67))</f>
        <v>0.018188436</v>
      </c>
    </row>
    <row r="69" customFormat="false" ht="15" hidden="false" customHeight="false" outlineLevel="0" collapsed="false">
      <c r="A69" s="1" t="n">
        <f aca="false">IF(A68&gt;=MAX(MORTALITY!$A:$A),"",A68+1)</f>
        <v>66</v>
      </c>
      <c r="B69" s="1" t="n">
        <f aca="false">IF(A69="","",IFERROR(IF(C69=1,ETI!$B$7,ETI!$B$7*C69+ETI!$B$7*(1-C69)*B70),""))</f>
        <v>0.697722675112279</v>
      </c>
      <c r="C69" s="9" t="n">
        <f aca="false">IF(A69="","",IFERROR(IF(Inputs!$B$6="Male",INDEX(MORTALITY!$B:$B,MATCH(A69,MORTALITY!$A:$A,0)),INDEX(MORTALITY!$E:$E,MATCH(A69,MORTALITY!$D:$D,0))),""))</f>
        <v>0.0208</v>
      </c>
      <c r="D69" s="1" t="n">
        <f aca="false">IF(A69="","",IFERROR(ETI!$B$7*C69,""))</f>
        <v>0.0202926829268293</v>
      </c>
      <c r="E69" s="14" t="n">
        <f aca="false">IF(A69="","",D69*(1-C68))</f>
        <v>0.0199077307317073</v>
      </c>
    </row>
    <row r="70" customFormat="false" ht="15" hidden="false" customHeight="false" outlineLevel="0" collapsed="false">
      <c r="A70" s="1" t="n">
        <f aca="false">IF(A69&gt;=MAX(MORTALITY!$A:$A),"",A69+1)</f>
        <v>67</v>
      </c>
      <c r="B70" s="1" t="n">
        <f aca="false">IF(A70="","",IFERROR(IF(C70=1,ETI!$B$7,ETI!$B$7*C70+ETI!$B$7*(1-C70)*B71),""))</f>
        <v>0.709115341084647</v>
      </c>
      <c r="C70" s="9" t="n">
        <f aca="false">IF(A70="","",IFERROR(IF(Inputs!$B$6="Male",INDEX(MORTALITY!$B:$B,MATCH(A70,MORTALITY!$A:$A,0)),INDEX(MORTALITY!$E:$E,MATCH(A70,MORTALITY!$D:$D,0))),""))</f>
        <v>0.02266</v>
      </c>
      <c r="D70" s="1" t="n">
        <f aca="false">IF(A70="","",IFERROR(ETI!$B$7*C70,""))</f>
        <v>0.0221073170731707</v>
      </c>
      <c r="E70" s="14" t="n">
        <f aca="false">IF(A70="","",D70*(1-C69))</f>
        <v>0.0216474848780488</v>
      </c>
    </row>
    <row r="71" customFormat="false" ht="15" hidden="false" customHeight="false" outlineLevel="0" collapsed="false">
      <c r="A71" s="1" t="n">
        <f aca="false">IF(A70&gt;=MAX(MORTALITY!$A:$A),"",A70+1)</f>
        <v>68</v>
      </c>
      <c r="B71" s="1" t="n">
        <f aca="false">IF(A71="","",IFERROR(IF(C71=1,ETI!$B$7,ETI!$B$7*C71+ETI!$B$7*(1-C71)*B72),""))</f>
        <v>0.720509980776151</v>
      </c>
      <c r="C71" s="9" t="n">
        <f aca="false">IF(A71="","",IFERROR(IF(Inputs!$B$6="Male",INDEX(MORTALITY!$B:$B,MATCH(A71,MORTALITY!$A:$A,0)),INDEX(MORTALITY!$E:$E,MATCH(A71,MORTALITY!$D:$D,0))),""))</f>
        <v>0.02449</v>
      </c>
      <c r="D71" s="1" t="n">
        <f aca="false">IF(A71="","",IFERROR(ETI!$B$7*C71,""))</f>
        <v>0.0238926829268293</v>
      </c>
      <c r="E71" s="14" t="n">
        <f aca="false">IF(A71="","",D71*(1-C70))</f>
        <v>0.0233512747317073</v>
      </c>
    </row>
    <row r="72" customFormat="false" ht="15" hidden="false" customHeight="false" outlineLevel="0" collapsed="false">
      <c r="A72" s="1" t="n">
        <f aca="false">IF(A71&gt;=MAX(MORTALITY!$A:$A),"",A71+1)</f>
        <v>69</v>
      </c>
      <c r="B72" s="1" t="n">
        <f aca="false">IF(A72="","",IFERROR(IF(C72=1,ETI!$B$7,ETI!$B$7*C72+ETI!$B$7*(1-C72)*B73),""))</f>
        <v>0.731958391298454</v>
      </c>
      <c r="C72" s="9" t="n">
        <f aca="false">IF(A72="","",IFERROR(IF(Inputs!$B$6="Male",INDEX(MORTALITY!$B:$B,MATCH(A72,MORTALITY!$A:$A,0)),INDEX(MORTALITY!$E:$E,MATCH(A72,MORTALITY!$D:$D,0))),""))</f>
        <v>0.02647</v>
      </c>
      <c r="D72" s="1" t="n">
        <f aca="false">IF(A72="","",IFERROR(ETI!$B$7*C72,""))</f>
        <v>0.0258243902439024</v>
      </c>
      <c r="E72" s="14" t="n">
        <f aca="false">IF(A72="","",D72*(1-C71))</f>
        <v>0.0251919509268293</v>
      </c>
    </row>
    <row r="73" customFormat="false" ht="15" hidden="false" customHeight="false" outlineLevel="0" collapsed="false">
      <c r="A73" s="1" t="n">
        <f aca="false">IF(A72&gt;=MAX(MORTALITY!$A:$A),"",A72+1)</f>
        <v>70</v>
      </c>
      <c r="B73" s="1" t="n">
        <f aca="false">IF(A73="","",IFERROR(IF(C73=1,ETI!$B$7,ETI!$B$7*C73+ETI!$B$7*(1-C73)*B74),""))</f>
        <v>0.74346692046564</v>
      </c>
      <c r="C73" s="9" t="n">
        <f aca="false">IF(A73="","",IFERROR(IF(Inputs!$B$6="Male",INDEX(MORTALITY!$B:$B,MATCH(A73,MORTALITY!$A:$A,0)),INDEX(MORTALITY!$E:$E,MATCH(A73,MORTALITY!$D:$D,0))),""))</f>
        <v>0.02874</v>
      </c>
      <c r="D73" s="1" t="n">
        <f aca="false">IF(A73="","",IFERROR(ETI!$B$7*C73,""))</f>
        <v>0.0280390243902439</v>
      </c>
      <c r="E73" s="14" t="n">
        <f aca="false">IF(A73="","",D73*(1-C72))</f>
        <v>0.0272968314146342</v>
      </c>
    </row>
    <row r="74" customFormat="false" ht="15" hidden="false" customHeight="false" outlineLevel="0" collapsed="false">
      <c r="A74" s="1" t="n">
        <f aca="false">IF(A73&gt;=MAX(MORTALITY!$A:$A),"",A73+1)</f>
        <v>71</v>
      </c>
      <c r="B74" s="1" t="n">
        <f aca="false">IF(A74="","",IFERROR(IF(C74=1,ETI!$B$7,ETI!$B$7*C74+ETI!$B$7*(1-C74)*B75),""))</f>
        <v>0.755012657246547</v>
      </c>
      <c r="C74" s="9" t="n">
        <f aca="false">IF(A74="","",IFERROR(IF(Inputs!$B$6="Male",INDEX(MORTALITY!$B:$B,MATCH(A74,MORTALITY!$A:$A,0)),INDEX(MORTALITY!$E:$E,MATCH(A74,MORTALITY!$D:$D,0))),""))</f>
        <v>0.0315</v>
      </c>
      <c r="D74" s="1" t="n">
        <f aca="false">IF(A74="","",IFERROR(ETI!$B$7*C74,""))</f>
        <v>0.0307317073170732</v>
      </c>
      <c r="E74" s="14" t="n">
        <f aca="false">IF(A74="","",D74*(1-C73))</f>
        <v>0.0298484780487805</v>
      </c>
    </row>
    <row r="75" customFormat="false" ht="15" hidden="false" customHeight="false" outlineLevel="0" collapsed="false">
      <c r="A75" s="1" t="n">
        <f aca="false">IF(A74&gt;=MAX(MORTALITY!$A:$A),"",A74+1)</f>
        <v>72</v>
      </c>
      <c r="B75" s="1" t="n">
        <f aca="false">IF(A75="","",IFERROR(IF(C75=1,ETI!$B$7,ETI!$B$7*C75+ETI!$B$7*(1-C75)*B76),""))</f>
        <v>0.766533787999701</v>
      </c>
      <c r="C75" s="9" t="n">
        <f aca="false">IF(A75="","",IFERROR(IF(Inputs!$B$6="Male",INDEX(MORTALITY!$B:$B,MATCH(A75,MORTALITY!$A:$A,0)),INDEX(MORTALITY!$E:$E,MATCH(A75,MORTALITY!$D:$D,0))),""))</f>
        <v>0.03493</v>
      </c>
      <c r="D75" s="1" t="n">
        <f aca="false">IF(A75="","",IFERROR(ETI!$B$7*C75,""))</f>
        <v>0.0340780487804878</v>
      </c>
      <c r="E75" s="14" t="n">
        <f aca="false">IF(A75="","",D75*(1-C74))</f>
        <v>0.0330045902439025</v>
      </c>
    </row>
    <row r="76" customFormat="false" ht="15" hidden="false" customHeight="false" outlineLevel="0" collapsed="false">
      <c r="A76" s="1" t="n">
        <f aca="false">IF(A75&gt;=MAX(MORTALITY!$A:$A),"",A75+1)</f>
        <v>73</v>
      </c>
      <c r="B76" s="1" t="n">
        <f aca="false">IF(A76="","",IFERROR(IF(C76=1,ETI!$B$7,ETI!$B$7*C76+ETI!$B$7*(1-C76)*B77),""))</f>
        <v>0.777940597780155</v>
      </c>
      <c r="C76" s="9" t="n">
        <f aca="false">IF(A76="","",IFERROR(IF(Inputs!$B$6="Male",INDEX(MORTALITY!$B:$B,MATCH(A76,MORTALITY!$A:$A,0)),INDEX(MORTALITY!$E:$E,MATCH(A76,MORTALITY!$D:$D,0))),""))</f>
        <v>0.03914</v>
      </c>
      <c r="D76" s="1" t="n">
        <f aca="false">IF(A76="","",IFERROR(ETI!$B$7*C76,""))</f>
        <v>0.0381853658536585</v>
      </c>
      <c r="E76" s="14" t="n">
        <f aca="false">IF(A76="","",D76*(1-C75))</f>
        <v>0.0368515510243902</v>
      </c>
    </row>
    <row r="77" customFormat="false" ht="15" hidden="false" customHeight="false" outlineLevel="0" collapsed="false">
      <c r="A77" s="1" t="n">
        <f aca="false">IF(A76&gt;=MAX(MORTALITY!$A:$A),"",A76+1)</f>
        <v>74</v>
      </c>
      <c r="B77" s="1" t="n">
        <f aca="false">IF(A77="","",IFERROR(IF(C77=1,ETI!$B$7,ETI!$B$7*C77+ETI!$B$7*(1-C77)*B78),""))</f>
        <v>0.7891358915187</v>
      </c>
      <c r="C77" s="9" t="n">
        <f aca="false">IF(A77="","",IFERROR(IF(Inputs!$B$6="Male",INDEX(MORTALITY!$B:$B,MATCH(A77,MORTALITY!$A:$A,0)),INDEX(MORTALITY!$E:$E,MATCH(A77,MORTALITY!$D:$D,0))),""))</f>
        <v>0.04411</v>
      </c>
      <c r="D77" s="1" t="n">
        <f aca="false">IF(A77="","",IFERROR(ETI!$B$7*C77,""))</f>
        <v>0.0430341463414634</v>
      </c>
      <c r="E77" s="14" t="n">
        <f aca="false">IF(A77="","",D77*(1-C76))</f>
        <v>0.0413497898536585</v>
      </c>
    </row>
    <row r="78" customFormat="false" ht="15" hidden="false" customHeight="false" outlineLevel="0" collapsed="false">
      <c r="A78" s="1" t="n">
        <f aca="false">IF(A77&gt;=MAX(MORTALITY!$A:$A),"",A77+1)</f>
        <v>75</v>
      </c>
      <c r="B78" s="1" t="n">
        <f aca="false">IF(A78="","",IFERROR(IF(C78=1,ETI!$B$7,ETI!$B$7*C78+ETI!$B$7*(1-C78)*B79),""))</f>
        <v>0.800044240243823</v>
      </c>
      <c r="C78" s="9" t="n">
        <f aca="false">IF(A78="","",IFERROR(IF(Inputs!$B$6="Male",INDEX(MORTALITY!$B:$B,MATCH(A78,MORTALITY!$A:$A,0)),INDEX(MORTALITY!$E:$E,MATCH(A78,MORTALITY!$D:$D,0))),""))</f>
        <v>0.04971</v>
      </c>
      <c r="D78" s="1" t="n">
        <f aca="false">IF(A78="","",IFERROR(ETI!$B$7*C78,""))</f>
        <v>0.0484975609756098</v>
      </c>
      <c r="E78" s="14" t="n">
        <f aca="false">IF(A78="","",D78*(1-C77))</f>
        <v>0.0463583335609756</v>
      </c>
    </row>
    <row r="79" customFormat="false" ht="15" hidden="false" customHeight="false" outlineLevel="0" collapsed="false">
      <c r="A79" s="1" t="n">
        <f aca="false">IF(A78&gt;=MAX(MORTALITY!$A:$A),"",A78+1)</f>
        <v>76</v>
      </c>
      <c r="B79" s="1" t="n">
        <f aca="false">IF(A79="","",IFERROR(IF(C79=1,ETI!$B$7,ETI!$B$7*C79+ETI!$B$7*(1-C79)*B80),""))</f>
        <v>0.810631855801827</v>
      </c>
      <c r="C79" s="9" t="n">
        <f aca="false">IF(A79="","",IFERROR(IF(Inputs!$B$6="Male",INDEX(MORTALITY!$B:$B,MATCH(A79,MORTALITY!$A:$A,0)),INDEX(MORTALITY!$E:$E,MATCH(A79,MORTALITY!$D:$D,0))),""))</f>
        <v>0.05586</v>
      </c>
      <c r="D79" s="1" t="n">
        <f aca="false">IF(A79="","",IFERROR(ETI!$B$7*C79,""))</f>
        <v>0.0544975609756098</v>
      </c>
      <c r="E79" s="14" t="n">
        <f aca="false">IF(A79="","",D79*(1-C78))</f>
        <v>0.0517884872195122</v>
      </c>
    </row>
    <row r="80" customFormat="false" ht="15" hidden="false" customHeight="false" outlineLevel="0" collapsed="false">
      <c r="A80" s="1" t="n">
        <f aca="false">IF(A79&gt;=MAX(MORTALITY!$A:$A),"",A79+1)</f>
        <v>77</v>
      </c>
      <c r="B80" s="1" t="n">
        <f aca="false">IF(A80="","",IFERROR(IF(C80=1,ETI!$B$7,ETI!$B$7*C80+ETI!$B$7*(1-C80)*B81),""))</f>
        <v>0.820892719508624</v>
      </c>
      <c r="C80" s="9" t="n">
        <f aca="false">IF(A80="","",IFERROR(IF(Inputs!$B$6="Male",INDEX(MORTALITY!$B:$B,MATCH(A80,MORTALITY!$A:$A,0)),INDEX(MORTALITY!$E:$E,MATCH(A80,MORTALITY!$D:$D,0))),""))</f>
        <v>0.06245</v>
      </c>
      <c r="D80" s="1" t="n">
        <f aca="false">IF(A80="","",IFERROR(ETI!$B$7*C80,""))</f>
        <v>0.0609268292682927</v>
      </c>
      <c r="E80" s="14" t="n">
        <f aca="false">IF(A80="","",D80*(1-C79))</f>
        <v>0.0575234565853659</v>
      </c>
    </row>
    <row r="81" customFormat="false" ht="15" hidden="false" customHeight="false" outlineLevel="0" collapsed="false">
      <c r="A81" s="1" t="n">
        <f aca="false">IF(A80&gt;=MAX(MORTALITY!$A:$A),"",A80+1)</f>
        <v>78</v>
      </c>
      <c r="B81" s="1" t="n">
        <f aca="false">IF(A81="","",IFERROR(IF(C81=1,ETI!$B$7,ETI!$B$7*C81+ETI!$B$7*(1-C81)*B82),""))</f>
        <v>0.830851727903941</v>
      </c>
      <c r="C81" s="9" t="n">
        <f aca="false">IF(A81="","",IFERROR(IF(Inputs!$B$6="Male",INDEX(MORTALITY!$B:$B,MATCH(A81,MORTALITY!$A:$A,0)),INDEX(MORTALITY!$E:$E,MATCH(A81,MORTALITY!$D:$D,0))),""))</f>
        <v>0.06949</v>
      </c>
      <c r="D81" s="1" t="n">
        <f aca="false">IF(A81="","",IFERROR(ETI!$B$7*C81,""))</f>
        <v>0.0677951219512195</v>
      </c>
      <c r="E81" s="14" t="n">
        <f aca="false">IF(A81="","",D81*(1-C80))</f>
        <v>0.0635613165853659</v>
      </c>
    </row>
    <row r="82" customFormat="false" ht="15" hidden="false" customHeight="false" outlineLevel="0" collapsed="false">
      <c r="A82" s="1" t="n">
        <f aca="false">IF(A81&gt;=MAX(MORTALITY!$A:$A),"",A81+1)</f>
        <v>79</v>
      </c>
      <c r="B82" s="1" t="n">
        <f aca="false">IF(A82="","",IFERROR(IF(C82=1,ETI!$B$7,ETI!$B$7*C82+ETI!$B$7*(1-C82)*B83),""))</f>
        <v>0.840542305941408</v>
      </c>
      <c r="C82" s="9" t="n">
        <f aca="false">IF(A82="","",IFERROR(IF(Inputs!$B$6="Male",INDEX(MORTALITY!$B:$B,MATCH(A82,MORTALITY!$A:$A,0)),INDEX(MORTALITY!$E:$E,MATCH(A82,MORTALITY!$D:$D,0))),""))</f>
        <v>0.07716</v>
      </c>
      <c r="D82" s="1" t="n">
        <f aca="false">IF(A82="","",IFERROR(ETI!$B$7*C82,""))</f>
        <v>0.0752780487804878</v>
      </c>
      <c r="E82" s="14" t="n">
        <f aca="false">IF(A82="","",D82*(1-C81))</f>
        <v>0.0700469771707317</v>
      </c>
    </row>
    <row r="83" customFormat="false" ht="15" hidden="false" customHeight="false" outlineLevel="0" collapsed="false">
      <c r="A83" s="1" t="n">
        <f aca="false">IF(A82&gt;=MAX(MORTALITY!$A:$A),"",A82+1)</f>
        <v>80</v>
      </c>
      <c r="B83" s="1" t="n">
        <f aca="false">IF(A83="","",IFERROR(IF(C83=1,ETI!$B$7,ETI!$B$7*C83+ETI!$B$7*(1-C83)*B84),""))</f>
        <v>0.849980347178214</v>
      </c>
      <c r="C83" s="9" t="n">
        <f aca="false">IF(A83="","",IFERROR(IF(Inputs!$B$6="Male",INDEX(MORTALITY!$B:$B,MATCH(A83,MORTALITY!$A:$A,0)),INDEX(MORTALITY!$E:$E,MATCH(A83,MORTALITY!$D:$D,0))),""))</f>
        <v>0.08579</v>
      </c>
      <c r="D83" s="1" t="n">
        <f aca="false">IF(A83="","",IFERROR(ETI!$B$7*C83,""))</f>
        <v>0.0836975609756098</v>
      </c>
      <c r="E83" s="14" t="n">
        <f aca="false">IF(A83="","",D83*(1-C82))</f>
        <v>0.0772394571707317</v>
      </c>
    </row>
    <row r="84" customFormat="false" ht="15" hidden="false" customHeight="false" outlineLevel="0" collapsed="false">
      <c r="A84" s="1" t="n">
        <f aca="false">IF(A83&gt;=MAX(MORTALITY!$A:$A),"",A83+1)</f>
        <v>81</v>
      </c>
      <c r="B84" s="1" t="n">
        <f aca="false">IF(A84="","",IFERROR(IF(C84=1,ETI!$B$7,ETI!$B$7*C84+ETI!$B$7*(1-C84)*B85),""))</f>
        <v>0.859145990371653</v>
      </c>
      <c r="C84" s="9" t="n">
        <f aca="false">IF(A84="","",IFERROR(IF(Inputs!$B$6="Male",INDEX(MORTALITY!$B:$B,MATCH(A84,MORTALITY!$A:$A,0)),INDEX(MORTALITY!$E:$E,MATCH(A84,MORTALITY!$D:$D,0))),""))</f>
        <v>0.09568</v>
      </c>
      <c r="D84" s="1" t="n">
        <f aca="false">IF(A84="","",IFERROR(ETI!$B$7*C84,""))</f>
        <v>0.0933463414634146</v>
      </c>
      <c r="E84" s="14" t="n">
        <f aca="false">IF(A84="","",D84*(1-C83))</f>
        <v>0.0853381588292683</v>
      </c>
    </row>
    <row r="85" customFormat="false" ht="15" hidden="false" customHeight="false" outlineLevel="0" collapsed="false">
      <c r="A85" s="1" t="n">
        <f aca="false">IF(A84&gt;=MAX(MORTALITY!$A:$A),"",A84+1)</f>
        <v>82</v>
      </c>
      <c r="B85" s="1" t="n">
        <f aca="false">IF(A85="","",IFERROR(IF(C85=1,ETI!$B$7,ETI!$B$7*C85+ETI!$B$7*(1-C85)*B86),""))</f>
        <v>0.867994338432131</v>
      </c>
      <c r="C85" s="9" t="n">
        <f aca="false">IF(A85="","",IFERROR(IF(Inputs!$B$6="Male",INDEX(MORTALITY!$B:$B,MATCH(A85,MORTALITY!$A:$A,0)),INDEX(MORTALITY!$E:$E,MATCH(A85,MORTALITY!$D:$D,0))),""))</f>
        <v>0.10712</v>
      </c>
      <c r="D85" s="1" t="n">
        <f aca="false">IF(A85="","",IFERROR(ETI!$B$7*C85,""))</f>
        <v>0.104507317073171</v>
      </c>
      <c r="E85" s="14" t="n">
        <f aca="false">IF(A85="","",D85*(1-C84))</f>
        <v>0.0945080569756098</v>
      </c>
    </row>
    <row r="86" customFormat="false" ht="15" hidden="false" customHeight="false" outlineLevel="0" collapsed="false">
      <c r="A86" s="1" t="n">
        <f aca="false">IF(A85&gt;=MAX(MORTALITY!$A:$A),"",A85+1)</f>
        <v>83</v>
      </c>
      <c r="B86" s="1" t="n">
        <f aca="false">IF(A86="","",IFERROR(IF(C86=1,ETI!$B$7,ETI!$B$7*C86+ETI!$B$7*(1-C86)*B87),""))</f>
        <v>0.87646066312711</v>
      </c>
      <c r="C86" s="9" t="n">
        <f aca="false">IF(A86="","",IFERROR(IF(Inputs!$B$6="Male",INDEX(MORTALITY!$B:$B,MATCH(A86,MORTALITY!$A:$A,0)),INDEX(MORTALITY!$E:$E,MATCH(A86,MORTALITY!$D:$D,0))),""))</f>
        <v>0.12029</v>
      </c>
      <c r="D86" s="1" t="n">
        <f aca="false">IF(A86="","",IFERROR(ETI!$B$7*C86,""))</f>
        <v>0.117356097560976</v>
      </c>
      <c r="E86" s="14" t="n">
        <f aca="false">IF(A86="","",D86*(1-C85))</f>
        <v>0.104784912390244</v>
      </c>
    </row>
    <row r="87" customFormat="false" ht="15" hidden="false" customHeight="false" outlineLevel="0" collapsed="false">
      <c r="A87" s="1" t="n">
        <f aca="false">IF(A86&gt;=MAX(MORTALITY!$A:$A),"",A86+1)</f>
        <v>84</v>
      </c>
      <c r="B87" s="1" t="n">
        <f aca="false">IF(A87="","",IFERROR(IF(C87=1,ETI!$B$7,ETI!$B$7*C87+ETI!$B$7*(1-C87)*B88),""))</f>
        <v>0.884475770089334</v>
      </c>
      <c r="C87" s="9" t="n">
        <f aca="false">IF(A87="","",IFERROR(IF(Inputs!$B$6="Male",INDEX(MORTALITY!$B:$B,MATCH(A87,MORTALITY!$A:$A,0)),INDEX(MORTALITY!$E:$E,MATCH(A87,MORTALITY!$D:$D,0))),""))</f>
        <v>0.13495</v>
      </c>
      <c r="D87" s="1" t="n">
        <f aca="false">IF(A87="","",IFERROR(ETI!$B$7*C87,""))</f>
        <v>0.131658536585366</v>
      </c>
      <c r="E87" s="14" t="n">
        <f aca="false">IF(A87="","",D87*(1-C86))</f>
        <v>0.115821331219512</v>
      </c>
    </row>
    <row r="88" customFormat="false" ht="15" hidden="false" customHeight="false" outlineLevel="0" collapsed="false">
      <c r="A88" s="1" t="n">
        <f aca="false">IF(A87&gt;=MAX(MORTALITY!$A:$A),"",A87+1)</f>
        <v>85</v>
      </c>
      <c r="B88" s="1" t="n">
        <f aca="false">IF(A88="","",IFERROR(IF(C88=1,ETI!$B$7,ETI!$B$7*C88+ETI!$B$7*(1-C88)*B89),""))</f>
        <v>0.892015102412077</v>
      </c>
      <c r="C88" s="9" t="n">
        <f aca="false">IF(A88="","",IFERROR(IF(Inputs!$B$6="Male",INDEX(MORTALITY!$B:$B,MATCH(A88,MORTALITY!$A:$A,0)),INDEX(MORTALITY!$E:$E,MATCH(A88,MORTALITY!$D:$D,0))),""))</f>
        <v>0.15093</v>
      </c>
      <c r="D88" s="1" t="n">
        <f aca="false">IF(A88="","",IFERROR(ETI!$B$7*C88,""))</f>
        <v>0.147248780487805</v>
      </c>
      <c r="E88" s="14" t="n">
        <f aca="false">IF(A88="","",D88*(1-C87))</f>
        <v>0.127377557560976</v>
      </c>
    </row>
    <row r="89" customFormat="false" ht="15" hidden="false" customHeight="false" outlineLevel="0" collapsed="false">
      <c r="A89" s="1" t="n">
        <f aca="false">IF(A88&gt;=MAX(MORTALITY!$A:$A),"",A88+1)</f>
        <v>86</v>
      </c>
      <c r="B89" s="1" t="n">
        <f aca="false">IF(A89="","",IFERROR(IF(C89=1,ETI!$B$7,ETI!$B$7*C89+ETI!$B$7*(1-C89)*B90),""))</f>
        <v>0.899084268637896</v>
      </c>
      <c r="C89" s="9" t="n">
        <f aca="false">IF(A89="","",IFERROR(IF(Inputs!$B$6="Male",INDEX(MORTALITY!$B:$B,MATCH(A89,MORTALITY!$A:$A,0)),INDEX(MORTALITY!$E:$E,MATCH(A89,MORTALITY!$D:$D,0))),""))</f>
        <v>0.16808</v>
      </c>
      <c r="D89" s="1" t="n">
        <f aca="false">IF(A89="","",IFERROR(ETI!$B$7*C89,""))</f>
        <v>0.163980487804878</v>
      </c>
      <c r="E89" s="14" t="n">
        <f aca="false">IF(A89="","",D89*(1-C88))</f>
        <v>0.139230912780488</v>
      </c>
    </row>
    <row r="90" customFormat="false" ht="15" hidden="false" customHeight="false" outlineLevel="0" collapsed="false">
      <c r="A90" s="1" t="n">
        <f aca="false">IF(A89&gt;=MAX(MORTALITY!$A:$A),"",A89+1)</f>
        <v>87</v>
      </c>
      <c r="B90" s="1" t="n">
        <f aca="false">IF(A90="","",IFERROR(IF(C90=1,ETI!$B$7,ETI!$B$7*C90+ETI!$B$7*(1-C90)*B91),""))</f>
        <v>0.905713740929228</v>
      </c>
      <c r="C90" s="9" t="n">
        <f aca="false">IF(A90="","",IFERROR(IF(Inputs!$B$6="Male",INDEX(MORTALITY!$B:$B,MATCH(A90,MORTALITY!$A:$A,0)),INDEX(MORTALITY!$E:$E,MATCH(A90,MORTALITY!$D:$D,0))),""))</f>
        <v>0.18632</v>
      </c>
      <c r="D90" s="1" t="n">
        <f aca="false">IF(A90="","",IFERROR(ETI!$B$7*C90,""))</f>
        <v>0.181775609756098</v>
      </c>
      <c r="E90" s="14" t="n">
        <f aca="false">IF(A90="","",D90*(1-C89))</f>
        <v>0.151222765268293</v>
      </c>
    </row>
    <row r="91" customFormat="false" ht="15" hidden="false" customHeight="false" outlineLevel="0" collapsed="false">
      <c r="A91" s="1" t="n">
        <f aca="false">IF(A90&gt;=MAX(MORTALITY!$A:$A),"",A90+1)</f>
        <v>88</v>
      </c>
      <c r="B91" s="1" t="n">
        <f aca="false">IF(A91="","",IFERROR(IF(C91=1,ETI!$B$7,ETI!$B$7*C91+ETI!$B$7*(1-C91)*B92),""))</f>
        <v>0.911951362270744</v>
      </c>
      <c r="C91" s="9" t="n">
        <f aca="false">IF(A91="","",IFERROR(IF(Inputs!$B$6="Male",INDEX(MORTALITY!$B:$B,MATCH(A91,MORTALITY!$A:$A,0)),INDEX(MORTALITY!$E:$E,MATCH(A91,MORTALITY!$D:$D,0))),""))</f>
        <v>0.20563</v>
      </c>
      <c r="D91" s="1" t="n">
        <f aca="false">IF(A91="","",IFERROR(ETI!$B$7*C91,""))</f>
        <v>0.200614634146341</v>
      </c>
      <c r="E91" s="14" t="n">
        <f aca="false">IF(A91="","",D91*(1-C90))</f>
        <v>0.163236115512195</v>
      </c>
    </row>
    <row r="92" customFormat="false" ht="15" hidden="false" customHeight="false" outlineLevel="0" collapsed="false">
      <c r="A92" s="1" t="n">
        <f aca="false">IF(A91&gt;=MAX(MORTALITY!$A:$A),"",A91+1)</f>
        <v>89</v>
      </c>
      <c r="B92" s="1" t="n">
        <f aca="false">IF(A92="","",IFERROR(IF(C92=1,ETI!$B$7,ETI!$B$7*C92+ETI!$B$7*(1-C92)*B93),""))</f>
        <v>0.917859619985035</v>
      </c>
      <c r="C92" s="9" t="n">
        <f aca="false">IF(A92="","",IFERROR(IF(Inputs!$B$6="Male",INDEX(MORTALITY!$B:$B,MATCH(A92,MORTALITY!$A:$A,0)),INDEX(MORTALITY!$E:$E,MATCH(A92,MORTALITY!$D:$D,0))),""))</f>
        <v>0.22612</v>
      </c>
      <c r="D92" s="1" t="n">
        <f aca="false">IF(A92="","",IFERROR(ETI!$B$7*C92,""))</f>
        <v>0.22060487804878</v>
      </c>
      <c r="E92" s="14" t="n">
        <f aca="false">IF(A92="","",D92*(1-C91))</f>
        <v>0.17524189697561</v>
      </c>
    </row>
    <row r="93" customFormat="false" ht="15" hidden="false" customHeight="false" outlineLevel="0" collapsed="false">
      <c r="A93" s="1" t="n">
        <f aca="false">IF(A92&gt;=MAX(MORTALITY!$A:$A),"",A92+1)</f>
        <v>90</v>
      </c>
      <c r="B93" s="1" t="n">
        <f aca="false">IF(A93="","",IFERROR(IF(C93=1,ETI!$B$7,ETI!$B$7*C93+ETI!$B$7*(1-C93)*B94),""))</f>
        <v>0.923510247693002</v>
      </c>
      <c r="C93" s="9" t="n">
        <f aca="false">IF(A93="","",IFERROR(IF(Inputs!$B$6="Male",INDEX(MORTALITY!$B:$B,MATCH(A93,MORTALITY!$A:$A,0)),INDEX(MORTALITY!$E:$E,MATCH(A93,MORTALITY!$D:$D,0))),""))</f>
        <v>0.24798</v>
      </c>
      <c r="D93" s="1" t="n">
        <f aca="false">IF(A93="","",IFERROR(ETI!$B$7*C93,""))</f>
        <v>0.241931707317073</v>
      </c>
      <c r="E93" s="14" t="n">
        <f aca="false">IF(A93="","",D93*(1-C92))</f>
        <v>0.187226109658537</v>
      </c>
    </row>
    <row r="94" customFormat="false" ht="15" hidden="false" customHeight="false" outlineLevel="0" collapsed="false">
      <c r="A94" s="1" t="n">
        <f aca="false">IF(A93&gt;=MAX(MORTALITY!$A:$A),"",A93+1)</f>
        <v>91</v>
      </c>
      <c r="B94" s="1" t="n">
        <f aca="false">IF(A94="","",IFERROR(IF(C94=1,ETI!$B$7,ETI!$B$7*C94+ETI!$B$7*(1-C94)*B95),""))</f>
        <v>0.928988595895491</v>
      </c>
      <c r="C94" s="9" t="n">
        <f aca="false">IF(A94="","",IFERROR(IF(Inputs!$B$6="Male",INDEX(MORTALITY!$B:$B,MATCH(A94,MORTALITY!$A:$A,0)),INDEX(MORTALITY!$E:$E,MATCH(A94,MORTALITY!$D:$D,0))),""))</f>
        <v>0.27153</v>
      </c>
      <c r="D94" s="1" t="n">
        <f aca="false">IF(A94="","",IFERROR(ETI!$B$7*C94,""))</f>
        <v>0.264907317073171</v>
      </c>
      <c r="E94" s="14" t="n">
        <f aca="false">IF(A94="","",D94*(1-C93))</f>
        <v>0.199215600585366</v>
      </c>
    </row>
    <row r="95" customFormat="false" ht="15" hidden="false" customHeight="false" outlineLevel="0" collapsed="false">
      <c r="A95" s="1" t="n">
        <f aca="false">IF(A94&gt;=MAX(MORTALITY!$A:$A),"",A94+1)</f>
        <v>92</v>
      </c>
      <c r="B95" s="1" t="n">
        <f aca="false">IF(A95="","",IFERROR(IF(C95=1,ETI!$B$7,ETI!$B$7*C95+ETI!$B$7*(1-C95)*B96),""))</f>
        <v>0.934401294209615</v>
      </c>
      <c r="C95" s="9" t="n">
        <f aca="false">IF(A95="","",IFERROR(IF(Inputs!$B$6="Male",INDEX(MORTALITY!$B:$B,MATCH(A95,MORTALITY!$A:$A,0)),INDEX(MORTALITY!$E:$E,MATCH(A95,MORTALITY!$D:$D,0))),""))</f>
        <v>0.29745</v>
      </c>
      <c r="D95" s="1" t="n">
        <f aca="false">IF(A95="","",IFERROR(ETI!$B$7*C95,""))</f>
        <v>0.29019512195122</v>
      </c>
      <c r="E95" s="14" t="n">
        <f aca="false">IF(A95="","",D95*(1-C94))</f>
        <v>0.211398440487805</v>
      </c>
    </row>
    <row r="96" customFormat="false" ht="15" hidden="false" customHeight="false" outlineLevel="0" collapsed="false">
      <c r="A96" s="1" t="n">
        <f aca="false">IF(A95&gt;=MAX(MORTALITY!$A:$A),"",A95+1)</f>
        <v>93</v>
      </c>
      <c r="B96" s="1" t="n">
        <f aca="false">IF(A96="","",IFERROR(IF(C96=1,ETI!$B$7,ETI!$B$7*C96+ETI!$B$7*(1-C96)*B97),""))</f>
        <v>0.939878053611636</v>
      </c>
      <c r="C96" s="9" t="n">
        <f aca="false">IF(A96="","",IFERROR(IF(Inputs!$B$6="Male",INDEX(MORTALITY!$B:$B,MATCH(A96,MORTALITY!$A:$A,0)),INDEX(MORTALITY!$E:$E,MATCH(A96,MORTALITY!$D:$D,0))),""))</f>
        <v>0.32696</v>
      </c>
      <c r="D96" s="1" t="n">
        <f aca="false">IF(A96="","",IFERROR(ETI!$B$7*C96,""))</f>
        <v>0.318985365853659</v>
      </c>
      <c r="E96" s="14" t="n">
        <f aca="false">IF(A96="","",D96*(1-C95))</f>
        <v>0.224103168780488</v>
      </c>
    </row>
    <row r="97" customFormat="false" ht="15" hidden="false" customHeight="false" outlineLevel="0" collapsed="false">
      <c r="A97" s="1" t="n">
        <f aca="false">IF(A96&gt;=MAX(MORTALITY!$A:$A),"",A96+1)</f>
        <v>94</v>
      </c>
      <c r="B97" s="1" t="n">
        <f aca="false">IF(A97="","",IFERROR(IF(C97=1,ETI!$B$7,ETI!$B$7*C97+ETI!$B$7*(1-C97)*B98),""))</f>
        <v>0.945582736467264</v>
      </c>
      <c r="C97" s="9" t="n">
        <f aca="false">IF(A97="","",IFERROR(IF(Inputs!$B$6="Male",INDEX(MORTALITY!$B:$B,MATCH(A97,MORTALITY!$A:$A,0)),INDEX(MORTALITY!$E:$E,MATCH(A97,MORTALITY!$D:$D,0))),""))</f>
        <v>0.3631</v>
      </c>
      <c r="D97" s="1" t="n">
        <f aca="false">IF(A97="","",IFERROR(ETI!$B$7*C97,""))</f>
        <v>0.354243902439024</v>
      </c>
      <c r="E97" s="14" t="n">
        <f aca="false">IF(A97="","",D97*(1-C96))</f>
        <v>0.238420316097561</v>
      </c>
    </row>
    <row r="98" customFormat="false" ht="15" hidden="false" customHeight="false" outlineLevel="0" collapsed="false">
      <c r="A98" s="1" t="n">
        <f aca="false">IF(A97&gt;=MAX(MORTALITY!$A:$A),"",A97+1)</f>
        <v>95</v>
      </c>
      <c r="B98" s="1" t="n">
        <f aca="false">IF(A98="","",IFERROR(IF(C98=1,ETI!$B$7,ETI!$B$7*C98+ETI!$B$7*(1-C98)*B99),""))</f>
        <v>0.951675780937266</v>
      </c>
      <c r="C98" s="9" t="n">
        <f aca="false">IF(A98="","",IFERROR(IF(Inputs!$B$6="Male",INDEX(MORTALITY!$B:$B,MATCH(A98,MORTALITY!$A:$A,0)),INDEX(MORTALITY!$E:$E,MATCH(A98,MORTALITY!$D:$D,0))),""))</f>
        <v>0.41252</v>
      </c>
      <c r="D98" s="1" t="n">
        <f aca="false">IF(A98="","",IFERROR(ETI!$B$7*C98,""))</f>
        <v>0.402458536585366</v>
      </c>
      <c r="E98" s="14" t="n">
        <f aca="false">IF(A98="","",D98*(1-C97))</f>
        <v>0.25632584195122</v>
      </c>
    </row>
    <row r="99" customFormat="false" ht="15" hidden="false" customHeight="false" outlineLevel="0" collapsed="false">
      <c r="A99" s="1" t="n">
        <f aca="false">IF(A98&gt;=MAX(MORTALITY!$A:$A),"",A98+1)</f>
        <v>96</v>
      </c>
      <c r="B99" s="1" t="n">
        <f aca="false">IF(A99="","",IFERROR(IF(C99=1,ETI!$B$7,ETI!$B$7*C99+ETI!$B$7*(1-C99)*B100),""))</f>
        <v>0.958241430279666</v>
      </c>
      <c r="C99" s="9" t="n">
        <f aca="false">IF(A99="","",IFERROR(IF(Inputs!$B$6="Male",INDEX(MORTALITY!$B:$B,MATCH(A99,MORTALITY!$A:$A,0)),INDEX(MORTALITY!$E:$E,MATCH(A99,MORTALITY!$D:$D,0))),""))</f>
        <v>0.48846</v>
      </c>
      <c r="D99" s="1" t="n">
        <f aca="false">IF(A99="","",IFERROR(ETI!$B$7*C99,""))</f>
        <v>0.476546341463415</v>
      </c>
      <c r="E99" s="14" t="n">
        <f aca="false">IF(A99="","",D99*(1-C98))</f>
        <v>0.279961444682927</v>
      </c>
    </row>
    <row r="100" customFormat="false" ht="15" hidden="false" customHeight="false" outlineLevel="0" collapsed="false">
      <c r="A100" s="1" t="n">
        <f aca="false">IF(A99&gt;=MAX(MORTALITY!$A:$A),"",A99+1)</f>
        <v>97</v>
      </c>
      <c r="B100" s="1" t="n">
        <f aca="false">IF(A100="","",IFERROR(IF(C100=1,ETI!$B$7,ETI!$B$7*C100+ETI!$B$7*(1-C100)*B101),""))</f>
        <v>0.965198158573439</v>
      </c>
      <c r="C100" s="9" t="n">
        <f aca="false">IF(A100="","",IFERROR(IF(Inputs!$B$6="Male",INDEX(MORTALITY!$B:$B,MATCH(A100,MORTALITY!$A:$A,0)),INDEX(MORTALITY!$E:$E,MATCH(A100,MORTALITY!$D:$D,0))),""))</f>
        <v>0.61746</v>
      </c>
      <c r="D100" s="1" t="n">
        <f aca="false">IF(A100="","",IFERROR(ETI!$B$7*C100,""))</f>
        <v>0.6024</v>
      </c>
      <c r="E100" s="14" t="n">
        <f aca="false">IF(A100="","",D100*(1-C99))</f>
        <v>0.308151696</v>
      </c>
    </row>
    <row r="101" customFormat="false" ht="15" hidden="false" customHeight="false" outlineLevel="0" collapsed="false">
      <c r="A101" s="1" t="n">
        <f aca="false">IF(A100&gt;=MAX(MORTALITY!$A:$A),"",A100+1)</f>
        <v>98</v>
      </c>
      <c r="B101" s="1" t="n">
        <f aca="false">IF(A101="","",IFERROR(IF(C101=1,ETI!$B$7,ETI!$B$7*C101+ETI!$B$7*(1-C101)*B102),""))</f>
        <v>0.97210255800119</v>
      </c>
      <c r="C101" s="9" t="n">
        <f aca="false">IF(A101="","",IFERROR(IF(Inputs!$B$6="Male",INDEX(MORTALITY!$B:$B,MATCH(A101,MORTALITY!$A:$A,0)),INDEX(MORTALITY!$E:$E,MATCH(A101,MORTALITY!$D:$D,0))),""))</f>
        <v>0.85261</v>
      </c>
      <c r="D101" s="1" t="n">
        <f aca="false">IF(A101="","",IFERROR(ETI!$B$7*C101,""))</f>
        <v>0.831814634146342</v>
      </c>
      <c r="E101" s="14" t="n">
        <f aca="false">IF(A101="","",D101*(1-C100))</f>
        <v>0.318202370146341</v>
      </c>
    </row>
    <row r="102" customFormat="false" ht="15" hidden="false" customHeight="false" outlineLevel="0" collapsed="false">
      <c r="A102" s="1" t="n">
        <f aca="false">IF(A101&gt;=MAX(MORTALITY!$A:$A),"",A101+1)</f>
        <v>99</v>
      </c>
      <c r="B102" s="15" t="n">
        <f aca="false">IF(A102="","",IFERROR(IF(C102=1,ETI!$B$7,ETI!$B$7*C102+ETI!$B$7*(1-C102)*B103),""))</f>
        <v>0.975609756097561</v>
      </c>
      <c r="C102" s="9" t="n">
        <f aca="false">IF(A102="","",IFERROR(IF(Inputs!$B$6="Male",INDEX(MORTALITY!$B:$B,MATCH(A102,MORTALITY!$A:$A,0)),INDEX(MORTALITY!$E:$E,MATCH(A102,MORTALITY!$D:$D,0))),""))</f>
        <v>1</v>
      </c>
      <c r="D102" s="1" t="n">
        <f aca="false">IF(A102="","",IFERROR(ETI!$B$7*C102,""))</f>
        <v>0.975609756097561</v>
      </c>
      <c r="E102" s="14" t="n">
        <f aca="false">IF(A102="","",D102*(1-C101))</f>
        <v>0.14379512195122</v>
      </c>
    </row>
    <row r="103" customFormat="false" ht="15" hidden="false" customHeight="false" outlineLevel="0" collapsed="false">
      <c r="A103" s="1" t="str">
        <f aca="false">IF(A102&gt;=MAX(MORTALITY!$A:$A),"",A102+1)</f>
        <v/>
      </c>
      <c r="B103" s="1" t="str">
        <f aca="false">IF(A103="","",IFERROR(IF(C103=1,ETI!$B$7,ETI!$B$7*C103+ETI!$B$7*(1-C103)*B104),""))</f>
        <v/>
      </c>
      <c r="C103" s="9" t="str">
        <f aca="false">IF(A103="","",IFERROR(IF(Inputs!$B$6="Male",INDEX(MORTALITY!$B:$B,MATCH(A103,MORTALITY!$A:$A,0)),INDEX(MORTALITY!$E:$E,MATCH(A103,MORTALITY!$D:$D,0))),""))</f>
        <v/>
      </c>
      <c r="D103" s="1" t="str">
        <f aca="false">IF(A103="","",IFERROR(ETI!$B$7*C103,""))</f>
        <v/>
      </c>
      <c r="E103" s="14" t="str">
        <f aca="false">IF(A103="","",D103*(1-C102))</f>
        <v/>
      </c>
    </row>
    <row r="104" customFormat="false" ht="15" hidden="false" customHeight="false" outlineLevel="0" collapsed="false">
      <c r="A104" s="1" t="str">
        <f aca="false">IF(A103&gt;=MAX(MORTALITY!$A:$A),"",A103+1)</f>
        <v/>
      </c>
      <c r="B104" s="1" t="str">
        <f aca="false">IF(A104="","",IFERROR(IF(C104=1,ETI!$B$7,ETI!$B$7*C104+ETI!$B$7*(1-C104)*B105),""))</f>
        <v/>
      </c>
      <c r="C104" s="9" t="str">
        <f aca="false">IF(A104="","",IFERROR(IF(Inputs!$B$6="Male",INDEX(MORTALITY!$B:$B,MATCH(A104,MORTALITY!$A:$A,0)),INDEX(MORTALITY!$E:$E,MATCH(A104,MORTALITY!$D:$D,0))),""))</f>
        <v/>
      </c>
      <c r="D104" s="1" t="str">
        <f aca="false">IF(A104="","",IFERROR(ETI!$B$7*C104,""))</f>
        <v/>
      </c>
      <c r="E104" s="14" t="str">
        <f aca="false">IF(A104="","",D104*(1-C103))</f>
        <v/>
      </c>
    </row>
    <row r="105" customFormat="false" ht="15" hidden="false" customHeight="false" outlineLevel="0" collapsed="false">
      <c r="A105" s="1" t="str">
        <f aca="false">IF(A104&gt;=MAX(MORTALITY!$A:$A),"",A104+1)</f>
        <v/>
      </c>
      <c r="B105" s="1" t="str">
        <f aca="false">IF(A105="","",IFERROR(IF(C105=1,ETI!$B$7,ETI!$B$7*C105+ETI!$B$7*(1-C105)*B106),""))</f>
        <v/>
      </c>
      <c r="C105" s="9" t="str">
        <f aca="false">IF(A105="","",IFERROR(IF(Inputs!$B$6="Male",INDEX(MORTALITY!$B:$B,MATCH(A105,MORTALITY!$A:$A,0)),INDEX(MORTALITY!$E:$E,MATCH(A105,MORTALITY!$D:$D,0))),""))</f>
        <v/>
      </c>
      <c r="D105" s="1" t="str">
        <f aca="false">IF(A105="","",IFERROR(ETI!$B$7*C105,""))</f>
        <v/>
      </c>
      <c r="E105" s="14" t="str">
        <f aca="false">IF(A105="","",D105*(1-C104))</f>
        <v/>
      </c>
    </row>
    <row r="106" customFormat="false" ht="15" hidden="false" customHeight="false" outlineLevel="0" collapsed="false">
      <c r="A106" s="1" t="str">
        <f aca="false">IF(A105&gt;=MAX(MORTALITY!$A:$A),"",A105+1)</f>
        <v/>
      </c>
      <c r="B106" s="1" t="str">
        <f aca="false">IF(A106="","",IFERROR(IF(C106=1,ETI!$B$7,ETI!$B$7*C106+ETI!$B$7*(1-C106)*B107),""))</f>
        <v/>
      </c>
      <c r="C106" s="9" t="str">
        <f aca="false">IF(A106="","",IFERROR(IF(Inputs!$B$6="Male",INDEX(MORTALITY!$B:$B,MATCH(A106,MORTALITY!$A:$A,0)),INDEX(MORTALITY!$E:$E,MATCH(A106,MORTALITY!$D:$D,0))),""))</f>
        <v/>
      </c>
      <c r="D106" s="1" t="str">
        <f aca="false">IF(A106="","",IFERROR(ETI!$B$7*C106,""))</f>
        <v/>
      </c>
      <c r="E106" s="14" t="str">
        <f aca="false">IF(A106="","",D106*(1-C105))</f>
        <v/>
      </c>
    </row>
    <row r="107" customFormat="false" ht="15" hidden="false" customHeight="false" outlineLevel="0" collapsed="false">
      <c r="A107" s="1" t="str">
        <f aca="false">IF(A106&gt;=MAX(MORTALITY!$A:$A),"",A106+1)</f>
        <v/>
      </c>
      <c r="B107" s="1" t="str">
        <f aca="false">IF(A107="","",IFERROR(IF(C107=1,ETI!$B$7,ETI!$B$7*C107+ETI!$B$7*(1-C107)*B108),""))</f>
        <v/>
      </c>
      <c r="C107" s="9" t="str">
        <f aca="false">IF(A107="","",IFERROR(IF(Inputs!$B$6="Male",INDEX(MORTALITY!$B:$B,MATCH(A107,MORTALITY!$A:$A,0)),INDEX(MORTALITY!$E:$E,MATCH(A107,MORTALITY!$D:$D,0))),""))</f>
        <v/>
      </c>
      <c r="D107" s="1" t="str">
        <f aca="false">IF(A107="","",IFERROR(ETI!$B$7*C107,""))</f>
        <v/>
      </c>
      <c r="E107" s="14" t="str">
        <f aca="false">IF(A107="","",D107*(1-C106))</f>
        <v/>
      </c>
    </row>
    <row r="108" customFormat="false" ht="15" hidden="false" customHeight="false" outlineLevel="0" collapsed="false">
      <c r="A108" s="1" t="str">
        <f aca="false">IF(A107&gt;=MAX(MORTALITY!$A:$A),"",A107+1)</f>
        <v/>
      </c>
      <c r="B108" s="1" t="str">
        <f aca="false">IF(A108="","",IFERROR(IF(C108=1,ETI!$B$7,ETI!$B$7*C108+ETI!$B$7*(1-C108)*B109),""))</f>
        <v/>
      </c>
      <c r="C108" s="9" t="str">
        <f aca="false">IF(A108="","",IFERROR(IF(Inputs!$B$6="Male",INDEX(MORTALITY!$B:$B,MATCH(A108,MORTALITY!$A:$A,0)),INDEX(MORTALITY!$E:$E,MATCH(A108,MORTALITY!$D:$D,0))),""))</f>
        <v/>
      </c>
      <c r="D108" s="1" t="str">
        <f aca="false">IF(A108="","",IFERROR(ETI!$B$7*C108,""))</f>
        <v/>
      </c>
      <c r="E108" s="14" t="str">
        <f aca="false">IF(A108="","",D108*(1-C107))</f>
        <v/>
      </c>
    </row>
    <row r="109" customFormat="false" ht="15" hidden="false" customHeight="false" outlineLevel="0" collapsed="false">
      <c r="A109" s="1" t="str">
        <f aca="false">IF(A108&gt;=MAX(MORTALITY!$A:$A),"",A108+1)</f>
        <v/>
      </c>
      <c r="B109" s="1" t="str">
        <f aca="false">IF(A109="","",IFERROR(IF(C109=1,ETI!$B$7,ETI!$B$7*C109+ETI!$B$7*(1-C109)*B110),""))</f>
        <v/>
      </c>
      <c r="C109" s="9" t="str">
        <f aca="false">IF(A109="","",IFERROR(IF(Inputs!$B$6="Male",INDEX(MORTALITY!$B:$B,MATCH(A109,MORTALITY!$A:$A,0)),INDEX(MORTALITY!$E:$E,MATCH(A109,MORTALITY!$D:$D,0))),""))</f>
        <v/>
      </c>
      <c r="D109" s="1" t="str">
        <f aca="false">IF(A109="","",IFERROR(ETI!$B$7*C109,""))</f>
        <v/>
      </c>
      <c r="E109" s="14" t="str">
        <f aca="false">IF(A109="","",D109*(1-C108))</f>
        <v/>
      </c>
    </row>
    <row r="110" customFormat="false" ht="15" hidden="false" customHeight="false" outlineLevel="0" collapsed="false">
      <c r="A110" s="1" t="str">
        <f aca="false">IF(A109&gt;=MAX(MORTALITY!$A:$A),"",A109+1)</f>
        <v/>
      </c>
      <c r="B110" s="1" t="str">
        <f aca="false">IF(A110="","",IFERROR(IF(C110=1,ETI!$B$7,ETI!$B$7*C110+ETI!$B$7*(1-C110)*B111),""))</f>
        <v/>
      </c>
      <c r="C110" s="9" t="str">
        <f aca="false">IF(A110="","",IFERROR(IF(Inputs!$B$6="Male",INDEX(MORTALITY!$B:$B,MATCH(A110,MORTALITY!$A:$A,0)),INDEX(MORTALITY!$E:$E,MATCH(A110,MORTALITY!$D:$D,0))),""))</f>
        <v/>
      </c>
      <c r="D110" s="1" t="str">
        <f aca="false">IF(A110="","",IFERROR(ETI!$B$7*C110,""))</f>
        <v/>
      </c>
      <c r="E110" s="14" t="str">
        <f aca="false">IF(A110="","",D110*(1-C109))</f>
        <v/>
      </c>
    </row>
    <row r="111" customFormat="false" ht="15" hidden="false" customHeight="false" outlineLevel="0" collapsed="false">
      <c r="A111" s="1" t="str">
        <f aca="false">IF(A110&gt;=MAX(MORTALITY!$A:$A),"",A110+1)</f>
        <v/>
      </c>
      <c r="B111" s="1" t="str">
        <f aca="false">IF(A111="","",IFERROR(IF(C111=1,ETI!$B$7,ETI!$B$7*C111+ETI!$B$7*(1-C111)*B112),""))</f>
        <v/>
      </c>
      <c r="C111" s="9" t="str">
        <f aca="false">IF(A111="","",IFERROR(IF(Inputs!$B$6="Male",INDEX(MORTALITY!$B:$B,MATCH(A111,MORTALITY!$A:$A,0)),INDEX(MORTALITY!$E:$E,MATCH(A111,MORTALITY!$D:$D,0))),""))</f>
        <v/>
      </c>
      <c r="D111" s="1" t="str">
        <f aca="false">IF(A111="","",IFERROR(ETI!$B$7*C111,""))</f>
        <v/>
      </c>
      <c r="E111" s="14" t="str">
        <f aca="false">IF(A111="","",D111*(1-C110))</f>
        <v/>
      </c>
    </row>
    <row r="112" customFormat="false" ht="15" hidden="false" customHeight="false" outlineLevel="0" collapsed="false">
      <c r="A112" s="1" t="str">
        <f aca="false">IF(A111&gt;=MAX(MORTALITY!$A:$A),"",A111+1)</f>
        <v/>
      </c>
      <c r="B112" s="1" t="str">
        <f aca="false">IF(A112="","",IFERROR(IF(C112=1,ETI!$B$7,ETI!$B$7*C112+ETI!$B$7*(1-C112)*B113),""))</f>
        <v/>
      </c>
      <c r="C112" s="9" t="str">
        <f aca="false">IF(A112="","",IFERROR(IF(Inputs!$B$6="Male",INDEX(MORTALITY!$B:$B,MATCH(A112,MORTALITY!$A:$A,0)),INDEX(MORTALITY!$E:$E,MATCH(A112,MORTALITY!$D:$D,0))),""))</f>
        <v/>
      </c>
      <c r="D112" s="1" t="str">
        <f aca="false">IF(A112="","",IFERROR(ETI!$B$7*C112,""))</f>
        <v/>
      </c>
      <c r="E112" s="14" t="str">
        <f aca="false">IF(A112="","",D112*(1-C111))</f>
        <v/>
      </c>
    </row>
    <row r="113" customFormat="false" ht="15" hidden="false" customHeight="false" outlineLevel="0" collapsed="false">
      <c r="A113" s="1" t="str">
        <f aca="false">IF(A112&gt;=MAX(MORTALITY!$A:$A),"",A112+1)</f>
        <v/>
      </c>
      <c r="B113" s="1" t="str">
        <f aca="false">IF(A113="","",IFERROR(IF(C113=1,ETI!$B$7,ETI!$B$7*C113+ETI!$B$7*(1-C113)*B114),""))</f>
        <v/>
      </c>
      <c r="C113" s="9" t="str">
        <f aca="false">IF(A113="","",IFERROR(IF(Inputs!$B$6="Male",INDEX(MORTALITY!$B:$B,MATCH(A113,MORTALITY!$A:$A,0)),INDEX(MORTALITY!$E:$E,MATCH(A113,MORTALITY!$D:$D,0))),""))</f>
        <v/>
      </c>
      <c r="D113" s="1" t="str">
        <f aca="false">IF(A113="","",IFERROR(ETI!$B$7*C113,""))</f>
        <v/>
      </c>
      <c r="E113" s="14" t="str">
        <f aca="false">IF(A113="","",D113*(1-C112))</f>
        <v/>
      </c>
    </row>
    <row r="114" customFormat="false" ht="15" hidden="false" customHeight="false" outlineLevel="0" collapsed="false">
      <c r="A114" s="1" t="str">
        <f aca="false">IF(A113&gt;=MAX(MORTALITY!$A:$A),"",A113+1)</f>
        <v/>
      </c>
      <c r="B114" s="1" t="str">
        <f aca="false">IF(A114="","",IFERROR(IF(C114=1,ETI!$B$7,ETI!$B$7*C114+ETI!$B$7*(1-C114)*B115),""))</f>
        <v/>
      </c>
      <c r="C114" s="9" t="str">
        <f aca="false">IF(A114="","",IFERROR(IF(Inputs!$B$6="Male",INDEX(MORTALITY!$B:$B,MATCH(A114,MORTALITY!$A:$A,0)),INDEX(MORTALITY!$E:$E,MATCH(A114,MORTALITY!$D:$D,0))),""))</f>
        <v/>
      </c>
      <c r="D114" s="1" t="str">
        <f aca="false">IF(A114="","",IFERROR(ETI!$B$7*C114,""))</f>
        <v/>
      </c>
      <c r="E114" s="14" t="str">
        <f aca="false">IF(A114="","",D114*(1-C113))</f>
        <v/>
      </c>
    </row>
    <row r="115" customFormat="false" ht="15" hidden="false" customHeight="false" outlineLevel="0" collapsed="false">
      <c r="A115" s="1" t="str">
        <f aca="false">IF(A114&gt;=MAX(MORTALITY!$A:$A),"",A114+1)</f>
        <v/>
      </c>
      <c r="B115" s="1" t="str">
        <f aca="false">IF(A115="","",IFERROR(IF(C115=1,ETI!$B$7,ETI!$B$7*C115+ETI!$B$7*(1-C115)*B116),""))</f>
        <v/>
      </c>
      <c r="C115" s="9" t="str">
        <f aca="false">IF(A115="","",IFERROR(IF(Inputs!$B$6="Male",INDEX(MORTALITY!$B:$B,MATCH(A115,MORTALITY!$A:$A,0)),INDEX(MORTALITY!$E:$E,MATCH(A115,MORTALITY!$D:$D,0))),""))</f>
        <v/>
      </c>
      <c r="D115" s="1" t="str">
        <f aca="false">IF(A115="","",IFERROR(ETI!$B$7*C115,""))</f>
        <v/>
      </c>
      <c r="E115" s="14" t="str">
        <f aca="false">IF(A115="","",D115*(1-C114))</f>
        <v/>
      </c>
    </row>
    <row r="116" customFormat="false" ht="15" hidden="false" customHeight="false" outlineLevel="0" collapsed="false">
      <c r="A116" s="1" t="str">
        <f aca="false">IF(A115&gt;=MAX(MORTALITY!$A:$A),"",A115+1)</f>
        <v/>
      </c>
      <c r="B116" s="1" t="str">
        <f aca="false">IF(A116="","",IFERROR(IF(C116=1,ETI!$B$7,ETI!$B$7*C116+ETI!$B$7*(1-C116)*B117),""))</f>
        <v/>
      </c>
      <c r="C116" s="9" t="str">
        <f aca="false">IF(A116="","",IFERROR(IF(Inputs!$B$6="Male",INDEX(MORTALITY!$B:$B,MATCH(A116,MORTALITY!$A:$A,0)),INDEX(MORTALITY!$E:$E,MATCH(A116,MORTALITY!$D:$D,0))),""))</f>
        <v/>
      </c>
      <c r="D116" s="1" t="str">
        <f aca="false">IF(A116="","",IFERROR(ETI!$B$7*C116,""))</f>
        <v/>
      </c>
      <c r="E116" s="14" t="str">
        <f aca="false">IF(A116="","",D116*(1-C115))</f>
        <v/>
      </c>
    </row>
    <row r="117" customFormat="false" ht="15" hidden="false" customHeight="false" outlineLevel="0" collapsed="false">
      <c r="A117" s="1" t="str">
        <f aca="false">IF(A116&gt;=MAX(MORTALITY!$A:$A),"",A116+1)</f>
        <v/>
      </c>
      <c r="B117" s="1" t="str">
        <f aca="false">IF(A117="","",IFERROR(IF(C117=1,ETI!$B$7,ETI!$B$7*C117+ETI!$B$7*(1-C117)*B118),""))</f>
        <v/>
      </c>
      <c r="C117" s="9" t="str">
        <f aca="false">IF(A117="","",IFERROR(IF(Inputs!$B$6="Male",INDEX(MORTALITY!$B:$B,MATCH(A117,MORTALITY!$A:$A,0)),INDEX(MORTALITY!$E:$E,MATCH(A117,MORTALITY!$D:$D,0))),""))</f>
        <v/>
      </c>
      <c r="D117" s="1" t="str">
        <f aca="false">IF(A117="","",IFERROR(ETI!$B$7*C117,""))</f>
        <v/>
      </c>
      <c r="E117" s="14" t="str">
        <f aca="false">IF(A117="","",D117*(1-C116))</f>
        <v/>
      </c>
    </row>
    <row r="118" customFormat="false" ht="15" hidden="false" customHeight="false" outlineLevel="0" collapsed="false">
      <c r="A118" s="1" t="str">
        <f aca="false">IF(A117&gt;=MAX(MORTALITY!$A:$A),"",A117+1)</f>
        <v/>
      </c>
      <c r="B118" s="1" t="str">
        <f aca="false">IF(A118="","",IFERROR(IF(C118=1,ETI!$B$7,ETI!$B$7*C118+ETI!$B$7*(1-C118)*B119),""))</f>
        <v/>
      </c>
      <c r="C118" s="9" t="str">
        <f aca="false">IF(A118="","",IFERROR(IF(Inputs!$B$6="Male",INDEX(MORTALITY!$B:$B,MATCH(A118,MORTALITY!$A:$A,0)),INDEX(MORTALITY!$E:$E,MATCH(A118,MORTALITY!$D:$D,0))),""))</f>
        <v/>
      </c>
      <c r="D118" s="1" t="str">
        <f aca="false">IF(A118="","",IFERROR(ETI!$B$7*C118,""))</f>
        <v/>
      </c>
      <c r="E118" s="14" t="str">
        <f aca="false">IF(A118="","",D118*(1-C117))</f>
        <v/>
      </c>
    </row>
    <row r="119" customFormat="false" ht="15" hidden="false" customHeight="false" outlineLevel="0" collapsed="false">
      <c r="A119" s="1" t="str">
        <f aca="false">IF(A118&gt;=MAX(MORTALITY!$A:$A),"",A118+1)</f>
        <v/>
      </c>
      <c r="B119" s="1" t="str">
        <f aca="false">IF(A119="","",IFERROR(IF(C119=1,ETI!$B$7,ETI!$B$7*C119+ETI!$B$7*(1-C119)*B120),""))</f>
        <v/>
      </c>
      <c r="C119" s="9" t="str">
        <f aca="false">IF(A119="","",IFERROR(IF(Inputs!$B$6="Male",INDEX(MORTALITY!$B:$B,MATCH(A119,MORTALITY!$A:$A,0)),INDEX(MORTALITY!$E:$E,MATCH(A119,MORTALITY!$D:$D,0))),""))</f>
        <v/>
      </c>
      <c r="D119" s="1" t="str">
        <f aca="false">IF(A119="","",IFERROR(ETI!$B$7*C119,""))</f>
        <v/>
      </c>
      <c r="E119" s="14" t="str">
        <f aca="false">IF(A119="","",D119*(1-C118))</f>
        <v/>
      </c>
    </row>
    <row r="120" customFormat="false" ht="15" hidden="false" customHeight="false" outlineLevel="0" collapsed="false">
      <c r="A120" s="1" t="str">
        <f aca="false">IF(A119&gt;=MAX(MORTALITY!$A:$A),"",A119+1)</f>
        <v/>
      </c>
      <c r="B120" s="1" t="str">
        <f aca="false">IF(A120="","",IFERROR(IF(C120=1,ETI!$B$7,ETI!$B$7*C120+ETI!$B$7*(1-C120)*B121),""))</f>
        <v/>
      </c>
      <c r="C120" s="9" t="str">
        <f aca="false">IF(A120="","",IFERROR(IF(Inputs!$B$6="Male",INDEX(MORTALITY!$B:$B,MATCH(A120,MORTALITY!$A:$A,0)),INDEX(MORTALITY!$E:$E,MATCH(A120,MORTALITY!$D:$D,0))),""))</f>
        <v/>
      </c>
      <c r="D120" s="1" t="str">
        <f aca="false">IF(A120="","",IFERROR(ETI!$B$7*C120,""))</f>
        <v/>
      </c>
      <c r="E120" s="14" t="str">
        <f aca="false">IF(A120="","",D120*(1-C119))</f>
        <v/>
      </c>
    </row>
    <row r="121" customFormat="false" ht="15" hidden="false" customHeight="false" outlineLevel="0" collapsed="false">
      <c r="A121" s="1" t="str">
        <f aca="false">IF(A120&gt;=MAX(MORTALITY!$A:$A),"",A120+1)</f>
        <v/>
      </c>
      <c r="B121" s="1" t="str">
        <f aca="false">IF(A121="","",IFERROR(IF(C121=1,ETI!$B$7,ETI!$B$7*C121+ETI!$B$7*(1-C121)*B122),""))</f>
        <v/>
      </c>
      <c r="C121" s="9" t="str">
        <f aca="false">IF(A121="","",IFERROR(IF(Inputs!$B$6="Male",INDEX(MORTALITY!$B:$B,MATCH(A121,MORTALITY!$A:$A,0)),INDEX(MORTALITY!$E:$E,MATCH(A121,MORTALITY!$D:$D,0))),""))</f>
        <v/>
      </c>
      <c r="D121" s="1" t="str">
        <f aca="false">IF(A121="","",IFERROR(ETI!$B$7*C121,""))</f>
        <v/>
      </c>
      <c r="E121" s="14" t="str">
        <f aca="false">IF(A121="","",D121*(1-C120))</f>
        <v/>
      </c>
    </row>
    <row r="122" customFormat="false" ht="15" hidden="false" customHeight="false" outlineLevel="0" collapsed="false">
      <c r="A122" s="1" t="str">
        <f aca="false">IF(A121&gt;=MAX(MORTALITY!$A:$A),"",A121+1)</f>
        <v/>
      </c>
      <c r="B122" s="1" t="str">
        <f aca="false">IF(A122="","",IFERROR(IF(C122=1,ETI!$B$7,ETI!$B$7*C122+ETI!$B$7*(1-C122)*B123),""))</f>
        <v/>
      </c>
      <c r="C122" s="9" t="str">
        <f aca="false">IF(A122="","",IFERROR(IF(Inputs!$B$6="Male",INDEX(MORTALITY!$B:$B,MATCH(A122,MORTALITY!$A:$A,0)),INDEX(MORTALITY!$E:$E,MATCH(A122,MORTALITY!$D:$D,0))),""))</f>
        <v/>
      </c>
      <c r="D122" s="1" t="str">
        <f aca="false">IF(A122="","",IFERROR(ETI!$B$7*C122,""))</f>
        <v/>
      </c>
      <c r="E122" s="14" t="str">
        <f aca="false">IF(A122="","",D122*(1-C121))</f>
        <v/>
      </c>
    </row>
    <row r="123" customFormat="false" ht="15" hidden="false" customHeight="false" outlineLevel="0" collapsed="false">
      <c r="A123" s="1" t="str">
        <f aca="false">IF(A122&gt;=MAX(MORTALITY!$A:$A),"",A122+1)</f>
        <v/>
      </c>
      <c r="B123" s="1" t="str">
        <f aca="false">IF(A123="","",IFERROR(IF(C123=1,ETI!$B$7,ETI!$B$7*C123+ETI!$B$7*(1-C123)*B124),""))</f>
        <v/>
      </c>
      <c r="C123" s="9" t="str">
        <f aca="false">IF(A123="","",IFERROR(IF(Inputs!$B$6="Male",INDEX(MORTALITY!$B:$B,MATCH(A123,MORTALITY!$A:$A,0)),INDEX(MORTALITY!$E:$E,MATCH(A123,MORTALITY!$D:$D,0))),""))</f>
        <v/>
      </c>
      <c r="D123" s="1" t="str">
        <f aca="false">IF(A123="","",IFERROR(ETI!$B$7*C123,""))</f>
        <v/>
      </c>
      <c r="E123" s="14" t="str">
        <f aca="false">IF(A123="","",D123*(1-C122))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93</v>
      </c>
    </row>
    <row r="2" customFormat="false" ht="15" hidden="false" customHeight="false" outlineLevel="0" collapsed="false">
      <c r="A2" s="1" t="s">
        <v>98</v>
      </c>
      <c r="B2" s="1" t="n">
        <v>0</v>
      </c>
      <c r="C2" s="1" t="n">
        <f aca="false">+B2+1</f>
        <v>1</v>
      </c>
      <c r="D2" s="1" t="n">
        <f aca="false">+C2+1</f>
        <v>2</v>
      </c>
      <c r="E2" s="1" t="n">
        <f aca="false">+D2+1</f>
        <v>3</v>
      </c>
      <c r="F2" s="1" t="n">
        <f aca="false">+E2+1</f>
        <v>4</v>
      </c>
      <c r="G2" s="1" t="n">
        <f aca="false">+F2+1</f>
        <v>5</v>
      </c>
      <c r="H2" s="1" t="n">
        <f aca="false">+G2+1</f>
        <v>6</v>
      </c>
      <c r="I2" s="1" t="n">
        <f aca="false">+H2+1</f>
        <v>7</v>
      </c>
      <c r="J2" s="1" t="n">
        <f aca="false">+I2+1</f>
        <v>8</v>
      </c>
      <c r="K2" s="1" t="n">
        <f aca="false">+J2+1</f>
        <v>9</v>
      </c>
      <c r="L2" s="1" t="n">
        <f aca="false">+K2+1</f>
        <v>10</v>
      </c>
      <c r="M2" s="1" t="n">
        <f aca="false">+L2+1</f>
        <v>11</v>
      </c>
      <c r="N2" s="1" t="n">
        <f aca="false">+M2+1</f>
        <v>12</v>
      </c>
      <c r="O2" s="1" t="n">
        <f aca="false">+N2+1</f>
        <v>13</v>
      </c>
      <c r="P2" s="1" t="n">
        <f aca="false">+O2+1</f>
        <v>14</v>
      </c>
      <c r="Q2" s="1" t="n">
        <f aca="false">+P2+1</f>
        <v>15</v>
      </c>
      <c r="R2" s="1" t="n">
        <f aca="false">+Q2+1</f>
        <v>16</v>
      </c>
      <c r="S2" s="1" t="n">
        <f aca="false">+R2+1</f>
        <v>17</v>
      </c>
      <c r="T2" s="1" t="n">
        <f aca="false">+S2+1</f>
        <v>18</v>
      </c>
      <c r="U2" s="1" t="n">
        <f aca="false">+T2+1</f>
        <v>19</v>
      </c>
      <c r="V2" s="1" t="n">
        <f aca="false">+U2+1</f>
        <v>20</v>
      </c>
      <c r="W2" s="1" t="n">
        <f aca="false">+V2+1</f>
        <v>21</v>
      </c>
      <c r="X2" s="1" t="n">
        <f aca="false">+W2+1</f>
        <v>22</v>
      </c>
      <c r="Y2" s="1" t="n">
        <f aca="false">+X2+1</f>
        <v>23</v>
      </c>
      <c r="Z2" s="1" t="n">
        <f aca="false">+Y2+1</f>
        <v>24</v>
      </c>
      <c r="AA2" s="1" t="n">
        <f aca="false">+Z2+1</f>
        <v>25</v>
      </c>
      <c r="AB2" s="1" t="n">
        <f aca="false">+AA2+1</f>
        <v>26</v>
      </c>
      <c r="AC2" s="1" t="n">
        <f aca="false">+AB2+1</f>
        <v>27</v>
      </c>
      <c r="AD2" s="1" t="n">
        <f aca="false">+AC2+1</f>
        <v>28</v>
      </c>
      <c r="AE2" s="1" t="n">
        <f aca="false">+AD2+1</f>
        <v>29</v>
      </c>
      <c r="AF2" s="1" t="n">
        <f aca="false">+AE2+1</f>
        <v>30</v>
      </c>
      <c r="AG2" s="1" t="n">
        <f aca="false">+AF2+1</f>
        <v>31</v>
      </c>
      <c r="AH2" s="1" t="n">
        <f aca="false">+AG2+1</f>
        <v>32</v>
      </c>
      <c r="AI2" s="1" t="n">
        <f aca="false">+AH2+1</f>
        <v>33</v>
      </c>
      <c r="AJ2" s="1" t="n">
        <f aca="false">+AI2+1</f>
        <v>34</v>
      </c>
      <c r="AK2" s="1" t="n">
        <f aca="false">+AJ2+1</f>
        <v>35</v>
      </c>
      <c r="AL2" s="1" t="n">
        <f aca="false">+AK2+1</f>
        <v>36</v>
      </c>
      <c r="AM2" s="1" t="n">
        <f aca="false">+AL2+1</f>
        <v>37</v>
      </c>
      <c r="AN2" s="1" t="n">
        <f aca="false">+AM2+1</f>
        <v>38</v>
      </c>
      <c r="AO2" s="1" t="n">
        <f aca="false">+AN2+1</f>
        <v>39</v>
      </c>
      <c r="AP2" s="1" t="n">
        <f aca="false">+AO2+1</f>
        <v>40</v>
      </c>
      <c r="AQ2" s="1" t="n">
        <f aca="false">+AP2+1</f>
        <v>41</v>
      </c>
      <c r="AR2" s="1" t="n">
        <f aca="false">+AQ2+1</f>
        <v>42</v>
      </c>
      <c r="AS2" s="1" t="n">
        <f aca="false">+AR2+1</f>
        <v>43</v>
      </c>
      <c r="AT2" s="1" t="n">
        <f aca="false">+AS2+1</f>
        <v>44</v>
      </c>
      <c r="AU2" s="1" t="n">
        <f aca="false">+AT2+1</f>
        <v>45</v>
      </c>
      <c r="AV2" s="1" t="n">
        <f aca="false">+AU2+1</f>
        <v>46</v>
      </c>
      <c r="AW2" s="1" t="n">
        <f aca="false">+AV2+1</f>
        <v>47</v>
      </c>
      <c r="AX2" s="1" t="n">
        <f aca="false">+AW2+1</f>
        <v>48</v>
      </c>
      <c r="AY2" s="1" t="n">
        <f aca="false">+AX2+1</f>
        <v>49</v>
      </c>
      <c r="AZ2" s="1" t="n">
        <f aca="false">+AY2+1</f>
        <v>50</v>
      </c>
      <c r="BA2" s="1" t="n">
        <f aca="false">+AZ2+1</f>
        <v>51</v>
      </c>
      <c r="BB2" s="1" t="n">
        <f aca="false">+BA2+1</f>
        <v>52</v>
      </c>
      <c r="BC2" s="1" t="n">
        <f aca="false">+BB2+1</f>
        <v>53</v>
      </c>
      <c r="BD2" s="1" t="n">
        <f aca="false">+BC2+1</f>
        <v>54</v>
      </c>
      <c r="BE2" s="1" t="n">
        <f aca="false">+BD2+1</f>
        <v>55</v>
      </c>
      <c r="BF2" s="1" t="n">
        <f aca="false">+BE2+1</f>
        <v>56</v>
      </c>
      <c r="BG2" s="1" t="n">
        <f aca="false">+BF2+1</f>
        <v>57</v>
      </c>
      <c r="BH2" s="1" t="n">
        <f aca="false">+BG2+1</f>
        <v>58</v>
      </c>
      <c r="BI2" s="1" t="n">
        <f aca="false">+BH2+1</f>
        <v>59</v>
      </c>
      <c r="BJ2" s="1" t="n">
        <f aca="false">+BI2+1</f>
        <v>60</v>
      </c>
      <c r="BK2" s="1" t="n">
        <f aca="false">+BJ2+1</f>
        <v>61</v>
      </c>
      <c r="BL2" s="1" t="n">
        <f aca="false">+BK2+1</f>
        <v>62</v>
      </c>
      <c r="BM2" s="1" t="n">
        <f aca="false">+BL2+1</f>
        <v>63</v>
      </c>
      <c r="BN2" s="1" t="n">
        <f aca="false">+BM2+1</f>
        <v>64</v>
      </c>
      <c r="BO2" s="1" t="n">
        <f aca="false">+BN2+1</f>
        <v>65</v>
      </c>
      <c r="BP2" s="1" t="n">
        <f aca="false">+BO2+1</f>
        <v>66</v>
      </c>
      <c r="BQ2" s="1" t="n">
        <f aca="false">+BP2+1</f>
        <v>67</v>
      </c>
      <c r="BR2" s="1" t="n">
        <f aca="false">+BQ2+1</f>
        <v>68</v>
      </c>
      <c r="BS2" s="1" t="n">
        <f aca="false">+BR2+1</f>
        <v>69</v>
      </c>
      <c r="BT2" s="1" t="n">
        <f aca="false">+BS2+1</f>
        <v>70</v>
      </c>
      <c r="BU2" s="1" t="n">
        <f aca="false">+BT2+1</f>
        <v>71</v>
      </c>
      <c r="BV2" s="1" t="n">
        <f aca="false">+BU2+1</f>
        <v>72</v>
      </c>
      <c r="BW2" s="1" t="n">
        <f aca="false">+BV2+1</f>
        <v>73</v>
      </c>
      <c r="BX2" s="1" t="n">
        <f aca="false">+BW2+1</f>
        <v>74</v>
      </c>
      <c r="BY2" s="1" t="n">
        <f aca="false">+BX2+1</f>
        <v>75</v>
      </c>
      <c r="BZ2" s="1" t="n">
        <f aca="false">+BY2+1</f>
        <v>76</v>
      </c>
      <c r="CA2" s="1" t="n">
        <f aca="false">+BZ2+1</f>
        <v>77</v>
      </c>
      <c r="CB2" s="1" t="n">
        <f aca="false">+CA2+1</f>
        <v>78</v>
      </c>
      <c r="CC2" s="1" t="n">
        <f aca="false">+CB2+1</f>
        <v>79</v>
      </c>
      <c r="CD2" s="1" t="n">
        <f aca="false">+CC2+1</f>
        <v>80</v>
      </c>
      <c r="CE2" s="1" t="n">
        <f aca="false">+CD2+1</f>
        <v>81</v>
      </c>
      <c r="CF2" s="1" t="n">
        <f aca="false">+CE2+1</f>
        <v>82</v>
      </c>
      <c r="CG2" s="1" t="n">
        <f aca="false">+CF2+1</f>
        <v>83</v>
      </c>
      <c r="CH2" s="1" t="n">
        <f aca="false">+CG2+1</f>
        <v>84</v>
      </c>
      <c r="CI2" s="1" t="n">
        <f aca="false">+CH2+1</f>
        <v>85</v>
      </c>
      <c r="CJ2" s="1" t="n">
        <f aca="false">+CI2+1</f>
        <v>86</v>
      </c>
      <c r="CK2" s="1" t="n">
        <f aca="false">+CJ2+1</f>
        <v>87</v>
      </c>
      <c r="CL2" s="1" t="n">
        <f aca="false">+CK2+1</f>
        <v>88</v>
      </c>
      <c r="CM2" s="1" t="n">
        <f aca="false">+CL2+1</f>
        <v>89</v>
      </c>
      <c r="CN2" s="1" t="n">
        <f aca="false">+CM2+1</f>
        <v>90</v>
      </c>
      <c r="CO2" s="1" t="n">
        <f aca="false">+CN2+1</f>
        <v>91</v>
      </c>
      <c r="CP2" s="1" t="n">
        <f aca="false">+CO2+1</f>
        <v>92</v>
      </c>
      <c r="CQ2" s="1" t="n">
        <f aca="false">+CP2+1</f>
        <v>93</v>
      </c>
      <c r="CR2" s="1" t="n">
        <f aca="false">+CQ2+1</f>
        <v>94</v>
      </c>
      <c r="CS2" s="1" t="n">
        <f aca="false">+CR2+1</f>
        <v>95</v>
      </c>
      <c r="CT2" s="1" t="n">
        <f aca="false">+CS2+1</f>
        <v>96</v>
      </c>
      <c r="CU2" s="1" t="n">
        <f aca="false">+CT2+1</f>
        <v>97</v>
      </c>
      <c r="CV2" s="1" t="n">
        <f aca="false">+CU2+1</f>
        <v>98</v>
      </c>
      <c r="CW2" s="1" t="n">
        <f aca="false">+CV2+1</f>
        <v>99</v>
      </c>
      <c r="CX2" s="1" t="n">
        <f aca="false">+CW2+1</f>
        <v>100</v>
      </c>
    </row>
    <row r="3" customFormat="false" ht="15" hidden="false" customHeight="false" outlineLevel="0" collapsed="false">
      <c r="A3" s="1" t="n">
        <v>0</v>
      </c>
      <c r="B3" s="16" t="n">
        <f aca="false">Inputs!$B$20</f>
        <v>0</v>
      </c>
      <c r="C3" s="16" t="n">
        <f aca="false">B4</f>
        <v>0</v>
      </c>
      <c r="D3" s="16" t="n">
        <f aca="false">C4</f>
        <v>0</v>
      </c>
      <c r="E3" s="16" t="n">
        <f aca="false">D4</f>
        <v>0</v>
      </c>
      <c r="F3" s="16" t="n">
        <f aca="false">E4</f>
        <v>0</v>
      </c>
      <c r="G3" s="16" t="n">
        <f aca="false">F4</f>
        <v>0</v>
      </c>
      <c r="H3" s="16" t="n">
        <f aca="false">G4</f>
        <v>0</v>
      </c>
      <c r="I3" s="16" t="n">
        <f aca="false">H4</f>
        <v>0</v>
      </c>
      <c r="J3" s="16" t="n">
        <f aca="false">I4</f>
        <v>0</v>
      </c>
      <c r="K3" s="16" t="n">
        <f aca="false">J4</f>
        <v>0</v>
      </c>
      <c r="L3" s="16" t="n">
        <f aca="false">K4</f>
        <v>0</v>
      </c>
      <c r="M3" s="16" t="n">
        <f aca="false">L4</f>
        <v>0</v>
      </c>
      <c r="N3" s="16" t="n">
        <f aca="false">M4</f>
        <v>0</v>
      </c>
      <c r="O3" s="16" t="n">
        <f aca="false">N4</f>
        <v>0</v>
      </c>
      <c r="P3" s="16" t="n">
        <f aca="false">O4</f>
        <v>0</v>
      </c>
      <c r="Q3" s="16" t="n">
        <f aca="false">P4</f>
        <v>0</v>
      </c>
      <c r="R3" s="16" t="n">
        <f aca="false">Q4</f>
        <v>0</v>
      </c>
      <c r="S3" s="16" t="n">
        <f aca="false">R4</f>
        <v>0</v>
      </c>
      <c r="T3" s="16" t="n">
        <f aca="false">S4</f>
        <v>0</v>
      </c>
      <c r="U3" s="16" t="n">
        <f aca="false">T4</f>
        <v>0</v>
      </c>
      <c r="V3" s="16" t="n">
        <f aca="false">U4</f>
        <v>0</v>
      </c>
      <c r="W3" s="16" t="n">
        <f aca="false">V4</f>
        <v>0</v>
      </c>
      <c r="X3" s="16" t="n">
        <f aca="false">W4</f>
        <v>0</v>
      </c>
      <c r="Y3" s="16" t="n">
        <f aca="false">X4</f>
        <v>0</v>
      </c>
      <c r="Z3" s="16" t="n">
        <f aca="false">Y4</f>
        <v>0</v>
      </c>
      <c r="AA3" s="16" t="n">
        <f aca="false">Z4</f>
        <v>0</v>
      </c>
      <c r="AB3" s="16" t="n">
        <f aca="false">AA4</f>
        <v>0</v>
      </c>
      <c r="AC3" s="16" t="n">
        <f aca="false">AB4</f>
        <v>0</v>
      </c>
      <c r="AD3" s="16" t="n">
        <f aca="false">AC4</f>
        <v>0</v>
      </c>
      <c r="AE3" s="16" t="n">
        <f aca="false">AD4</f>
        <v>0</v>
      </c>
      <c r="AF3" s="16" t="n">
        <f aca="false">AE4</f>
        <v>0</v>
      </c>
      <c r="AG3" s="16" t="n">
        <f aca="false">AF4</f>
        <v>0</v>
      </c>
      <c r="AH3" s="16" t="n">
        <f aca="false">AG4</f>
        <v>0</v>
      </c>
      <c r="AI3" s="16" t="n">
        <f aca="false">AH4</f>
        <v>0</v>
      </c>
      <c r="AJ3" s="16" t="n">
        <f aca="false">AI4</f>
        <v>0</v>
      </c>
      <c r="AK3" s="16" t="n">
        <f aca="false">AJ4</f>
        <v>0</v>
      </c>
      <c r="AL3" s="16" t="n">
        <f aca="false">AK4</f>
        <v>0</v>
      </c>
      <c r="AM3" s="16" t="n">
        <f aca="false">AL4</f>
        <v>0</v>
      </c>
      <c r="AN3" s="16" t="n">
        <f aca="false">AM4</f>
        <v>0</v>
      </c>
      <c r="AO3" s="16" t="n">
        <f aca="false">AN4</f>
        <v>0</v>
      </c>
      <c r="AP3" s="16" t="n">
        <f aca="false">AO4</f>
        <v>0</v>
      </c>
      <c r="AQ3" s="16" t="n">
        <f aca="false">AP4</f>
        <v>0</v>
      </c>
      <c r="AR3" s="16" t="n">
        <f aca="false">AQ4</f>
        <v>0</v>
      </c>
      <c r="AS3" s="16" t="n">
        <f aca="false">AR4</f>
        <v>0</v>
      </c>
      <c r="AT3" s="16" t="n">
        <f aca="false">AS4</f>
        <v>0</v>
      </c>
      <c r="AU3" s="16" t="n">
        <f aca="false">AT4</f>
        <v>0</v>
      </c>
      <c r="AV3" s="16" t="n">
        <f aca="false">AU4</f>
        <v>0</v>
      </c>
      <c r="AW3" s="16" t="n">
        <f aca="false">AV4</f>
        <v>0</v>
      </c>
      <c r="AX3" s="16" t="n">
        <f aca="false">AW4</f>
        <v>0</v>
      </c>
      <c r="AY3" s="16" t="n">
        <f aca="false">AX4</f>
        <v>0</v>
      </c>
      <c r="AZ3" s="16" t="n">
        <f aca="false">AY4</f>
        <v>0</v>
      </c>
      <c r="BA3" s="16" t="n">
        <f aca="false">AZ4</f>
        <v>0</v>
      </c>
      <c r="BB3" s="16" t="n">
        <f aca="false">BA4</f>
        <v>0</v>
      </c>
      <c r="BC3" s="16" t="n">
        <f aca="false">BB4</f>
        <v>0</v>
      </c>
      <c r="BD3" s="16" t="n">
        <f aca="false">BC4</f>
        <v>0</v>
      </c>
      <c r="BE3" s="16" t="n">
        <f aca="false">BD4</f>
        <v>0</v>
      </c>
      <c r="BF3" s="16" t="n">
        <f aca="false">BE4</f>
        <v>0</v>
      </c>
      <c r="BG3" s="16" t="n">
        <f aca="false">BF4</f>
        <v>0</v>
      </c>
      <c r="BH3" s="16" t="n">
        <f aca="false">BG4</f>
        <v>0</v>
      </c>
      <c r="BI3" s="16" t="n">
        <f aca="false">BH4</f>
        <v>0</v>
      </c>
      <c r="BJ3" s="16" t="n">
        <f aca="false">BI4</f>
        <v>0</v>
      </c>
      <c r="BK3" s="16" t="n">
        <f aca="false">BJ4</f>
        <v>0</v>
      </c>
      <c r="BL3" s="16" t="n">
        <f aca="false">BK4</f>
        <v>0</v>
      </c>
      <c r="BM3" s="16" t="n">
        <f aca="false">BL4</f>
        <v>0</v>
      </c>
      <c r="BN3" s="16" t="n">
        <f aca="false">BM4</f>
        <v>0</v>
      </c>
      <c r="BO3" s="16" t="n">
        <f aca="false">BN4</f>
        <v>0</v>
      </c>
      <c r="BP3" s="16" t="n">
        <f aca="false">BO4</f>
        <v>0</v>
      </c>
      <c r="BQ3" s="16" t="n">
        <f aca="false">BP4</f>
        <v>0</v>
      </c>
      <c r="BR3" s="16" t="n">
        <f aca="false">BQ4</f>
        <v>0</v>
      </c>
      <c r="BS3" s="16" t="n">
        <f aca="false">BR4</f>
        <v>0</v>
      </c>
      <c r="BT3" s="16" t="n">
        <f aca="false">BS4</f>
        <v>0</v>
      </c>
      <c r="BU3" s="16" t="n">
        <f aca="false">BT4</f>
        <v>0</v>
      </c>
      <c r="BV3" s="16" t="n">
        <f aca="false">BU4</f>
        <v>0</v>
      </c>
      <c r="BW3" s="16" t="n">
        <f aca="false">BV4</f>
        <v>0</v>
      </c>
      <c r="BX3" s="16" t="n">
        <f aca="false">BW4</f>
        <v>0</v>
      </c>
      <c r="BY3" s="16" t="n">
        <f aca="false">BX4</f>
        <v>0</v>
      </c>
      <c r="BZ3" s="16" t="n">
        <f aca="false">BY4</f>
        <v>0</v>
      </c>
      <c r="CA3" s="16" t="n">
        <f aca="false">BZ4</f>
        <v>0</v>
      </c>
      <c r="CB3" s="16" t="n">
        <f aca="false">CA4</f>
        <v>0</v>
      </c>
      <c r="CC3" s="16" t="n">
        <f aca="false">CB4</f>
        <v>0</v>
      </c>
      <c r="CD3" s="16" t="n">
        <f aca="false">CC4</f>
        <v>0</v>
      </c>
      <c r="CE3" s="16" t="n">
        <f aca="false">CD4</f>
        <v>0</v>
      </c>
      <c r="CF3" s="16" t="n">
        <f aca="false">CE4</f>
        <v>0</v>
      </c>
      <c r="CG3" s="16" t="n">
        <f aca="false">CF4</f>
        <v>0</v>
      </c>
      <c r="CH3" s="16" t="n">
        <f aca="false">CG4</f>
        <v>0</v>
      </c>
      <c r="CI3" s="16" t="n">
        <f aca="false">CH4</f>
        <v>0</v>
      </c>
      <c r="CJ3" s="16" t="n">
        <f aca="false">CI4</f>
        <v>0</v>
      </c>
      <c r="CK3" s="16" t="n">
        <f aca="false">CJ4</f>
        <v>0</v>
      </c>
      <c r="CL3" s="16" t="n">
        <f aca="false">CK4</f>
        <v>0</v>
      </c>
      <c r="CM3" s="16" t="n">
        <f aca="false">CL4</f>
        <v>0</v>
      </c>
      <c r="CN3" s="16" t="n">
        <f aca="false">CM4</f>
        <v>0</v>
      </c>
      <c r="CO3" s="16" t="n">
        <f aca="false">CN4</f>
        <v>0</v>
      </c>
      <c r="CP3" s="16" t="n">
        <f aca="false">CO4</f>
        <v>0</v>
      </c>
      <c r="CQ3" s="16" t="n">
        <f aca="false">CP4</f>
        <v>0</v>
      </c>
      <c r="CR3" s="16" t="n">
        <f aca="false">CQ4</f>
        <v>0</v>
      </c>
      <c r="CS3" s="16" t="n">
        <f aca="false">CR4</f>
        <v>0</v>
      </c>
      <c r="CT3" s="16" t="n">
        <f aca="false">CS4</f>
        <v>0</v>
      </c>
      <c r="CU3" s="16" t="n">
        <f aca="false">CT4</f>
        <v>0</v>
      </c>
      <c r="CV3" s="16" t="n">
        <f aca="false">CU4</f>
        <v>0</v>
      </c>
      <c r="CW3" s="16" t="n">
        <f aca="false">CV4</f>
        <v>0</v>
      </c>
      <c r="CX3" s="16" t="n">
        <f aca="false">CW4</f>
        <v>0</v>
      </c>
    </row>
    <row r="4" customFormat="false" ht="15" hidden="false" customHeight="false" outlineLevel="0" collapsed="false">
      <c r="A4" s="1" t="n">
        <f aca="false">A3+1</f>
        <v>1</v>
      </c>
      <c r="B4" s="16" t="n">
        <f aca="false">B3</f>
        <v>0</v>
      </c>
      <c r="C4" s="16" t="n">
        <f aca="false">B5</f>
        <v>0</v>
      </c>
      <c r="D4" s="16" t="n">
        <f aca="false">C5</f>
        <v>0</v>
      </c>
      <c r="E4" s="16" t="n">
        <f aca="false">D5</f>
        <v>0</v>
      </c>
      <c r="F4" s="16" t="n">
        <f aca="false">E5</f>
        <v>0</v>
      </c>
      <c r="G4" s="16" t="n">
        <f aca="false">F5</f>
        <v>0</v>
      </c>
      <c r="H4" s="16" t="n">
        <f aca="false">G5</f>
        <v>0</v>
      </c>
      <c r="I4" s="16" t="n">
        <f aca="false">H5</f>
        <v>0</v>
      </c>
      <c r="J4" s="16" t="n">
        <f aca="false">I5</f>
        <v>0</v>
      </c>
      <c r="K4" s="16" t="n">
        <f aca="false">J5</f>
        <v>0</v>
      </c>
      <c r="L4" s="16" t="n">
        <f aca="false">K5</f>
        <v>0</v>
      </c>
      <c r="M4" s="16" t="n">
        <f aca="false">L5</f>
        <v>0</v>
      </c>
      <c r="N4" s="16" t="n">
        <f aca="false">M5</f>
        <v>0</v>
      </c>
      <c r="O4" s="16" t="n">
        <f aca="false">N5</f>
        <v>0</v>
      </c>
      <c r="P4" s="16" t="n">
        <f aca="false">O5</f>
        <v>0</v>
      </c>
      <c r="Q4" s="16" t="n">
        <f aca="false">P5</f>
        <v>0</v>
      </c>
      <c r="R4" s="16" t="n">
        <f aca="false">Q5</f>
        <v>0</v>
      </c>
      <c r="S4" s="16" t="n">
        <f aca="false">R5</f>
        <v>0</v>
      </c>
      <c r="T4" s="16" t="n">
        <f aca="false">S5</f>
        <v>0</v>
      </c>
      <c r="U4" s="16" t="n">
        <f aca="false">T5</f>
        <v>0</v>
      </c>
      <c r="V4" s="16" t="n">
        <f aca="false">U5</f>
        <v>0</v>
      </c>
      <c r="W4" s="16" t="n">
        <f aca="false">V5</f>
        <v>0</v>
      </c>
      <c r="X4" s="16" t="n">
        <f aca="false">W5</f>
        <v>0</v>
      </c>
      <c r="Y4" s="16" t="n">
        <f aca="false">X5</f>
        <v>0</v>
      </c>
      <c r="Z4" s="16" t="n">
        <f aca="false">Y5</f>
        <v>0</v>
      </c>
      <c r="AA4" s="16" t="n">
        <f aca="false">Z5</f>
        <v>0</v>
      </c>
      <c r="AB4" s="16" t="n">
        <f aca="false">AA5</f>
        <v>0</v>
      </c>
      <c r="AC4" s="16" t="n">
        <f aca="false">AB5</f>
        <v>0</v>
      </c>
      <c r="AD4" s="16" t="n">
        <f aca="false">AC5</f>
        <v>0</v>
      </c>
      <c r="AE4" s="16" t="n">
        <f aca="false">AD5</f>
        <v>0</v>
      </c>
      <c r="AF4" s="16" t="n">
        <f aca="false">AE5</f>
        <v>0</v>
      </c>
      <c r="AG4" s="16" t="n">
        <f aca="false">AF5</f>
        <v>0</v>
      </c>
      <c r="AH4" s="16" t="n">
        <f aca="false">AG5</f>
        <v>0</v>
      </c>
      <c r="AI4" s="16" t="n">
        <f aca="false">AH5</f>
        <v>0</v>
      </c>
      <c r="AJ4" s="16" t="n">
        <f aca="false">AI5</f>
        <v>0</v>
      </c>
      <c r="AK4" s="16" t="n">
        <f aca="false">AJ5</f>
        <v>0</v>
      </c>
      <c r="AL4" s="16" t="n">
        <f aca="false">AK5</f>
        <v>0</v>
      </c>
      <c r="AM4" s="16" t="n">
        <f aca="false">AL5</f>
        <v>0</v>
      </c>
      <c r="AN4" s="16" t="n">
        <f aca="false">AM5</f>
        <v>0</v>
      </c>
      <c r="AO4" s="16" t="n">
        <f aca="false">AN5</f>
        <v>0</v>
      </c>
      <c r="AP4" s="16" t="n">
        <f aca="false">AO5</f>
        <v>0</v>
      </c>
      <c r="AQ4" s="16" t="n">
        <f aca="false">AP5</f>
        <v>0</v>
      </c>
      <c r="AR4" s="16" t="n">
        <f aca="false">AQ5</f>
        <v>0</v>
      </c>
      <c r="AS4" s="16" t="n">
        <f aca="false">AR5</f>
        <v>0</v>
      </c>
      <c r="AT4" s="16" t="n">
        <f aca="false">AS5</f>
        <v>0</v>
      </c>
      <c r="AU4" s="16" t="n">
        <f aca="false">AT5</f>
        <v>0</v>
      </c>
      <c r="AV4" s="16" t="n">
        <f aca="false">AU5</f>
        <v>0</v>
      </c>
      <c r="AW4" s="16" t="n">
        <f aca="false">AV5</f>
        <v>0</v>
      </c>
      <c r="AX4" s="16" t="n">
        <f aca="false">AW5</f>
        <v>0</v>
      </c>
      <c r="AY4" s="16" t="n">
        <f aca="false">AX5</f>
        <v>0</v>
      </c>
      <c r="AZ4" s="16" t="n">
        <f aca="false">AY5</f>
        <v>0</v>
      </c>
      <c r="BA4" s="16" t="n">
        <f aca="false">AZ5</f>
        <v>0</v>
      </c>
      <c r="BB4" s="16" t="n">
        <f aca="false">BA5</f>
        <v>0</v>
      </c>
      <c r="BC4" s="16" t="n">
        <f aca="false">BB5</f>
        <v>0</v>
      </c>
      <c r="BD4" s="16" t="n">
        <f aca="false">BC5</f>
        <v>0</v>
      </c>
      <c r="BE4" s="16" t="n">
        <f aca="false">BD5</f>
        <v>0</v>
      </c>
      <c r="BF4" s="16" t="n">
        <f aca="false">BE5</f>
        <v>0</v>
      </c>
      <c r="BG4" s="16" t="n">
        <f aca="false">BF5</f>
        <v>0</v>
      </c>
      <c r="BH4" s="16" t="n">
        <f aca="false">BG5</f>
        <v>0</v>
      </c>
      <c r="BI4" s="16" t="n">
        <f aca="false">BH5</f>
        <v>0</v>
      </c>
      <c r="BJ4" s="16" t="n">
        <f aca="false">BI5</f>
        <v>0</v>
      </c>
      <c r="BK4" s="16" t="n">
        <f aca="false">BJ5</f>
        <v>0</v>
      </c>
      <c r="BL4" s="16" t="n">
        <f aca="false">BK5</f>
        <v>0</v>
      </c>
      <c r="BM4" s="16" t="n">
        <f aca="false">BL5</f>
        <v>0</v>
      </c>
      <c r="BN4" s="16" t="n">
        <f aca="false">BM5</f>
        <v>0</v>
      </c>
      <c r="BO4" s="16" t="n">
        <f aca="false">BN5</f>
        <v>0</v>
      </c>
      <c r="BP4" s="16" t="n">
        <f aca="false">BO5</f>
        <v>0</v>
      </c>
      <c r="BQ4" s="16" t="n">
        <f aca="false">BP5</f>
        <v>0</v>
      </c>
      <c r="BR4" s="16" t="n">
        <f aca="false">BQ5</f>
        <v>0</v>
      </c>
      <c r="BS4" s="16" t="n">
        <f aca="false">BR5</f>
        <v>0</v>
      </c>
      <c r="BT4" s="16" t="n">
        <f aca="false">BS5</f>
        <v>0</v>
      </c>
      <c r="BU4" s="16" t="n">
        <f aca="false">BT5</f>
        <v>0</v>
      </c>
      <c r="BV4" s="16" t="n">
        <f aca="false">BU5</f>
        <v>0</v>
      </c>
      <c r="BW4" s="16" t="n">
        <f aca="false">BV5</f>
        <v>0</v>
      </c>
      <c r="BX4" s="16" t="n">
        <f aca="false">BW5</f>
        <v>0</v>
      </c>
      <c r="BY4" s="16" t="n">
        <f aca="false">BX5</f>
        <v>0</v>
      </c>
      <c r="BZ4" s="16" t="n">
        <f aca="false">BY5</f>
        <v>0</v>
      </c>
      <c r="CA4" s="16" t="n">
        <f aca="false">BZ5</f>
        <v>0</v>
      </c>
      <c r="CB4" s="16" t="n">
        <f aca="false">CA5</f>
        <v>0</v>
      </c>
      <c r="CC4" s="16" t="n">
        <f aca="false">CB5</f>
        <v>0</v>
      </c>
      <c r="CD4" s="16" t="n">
        <f aca="false">CC5</f>
        <v>0</v>
      </c>
      <c r="CE4" s="16" t="n">
        <f aca="false">CD5</f>
        <v>0</v>
      </c>
      <c r="CF4" s="16" t="n">
        <f aca="false">CE5</f>
        <v>0</v>
      </c>
      <c r="CG4" s="16" t="n">
        <f aca="false">CF5</f>
        <v>0</v>
      </c>
      <c r="CH4" s="16" t="n">
        <f aca="false">CG5</f>
        <v>0</v>
      </c>
      <c r="CI4" s="16" t="n">
        <f aca="false">CH5</f>
        <v>0</v>
      </c>
      <c r="CJ4" s="16" t="n">
        <f aca="false">CI5</f>
        <v>0</v>
      </c>
      <c r="CK4" s="16" t="n">
        <f aca="false">CJ5</f>
        <v>0</v>
      </c>
      <c r="CL4" s="16" t="n">
        <f aca="false">CK5</f>
        <v>0</v>
      </c>
      <c r="CM4" s="16" t="n">
        <f aca="false">CL5</f>
        <v>0</v>
      </c>
      <c r="CN4" s="16" t="n">
        <f aca="false">CM5</f>
        <v>0</v>
      </c>
      <c r="CO4" s="16" t="n">
        <f aca="false">CN5</f>
        <v>0</v>
      </c>
      <c r="CP4" s="16" t="n">
        <f aca="false">CO5</f>
        <v>0</v>
      </c>
      <c r="CQ4" s="16" t="n">
        <f aca="false">CP5</f>
        <v>0</v>
      </c>
      <c r="CR4" s="16" t="n">
        <f aca="false">CQ5</f>
        <v>0</v>
      </c>
      <c r="CS4" s="16" t="n">
        <f aca="false">CR5</f>
        <v>0</v>
      </c>
      <c r="CT4" s="16" t="n">
        <f aca="false">CS5</f>
        <v>0</v>
      </c>
      <c r="CU4" s="16" t="n">
        <f aca="false">CT5</f>
        <v>0</v>
      </c>
      <c r="CV4" s="16" t="n">
        <f aca="false">CU5</f>
        <v>0</v>
      </c>
      <c r="CW4" s="16" t="n">
        <f aca="false">CV5</f>
        <v>0</v>
      </c>
      <c r="CX4" s="16" t="n">
        <f aca="false">CW5</f>
        <v>0</v>
      </c>
    </row>
    <row r="5" customFormat="false" ht="15" hidden="false" customHeight="false" outlineLevel="0" collapsed="false">
      <c r="A5" s="1" t="n">
        <f aca="false">A4+1</f>
        <v>2</v>
      </c>
      <c r="B5" s="16" t="n">
        <f aca="false">B4</f>
        <v>0</v>
      </c>
      <c r="C5" s="16" t="n">
        <f aca="false">B6</f>
        <v>0</v>
      </c>
      <c r="D5" s="16" t="n">
        <f aca="false">C6</f>
        <v>0</v>
      </c>
      <c r="E5" s="16" t="n">
        <f aca="false">D6</f>
        <v>0</v>
      </c>
      <c r="F5" s="16" t="n">
        <f aca="false">E6</f>
        <v>0</v>
      </c>
      <c r="G5" s="16" t="n">
        <f aca="false">F6</f>
        <v>0</v>
      </c>
      <c r="H5" s="16" t="n">
        <f aca="false">G6</f>
        <v>0</v>
      </c>
      <c r="I5" s="16" t="n">
        <f aca="false">H6</f>
        <v>0</v>
      </c>
      <c r="J5" s="16" t="n">
        <f aca="false">I6</f>
        <v>0</v>
      </c>
      <c r="K5" s="16" t="n">
        <f aca="false">J6</f>
        <v>0</v>
      </c>
      <c r="L5" s="16" t="n">
        <f aca="false">K6</f>
        <v>0</v>
      </c>
      <c r="M5" s="16" t="n">
        <f aca="false">L6</f>
        <v>0</v>
      </c>
      <c r="N5" s="16" t="n">
        <f aca="false">M6</f>
        <v>0</v>
      </c>
      <c r="O5" s="16" t="n">
        <f aca="false">N6</f>
        <v>0</v>
      </c>
      <c r="P5" s="16" t="n">
        <f aca="false">O6</f>
        <v>0</v>
      </c>
      <c r="Q5" s="16" t="n">
        <f aca="false">P6</f>
        <v>0</v>
      </c>
      <c r="R5" s="16" t="n">
        <f aca="false">Q6</f>
        <v>0</v>
      </c>
      <c r="S5" s="16" t="n">
        <f aca="false">R6</f>
        <v>0</v>
      </c>
      <c r="T5" s="16" t="n">
        <f aca="false">S6</f>
        <v>0</v>
      </c>
      <c r="U5" s="16" t="n">
        <f aca="false">T6</f>
        <v>0</v>
      </c>
      <c r="V5" s="16" t="n">
        <f aca="false">U6</f>
        <v>0</v>
      </c>
      <c r="W5" s="16" t="n">
        <f aca="false">V6</f>
        <v>0</v>
      </c>
      <c r="X5" s="16" t="n">
        <f aca="false">W6</f>
        <v>0</v>
      </c>
      <c r="Y5" s="16" t="n">
        <f aca="false">X6</f>
        <v>0</v>
      </c>
      <c r="Z5" s="16" t="n">
        <f aca="false">Y6</f>
        <v>0</v>
      </c>
      <c r="AA5" s="16" t="n">
        <f aca="false">Z6</f>
        <v>0</v>
      </c>
      <c r="AB5" s="16" t="n">
        <f aca="false">AA6</f>
        <v>0</v>
      </c>
      <c r="AC5" s="16" t="n">
        <f aca="false">AB6</f>
        <v>0</v>
      </c>
      <c r="AD5" s="16" t="n">
        <f aca="false">AC6</f>
        <v>0</v>
      </c>
      <c r="AE5" s="16" t="n">
        <f aca="false">AD6</f>
        <v>0</v>
      </c>
      <c r="AF5" s="16" t="n">
        <f aca="false">AE6</f>
        <v>0</v>
      </c>
      <c r="AG5" s="16" t="n">
        <f aca="false">AF6</f>
        <v>0</v>
      </c>
      <c r="AH5" s="16" t="n">
        <f aca="false">AG6</f>
        <v>0</v>
      </c>
      <c r="AI5" s="16" t="n">
        <f aca="false">AH6</f>
        <v>0</v>
      </c>
      <c r="AJ5" s="16" t="n">
        <f aca="false">AI6</f>
        <v>0</v>
      </c>
      <c r="AK5" s="16" t="n">
        <f aca="false">AJ6</f>
        <v>0</v>
      </c>
      <c r="AL5" s="16" t="n">
        <f aca="false">AK6</f>
        <v>0</v>
      </c>
      <c r="AM5" s="16" t="n">
        <f aca="false">AL6</f>
        <v>0</v>
      </c>
      <c r="AN5" s="16" t="n">
        <f aca="false">AM6</f>
        <v>0</v>
      </c>
      <c r="AO5" s="16" t="n">
        <f aca="false">AN6</f>
        <v>0</v>
      </c>
      <c r="AP5" s="16" t="n">
        <f aca="false">AO6</f>
        <v>0</v>
      </c>
      <c r="AQ5" s="16" t="n">
        <f aca="false">AP6</f>
        <v>0</v>
      </c>
      <c r="AR5" s="16" t="n">
        <f aca="false">AQ6</f>
        <v>0</v>
      </c>
      <c r="AS5" s="16" t="n">
        <f aca="false">AR6</f>
        <v>0</v>
      </c>
      <c r="AT5" s="16" t="n">
        <f aca="false">AS6</f>
        <v>0</v>
      </c>
      <c r="AU5" s="16" t="n">
        <f aca="false">AT6</f>
        <v>0</v>
      </c>
      <c r="AV5" s="16" t="n">
        <f aca="false">AU6</f>
        <v>0</v>
      </c>
      <c r="AW5" s="16" t="n">
        <f aca="false">AV6</f>
        <v>0</v>
      </c>
      <c r="AX5" s="16" t="n">
        <f aca="false">AW6</f>
        <v>0</v>
      </c>
      <c r="AY5" s="16" t="n">
        <f aca="false">AX6</f>
        <v>0</v>
      </c>
      <c r="AZ5" s="16" t="n">
        <f aca="false">AY6</f>
        <v>0</v>
      </c>
      <c r="BA5" s="16" t="n">
        <f aca="false">AZ6</f>
        <v>0</v>
      </c>
      <c r="BB5" s="16" t="n">
        <f aca="false">BA6</f>
        <v>0</v>
      </c>
      <c r="BC5" s="16" t="n">
        <f aca="false">BB6</f>
        <v>0</v>
      </c>
      <c r="BD5" s="16" t="n">
        <f aca="false">BC6</f>
        <v>0</v>
      </c>
      <c r="BE5" s="16" t="n">
        <f aca="false">BD6</f>
        <v>0</v>
      </c>
      <c r="BF5" s="16" t="n">
        <f aca="false">BE6</f>
        <v>0</v>
      </c>
      <c r="BG5" s="16" t="n">
        <f aca="false">BF6</f>
        <v>0</v>
      </c>
      <c r="BH5" s="16" t="n">
        <f aca="false">BG6</f>
        <v>0</v>
      </c>
      <c r="BI5" s="16" t="n">
        <f aca="false">BH6</f>
        <v>0</v>
      </c>
      <c r="BJ5" s="16" t="n">
        <f aca="false">BI6</f>
        <v>0</v>
      </c>
      <c r="BK5" s="16" t="n">
        <f aca="false">BJ6</f>
        <v>0</v>
      </c>
      <c r="BL5" s="16" t="n">
        <f aca="false">BK6</f>
        <v>0</v>
      </c>
      <c r="BM5" s="16" t="n">
        <f aca="false">BL6</f>
        <v>0</v>
      </c>
      <c r="BN5" s="16" t="n">
        <f aca="false">BM6</f>
        <v>0</v>
      </c>
      <c r="BO5" s="16" t="n">
        <f aca="false">BN6</f>
        <v>0</v>
      </c>
      <c r="BP5" s="16" t="n">
        <f aca="false">BO6</f>
        <v>0</v>
      </c>
      <c r="BQ5" s="16" t="n">
        <f aca="false">BP6</f>
        <v>0</v>
      </c>
      <c r="BR5" s="16" t="n">
        <f aca="false">BQ6</f>
        <v>0</v>
      </c>
      <c r="BS5" s="16" t="n">
        <f aca="false">BR6</f>
        <v>0</v>
      </c>
      <c r="BT5" s="16" t="n">
        <f aca="false">BS6</f>
        <v>0</v>
      </c>
      <c r="BU5" s="16" t="n">
        <f aca="false">BT6</f>
        <v>0</v>
      </c>
      <c r="BV5" s="16" t="n">
        <f aca="false">BU6</f>
        <v>0</v>
      </c>
      <c r="BW5" s="16" t="n">
        <f aca="false">BV6</f>
        <v>0</v>
      </c>
      <c r="BX5" s="16" t="n">
        <f aca="false">BW6</f>
        <v>0</v>
      </c>
      <c r="BY5" s="16" t="n">
        <f aca="false">BX6</f>
        <v>0</v>
      </c>
      <c r="BZ5" s="16" t="n">
        <f aca="false">BY6</f>
        <v>0</v>
      </c>
      <c r="CA5" s="16" t="n">
        <f aca="false">BZ6</f>
        <v>0</v>
      </c>
      <c r="CB5" s="16" t="n">
        <f aca="false">CA6</f>
        <v>0</v>
      </c>
      <c r="CC5" s="16" t="n">
        <f aca="false">CB6</f>
        <v>0</v>
      </c>
      <c r="CD5" s="16" t="n">
        <f aca="false">CC6</f>
        <v>0</v>
      </c>
      <c r="CE5" s="16" t="n">
        <f aca="false">CD6</f>
        <v>0</v>
      </c>
      <c r="CF5" s="16" t="n">
        <f aca="false">CE6</f>
        <v>0</v>
      </c>
      <c r="CG5" s="16" t="n">
        <f aca="false">CF6</f>
        <v>0</v>
      </c>
      <c r="CH5" s="16" t="n">
        <f aca="false">CG6</f>
        <v>0</v>
      </c>
      <c r="CI5" s="16" t="n">
        <f aca="false">CH6</f>
        <v>0</v>
      </c>
      <c r="CJ5" s="16" t="n">
        <f aca="false">CI6</f>
        <v>0</v>
      </c>
      <c r="CK5" s="16" t="n">
        <f aca="false">CJ6</f>
        <v>0</v>
      </c>
      <c r="CL5" s="16" t="n">
        <f aca="false">CK6</f>
        <v>0</v>
      </c>
      <c r="CM5" s="16" t="n">
        <f aca="false">CL6</f>
        <v>0</v>
      </c>
      <c r="CN5" s="16" t="n">
        <f aca="false">CM6</f>
        <v>0</v>
      </c>
      <c r="CO5" s="16" t="n">
        <f aca="false">CN6</f>
        <v>0</v>
      </c>
      <c r="CP5" s="16" t="n">
        <f aca="false">CO6</f>
        <v>0</v>
      </c>
      <c r="CQ5" s="16" t="n">
        <f aca="false">CP6</f>
        <v>0</v>
      </c>
      <c r="CR5" s="16" t="n">
        <f aca="false">CQ6</f>
        <v>0</v>
      </c>
      <c r="CS5" s="16" t="n">
        <f aca="false">CR6</f>
        <v>0</v>
      </c>
      <c r="CT5" s="16" t="n">
        <f aca="false">CS6</f>
        <v>0</v>
      </c>
      <c r="CU5" s="16" t="n">
        <f aca="false">CT6</f>
        <v>0</v>
      </c>
      <c r="CV5" s="16" t="n">
        <f aca="false">CU6</f>
        <v>0</v>
      </c>
      <c r="CW5" s="16" t="n">
        <f aca="false">CV6</f>
        <v>0</v>
      </c>
      <c r="CX5" s="16" t="n">
        <f aca="false">CW6</f>
        <v>0</v>
      </c>
    </row>
    <row r="6" customFormat="false" ht="15" hidden="false" customHeight="false" outlineLevel="0" collapsed="false">
      <c r="A6" s="1" t="n">
        <f aca="false">A5+1</f>
        <v>3</v>
      </c>
      <c r="B6" s="16" t="n">
        <f aca="false">B5</f>
        <v>0</v>
      </c>
      <c r="C6" s="16" t="n">
        <f aca="false">B7</f>
        <v>0</v>
      </c>
      <c r="D6" s="16" t="n">
        <f aca="false">C7</f>
        <v>0</v>
      </c>
      <c r="E6" s="16" t="n">
        <f aca="false">D7</f>
        <v>0</v>
      </c>
      <c r="F6" s="16" t="n">
        <f aca="false">E7</f>
        <v>0</v>
      </c>
      <c r="G6" s="16" t="n">
        <f aca="false">F7</f>
        <v>0</v>
      </c>
      <c r="H6" s="16" t="n">
        <f aca="false">G7</f>
        <v>0</v>
      </c>
      <c r="I6" s="16" t="n">
        <f aca="false">H7</f>
        <v>0</v>
      </c>
      <c r="J6" s="16" t="n">
        <f aca="false">I7</f>
        <v>0</v>
      </c>
      <c r="K6" s="16" t="n">
        <f aca="false">J7</f>
        <v>0</v>
      </c>
      <c r="L6" s="16" t="n">
        <f aca="false">K7</f>
        <v>0</v>
      </c>
      <c r="M6" s="16" t="n">
        <f aca="false">L7</f>
        <v>0</v>
      </c>
      <c r="N6" s="16" t="n">
        <f aca="false">M7</f>
        <v>0</v>
      </c>
      <c r="O6" s="16" t="n">
        <f aca="false">N7</f>
        <v>0</v>
      </c>
      <c r="P6" s="16" t="n">
        <f aca="false">O7</f>
        <v>0</v>
      </c>
      <c r="Q6" s="16" t="n">
        <f aca="false">P7</f>
        <v>0</v>
      </c>
      <c r="R6" s="16" t="n">
        <f aca="false">Q7</f>
        <v>0</v>
      </c>
      <c r="S6" s="16" t="n">
        <f aca="false">R7</f>
        <v>0</v>
      </c>
      <c r="T6" s="16" t="n">
        <f aca="false">S7</f>
        <v>0</v>
      </c>
      <c r="U6" s="16" t="n">
        <f aca="false">T7</f>
        <v>0</v>
      </c>
      <c r="V6" s="16" t="n">
        <f aca="false">U7</f>
        <v>0</v>
      </c>
      <c r="W6" s="16" t="n">
        <f aca="false">V7</f>
        <v>0</v>
      </c>
      <c r="X6" s="16" t="n">
        <f aca="false">W7</f>
        <v>0</v>
      </c>
      <c r="Y6" s="16" t="n">
        <f aca="false">X7</f>
        <v>0</v>
      </c>
      <c r="Z6" s="16" t="n">
        <f aca="false">Y7</f>
        <v>0</v>
      </c>
      <c r="AA6" s="16" t="n">
        <f aca="false">Z7</f>
        <v>0</v>
      </c>
      <c r="AB6" s="16" t="n">
        <f aca="false">AA7</f>
        <v>0</v>
      </c>
      <c r="AC6" s="16" t="n">
        <f aca="false">AB7</f>
        <v>0</v>
      </c>
      <c r="AD6" s="16" t="n">
        <f aca="false">AC7</f>
        <v>0</v>
      </c>
      <c r="AE6" s="16" t="n">
        <f aca="false">AD7</f>
        <v>0</v>
      </c>
      <c r="AF6" s="16" t="n">
        <f aca="false">AE7</f>
        <v>0</v>
      </c>
      <c r="AG6" s="16" t="n">
        <f aca="false">AF7</f>
        <v>0</v>
      </c>
      <c r="AH6" s="16" t="n">
        <f aca="false">AG7</f>
        <v>0</v>
      </c>
      <c r="AI6" s="16" t="n">
        <f aca="false">AH7</f>
        <v>0</v>
      </c>
      <c r="AJ6" s="16" t="n">
        <f aca="false">AI7</f>
        <v>0</v>
      </c>
      <c r="AK6" s="16" t="n">
        <f aca="false">AJ7</f>
        <v>0</v>
      </c>
      <c r="AL6" s="16" t="n">
        <f aca="false">AK7</f>
        <v>0</v>
      </c>
      <c r="AM6" s="16" t="n">
        <f aca="false">AL7</f>
        <v>0</v>
      </c>
      <c r="AN6" s="16" t="n">
        <f aca="false">AM7</f>
        <v>0</v>
      </c>
      <c r="AO6" s="16" t="n">
        <f aca="false">AN7</f>
        <v>0</v>
      </c>
      <c r="AP6" s="16" t="n">
        <f aca="false">AO7</f>
        <v>0</v>
      </c>
      <c r="AQ6" s="16" t="n">
        <f aca="false">AP7</f>
        <v>0</v>
      </c>
      <c r="AR6" s="16" t="n">
        <f aca="false">AQ7</f>
        <v>0</v>
      </c>
      <c r="AS6" s="16" t="n">
        <f aca="false">AR7</f>
        <v>0</v>
      </c>
      <c r="AT6" s="16" t="n">
        <f aca="false">AS7</f>
        <v>0</v>
      </c>
      <c r="AU6" s="16" t="n">
        <f aca="false">AT7</f>
        <v>0</v>
      </c>
      <c r="AV6" s="16" t="n">
        <f aca="false">AU7</f>
        <v>0</v>
      </c>
      <c r="AW6" s="16" t="n">
        <f aca="false">AV7</f>
        <v>0</v>
      </c>
      <c r="AX6" s="16" t="n">
        <f aca="false">AW7</f>
        <v>0</v>
      </c>
      <c r="AY6" s="16" t="n">
        <f aca="false">AX7</f>
        <v>0</v>
      </c>
      <c r="AZ6" s="16" t="n">
        <f aca="false">AY7</f>
        <v>0</v>
      </c>
      <c r="BA6" s="16" t="n">
        <f aca="false">AZ7</f>
        <v>0</v>
      </c>
      <c r="BB6" s="16" t="n">
        <f aca="false">BA7</f>
        <v>0</v>
      </c>
      <c r="BC6" s="16" t="n">
        <f aca="false">BB7</f>
        <v>0</v>
      </c>
      <c r="BD6" s="16" t="n">
        <f aca="false">BC7</f>
        <v>0</v>
      </c>
      <c r="BE6" s="16" t="n">
        <f aca="false">BD7</f>
        <v>0</v>
      </c>
      <c r="BF6" s="16" t="n">
        <f aca="false">BE7</f>
        <v>0</v>
      </c>
      <c r="BG6" s="16" t="n">
        <f aca="false">BF7</f>
        <v>0</v>
      </c>
      <c r="BH6" s="16" t="n">
        <f aca="false">BG7</f>
        <v>0</v>
      </c>
      <c r="BI6" s="16" t="n">
        <f aca="false">BH7</f>
        <v>0</v>
      </c>
      <c r="BJ6" s="16" t="n">
        <f aca="false">BI7</f>
        <v>0</v>
      </c>
      <c r="BK6" s="16" t="n">
        <f aca="false">BJ7</f>
        <v>0</v>
      </c>
      <c r="BL6" s="16" t="n">
        <f aca="false">BK7</f>
        <v>0</v>
      </c>
      <c r="BM6" s="16" t="n">
        <f aca="false">BL7</f>
        <v>0</v>
      </c>
      <c r="BN6" s="16" t="n">
        <f aca="false">BM7</f>
        <v>0</v>
      </c>
      <c r="BO6" s="16" t="n">
        <f aca="false">BN7</f>
        <v>0</v>
      </c>
      <c r="BP6" s="16" t="n">
        <f aca="false">BO7</f>
        <v>0</v>
      </c>
      <c r="BQ6" s="16" t="n">
        <f aca="false">BP7</f>
        <v>0</v>
      </c>
      <c r="BR6" s="16" t="n">
        <f aca="false">BQ7</f>
        <v>0</v>
      </c>
      <c r="BS6" s="16" t="n">
        <f aca="false">BR7</f>
        <v>0</v>
      </c>
      <c r="BT6" s="16" t="n">
        <f aca="false">BS7</f>
        <v>0</v>
      </c>
      <c r="BU6" s="16" t="n">
        <f aca="false">BT7</f>
        <v>0</v>
      </c>
      <c r="BV6" s="16" t="n">
        <f aca="false">BU7</f>
        <v>0</v>
      </c>
      <c r="BW6" s="16" t="n">
        <f aca="false">BV7</f>
        <v>0</v>
      </c>
      <c r="BX6" s="16" t="n">
        <f aca="false">BW7</f>
        <v>0</v>
      </c>
      <c r="BY6" s="16" t="n">
        <f aca="false">BX7</f>
        <v>0</v>
      </c>
      <c r="BZ6" s="16" t="n">
        <f aca="false">BY7</f>
        <v>0</v>
      </c>
      <c r="CA6" s="16" t="n">
        <f aca="false">BZ7</f>
        <v>0</v>
      </c>
      <c r="CB6" s="16" t="n">
        <f aca="false">CA7</f>
        <v>0</v>
      </c>
      <c r="CC6" s="16" t="n">
        <f aca="false">CB7</f>
        <v>0</v>
      </c>
      <c r="CD6" s="16" t="n">
        <f aca="false">CC7</f>
        <v>0</v>
      </c>
      <c r="CE6" s="16" t="n">
        <f aca="false">CD7</f>
        <v>0</v>
      </c>
      <c r="CF6" s="16" t="n">
        <f aca="false">CE7</f>
        <v>0</v>
      </c>
      <c r="CG6" s="16" t="n">
        <f aca="false">CF7</f>
        <v>0</v>
      </c>
      <c r="CH6" s="16" t="n">
        <f aca="false">CG7</f>
        <v>0</v>
      </c>
      <c r="CI6" s="16" t="n">
        <f aca="false">CH7</f>
        <v>0</v>
      </c>
      <c r="CJ6" s="16" t="n">
        <f aca="false">CI7</f>
        <v>0</v>
      </c>
      <c r="CK6" s="16" t="n">
        <f aca="false">CJ7</f>
        <v>0</v>
      </c>
      <c r="CL6" s="16" t="n">
        <f aca="false">CK7</f>
        <v>0</v>
      </c>
      <c r="CM6" s="16" t="n">
        <f aca="false">CL7</f>
        <v>0</v>
      </c>
      <c r="CN6" s="16" t="n">
        <f aca="false">CM7</f>
        <v>0</v>
      </c>
      <c r="CO6" s="16" t="n">
        <f aca="false">CN7</f>
        <v>0</v>
      </c>
      <c r="CP6" s="16" t="n">
        <f aca="false">CO7</f>
        <v>0</v>
      </c>
      <c r="CQ6" s="16" t="n">
        <f aca="false">CP7</f>
        <v>0</v>
      </c>
      <c r="CR6" s="16" t="n">
        <f aca="false">CQ7</f>
        <v>0</v>
      </c>
      <c r="CS6" s="16" t="n">
        <f aca="false">CR7</f>
        <v>0</v>
      </c>
      <c r="CT6" s="16" t="n">
        <f aca="false">CS7</f>
        <v>0</v>
      </c>
      <c r="CU6" s="16" t="n">
        <f aca="false">CT7</f>
        <v>0</v>
      </c>
      <c r="CV6" s="16" t="n">
        <f aca="false">CU7</f>
        <v>0</v>
      </c>
      <c r="CW6" s="16" t="n">
        <f aca="false">CV7</f>
        <v>0</v>
      </c>
      <c r="CX6" s="16" t="n">
        <f aca="false">CW7</f>
        <v>0</v>
      </c>
    </row>
    <row r="7" customFormat="false" ht="15" hidden="false" customHeight="false" outlineLevel="0" collapsed="false">
      <c r="A7" s="1" t="n">
        <f aca="false">A6+1</f>
        <v>4</v>
      </c>
      <c r="B7" s="16" t="n">
        <f aca="false">B6</f>
        <v>0</v>
      </c>
      <c r="C7" s="16" t="n">
        <f aca="false">B8</f>
        <v>0</v>
      </c>
      <c r="D7" s="16" t="n">
        <f aca="false">C8</f>
        <v>0</v>
      </c>
      <c r="E7" s="16" t="n">
        <f aca="false">D8</f>
        <v>0</v>
      </c>
      <c r="F7" s="16" t="n">
        <f aca="false">E8</f>
        <v>0</v>
      </c>
      <c r="G7" s="16" t="n">
        <f aca="false">F8</f>
        <v>0</v>
      </c>
      <c r="H7" s="16" t="n">
        <f aca="false">G8</f>
        <v>0</v>
      </c>
      <c r="I7" s="16" t="n">
        <f aca="false">H8</f>
        <v>0</v>
      </c>
      <c r="J7" s="16" t="n">
        <f aca="false">I8</f>
        <v>0</v>
      </c>
      <c r="K7" s="16" t="n">
        <f aca="false">J8</f>
        <v>0</v>
      </c>
      <c r="L7" s="16" t="n">
        <f aca="false">K8</f>
        <v>0</v>
      </c>
      <c r="M7" s="16" t="n">
        <f aca="false">L8</f>
        <v>0</v>
      </c>
      <c r="N7" s="16" t="n">
        <f aca="false">M8</f>
        <v>0</v>
      </c>
      <c r="O7" s="16" t="n">
        <f aca="false">N8</f>
        <v>0</v>
      </c>
      <c r="P7" s="16" t="n">
        <f aca="false">O8</f>
        <v>0</v>
      </c>
      <c r="Q7" s="16" t="n">
        <f aca="false">P8</f>
        <v>0</v>
      </c>
      <c r="R7" s="16" t="n">
        <f aca="false">Q8</f>
        <v>0</v>
      </c>
      <c r="S7" s="16" t="n">
        <f aca="false">R8</f>
        <v>0</v>
      </c>
      <c r="T7" s="16" t="n">
        <f aca="false">S8</f>
        <v>0</v>
      </c>
      <c r="U7" s="16" t="n">
        <f aca="false">T8</f>
        <v>0</v>
      </c>
      <c r="V7" s="16" t="n">
        <f aca="false">U8</f>
        <v>0</v>
      </c>
      <c r="W7" s="16" t="n">
        <f aca="false">V8</f>
        <v>0</v>
      </c>
      <c r="X7" s="16" t="n">
        <f aca="false">W8</f>
        <v>0</v>
      </c>
      <c r="Y7" s="16" t="n">
        <f aca="false">X8</f>
        <v>0</v>
      </c>
      <c r="Z7" s="16" t="n">
        <f aca="false">Y8</f>
        <v>0</v>
      </c>
      <c r="AA7" s="16" t="n">
        <f aca="false">Z8</f>
        <v>0</v>
      </c>
      <c r="AB7" s="16" t="n">
        <f aca="false">AA8</f>
        <v>0</v>
      </c>
      <c r="AC7" s="16" t="n">
        <f aca="false">AB8</f>
        <v>0</v>
      </c>
      <c r="AD7" s="16" t="n">
        <f aca="false">AC8</f>
        <v>0</v>
      </c>
      <c r="AE7" s="16" t="n">
        <f aca="false">AD8</f>
        <v>0</v>
      </c>
      <c r="AF7" s="16" t="n">
        <f aca="false">AE8</f>
        <v>0</v>
      </c>
      <c r="AG7" s="16" t="n">
        <f aca="false">AF8</f>
        <v>0</v>
      </c>
      <c r="AH7" s="16" t="n">
        <f aca="false">AG8</f>
        <v>0</v>
      </c>
      <c r="AI7" s="16" t="n">
        <f aca="false">AH8</f>
        <v>0</v>
      </c>
      <c r="AJ7" s="16" t="n">
        <f aca="false">AI8</f>
        <v>0</v>
      </c>
      <c r="AK7" s="16" t="n">
        <f aca="false">AJ8</f>
        <v>0</v>
      </c>
      <c r="AL7" s="16" t="n">
        <f aca="false">AK8</f>
        <v>0</v>
      </c>
      <c r="AM7" s="16" t="n">
        <f aca="false">AL8</f>
        <v>0</v>
      </c>
      <c r="AN7" s="16" t="n">
        <f aca="false">AM8</f>
        <v>0</v>
      </c>
      <c r="AO7" s="16" t="n">
        <f aca="false">AN8</f>
        <v>0</v>
      </c>
      <c r="AP7" s="16" t="n">
        <f aca="false">AO8</f>
        <v>0</v>
      </c>
      <c r="AQ7" s="16" t="n">
        <f aca="false">AP8</f>
        <v>0</v>
      </c>
      <c r="AR7" s="16" t="n">
        <f aca="false">AQ8</f>
        <v>0</v>
      </c>
      <c r="AS7" s="16" t="n">
        <f aca="false">AR8</f>
        <v>0</v>
      </c>
      <c r="AT7" s="16" t="n">
        <f aca="false">AS8</f>
        <v>0</v>
      </c>
      <c r="AU7" s="16" t="n">
        <f aca="false">AT8</f>
        <v>0</v>
      </c>
      <c r="AV7" s="16" t="n">
        <f aca="false">AU8</f>
        <v>0</v>
      </c>
      <c r="AW7" s="16" t="n">
        <f aca="false">AV8</f>
        <v>0</v>
      </c>
      <c r="AX7" s="16" t="n">
        <f aca="false">AW8</f>
        <v>0</v>
      </c>
      <c r="AY7" s="16" t="n">
        <f aca="false">AX8</f>
        <v>0</v>
      </c>
      <c r="AZ7" s="16" t="n">
        <f aca="false">AY8</f>
        <v>0</v>
      </c>
      <c r="BA7" s="16" t="n">
        <f aca="false">AZ8</f>
        <v>0</v>
      </c>
      <c r="BB7" s="16" t="n">
        <f aca="false">BA8</f>
        <v>0</v>
      </c>
      <c r="BC7" s="16" t="n">
        <f aca="false">BB8</f>
        <v>0</v>
      </c>
      <c r="BD7" s="16" t="n">
        <f aca="false">BC8</f>
        <v>0</v>
      </c>
      <c r="BE7" s="16" t="n">
        <f aca="false">BD8</f>
        <v>0</v>
      </c>
      <c r="BF7" s="16" t="n">
        <f aca="false">BE8</f>
        <v>0</v>
      </c>
      <c r="BG7" s="16" t="n">
        <f aca="false">BF8</f>
        <v>0</v>
      </c>
      <c r="BH7" s="16" t="n">
        <f aca="false">BG8</f>
        <v>0</v>
      </c>
      <c r="BI7" s="16" t="n">
        <f aca="false">BH8</f>
        <v>0</v>
      </c>
      <c r="BJ7" s="16" t="n">
        <f aca="false">BI8</f>
        <v>0</v>
      </c>
      <c r="BK7" s="16" t="n">
        <f aca="false">BJ8</f>
        <v>0</v>
      </c>
      <c r="BL7" s="16" t="n">
        <f aca="false">BK8</f>
        <v>0</v>
      </c>
      <c r="BM7" s="16" t="n">
        <f aca="false">BL8</f>
        <v>0</v>
      </c>
      <c r="BN7" s="16" t="n">
        <f aca="false">BM8</f>
        <v>0</v>
      </c>
      <c r="BO7" s="16" t="n">
        <f aca="false">BN8</f>
        <v>0</v>
      </c>
      <c r="BP7" s="16" t="n">
        <f aca="false">BO8</f>
        <v>0</v>
      </c>
      <c r="BQ7" s="16" t="n">
        <f aca="false">BP8</f>
        <v>0</v>
      </c>
      <c r="BR7" s="16" t="n">
        <f aca="false">BQ8</f>
        <v>0</v>
      </c>
      <c r="BS7" s="16" t="n">
        <f aca="false">BR8</f>
        <v>0</v>
      </c>
      <c r="BT7" s="16" t="n">
        <f aca="false">BS8</f>
        <v>0</v>
      </c>
      <c r="BU7" s="16" t="n">
        <f aca="false">BT8</f>
        <v>0</v>
      </c>
      <c r="BV7" s="16" t="n">
        <f aca="false">BU8</f>
        <v>0</v>
      </c>
      <c r="BW7" s="16" t="n">
        <f aca="false">BV8</f>
        <v>0</v>
      </c>
      <c r="BX7" s="16" t="n">
        <f aca="false">BW8</f>
        <v>0</v>
      </c>
      <c r="BY7" s="16" t="n">
        <f aca="false">BX8</f>
        <v>0</v>
      </c>
      <c r="BZ7" s="16" t="n">
        <f aca="false">BY8</f>
        <v>0</v>
      </c>
      <c r="CA7" s="16" t="n">
        <f aca="false">BZ8</f>
        <v>0</v>
      </c>
      <c r="CB7" s="16" t="n">
        <f aca="false">CA8</f>
        <v>0</v>
      </c>
      <c r="CC7" s="16" t="n">
        <f aca="false">CB8</f>
        <v>0</v>
      </c>
      <c r="CD7" s="16" t="n">
        <f aca="false">CC8</f>
        <v>0</v>
      </c>
      <c r="CE7" s="16" t="n">
        <f aca="false">CD8</f>
        <v>0</v>
      </c>
      <c r="CF7" s="16" t="n">
        <f aca="false">CE8</f>
        <v>0</v>
      </c>
      <c r="CG7" s="16" t="n">
        <f aca="false">CF8</f>
        <v>0</v>
      </c>
      <c r="CH7" s="16" t="n">
        <f aca="false">CG8</f>
        <v>0</v>
      </c>
      <c r="CI7" s="16" t="n">
        <f aca="false">CH8</f>
        <v>0</v>
      </c>
      <c r="CJ7" s="16" t="n">
        <f aca="false">CI8</f>
        <v>0</v>
      </c>
      <c r="CK7" s="16" t="n">
        <f aca="false">CJ8</f>
        <v>0</v>
      </c>
      <c r="CL7" s="16" t="n">
        <f aca="false">CK8</f>
        <v>0</v>
      </c>
      <c r="CM7" s="16" t="n">
        <f aca="false">CL8</f>
        <v>0</v>
      </c>
      <c r="CN7" s="16" t="n">
        <f aca="false">CM8</f>
        <v>0</v>
      </c>
      <c r="CO7" s="16" t="n">
        <f aca="false">CN8</f>
        <v>0</v>
      </c>
      <c r="CP7" s="16" t="n">
        <f aca="false">CO8</f>
        <v>0</v>
      </c>
      <c r="CQ7" s="16" t="n">
        <f aca="false">CP8</f>
        <v>0</v>
      </c>
      <c r="CR7" s="16" t="n">
        <f aca="false">CQ8</f>
        <v>0</v>
      </c>
      <c r="CS7" s="16" t="n">
        <f aca="false">CR8</f>
        <v>0</v>
      </c>
      <c r="CT7" s="16" t="n">
        <f aca="false">CS8</f>
        <v>0</v>
      </c>
      <c r="CU7" s="16" t="n">
        <f aca="false">CT8</f>
        <v>0</v>
      </c>
      <c r="CV7" s="16" t="n">
        <f aca="false">CU8</f>
        <v>0</v>
      </c>
      <c r="CW7" s="16" t="n">
        <f aca="false">CV8</f>
        <v>0</v>
      </c>
      <c r="CX7" s="16" t="n">
        <f aca="false">CW8</f>
        <v>0</v>
      </c>
    </row>
    <row r="8" customFormat="false" ht="15" hidden="false" customHeight="false" outlineLevel="0" collapsed="false">
      <c r="A8" s="1" t="n">
        <f aca="false">A7+1</f>
        <v>5</v>
      </c>
      <c r="B8" s="16" t="n">
        <f aca="false">B7</f>
        <v>0</v>
      </c>
      <c r="C8" s="16" t="n">
        <f aca="false">B9</f>
        <v>0</v>
      </c>
      <c r="D8" s="16" t="n">
        <f aca="false">C9</f>
        <v>0</v>
      </c>
      <c r="E8" s="16" t="n">
        <f aca="false">D9</f>
        <v>0</v>
      </c>
      <c r="F8" s="16" t="n">
        <f aca="false">E9</f>
        <v>0</v>
      </c>
      <c r="G8" s="16" t="n">
        <f aca="false">F9</f>
        <v>0</v>
      </c>
      <c r="H8" s="16" t="n">
        <f aca="false">G9</f>
        <v>0</v>
      </c>
      <c r="I8" s="16" t="n">
        <f aca="false">H9</f>
        <v>0</v>
      </c>
      <c r="J8" s="16" t="n">
        <f aca="false">I9</f>
        <v>0</v>
      </c>
      <c r="K8" s="16" t="n">
        <f aca="false">J9</f>
        <v>0</v>
      </c>
      <c r="L8" s="16" t="n">
        <f aca="false">K9</f>
        <v>0</v>
      </c>
      <c r="M8" s="16" t="n">
        <f aca="false">L9</f>
        <v>0</v>
      </c>
      <c r="N8" s="16" t="n">
        <f aca="false">M9</f>
        <v>0</v>
      </c>
      <c r="O8" s="16" t="n">
        <f aca="false">N9</f>
        <v>0</v>
      </c>
      <c r="P8" s="16" t="n">
        <f aca="false">O9</f>
        <v>0</v>
      </c>
      <c r="Q8" s="16" t="n">
        <f aca="false">P9</f>
        <v>0</v>
      </c>
      <c r="R8" s="16" t="n">
        <f aca="false">Q9</f>
        <v>0</v>
      </c>
      <c r="S8" s="16" t="n">
        <f aca="false">R9</f>
        <v>0</v>
      </c>
      <c r="T8" s="16" t="n">
        <f aca="false">S9</f>
        <v>0</v>
      </c>
      <c r="U8" s="16" t="n">
        <f aca="false">T9</f>
        <v>0</v>
      </c>
      <c r="V8" s="16" t="n">
        <f aca="false">U9</f>
        <v>0</v>
      </c>
      <c r="W8" s="16" t="n">
        <f aca="false">V9</f>
        <v>0</v>
      </c>
      <c r="X8" s="16" t="n">
        <f aca="false">W9</f>
        <v>0</v>
      </c>
      <c r="Y8" s="16" t="n">
        <f aca="false">X9</f>
        <v>0</v>
      </c>
      <c r="Z8" s="16" t="n">
        <f aca="false">Y9</f>
        <v>0</v>
      </c>
      <c r="AA8" s="16" t="n">
        <f aca="false">Z9</f>
        <v>0</v>
      </c>
      <c r="AB8" s="16" t="n">
        <f aca="false">AA9</f>
        <v>0</v>
      </c>
      <c r="AC8" s="16" t="n">
        <f aca="false">AB9</f>
        <v>0</v>
      </c>
      <c r="AD8" s="16" t="n">
        <f aca="false">AC9</f>
        <v>0</v>
      </c>
      <c r="AE8" s="16" t="n">
        <f aca="false">AD9</f>
        <v>0</v>
      </c>
      <c r="AF8" s="16" t="n">
        <f aca="false">AE9</f>
        <v>0</v>
      </c>
      <c r="AG8" s="16" t="n">
        <f aca="false">AF9</f>
        <v>0</v>
      </c>
      <c r="AH8" s="16" t="n">
        <f aca="false">AG9</f>
        <v>0</v>
      </c>
      <c r="AI8" s="16" t="n">
        <f aca="false">AH9</f>
        <v>0</v>
      </c>
      <c r="AJ8" s="16" t="n">
        <f aca="false">AI9</f>
        <v>0</v>
      </c>
      <c r="AK8" s="16" t="n">
        <f aca="false">AJ9</f>
        <v>0</v>
      </c>
      <c r="AL8" s="16" t="n">
        <f aca="false">AK9</f>
        <v>0</v>
      </c>
      <c r="AM8" s="16" t="n">
        <f aca="false">AL9</f>
        <v>0</v>
      </c>
      <c r="AN8" s="16" t="n">
        <f aca="false">AM9</f>
        <v>0</v>
      </c>
      <c r="AO8" s="16" t="n">
        <f aca="false">AN9</f>
        <v>0</v>
      </c>
      <c r="AP8" s="16" t="n">
        <f aca="false">AO9</f>
        <v>0</v>
      </c>
      <c r="AQ8" s="16" t="n">
        <f aca="false">AP9</f>
        <v>0</v>
      </c>
      <c r="AR8" s="16" t="n">
        <f aca="false">AQ9</f>
        <v>0</v>
      </c>
      <c r="AS8" s="16" t="n">
        <f aca="false">AR9</f>
        <v>0</v>
      </c>
      <c r="AT8" s="16" t="n">
        <f aca="false">AS9</f>
        <v>0</v>
      </c>
      <c r="AU8" s="16" t="n">
        <f aca="false">AT9</f>
        <v>0</v>
      </c>
      <c r="AV8" s="16" t="n">
        <f aca="false">AU9</f>
        <v>0</v>
      </c>
      <c r="AW8" s="16" t="n">
        <f aca="false">AV9</f>
        <v>0</v>
      </c>
      <c r="AX8" s="16" t="n">
        <f aca="false">AW9</f>
        <v>0</v>
      </c>
      <c r="AY8" s="16" t="n">
        <f aca="false">AX9</f>
        <v>0</v>
      </c>
      <c r="AZ8" s="16" t="n">
        <f aca="false">AY9</f>
        <v>0</v>
      </c>
      <c r="BA8" s="16" t="n">
        <f aca="false">AZ9</f>
        <v>0</v>
      </c>
      <c r="BB8" s="16" t="n">
        <f aca="false">BA9</f>
        <v>0</v>
      </c>
      <c r="BC8" s="16" t="n">
        <f aca="false">BB9</f>
        <v>0</v>
      </c>
      <c r="BD8" s="16" t="n">
        <f aca="false">BC9</f>
        <v>0</v>
      </c>
      <c r="BE8" s="16" t="n">
        <f aca="false">BD9</f>
        <v>0</v>
      </c>
      <c r="BF8" s="16" t="n">
        <f aca="false">BE9</f>
        <v>0</v>
      </c>
      <c r="BG8" s="16" t="n">
        <f aca="false">BF9</f>
        <v>0</v>
      </c>
      <c r="BH8" s="16" t="n">
        <f aca="false">BG9</f>
        <v>0</v>
      </c>
      <c r="BI8" s="16" t="n">
        <f aca="false">BH9</f>
        <v>0</v>
      </c>
      <c r="BJ8" s="16" t="n">
        <f aca="false">BI9</f>
        <v>0</v>
      </c>
      <c r="BK8" s="16" t="n">
        <f aca="false">BJ9</f>
        <v>0</v>
      </c>
      <c r="BL8" s="16" t="n">
        <f aca="false">BK9</f>
        <v>0</v>
      </c>
      <c r="BM8" s="16" t="n">
        <f aca="false">BL9</f>
        <v>0</v>
      </c>
      <c r="BN8" s="16" t="n">
        <f aca="false">BM9</f>
        <v>0</v>
      </c>
      <c r="BO8" s="16" t="n">
        <f aca="false">BN9</f>
        <v>0</v>
      </c>
      <c r="BP8" s="16" t="n">
        <f aca="false">BO9</f>
        <v>0</v>
      </c>
      <c r="BQ8" s="16" t="n">
        <f aca="false">BP9</f>
        <v>0</v>
      </c>
      <c r="BR8" s="16" t="n">
        <f aca="false">BQ9</f>
        <v>0</v>
      </c>
      <c r="BS8" s="16" t="n">
        <f aca="false">BR9</f>
        <v>0</v>
      </c>
      <c r="BT8" s="16" t="n">
        <f aca="false">BS9</f>
        <v>0</v>
      </c>
      <c r="BU8" s="16" t="n">
        <f aca="false">BT9</f>
        <v>0</v>
      </c>
      <c r="BV8" s="16" t="n">
        <f aca="false">BU9</f>
        <v>0</v>
      </c>
      <c r="BW8" s="16" t="n">
        <f aca="false">BV9</f>
        <v>0</v>
      </c>
      <c r="BX8" s="16" t="n">
        <f aca="false">BW9</f>
        <v>0</v>
      </c>
      <c r="BY8" s="16" t="n">
        <f aca="false">BX9</f>
        <v>0</v>
      </c>
      <c r="BZ8" s="16" t="n">
        <f aca="false">BY9</f>
        <v>0</v>
      </c>
      <c r="CA8" s="16" t="n">
        <f aca="false">BZ9</f>
        <v>0</v>
      </c>
      <c r="CB8" s="16" t="n">
        <f aca="false">CA9</f>
        <v>0</v>
      </c>
      <c r="CC8" s="16" t="n">
        <f aca="false">CB9</f>
        <v>0</v>
      </c>
      <c r="CD8" s="16" t="n">
        <f aca="false">CC9</f>
        <v>0</v>
      </c>
      <c r="CE8" s="16" t="n">
        <f aca="false">CD9</f>
        <v>0</v>
      </c>
      <c r="CF8" s="16" t="n">
        <f aca="false">CE9</f>
        <v>0</v>
      </c>
      <c r="CG8" s="16" t="n">
        <f aca="false">CF9</f>
        <v>0</v>
      </c>
      <c r="CH8" s="16" t="n">
        <f aca="false">CG9</f>
        <v>0</v>
      </c>
      <c r="CI8" s="16" t="n">
        <f aca="false">CH9</f>
        <v>0</v>
      </c>
      <c r="CJ8" s="16" t="n">
        <f aca="false">CI9</f>
        <v>0</v>
      </c>
      <c r="CK8" s="16" t="n">
        <f aca="false">CJ9</f>
        <v>0</v>
      </c>
      <c r="CL8" s="16" t="n">
        <f aca="false">CK9</f>
        <v>0</v>
      </c>
      <c r="CM8" s="16" t="n">
        <f aca="false">CL9</f>
        <v>0</v>
      </c>
      <c r="CN8" s="16" t="n">
        <f aca="false">CM9</f>
        <v>0</v>
      </c>
      <c r="CO8" s="16" t="n">
        <f aca="false">CN9</f>
        <v>0</v>
      </c>
      <c r="CP8" s="16" t="n">
        <f aca="false">CO9</f>
        <v>0</v>
      </c>
      <c r="CQ8" s="16" t="n">
        <f aca="false">CP9</f>
        <v>0</v>
      </c>
      <c r="CR8" s="16" t="n">
        <f aca="false">CQ9</f>
        <v>0</v>
      </c>
      <c r="CS8" s="16" t="n">
        <f aca="false">CR9</f>
        <v>0</v>
      </c>
      <c r="CT8" s="16" t="n">
        <f aca="false">CS9</f>
        <v>0</v>
      </c>
      <c r="CU8" s="16" t="n">
        <f aca="false">CT9</f>
        <v>0</v>
      </c>
      <c r="CV8" s="16" t="n">
        <f aca="false">CU9</f>
        <v>0</v>
      </c>
      <c r="CW8" s="16" t="n">
        <f aca="false">CV9</f>
        <v>0</v>
      </c>
      <c r="CX8" s="16" t="n">
        <f aca="false">CW9</f>
        <v>0</v>
      </c>
    </row>
    <row r="9" customFormat="false" ht="15" hidden="false" customHeight="false" outlineLevel="0" collapsed="false">
      <c r="A9" s="1" t="n">
        <f aca="false">A8+1</f>
        <v>6</v>
      </c>
      <c r="B9" s="16" t="n">
        <f aca="false">B8</f>
        <v>0</v>
      </c>
      <c r="C9" s="16" t="n">
        <f aca="false">B10</f>
        <v>0</v>
      </c>
      <c r="D9" s="16" t="n">
        <f aca="false">C10</f>
        <v>0</v>
      </c>
      <c r="E9" s="16" t="n">
        <f aca="false">D10</f>
        <v>0</v>
      </c>
      <c r="F9" s="16" t="n">
        <f aca="false">E10</f>
        <v>0</v>
      </c>
      <c r="G9" s="16" t="n">
        <f aca="false">F10</f>
        <v>0</v>
      </c>
      <c r="H9" s="16" t="n">
        <f aca="false">G10</f>
        <v>0</v>
      </c>
      <c r="I9" s="16" t="n">
        <f aca="false">H10</f>
        <v>0</v>
      </c>
      <c r="J9" s="16" t="n">
        <f aca="false">I10</f>
        <v>0</v>
      </c>
      <c r="K9" s="16" t="n">
        <f aca="false">J10</f>
        <v>0</v>
      </c>
      <c r="L9" s="16" t="n">
        <f aca="false">K10</f>
        <v>0</v>
      </c>
      <c r="M9" s="16" t="n">
        <f aca="false">L10</f>
        <v>0</v>
      </c>
      <c r="N9" s="16" t="n">
        <f aca="false">M10</f>
        <v>0</v>
      </c>
      <c r="O9" s="16" t="n">
        <f aca="false">N10</f>
        <v>0</v>
      </c>
      <c r="P9" s="16" t="n">
        <f aca="false">O10</f>
        <v>0</v>
      </c>
      <c r="Q9" s="16" t="n">
        <f aca="false">P10</f>
        <v>0</v>
      </c>
      <c r="R9" s="16" t="n">
        <f aca="false">Q10</f>
        <v>0</v>
      </c>
      <c r="S9" s="16" t="n">
        <f aca="false">R10</f>
        <v>0</v>
      </c>
      <c r="T9" s="16" t="n">
        <f aca="false">S10</f>
        <v>0</v>
      </c>
      <c r="U9" s="16" t="n">
        <f aca="false">T10</f>
        <v>0</v>
      </c>
      <c r="V9" s="16" t="n">
        <f aca="false">U10</f>
        <v>0</v>
      </c>
      <c r="W9" s="16" t="n">
        <f aca="false">V10</f>
        <v>0</v>
      </c>
      <c r="X9" s="16" t="n">
        <f aca="false">W10</f>
        <v>0</v>
      </c>
      <c r="Y9" s="16" t="n">
        <f aca="false">X10</f>
        <v>0</v>
      </c>
      <c r="Z9" s="16" t="n">
        <f aca="false">Y10</f>
        <v>0</v>
      </c>
      <c r="AA9" s="16" t="n">
        <f aca="false">Z10</f>
        <v>0</v>
      </c>
      <c r="AB9" s="16" t="n">
        <f aca="false">AA10</f>
        <v>0</v>
      </c>
      <c r="AC9" s="16" t="n">
        <f aca="false">AB10</f>
        <v>0</v>
      </c>
      <c r="AD9" s="16" t="n">
        <f aca="false">AC10</f>
        <v>0</v>
      </c>
      <c r="AE9" s="16" t="n">
        <f aca="false">AD10</f>
        <v>0</v>
      </c>
      <c r="AF9" s="16" t="n">
        <f aca="false">AE10</f>
        <v>0</v>
      </c>
      <c r="AG9" s="16" t="n">
        <f aca="false">AF10</f>
        <v>0</v>
      </c>
      <c r="AH9" s="16" t="n">
        <f aca="false">AG10</f>
        <v>0</v>
      </c>
      <c r="AI9" s="16" t="n">
        <f aca="false">AH10</f>
        <v>0</v>
      </c>
      <c r="AJ9" s="16" t="n">
        <f aca="false">AI10</f>
        <v>0</v>
      </c>
      <c r="AK9" s="16" t="n">
        <f aca="false">AJ10</f>
        <v>0</v>
      </c>
      <c r="AL9" s="16" t="n">
        <f aca="false">AK10</f>
        <v>0</v>
      </c>
      <c r="AM9" s="16" t="n">
        <f aca="false">AL10</f>
        <v>0</v>
      </c>
      <c r="AN9" s="16" t="n">
        <f aca="false">AM10</f>
        <v>0</v>
      </c>
      <c r="AO9" s="16" t="n">
        <f aca="false">AN10</f>
        <v>0</v>
      </c>
      <c r="AP9" s="16" t="n">
        <f aca="false">AO10</f>
        <v>0</v>
      </c>
      <c r="AQ9" s="16" t="n">
        <f aca="false">AP10</f>
        <v>0</v>
      </c>
      <c r="AR9" s="16" t="n">
        <f aca="false">AQ10</f>
        <v>0</v>
      </c>
      <c r="AS9" s="16" t="n">
        <f aca="false">AR10</f>
        <v>0</v>
      </c>
      <c r="AT9" s="16" t="n">
        <f aca="false">AS10</f>
        <v>0</v>
      </c>
      <c r="AU9" s="16" t="n">
        <f aca="false">AT10</f>
        <v>0</v>
      </c>
      <c r="AV9" s="16" t="n">
        <f aca="false">AU10</f>
        <v>0</v>
      </c>
      <c r="AW9" s="16" t="n">
        <f aca="false">AV10</f>
        <v>0</v>
      </c>
      <c r="AX9" s="16" t="n">
        <f aca="false">AW10</f>
        <v>0</v>
      </c>
      <c r="AY9" s="16" t="n">
        <f aca="false">AX10</f>
        <v>0</v>
      </c>
      <c r="AZ9" s="16" t="n">
        <f aca="false">AY10</f>
        <v>0</v>
      </c>
      <c r="BA9" s="16" t="n">
        <f aca="false">AZ10</f>
        <v>0</v>
      </c>
      <c r="BB9" s="16" t="n">
        <f aca="false">BA10</f>
        <v>0</v>
      </c>
      <c r="BC9" s="16" t="n">
        <f aca="false">BB10</f>
        <v>0</v>
      </c>
      <c r="BD9" s="16" t="n">
        <f aca="false">BC10</f>
        <v>0</v>
      </c>
      <c r="BE9" s="16" t="n">
        <f aca="false">BD10</f>
        <v>0</v>
      </c>
      <c r="BF9" s="16" t="n">
        <f aca="false">BE10</f>
        <v>0</v>
      </c>
      <c r="BG9" s="16" t="n">
        <f aca="false">BF10</f>
        <v>0</v>
      </c>
      <c r="BH9" s="16" t="n">
        <f aca="false">BG10</f>
        <v>0</v>
      </c>
      <c r="BI9" s="16" t="n">
        <f aca="false">BH10</f>
        <v>0</v>
      </c>
      <c r="BJ9" s="16" t="n">
        <f aca="false">BI10</f>
        <v>0</v>
      </c>
      <c r="BK9" s="16" t="n">
        <f aca="false">BJ10</f>
        <v>0</v>
      </c>
      <c r="BL9" s="16" t="n">
        <f aca="false">BK10</f>
        <v>0</v>
      </c>
      <c r="BM9" s="16" t="n">
        <f aca="false">BL10</f>
        <v>0</v>
      </c>
      <c r="BN9" s="16" t="n">
        <f aca="false">BM10</f>
        <v>0</v>
      </c>
      <c r="BO9" s="16" t="n">
        <f aca="false">BN10</f>
        <v>0</v>
      </c>
      <c r="BP9" s="16" t="n">
        <f aca="false">BO10</f>
        <v>0</v>
      </c>
      <c r="BQ9" s="16" t="n">
        <f aca="false">BP10</f>
        <v>0</v>
      </c>
      <c r="BR9" s="16" t="n">
        <f aca="false">BQ10</f>
        <v>0</v>
      </c>
      <c r="BS9" s="16" t="n">
        <f aca="false">BR10</f>
        <v>0</v>
      </c>
      <c r="BT9" s="16" t="n">
        <f aca="false">BS10</f>
        <v>0</v>
      </c>
      <c r="BU9" s="16" t="n">
        <f aca="false">BT10</f>
        <v>0</v>
      </c>
      <c r="BV9" s="16" t="n">
        <f aca="false">BU10</f>
        <v>0</v>
      </c>
      <c r="BW9" s="16" t="n">
        <f aca="false">BV10</f>
        <v>0</v>
      </c>
      <c r="BX9" s="16" t="n">
        <f aca="false">BW10</f>
        <v>0</v>
      </c>
      <c r="BY9" s="16" t="n">
        <f aca="false">BX10</f>
        <v>0</v>
      </c>
      <c r="BZ9" s="16" t="n">
        <f aca="false">BY10</f>
        <v>0</v>
      </c>
      <c r="CA9" s="16" t="n">
        <f aca="false">BZ10</f>
        <v>0</v>
      </c>
      <c r="CB9" s="16" t="n">
        <f aca="false">CA10</f>
        <v>0</v>
      </c>
      <c r="CC9" s="16" t="n">
        <f aca="false">CB10</f>
        <v>0</v>
      </c>
      <c r="CD9" s="16" t="n">
        <f aca="false">CC10</f>
        <v>0</v>
      </c>
      <c r="CE9" s="16" t="n">
        <f aca="false">CD10</f>
        <v>0</v>
      </c>
      <c r="CF9" s="16" t="n">
        <f aca="false">CE10</f>
        <v>0</v>
      </c>
      <c r="CG9" s="16" t="n">
        <f aca="false">CF10</f>
        <v>0</v>
      </c>
      <c r="CH9" s="16" t="n">
        <f aca="false">CG10</f>
        <v>0</v>
      </c>
      <c r="CI9" s="16" t="n">
        <f aca="false">CH10</f>
        <v>0</v>
      </c>
      <c r="CJ9" s="16" t="n">
        <f aca="false">CI10</f>
        <v>0</v>
      </c>
      <c r="CK9" s="16" t="n">
        <f aca="false">CJ10</f>
        <v>0</v>
      </c>
      <c r="CL9" s="16" t="n">
        <f aca="false">CK10</f>
        <v>0</v>
      </c>
      <c r="CM9" s="16" t="n">
        <f aca="false">CL10</f>
        <v>0</v>
      </c>
      <c r="CN9" s="16" t="n">
        <f aca="false">CM10</f>
        <v>0</v>
      </c>
      <c r="CO9" s="16" t="n">
        <f aca="false">CN10</f>
        <v>0</v>
      </c>
      <c r="CP9" s="16" t="n">
        <f aca="false">CO10</f>
        <v>0</v>
      </c>
      <c r="CQ9" s="16" t="n">
        <f aca="false">CP10</f>
        <v>0</v>
      </c>
      <c r="CR9" s="16" t="n">
        <f aca="false">CQ10</f>
        <v>0</v>
      </c>
      <c r="CS9" s="16" t="n">
        <f aca="false">CR10</f>
        <v>0</v>
      </c>
      <c r="CT9" s="16" t="n">
        <f aca="false">CS10</f>
        <v>0</v>
      </c>
      <c r="CU9" s="16" t="n">
        <f aca="false">CT10</f>
        <v>0</v>
      </c>
      <c r="CV9" s="16" t="n">
        <f aca="false">CU10</f>
        <v>0</v>
      </c>
      <c r="CW9" s="16" t="n">
        <f aca="false">CV10</f>
        <v>0</v>
      </c>
      <c r="CX9" s="16" t="n">
        <f aca="false">CW10</f>
        <v>0</v>
      </c>
    </row>
    <row r="10" customFormat="false" ht="15" hidden="false" customHeight="false" outlineLevel="0" collapsed="false">
      <c r="A10" s="1" t="n">
        <f aca="false">A9+1</f>
        <v>7</v>
      </c>
      <c r="B10" s="16" t="n">
        <f aca="false">B9</f>
        <v>0</v>
      </c>
      <c r="C10" s="16" t="n">
        <f aca="false">B11</f>
        <v>0</v>
      </c>
      <c r="D10" s="16" t="n">
        <f aca="false">C11</f>
        <v>0</v>
      </c>
      <c r="E10" s="16" t="n">
        <f aca="false">D11</f>
        <v>0</v>
      </c>
      <c r="F10" s="16" t="n">
        <f aca="false">E11</f>
        <v>0</v>
      </c>
      <c r="G10" s="16" t="n">
        <f aca="false">F11</f>
        <v>0</v>
      </c>
      <c r="H10" s="16" t="n">
        <f aca="false">G11</f>
        <v>0</v>
      </c>
      <c r="I10" s="16" t="n">
        <f aca="false">H11</f>
        <v>0</v>
      </c>
      <c r="J10" s="16" t="n">
        <f aca="false">I11</f>
        <v>0</v>
      </c>
      <c r="K10" s="16" t="n">
        <f aca="false">J11</f>
        <v>0</v>
      </c>
      <c r="L10" s="16" t="n">
        <f aca="false">K11</f>
        <v>0</v>
      </c>
      <c r="M10" s="16" t="n">
        <f aca="false">L11</f>
        <v>0</v>
      </c>
      <c r="N10" s="16" t="n">
        <f aca="false">M11</f>
        <v>0</v>
      </c>
      <c r="O10" s="16" t="n">
        <f aca="false">N11</f>
        <v>0</v>
      </c>
      <c r="P10" s="16" t="n">
        <f aca="false">O11</f>
        <v>0</v>
      </c>
      <c r="Q10" s="16" t="n">
        <f aca="false">P11</f>
        <v>0</v>
      </c>
      <c r="R10" s="16" t="n">
        <f aca="false">Q11</f>
        <v>0</v>
      </c>
      <c r="S10" s="16" t="n">
        <f aca="false">R11</f>
        <v>0</v>
      </c>
      <c r="T10" s="16" t="n">
        <f aca="false">S11</f>
        <v>0</v>
      </c>
      <c r="U10" s="16" t="n">
        <f aca="false">T11</f>
        <v>0</v>
      </c>
      <c r="V10" s="16" t="n">
        <f aca="false">U11</f>
        <v>0</v>
      </c>
      <c r="W10" s="16" t="n">
        <f aca="false">V11</f>
        <v>0</v>
      </c>
      <c r="X10" s="16" t="n">
        <f aca="false">W11</f>
        <v>0</v>
      </c>
      <c r="Y10" s="16" t="n">
        <f aca="false">X11</f>
        <v>0</v>
      </c>
      <c r="Z10" s="16" t="n">
        <f aca="false">Y11</f>
        <v>0</v>
      </c>
      <c r="AA10" s="16" t="n">
        <f aca="false">Z11</f>
        <v>0</v>
      </c>
      <c r="AB10" s="16" t="n">
        <f aca="false">AA11</f>
        <v>0</v>
      </c>
      <c r="AC10" s="16" t="n">
        <f aca="false">AB11</f>
        <v>0</v>
      </c>
      <c r="AD10" s="16" t="n">
        <f aca="false">AC11</f>
        <v>0</v>
      </c>
      <c r="AE10" s="16" t="n">
        <f aca="false">AD11</f>
        <v>0</v>
      </c>
      <c r="AF10" s="16" t="n">
        <f aca="false">AE11</f>
        <v>0</v>
      </c>
      <c r="AG10" s="16" t="n">
        <f aca="false">AF11</f>
        <v>0</v>
      </c>
      <c r="AH10" s="16" t="n">
        <f aca="false">AG11</f>
        <v>0</v>
      </c>
      <c r="AI10" s="16" t="n">
        <f aca="false">AH11</f>
        <v>0</v>
      </c>
      <c r="AJ10" s="16" t="n">
        <f aca="false">AI11</f>
        <v>0</v>
      </c>
      <c r="AK10" s="16" t="n">
        <f aca="false">AJ11</f>
        <v>0</v>
      </c>
      <c r="AL10" s="16" t="n">
        <f aca="false">AK11</f>
        <v>0</v>
      </c>
      <c r="AM10" s="16" t="n">
        <f aca="false">AL11</f>
        <v>0</v>
      </c>
      <c r="AN10" s="16" t="n">
        <f aca="false">AM11</f>
        <v>0</v>
      </c>
      <c r="AO10" s="16" t="n">
        <f aca="false">AN11</f>
        <v>0</v>
      </c>
      <c r="AP10" s="16" t="n">
        <f aca="false">AO11</f>
        <v>0</v>
      </c>
      <c r="AQ10" s="16" t="n">
        <f aca="false">AP11</f>
        <v>0</v>
      </c>
      <c r="AR10" s="16" t="n">
        <f aca="false">AQ11</f>
        <v>0</v>
      </c>
      <c r="AS10" s="16" t="n">
        <f aca="false">AR11</f>
        <v>0</v>
      </c>
      <c r="AT10" s="16" t="n">
        <f aca="false">AS11</f>
        <v>0</v>
      </c>
      <c r="AU10" s="16" t="n">
        <f aca="false">AT11</f>
        <v>0</v>
      </c>
      <c r="AV10" s="16" t="n">
        <f aca="false">AU11</f>
        <v>0</v>
      </c>
      <c r="AW10" s="16" t="n">
        <f aca="false">AV11</f>
        <v>0</v>
      </c>
      <c r="AX10" s="16" t="n">
        <f aca="false">AW11</f>
        <v>0</v>
      </c>
      <c r="AY10" s="16" t="n">
        <f aca="false">AX11</f>
        <v>0</v>
      </c>
      <c r="AZ10" s="16" t="n">
        <f aca="false">AY11</f>
        <v>0</v>
      </c>
      <c r="BA10" s="16" t="n">
        <f aca="false">AZ11</f>
        <v>0</v>
      </c>
      <c r="BB10" s="16" t="n">
        <f aca="false">BA11</f>
        <v>0</v>
      </c>
      <c r="BC10" s="16" t="n">
        <f aca="false">BB11</f>
        <v>0</v>
      </c>
      <c r="BD10" s="16" t="n">
        <f aca="false">BC11</f>
        <v>0</v>
      </c>
      <c r="BE10" s="16" t="n">
        <f aca="false">BD11</f>
        <v>0</v>
      </c>
      <c r="BF10" s="16" t="n">
        <f aca="false">BE11</f>
        <v>0</v>
      </c>
      <c r="BG10" s="16" t="n">
        <f aca="false">BF11</f>
        <v>0</v>
      </c>
      <c r="BH10" s="16" t="n">
        <f aca="false">BG11</f>
        <v>0</v>
      </c>
      <c r="BI10" s="16" t="n">
        <f aca="false">BH11</f>
        <v>0</v>
      </c>
      <c r="BJ10" s="16" t="n">
        <f aca="false">BI11</f>
        <v>0</v>
      </c>
      <c r="BK10" s="16" t="n">
        <f aca="false">BJ11</f>
        <v>0</v>
      </c>
      <c r="BL10" s="16" t="n">
        <f aca="false">BK11</f>
        <v>0</v>
      </c>
      <c r="BM10" s="16" t="n">
        <f aca="false">BL11</f>
        <v>0</v>
      </c>
      <c r="BN10" s="16" t="n">
        <f aca="false">BM11</f>
        <v>0</v>
      </c>
      <c r="BO10" s="16" t="n">
        <f aca="false">BN11</f>
        <v>0</v>
      </c>
      <c r="BP10" s="16" t="n">
        <f aca="false">BO11</f>
        <v>0</v>
      </c>
      <c r="BQ10" s="16" t="n">
        <f aca="false">BP11</f>
        <v>0</v>
      </c>
      <c r="BR10" s="16" t="n">
        <f aca="false">BQ11</f>
        <v>0</v>
      </c>
      <c r="BS10" s="16" t="n">
        <f aca="false">BR11</f>
        <v>0</v>
      </c>
      <c r="BT10" s="16" t="n">
        <f aca="false">BS11</f>
        <v>0</v>
      </c>
      <c r="BU10" s="16" t="n">
        <f aca="false">BT11</f>
        <v>0</v>
      </c>
      <c r="BV10" s="16" t="n">
        <f aca="false">BU11</f>
        <v>0</v>
      </c>
      <c r="BW10" s="16" t="n">
        <f aca="false">BV11</f>
        <v>0</v>
      </c>
      <c r="BX10" s="16" t="n">
        <f aca="false">BW11</f>
        <v>0</v>
      </c>
      <c r="BY10" s="16" t="n">
        <f aca="false">BX11</f>
        <v>0</v>
      </c>
      <c r="BZ10" s="16" t="n">
        <f aca="false">BY11</f>
        <v>0</v>
      </c>
      <c r="CA10" s="16" t="n">
        <f aca="false">BZ11</f>
        <v>0</v>
      </c>
      <c r="CB10" s="16" t="n">
        <f aca="false">CA11</f>
        <v>0</v>
      </c>
      <c r="CC10" s="16" t="n">
        <f aca="false">CB11</f>
        <v>0</v>
      </c>
      <c r="CD10" s="16" t="n">
        <f aca="false">CC11</f>
        <v>0</v>
      </c>
      <c r="CE10" s="16" t="n">
        <f aca="false">CD11</f>
        <v>0</v>
      </c>
      <c r="CF10" s="16" t="n">
        <f aca="false">CE11</f>
        <v>0</v>
      </c>
      <c r="CG10" s="16" t="n">
        <f aca="false">CF11</f>
        <v>0</v>
      </c>
      <c r="CH10" s="16" t="n">
        <f aca="false">CG11</f>
        <v>0</v>
      </c>
      <c r="CI10" s="16" t="n">
        <f aca="false">CH11</f>
        <v>0</v>
      </c>
      <c r="CJ10" s="16" t="n">
        <f aca="false">CI11</f>
        <v>0</v>
      </c>
      <c r="CK10" s="16" t="n">
        <f aca="false">CJ11</f>
        <v>0</v>
      </c>
      <c r="CL10" s="16" t="n">
        <f aca="false">CK11</f>
        <v>0</v>
      </c>
      <c r="CM10" s="16" t="n">
        <f aca="false">CL11</f>
        <v>0</v>
      </c>
      <c r="CN10" s="16" t="n">
        <f aca="false">CM11</f>
        <v>0</v>
      </c>
      <c r="CO10" s="16" t="n">
        <f aca="false">CN11</f>
        <v>0</v>
      </c>
      <c r="CP10" s="16" t="n">
        <f aca="false">CO11</f>
        <v>0</v>
      </c>
      <c r="CQ10" s="16" t="n">
        <f aca="false">CP11</f>
        <v>0</v>
      </c>
      <c r="CR10" s="16" t="n">
        <f aca="false">CQ11</f>
        <v>0</v>
      </c>
      <c r="CS10" s="16" t="n">
        <f aca="false">CR11</f>
        <v>0</v>
      </c>
      <c r="CT10" s="16" t="n">
        <f aca="false">CS11</f>
        <v>0</v>
      </c>
      <c r="CU10" s="16" t="n">
        <f aca="false">CT11</f>
        <v>0</v>
      </c>
      <c r="CV10" s="16" t="n">
        <f aca="false">CU11</f>
        <v>0</v>
      </c>
      <c r="CW10" s="16" t="n">
        <f aca="false">CV11</f>
        <v>0</v>
      </c>
      <c r="CX10" s="16" t="n">
        <f aca="false">CW11</f>
        <v>0</v>
      </c>
    </row>
    <row r="11" customFormat="false" ht="15" hidden="false" customHeight="false" outlineLevel="0" collapsed="false">
      <c r="A11" s="1" t="n">
        <f aca="false">A10+1</f>
        <v>8</v>
      </c>
      <c r="B11" s="16" t="n">
        <f aca="false">B10</f>
        <v>0</v>
      </c>
      <c r="C11" s="16" t="n">
        <f aca="false">B12</f>
        <v>0</v>
      </c>
      <c r="D11" s="16" t="n">
        <f aca="false">C12</f>
        <v>0</v>
      </c>
      <c r="E11" s="16" t="n">
        <f aca="false">D12</f>
        <v>0</v>
      </c>
      <c r="F11" s="16" t="n">
        <f aca="false">E12</f>
        <v>0</v>
      </c>
      <c r="G11" s="16" t="n">
        <f aca="false">F12</f>
        <v>0</v>
      </c>
      <c r="H11" s="16" t="n">
        <f aca="false">G12</f>
        <v>0</v>
      </c>
      <c r="I11" s="16" t="n">
        <f aca="false">H12</f>
        <v>0</v>
      </c>
      <c r="J11" s="16" t="n">
        <f aca="false">I12</f>
        <v>0</v>
      </c>
      <c r="K11" s="16" t="n">
        <f aca="false">J12</f>
        <v>0</v>
      </c>
      <c r="L11" s="16" t="n">
        <f aca="false">K12</f>
        <v>0</v>
      </c>
      <c r="M11" s="16" t="n">
        <f aca="false">L12</f>
        <v>0</v>
      </c>
      <c r="N11" s="16" t="n">
        <f aca="false">M12</f>
        <v>0</v>
      </c>
      <c r="O11" s="16" t="n">
        <f aca="false">N12</f>
        <v>0</v>
      </c>
      <c r="P11" s="16" t="n">
        <f aca="false">O12</f>
        <v>0</v>
      </c>
      <c r="Q11" s="16" t="n">
        <f aca="false">P12</f>
        <v>0</v>
      </c>
      <c r="R11" s="16" t="n">
        <f aca="false">Q12</f>
        <v>0</v>
      </c>
      <c r="S11" s="16" t="n">
        <f aca="false">R12</f>
        <v>0</v>
      </c>
      <c r="T11" s="16" t="n">
        <f aca="false">S12</f>
        <v>0</v>
      </c>
      <c r="U11" s="16" t="n">
        <f aca="false">T12</f>
        <v>0</v>
      </c>
      <c r="V11" s="16" t="n">
        <f aca="false">U12</f>
        <v>0</v>
      </c>
      <c r="W11" s="16" t="n">
        <f aca="false">V12</f>
        <v>0</v>
      </c>
      <c r="X11" s="16" t="n">
        <f aca="false">W12</f>
        <v>0</v>
      </c>
      <c r="Y11" s="16" t="n">
        <f aca="false">X12</f>
        <v>0</v>
      </c>
      <c r="Z11" s="16" t="n">
        <f aca="false">Y12</f>
        <v>0</v>
      </c>
      <c r="AA11" s="16" t="n">
        <f aca="false">Z12</f>
        <v>0</v>
      </c>
      <c r="AB11" s="16" t="n">
        <f aca="false">AA12</f>
        <v>0</v>
      </c>
      <c r="AC11" s="16" t="n">
        <f aca="false">AB12</f>
        <v>0</v>
      </c>
      <c r="AD11" s="16" t="n">
        <f aca="false">AC12</f>
        <v>0</v>
      </c>
      <c r="AE11" s="16" t="n">
        <f aca="false">AD12</f>
        <v>0</v>
      </c>
      <c r="AF11" s="16" t="n">
        <f aca="false">AE12</f>
        <v>0</v>
      </c>
      <c r="AG11" s="16" t="n">
        <f aca="false">AF12</f>
        <v>0</v>
      </c>
      <c r="AH11" s="16" t="n">
        <f aca="false">AG12</f>
        <v>0</v>
      </c>
      <c r="AI11" s="16" t="n">
        <f aca="false">AH12</f>
        <v>0</v>
      </c>
      <c r="AJ11" s="16" t="n">
        <f aca="false">AI12</f>
        <v>0</v>
      </c>
      <c r="AK11" s="16" t="n">
        <f aca="false">AJ12</f>
        <v>0</v>
      </c>
      <c r="AL11" s="16" t="n">
        <f aca="false">AK12</f>
        <v>0</v>
      </c>
      <c r="AM11" s="16" t="n">
        <f aca="false">AL12</f>
        <v>0</v>
      </c>
      <c r="AN11" s="16" t="n">
        <f aca="false">AM12</f>
        <v>0</v>
      </c>
      <c r="AO11" s="16" t="n">
        <f aca="false">AN12</f>
        <v>0</v>
      </c>
      <c r="AP11" s="16" t="n">
        <f aca="false">AO12</f>
        <v>0</v>
      </c>
      <c r="AQ11" s="16" t="n">
        <f aca="false">AP12</f>
        <v>0</v>
      </c>
      <c r="AR11" s="16" t="n">
        <f aca="false">AQ12</f>
        <v>0</v>
      </c>
      <c r="AS11" s="16" t="n">
        <f aca="false">AR12</f>
        <v>0</v>
      </c>
      <c r="AT11" s="16" t="n">
        <f aca="false">AS12</f>
        <v>0</v>
      </c>
      <c r="AU11" s="16" t="n">
        <f aca="false">AT12</f>
        <v>0</v>
      </c>
      <c r="AV11" s="16" t="n">
        <f aca="false">AU12</f>
        <v>0</v>
      </c>
      <c r="AW11" s="16" t="n">
        <f aca="false">AV12</f>
        <v>0</v>
      </c>
      <c r="AX11" s="16" t="n">
        <f aca="false">AW12</f>
        <v>0</v>
      </c>
      <c r="AY11" s="16" t="n">
        <f aca="false">AX12</f>
        <v>0</v>
      </c>
      <c r="AZ11" s="16" t="n">
        <f aca="false">AY12</f>
        <v>0</v>
      </c>
      <c r="BA11" s="16" t="n">
        <f aca="false">AZ12</f>
        <v>0</v>
      </c>
      <c r="BB11" s="16" t="n">
        <f aca="false">BA12</f>
        <v>0</v>
      </c>
      <c r="BC11" s="16" t="n">
        <f aca="false">BB12</f>
        <v>0</v>
      </c>
      <c r="BD11" s="16" t="n">
        <f aca="false">BC12</f>
        <v>0</v>
      </c>
      <c r="BE11" s="16" t="n">
        <f aca="false">BD12</f>
        <v>0</v>
      </c>
      <c r="BF11" s="16" t="n">
        <f aca="false">BE12</f>
        <v>0</v>
      </c>
      <c r="BG11" s="16" t="n">
        <f aca="false">BF12</f>
        <v>0</v>
      </c>
      <c r="BH11" s="16" t="n">
        <f aca="false">BG12</f>
        <v>0</v>
      </c>
      <c r="BI11" s="16" t="n">
        <f aca="false">BH12</f>
        <v>0</v>
      </c>
      <c r="BJ11" s="16" t="n">
        <f aca="false">BI12</f>
        <v>0</v>
      </c>
      <c r="BK11" s="16" t="n">
        <f aca="false">BJ12</f>
        <v>0</v>
      </c>
      <c r="BL11" s="16" t="n">
        <f aca="false">BK12</f>
        <v>0</v>
      </c>
      <c r="BM11" s="16" t="n">
        <f aca="false">BL12</f>
        <v>0</v>
      </c>
      <c r="BN11" s="16" t="n">
        <f aca="false">BM12</f>
        <v>0</v>
      </c>
      <c r="BO11" s="16" t="n">
        <f aca="false">BN12</f>
        <v>0</v>
      </c>
      <c r="BP11" s="16" t="n">
        <f aca="false">BO12</f>
        <v>0</v>
      </c>
      <c r="BQ11" s="16" t="n">
        <f aca="false">BP12</f>
        <v>0</v>
      </c>
      <c r="BR11" s="16" t="n">
        <f aca="false">BQ12</f>
        <v>0</v>
      </c>
      <c r="BS11" s="16" t="n">
        <f aca="false">BR12</f>
        <v>0</v>
      </c>
      <c r="BT11" s="16" t="n">
        <f aca="false">BS12</f>
        <v>0</v>
      </c>
      <c r="BU11" s="16" t="n">
        <f aca="false">BT12</f>
        <v>0</v>
      </c>
      <c r="BV11" s="16" t="n">
        <f aca="false">BU12</f>
        <v>0</v>
      </c>
      <c r="BW11" s="16" t="n">
        <f aca="false">BV12</f>
        <v>0</v>
      </c>
      <c r="BX11" s="16" t="n">
        <f aca="false">BW12</f>
        <v>0</v>
      </c>
      <c r="BY11" s="16" t="n">
        <f aca="false">BX12</f>
        <v>0</v>
      </c>
      <c r="BZ11" s="16" t="n">
        <f aca="false">BY12</f>
        <v>0</v>
      </c>
      <c r="CA11" s="16" t="n">
        <f aca="false">BZ12</f>
        <v>0</v>
      </c>
      <c r="CB11" s="16" t="n">
        <f aca="false">CA12</f>
        <v>0</v>
      </c>
      <c r="CC11" s="16" t="n">
        <f aca="false">CB12</f>
        <v>0</v>
      </c>
      <c r="CD11" s="16" t="n">
        <f aca="false">CC12</f>
        <v>0</v>
      </c>
      <c r="CE11" s="16" t="n">
        <f aca="false">CD12</f>
        <v>0</v>
      </c>
      <c r="CF11" s="16" t="n">
        <f aca="false">CE12</f>
        <v>0</v>
      </c>
      <c r="CG11" s="16" t="n">
        <f aca="false">CF12</f>
        <v>0</v>
      </c>
      <c r="CH11" s="16" t="n">
        <f aca="false">CG12</f>
        <v>0</v>
      </c>
      <c r="CI11" s="16" t="n">
        <f aca="false">CH12</f>
        <v>0</v>
      </c>
      <c r="CJ11" s="16" t="n">
        <f aca="false">CI12</f>
        <v>0</v>
      </c>
      <c r="CK11" s="16" t="n">
        <f aca="false">CJ12</f>
        <v>0</v>
      </c>
      <c r="CL11" s="16" t="n">
        <f aca="false">CK12</f>
        <v>0</v>
      </c>
      <c r="CM11" s="16" t="n">
        <f aca="false">CL12</f>
        <v>0</v>
      </c>
      <c r="CN11" s="16" t="n">
        <f aca="false">CM12</f>
        <v>0</v>
      </c>
      <c r="CO11" s="16" t="n">
        <f aca="false">CN12</f>
        <v>0</v>
      </c>
      <c r="CP11" s="16" t="n">
        <f aca="false">CO12</f>
        <v>0</v>
      </c>
      <c r="CQ11" s="16" t="n">
        <f aca="false">CP12</f>
        <v>0</v>
      </c>
      <c r="CR11" s="16" t="n">
        <f aca="false">CQ12</f>
        <v>0</v>
      </c>
      <c r="CS11" s="16" t="n">
        <f aca="false">CR12</f>
        <v>0</v>
      </c>
      <c r="CT11" s="16" t="n">
        <f aca="false">CS12</f>
        <v>0</v>
      </c>
      <c r="CU11" s="16" t="n">
        <f aca="false">CT12</f>
        <v>0</v>
      </c>
      <c r="CV11" s="16" t="n">
        <f aca="false">CU12</f>
        <v>0</v>
      </c>
      <c r="CW11" s="16" t="n">
        <f aca="false">CV12</f>
        <v>0</v>
      </c>
      <c r="CX11" s="16" t="n">
        <f aca="false">CW12</f>
        <v>0</v>
      </c>
    </row>
    <row r="12" customFormat="false" ht="15" hidden="false" customHeight="false" outlineLevel="0" collapsed="false">
      <c r="A12" s="1" t="n">
        <f aca="false">A11+1</f>
        <v>9</v>
      </c>
      <c r="B12" s="16" t="n">
        <f aca="false">B11</f>
        <v>0</v>
      </c>
      <c r="C12" s="16" t="n">
        <f aca="false">B13</f>
        <v>0</v>
      </c>
      <c r="D12" s="16" t="n">
        <f aca="false">C13</f>
        <v>0</v>
      </c>
      <c r="E12" s="16" t="n">
        <f aca="false">D13</f>
        <v>0</v>
      </c>
      <c r="F12" s="16" t="n">
        <f aca="false">E13</f>
        <v>0</v>
      </c>
      <c r="G12" s="16" t="n">
        <f aca="false">F13</f>
        <v>0</v>
      </c>
      <c r="H12" s="16" t="n">
        <f aca="false">G13</f>
        <v>0</v>
      </c>
      <c r="I12" s="16" t="n">
        <f aca="false">H13</f>
        <v>0</v>
      </c>
      <c r="J12" s="16" t="n">
        <f aca="false">I13</f>
        <v>0</v>
      </c>
      <c r="K12" s="16" t="n">
        <f aca="false">J13</f>
        <v>0</v>
      </c>
      <c r="L12" s="16" t="n">
        <f aca="false">K13</f>
        <v>0</v>
      </c>
      <c r="M12" s="16" t="n">
        <f aca="false">L13</f>
        <v>0</v>
      </c>
      <c r="N12" s="16" t="n">
        <f aca="false">M13</f>
        <v>0</v>
      </c>
      <c r="O12" s="16" t="n">
        <f aca="false">N13</f>
        <v>0</v>
      </c>
      <c r="P12" s="16" t="n">
        <f aca="false">O13</f>
        <v>0</v>
      </c>
      <c r="Q12" s="16" t="n">
        <f aca="false">P13</f>
        <v>0</v>
      </c>
      <c r="R12" s="16" t="n">
        <f aca="false">Q13</f>
        <v>0</v>
      </c>
      <c r="S12" s="16" t="n">
        <f aca="false">R13</f>
        <v>0</v>
      </c>
      <c r="T12" s="16" t="n">
        <f aca="false">S13</f>
        <v>0</v>
      </c>
      <c r="U12" s="16" t="n">
        <f aca="false">T13</f>
        <v>0</v>
      </c>
      <c r="V12" s="16" t="n">
        <f aca="false">U13</f>
        <v>0</v>
      </c>
      <c r="W12" s="16" t="n">
        <f aca="false">V13</f>
        <v>0</v>
      </c>
      <c r="X12" s="16" t="n">
        <f aca="false">W13</f>
        <v>0</v>
      </c>
      <c r="Y12" s="16" t="n">
        <f aca="false">X13</f>
        <v>0</v>
      </c>
      <c r="Z12" s="16" t="n">
        <f aca="false">Y13</f>
        <v>0</v>
      </c>
      <c r="AA12" s="16" t="n">
        <f aca="false">Z13</f>
        <v>0</v>
      </c>
      <c r="AB12" s="16" t="n">
        <f aca="false">AA13</f>
        <v>0</v>
      </c>
      <c r="AC12" s="16" t="n">
        <f aca="false">AB13</f>
        <v>0</v>
      </c>
      <c r="AD12" s="16" t="n">
        <f aca="false">AC13</f>
        <v>0</v>
      </c>
      <c r="AE12" s="16" t="n">
        <f aca="false">AD13</f>
        <v>0</v>
      </c>
      <c r="AF12" s="16" t="n">
        <f aca="false">AE13</f>
        <v>0</v>
      </c>
      <c r="AG12" s="16" t="n">
        <f aca="false">AF13</f>
        <v>0</v>
      </c>
      <c r="AH12" s="16" t="n">
        <f aca="false">AG13</f>
        <v>0</v>
      </c>
      <c r="AI12" s="16" t="n">
        <f aca="false">AH13</f>
        <v>0</v>
      </c>
      <c r="AJ12" s="16" t="n">
        <f aca="false">AI13</f>
        <v>0</v>
      </c>
      <c r="AK12" s="16" t="n">
        <f aca="false">AJ13</f>
        <v>0</v>
      </c>
      <c r="AL12" s="16" t="n">
        <f aca="false">AK13</f>
        <v>0</v>
      </c>
      <c r="AM12" s="16" t="n">
        <f aca="false">AL13</f>
        <v>0</v>
      </c>
      <c r="AN12" s="16" t="n">
        <f aca="false">AM13</f>
        <v>0</v>
      </c>
      <c r="AO12" s="16" t="n">
        <f aca="false">AN13</f>
        <v>0</v>
      </c>
      <c r="AP12" s="16" t="n">
        <f aca="false">AO13</f>
        <v>0</v>
      </c>
      <c r="AQ12" s="16" t="n">
        <f aca="false">AP13</f>
        <v>0</v>
      </c>
      <c r="AR12" s="16" t="n">
        <f aca="false">AQ13</f>
        <v>0</v>
      </c>
      <c r="AS12" s="16" t="n">
        <f aca="false">AR13</f>
        <v>0</v>
      </c>
      <c r="AT12" s="16" t="n">
        <f aca="false">AS13</f>
        <v>0</v>
      </c>
      <c r="AU12" s="16" t="n">
        <f aca="false">AT13</f>
        <v>0</v>
      </c>
      <c r="AV12" s="16" t="n">
        <f aca="false">AU13</f>
        <v>0</v>
      </c>
      <c r="AW12" s="16" t="n">
        <f aca="false">AV13</f>
        <v>0</v>
      </c>
      <c r="AX12" s="16" t="n">
        <f aca="false">AW13</f>
        <v>0</v>
      </c>
      <c r="AY12" s="16" t="n">
        <f aca="false">AX13</f>
        <v>0</v>
      </c>
      <c r="AZ12" s="16" t="n">
        <f aca="false">AY13</f>
        <v>0</v>
      </c>
      <c r="BA12" s="16" t="n">
        <f aca="false">AZ13</f>
        <v>0</v>
      </c>
      <c r="BB12" s="16" t="n">
        <f aca="false">BA13</f>
        <v>0</v>
      </c>
      <c r="BC12" s="16" t="n">
        <f aca="false">BB13</f>
        <v>0</v>
      </c>
      <c r="BD12" s="16" t="n">
        <f aca="false">BC13</f>
        <v>0</v>
      </c>
      <c r="BE12" s="16" t="n">
        <f aca="false">BD13</f>
        <v>0</v>
      </c>
      <c r="BF12" s="16" t="n">
        <f aca="false">BE13</f>
        <v>0</v>
      </c>
      <c r="BG12" s="16" t="n">
        <f aca="false">BF13</f>
        <v>0</v>
      </c>
      <c r="BH12" s="16" t="n">
        <f aca="false">BG13</f>
        <v>0</v>
      </c>
      <c r="BI12" s="16" t="n">
        <f aca="false">BH13</f>
        <v>0</v>
      </c>
      <c r="BJ12" s="16" t="n">
        <f aca="false">BI13</f>
        <v>0</v>
      </c>
      <c r="BK12" s="16" t="n">
        <f aca="false">BJ13</f>
        <v>0</v>
      </c>
      <c r="BL12" s="16" t="n">
        <f aca="false">BK13</f>
        <v>0</v>
      </c>
      <c r="BM12" s="16" t="n">
        <f aca="false">BL13</f>
        <v>0</v>
      </c>
      <c r="BN12" s="16" t="n">
        <f aca="false">BM13</f>
        <v>0</v>
      </c>
      <c r="BO12" s="16" t="n">
        <f aca="false">BN13</f>
        <v>0</v>
      </c>
      <c r="BP12" s="16" t="n">
        <f aca="false">BO13</f>
        <v>0</v>
      </c>
      <c r="BQ12" s="16" t="n">
        <f aca="false">BP13</f>
        <v>0</v>
      </c>
      <c r="BR12" s="16" t="n">
        <f aca="false">BQ13</f>
        <v>0</v>
      </c>
      <c r="BS12" s="16" t="n">
        <f aca="false">BR13</f>
        <v>0</v>
      </c>
      <c r="BT12" s="16" t="n">
        <f aca="false">BS13</f>
        <v>0</v>
      </c>
      <c r="BU12" s="16" t="n">
        <f aca="false">BT13</f>
        <v>0</v>
      </c>
      <c r="BV12" s="16" t="n">
        <f aca="false">BU13</f>
        <v>0</v>
      </c>
      <c r="BW12" s="16" t="n">
        <f aca="false">BV13</f>
        <v>0</v>
      </c>
      <c r="BX12" s="16" t="n">
        <f aca="false">BW13</f>
        <v>0</v>
      </c>
      <c r="BY12" s="16" t="n">
        <f aca="false">BX13</f>
        <v>0</v>
      </c>
      <c r="BZ12" s="16" t="n">
        <f aca="false">BY13</f>
        <v>0</v>
      </c>
      <c r="CA12" s="16" t="n">
        <f aca="false">BZ13</f>
        <v>0</v>
      </c>
      <c r="CB12" s="16" t="n">
        <f aca="false">CA13</f>
        <v>0</v>
      </c>
      <c r="CC12" s="16" t="n">
        <f aca="false">CB13</f>
        <v>0</v>
      </c>
      <c r="CD12" s="16" t="n">
        <f aca="false">CC13</f>
        <v>0</v>
      </c>
      <c r="CE12" s="16" t="n">
        <f aca="false">CD13</f>
        <v>0</v>
      </c>
      <c r="CF12" s="16" t="n">
        <f aca="false">CE13</f>
        <v>0</v>
      </c>
      <c r="CG12" s="16" t="n">
        <f aca="false">CF13</f>
        <v>0</v>
      </c>
      <c r="CH12" s="16" t="n">
        <f aca="false">CG13</f>
        <v>0</v>
      </c>
      <c r="CI12" s="16" t="n">
        <f aca="false">CH13</f>
        <v>0</v>
      </c>
      <c r="CJ12" s="16" t="n">
        <f aca="false">CI13</f>
        <v>0</v>
      </c>
      <c r="CK12" s="16" t="n">
        <f aca="false">CJ13</f>
        <v>0</v>
      </c>
      <c r="CL12" s="16" t="n">
        <f aca="false">CK13</f>
        <v>0</v>
      </c>
      <c r="CM12" s="16" t="n">
        <f aca="false">CL13</f>
        <v>0</v>
      </c>
      <c r="CN12" s="16" t="n">
        <f aca="false">CM13</f>
        <v>0</v>
      </c>
      <c r="CO12" s="16" t="n">
        <f aca="false">CN13</f>
        <v>0</v>
      </c>
      <c r="CP12" s="16" t="n">
        <f aca="false">CO13</f>
        <v>0</v>
      </c>
      <c r="CQ12" s="16" t="n">
        <f aca="false">CP13</f>
        <v>0</v>
      </c>
      <c r="CR12" s="16" t="n">
        <f aca="false">CQ13</f>
        <v>0</v>
      </c>
      <c r="CS12" s="16" t="n">
        <f aca="false">CR13</f>
        <v>0</v>
      </c>
      <c r="CT12" s="16" t="n">
        <f aca="false">CS13</f>
        <v>0</v>
      </c>
      <c r="CU12" s="16" t="n">
        <f aca="false">CT13</f>
        <v>0</v>
      </c>
      <c r="CV12" s="16" t="n">
        <f aca="false">CU13</f>
        <v>0</v>
      </c>
      <c r="CW12" s="16" t="n">
        <f aca="false">CV13</f>
        <v>0</v>
      </c>
      <c r="CX12" s="16" t="n">
        <f aca="false">CW13</f>
        <v>0</v>
      </c>
    </row>
    <row r="13" customFormat="false" ht="15" hidden="false" customHeight="false" outlineLevel="0" collapsed="false">
      <c r="A13" s="1" t="n">
        <f aca="false">A12+1</f>
        <v>10</v>
      </c>
      <c r="B13" s="16" t="n">
        <f aca="false">B12</f>
        <v>0</v>
      </c>
      <c r="C13" s="16" t="n">
        <f aca="false">B14</f>
        <v>0</v>
      </c>
      <c r="D13" s="16" t="n">
        <f aca="false">C14</f>
        <v>0</v>
      </c>
      <c r="E13" s="16" t="n">
        <f aca="false">D14</f>
        <v>0</v>
      </c>
      <c r="F13" s="16" t="n">
        <f aca="false">E14</f>
        <v>0</v>
      </c>
      <c r="G13" s="16" t="n">
        <f aca="false">F14</f>
        <v>0</v>
      </c>
      <c r="H13" s="16" t="n">
        <f aca="false">G14</f>
        <v>0</v>
      </c>
      <c r="I13" s="16" t="n">
        <f aca="false">H14</f>
        <v>0</v>
      </c>
      <c r="J13" s="16" t="n">
        <f aca="false">I14</f>
        <v>0</v>
      </c>
      <c r="K13" s="16" t="n">
        <f aca="false">J14</f>
        <v>0</v>
      </c>
      <c r="L13" s="16" t="n">
        <f aca="false">K14</f>
        <v>0</v>
      </c>
      <c r="M13" s="16" t="n">
        <f aca="false">L14</f>
        <v>0</v>
      </c>
      <c r="N13" s="16" t="n">
        <f aca="false">M14</f>
        <v>0</v>
      </c>
      <c r="O13" s="16" t="n">
        <f aca="false">N14</f>
        <v>0</v>
      </c>
      <c r="P13" s="16" t="n">
        <f aca="false">O14</f>
        <v>0</v>
      </c>
      <c r="Q13" s="16" t="n">
        <f aca="false">P14</f>
        <v>0</v>
      </c>
      <c r="R13" s="16" t="n">
        <f aca="false">Q14</f>
        <v>0</v>
      </c>
      <c r="S13" s="16" t="n">
        <f aca="false">R14</f>
        <v>0</v>
      </c>
      <c r="T13" s="16" t="n">
        <f aca="false">S14</f>
        <v>0</v>
      </c>
      <c r="U13" s="16" t="n">
        <f aca="false">T14</f>
        <v>0</v>
      </c>
      <c r="V13" s="16" t="n">
        <f aca="false">U14</f>
        <v>0</v>
      </c>
      <c r="W13" s="16" t="n">
        <f aca="false">V14</f>
        <v>0</v>
      </c>
      <c r="X13" s="16" t="n">
        <f aca="false">W14</f>
        <v>0</v>
      </c>
      <c r="Y13" s="16" t="n">
        <f aca="false">X14</f>
        <v>0</v>
      </c>
      <c r="Z13" s="16" t="n">
        <f aca="false">Y14</f>
        <v>0</v>
      </c>
      <c r="AA13" s="16" t="n">
        <f aca="false">Z14</f>
        <v>0</v>
      </c>
      <c r="AB13" s="16" t="n">
        <f aca="false">AA14</f>
        <v>0</v>
      </c>
      <c r="AC13" s="16" t="n">
        <f aca="false">AB14</f>
        <v>0</v>
      </c>
      <c r="AD13" s="16" t="n">
        <f aca="false">AC14</f>
        <v>0</v>
      </c>
      <c r="AE13" s="16" t="n">
        <f aca="false">AD14</f>
        <v>0</v>
      </c>
      <c r="AF13" s="16" t="n">
        <f aca="false">AE14</f>
        <v>0</v>
      </c>
      <c r="AG13" s="16" t="n">
        <f aca="false">AF14</f>
        <v>0</v>
      </c>
      <c r="AH13" s="16" t="n">
        <f aca="false">AG14</f>
        <v>0</v>
      </c>
      <c r="AI13" s="16" t="n">
        <f aca="false">AH14</f>
        <v>0</v>
      </c>
      <c r="AJ13" s="16" t="n">
        <f aca="false">AI14</f>
        <v>0</v>
      </c>
      <c r="AK13" s="16" t="n">
        <f aca="false">AJ14</f>
        <v>0</v>
      </c>
      <c r="AL13" s="16" t="n">
        <f aca="false">AK14</f>
        <v>0</v>
      </c>
      <c r="AM13" s="16" t="n">
        <f aca="false">AL14</f>
        <v>0</v>
      </c>
      <c r="AN13" s="16" t="n">
        <f aca="false">AM14</f>
        <v>0</v>
      </c>
      <c r="AO13" s="16" t="n">
        <f aca="false">AN14</f>
        <v>0</v>
      </c>
      <c r="AP13" s="16" t="n">
        <f aca="false">AO14</f>
        <v>0</v>
      </c>
      <c r="AQ13" s="16" t="n">
        <f aca="false">AP14</f>
        <v>0</v>
      </c>
      <c r="AR13" s="16" t="n">
        <f aca="false">AQ14</f>
        <v>0</v>
      </c>
      <c r="AS13" s="16" t="n">
        <f aca="false">AR14</f>
        <v>0</v>
      </c>
      <c r="AT13" s="16" t="n">
        <f aca="false">AS14</f>
        <v>0</v>
      </c>
      <c r="AU13" s="16" t="n">
        <f aca="false">AT14</f>
        <v>0</v>
      </c>
      <c r="AV13" s="16" t="n">
        <f aca="false">AU14</f>
        <v>0</v>
      </c>
      <c r="AW13" s="16" t="n">
        <f aca="false">AV14</f>
        <v>0</v>
      </c>
      <c r="AX13" s="16" t="n">
        <f aca="false">AW14</f>
        <v>0</v>
      </c>
      <c r="AY13" s="16" t="n">
        <f aca="false">AX14</f>
        <v>0</v>
      </c>
      <c r="AZ13" s="16" t="n">
        <f aca="false">AY14</f>
        <v>0</v>
      </c>
      <c r="BA13" s="16" t="n">
        <f aca="false">AZ14</f>
        <v>0</v>
      </c>
      <c r="BB13" s="16" t="n">
        <f aca="false">BA14</f>
        <v>0</v>
      </c>
      <c r="BC13" s="16" t="n">
        <f aca="false">BB14</f>
        <v>0</v>
      </c>
      <c r="BD13" s="16" t="n">
        <f aca="false">BC14</f>
        <v>0</v>
      </c>
      <c r="BE13" s="16" t="n">
        <f aca="false">BD14</f>
        <v>0</v>
      </c>
      <c r="BF13" s="16" t="n">
        <f aca="false">BE14</f>
        <v>0</v>
      </c>
      <c r="BG13" s="16" t="n">
        <f aca="false">BF14</f>
        <v>0</v>
      </c>
      <c r="BH13" s="16" t="n">
        <f aca="false">BG14</f>
        <v>0</v>
      </c>
      <c r="BI13" s="16" t="n">
        <f aca="false">BH14</f>
        <v>0</v>
      </c>
      <c r="BJ13" s="16" t="n">
        <f aca="false">BI14</f>
        <v>0</v>
      </c>
      <c r="BK13" s="16" t="n">
        <f aca="false">BJ14</f>
        <v>0</v>
      </c>
      <c r="BL13" s="16" t="n">
        <f aca="false">BK14</f>
        <v>0</v>
      </c>
      <c r="BM13" s="16" t="n">
        <f aca="false">BL14</f>
        <v>0</v>
      </c>
      <c r="BN13" s="16" t="n">
        <f aca="false">BM14</f>
        <v>0</v>
      </c>
      <c r="BO13" s="16" t="n">
        <f aca="false">BN14</f>
        <v>0</v>
      </c>
      <c r="BP13" s="16" t="n">
        <f aca="false">BO14</f>
        <v>0</v>
      </c>
      <c r="BQ13" s="16" t="n">
        <f aca="false">BP14</f>
        <v>0</v>
      </c>
      <c r="BR13" s="16" t="n">
        <f aca="false">BQ14</f>
        <v>0</v>
      </c>
      <c r="BS13" s="16" t="n">
        <f aca="false">BR14</f>
        <v>0</v>
      </c>
      <c r="BT13" s="16" t="n">
        <f aca="false">BS14</f>
        <v>0</v>
      </c>
      <c r="BU13" s="16" t="n">
        <f aca="false">BT14</f>
        <v>0</v>
      </c>
      <c r="BV13" s="16" t="n">
        <f aca="false">BU14</f>
        <v>0</v>
      </c>
      <c r="BW13" s="16" t="n">
        <f aca="false">BV14</f>
        <v>0</v>
      </c>
      <c r="BX13" s="16" t="n">
        <f aca="false">BW14</f>
        <v>0</v>
      </c>
      <c r="BY13" s="16" t="n">
        <f aca="false">BX14</f>
        <v>0</v>
      </c>
      <c r="BZ13" s="16" t="n">
        <f aca="false">BY14</f>
        <v>0</v>
      </c>
      <c r="CA13" s="16" t="n">
        <f aca="false">BZ14</f>
        <v>0</v>
      </c>
      <c r="CB13" s="16" t="n">
        <f aca="false">CA14</f>
        <v>0</v>
      </c>
      <c r="CC13" s="16" t="n">
        <f aca="false">CB14</f>
        <v>0</v>
      </c>
      <c r="CD13" s="16" t="n">
        <f aca="false">CC14</f>
        <v>0</v>
      </c>
      <c r="CE13" s="16" t="n">
        <f aca="false">CD14</f>
        <v>0</v>
      </c>
      <c r="CF13" s="16" t="n">
        <f aca="false">CE14</f>
        <v>0</v>
      </c>
      <c r="CG13" s="16" t="n">
        <f aca="false">CF14</f>
        <v>0</v>
      </c>
      <c r="CH13" s="16" t="n">
        <f aca="false">CG14</f>
        <v>0</v>
      </c>
      <c r="CI13" s="16" t="n">
        <f aca="false">CH14</f>
        <v>0</v>
      </c>
      <c r="CJ13" s="16" t="n">
        <f aca="false">CI14</f>
        <v>0</v>
      </c>
      <c r="CK13" s="16" t="n">
        <f aca="false">CJ14</f>
        <v>0</v>
      </c>
      <c r="CL13" s="16" t="n">
        <f aca="false">CK14</f>
        <v>0</v>
      </c>
      <c r="CM13" s="16" t="n">
        <f aca="false">CL14</f>
        <v>0</v>
      </c>
      <c r="CN13" s="16" t="n">
        <f aca="false">CM14</f>
        <v>0</v>
      </c>
      <c r="CO13" s="16" t="n">
        <f aca="false">CN14</f>
        <v>0</v>
      </c>
      <c r="CP13" s="16" t="n">
        <f aca="false">CO14</f>
        <v>0</v>
      </c>
      <c r="CQ13" s="16" t="n">
        <f aca="false">CP14</f>
        <v>0</v>
      </c>
      <c r="CR13" s="16" t="n">
        <f aca="false">CQ14</f>
        <v>0</v>
      </c>
      <c r="CS13" s="16" t="n">
        <f aca="false">CR14</f>
        <v>0</v>
      </c>
      <c r="CT13" s="16" t="n">
        <f aca="false">CS14</f>
        <v>0</v>
      </c>
      <c r="CU13" s="16" t="n">
        <f aca="false">CT14</f>
        <v>0</v>
      </c>
      <c r="CV13" s="16" t="n">
        <f aca="false">CU14</f>
        <v>0</v>
      </c>
      <c r="CW13" s="16" t="n">
        <f aca="false">CV14</f>
        <v>0</v>
      </c>
      <c r="CX13" s="16" t="n">
        <f aca="false">CW14</f>
        <v>0</v>
      </c>
    </row>
    <row r="14" customFormat="false" ht="15" hidden="false" customHeight="false" outlineLevel="0" collapsed="false">
      <c r="A14" s="1" t="n">
        <f aca="false">A13+1</f>
        <v>11</v>
      </c>
      <c r="B14" s="16" t="n">
        <f aca="false">B13</f>
        <v>0</v>
      </c>
      <c r="C14" s="16" t="n">
        <f aca="false">B15</f>
        <v>0</v>
      </c>
      <c r="D14" s="16" t="n">
        <f aca="false">C15</f>
        <v>0</v>
      </c>
      <c r="E14" s="16" t="n">
        <f aca="false">D15</f>
        <v>0</v>
      </c>
      <c r="F14" s="16" t="n">
        <f aca="false">E15</f>
        <v>0</v>
      </c>
      <c r="G14" s="16" t="n">
        <f aca="false">F15</f>
        <v>0</v>
      </c>
      <c r="H14" s="16" t="n">
        <f aca="false">G15</f>
        <v>0</v>
      </c>
      <c r="I14" s="16" t="n">
        <f aca="false">H15</f>
        <v>0</v>
      </c>
      <c r="J14" s="16" t="n">
        <f aca="false">I15</f>
        <v>0</v>
      </c>
      <c r="K14" s="16" t="n">
        <f aca="false">J15</f>
        <v>0</v>
      </c>
      <c r="L14" s="16" t="n">
        <f aca="false">K15</f>
        <v>0</v>
      </c>
      <c r="M14" s="16" t="n">
        <f aca="false">L15</f>
        <v>0</v>
      </c>
      <c r="N14" s="16" t="n">
        <f aca="false">M15</f>
        <v>0</v>
      </c>
      <c r="O14" s="16" t="n">
        <f aca="false">N15</f>
        <v>0</v>
      </c>
      <c r="P14" s="16" t="n">
        <f aca="false">O15</f>
        <v>0</v>
      </c>
      <c r="Q14" s="16" t="n">
        <f aca="false">P15</f>
        <v>0</v>
      </c>
      <c r="R14" s="16" t="n">
        <f aca="false">Q15</f>
        <v>0</v>
      </c>
      <c r="S14" s="16" t="n">
        <f aca="false">R15</f>
        <v>0</v>
      </c>
      <c r="T14" s="16" t="n">
        <f aca="false">S15</f>
        <v>0</v>
      </c>
      <c r="U14" s="16" t="n">
        <f aca="false">T15</f>
        <v>0</v>
      </c>
      <c r="V14" s="16" t="n">
        <f aca="false">U15</f>
        <v>0</v>
      </c>
      <c r="W14" s="16" t="n">
        <f aca="false">V15</f>
        <v>0</v>
      </c>
      <c r="X14" s="16" t="n">
        <f aca="false">W15</f>
        <v>0</v>
      </c>
      <c r="Y14" s="16" t="n">
        <f aca="false">X15</f>
        <v>0</v>
      </c>
      <c r="Z14" s="16" t="n">
        <f aca="false">Y15</f>
        <v>0</v>
      </c>
      <c r="AA14" s="16" t="n">
        <f aca="false">Z15</f>
        <v>0</v>
      </c>
      <c r="AB14" s="16" t="n">
        <f aca="false">AA15</f>
        <v>0</v>
      </c>
      <c r="AC14" s="16" t="n">
        <f aca="false">AB15</f>
        <v>0</v>
      </c>
      <c r="AD14" s="16" t="n">
        <f aca="false">AC15</f>
        <v>0</v>
      </c>
      <c r="AE14" s="16" t="n">
        <f aca="false">AD15</f>
        <v>0</v>
      </c>
      <c r="AF14" s="16" t="n">
        <f aca="false">AE15</f>
        <v>0</v>
      </c>
      <c r="AG14" s="16" t="n">
        <f aca="false">AF15</f>
        <v>0</v>
      </c>
      <c r="AH14" s="16" t="n">
        <f aca="false">AG15</f>
        <v>0</v>
      </c>
      <c r="AI14" s="16" t="n">
        <f aca="false">AH15</f>
        <v>0</v>
      </c>
      <c r="AJ14" s="16" t="n">
        <f aca="false">AI15</f>
        <v>0</v>
      </c>
      <c r="AK14" s="16" t="n">
        <f aca="false">AJ15</f>
        <v>0</v>
      </c>
      <c r="AL14" s="16" t="n">
        <f aca="false">AK15</f>
        <v>0</v>
      </c>
      <c r="AM14" s="16" t="n">
        <f aca="false">AL15</f>
        <v>0</v>
      </c>
      <c r="AN14" s="16" t="n">
        <f aca="false">AM15</f>
        <v>0</v>
      </c>
      <c r="AO14" s="16" t="n">
        <f aca="false">AN15</f>
        <v>0</v>
      </c>
      <c r="AP14" s="16" t="n">
        <f aca="false">AO15</f>
        <v>0</v>
      </c>
      <c r="AQ14" s="16" t="n">
        <f aca="false">AP15</f>
        <v>0</v>
      </c>
      <c r="AR14" s="16" t="n">
        <f aca="false">AQ15</f>
        <v>0</v>
      </c>
      <c r="AS14" s="16" t="n">
        <f aca="false">AR15</f>
        <v>0</v>
      </c>
      <c r="AT14" s="16" t="n">
        <f aca="false">AS15</f>
        <v>0</v>
      </c>
      <c r="AU14" s="16" t="n">
        <f aca="false">AT15</f>
        <v>0</v>
      </c>
      <c r="AV14" s="16" t="n">
        <f aca="false">AU15</f>
        <v>0</v>
      </c>
      <c r="AW14" s="16" t="n">
        <f aca="false">AV15</f>
        <v>0</v>
      </c>
      <c r="AX14" s="16" t="n">
        <f aca="false">AW15</f>
        <v>0</v>
      </c>
      <c r="AY14" s="16" t="n">
        <f aca="false">AX15</f>
        <v>0</v>
      </c>
      <c r="AZ14" s="16" t="n">
        <f aca="false">AY15</f>
        <v>0</v>
      </c>
      <c r="BA14" s="16" t="n">
        <f aca="false">AZ15</f>
        <v>0</v>
      </c>
      <c r="BB14" s="16" t="n">
        <f aca="false">BA15</f>
        <v>0</v>
      </c>
      <c r="BC14" s="16" t="n">
        <f aca="false">BB15</f>
        <v>0</v>
      </c>
      <c r="BD14" s="16" t="n">
        <f aca="false">BC15</f>
        <v>0</v>
      </c>
      <c r="BE14" s="16" t="n">
        <f aca="false">BD15</f>
        <v>0</v>
      </c>
      <c r="BF14" s="16" t="n">
        <f aca="false">BE15</f>
        <v>0</v>
      </c>
      <c r="BG14" s="16" t="n">
        <f aca="false">BF15</f>
        <v>0</v>
      </c>
      <c r="BH14" s="16" t="n">
        <f aca="false">BG15</f>
        <v>0</v>
      </c>
      <c r="BI14" s="16" t="n">
        <f aca="false">BH15</f>
        <v>0</v>
      </c>
      <c r="BJ14" s="16" t="n">
        <f aca="false">BI15</f>
        <v>0</v>
      </c>
      <c r="BK14" s="16" t="n">
        <f aca="false">BJ15</f>
        <v>0</v>
      </c>
      <c r="BL14" s="16" t="n">
        <f aca="false">BK15</f>
        <v>0</v>
      </c>
      <c r="BM14" s="16" t="n">
        <f aca="false">BL15</f>
        <v>0</v>
      </c>
      <c r="BN14" s="16" t="n">
        <f aca="false">BM15</f>
        <v>0</v>
      </c>
      <c r="BO14" s="16" t="n">
        <f aca="false">BN15</f>
        <v>0</v>
      </c>
      <c r="BP14" s="16" t="n">
        <f aca="false">BO15</f>
        <v>0</v>
      </c>
      <c r="BQ14" s="16" t="n">
        <f aca="false">BP15</f>
        <v>0</v>
      </c>
      <c r="BR14" s="16" t="n">
        <f aca="false">BQ15</f>
        <v>0</v>
      </c>
      <c r="BS14" s="16" t="n">
        <f aca="false">BR15</f>
        <v>0</v>
      </c>
      <c r="BT14" s="16" t="n">
        <f aca="false">BS15</f>
        <v>0</v>
      </c>
      <c r="BU14" s="16" t="n">
        <f aca="false">BT15</f>
        <v>0</v>
      </c>
      <c r="BV14" s="16" t="n">
        <f aca="false">BU15</f>
        <v>0</v>
      </c>
      <c r="BW14" s="16" t="n">
        <f aca="false">BV15</f>
        <v>0</v>
      </c>
      <c r="BX14" s="16" t="n">
        <f aca="false">BW15</f>
        <v>0</v>
      </c>
      <c r="BY14" s="16" t="n">
        <f aca="false">BX15</f>
        <v>0</v>
      </c>
      <c r="BZ14" s="16" t="n">
        <f aca="false">BY15</f>
        <v>0</v>
      </c>
      <c r="CA14" s="16" t="n">
        <f aca="false">BZ15</f>
        <v>0</v>
      </c>
      <c r="CB14" s="16" t="n">
        <f aca="false">CA15</f>
        <v>0</v>
      </c>
      <c r="CC14" s="16" t="n">
        <f aca="false">CB15</f>
        <v>0</v>
      </c>
      <c r="CD14" s="16" t="n">
        <f aca="false">CC15</f>
        <v>0</v>
      </c>
      <c r="CE14" s="16" t="n">
        <f aca="false">CD15</f>
        <v>0</v>
      </c>
      <c r="CF14" s="16" t="n">
        <f aca="false">CE15</f>
        <v>0</v>
      </c>
      <c r="CG14" s="16" t="n">
        <f aca="false">CF15</f>
        <v>0</v>
      </c>
      <c r="CH14" s="16" t="n">
        <f aca="false">CG15</f>
        <v>0</v>
      </c>
      <c r="CI14" s="16" t="n">
        <f aca="false">CH15</f>
        <v>0</v>
      </c>
      <c r="CJ14" s="16" t="n">
        <f aca="false">CI15</f>
        <v>0</v>
      </c>
      <c r="CK14" s="16" t="n">
        <f aca="false">CJ15</f>
        <v>0</v>
      </c>
      <c r="CL14" s="16" t="n">
        <f aca="false">CK15</f>
        <v>0</v>
      </c>
      <c r="CM14" s="16" t="n">
        <f aca="false">CL15</f>
        <v>0</v>
      </c>
      <c r="CN14" s="16" t="n">
        <f aca="false">CM15</f>
        <v>0</v>
      </c>
      <c r="CO14" s="16" t="n">
        <f aca="false">CN15</f>
        <v>0</v>
      </c>
      <c r="CP14" s="16" t="n">
        <f aca="false">CO15</f>
        <v>0</v>
      </c>
      <c r="CQ14" s="16" t="n">
        <f aca="false">CP15</f>
        <v>0</v>
      </c>
      <c r="CR14" s="16" t="n">
        <f aca="false">CQ15</f>
        <v>0</v>
      </c>
      <c r="CS14" s="16" t="n">
        <f aca="false">CR15</f>
        <v>0</v>
      </c>
      <c r="CT14" s="16" t="n">
        <f aca="false">CS15</f>
        <v>0</v>
      </c>
      <c r="CU14" s="16" t="n">
        <f aca="false">CT15</f>
        <v>0</v>
      </c>
      <c r="CV14" s="16" t="n">
        <f aca="false">CU15</f>
        <v>0</v>
      </c>
      <c r="CW14" s="16" t="n">
        <f aca="false">CV15</f>
        <v>0</v>
      </c>
      <c r="CX14" s="16" t="n">
        <f aca="false">CW15</f>
        <v>0</v>
      </c>
    </row>
    <row r="15" customFormat="false" ht="15" hidden="false" customHeight="false" outlineLevel="0" collapsed="false">
      <c r="A15" s="1" t="n">
        <f aca="false">A14+1</f>
        <v>12</v>
      </c>
      <c r="B15" s="16" t="n">
        <f aca="false">B14</f>
        <v>0</v>
      </c>
      <c r="C15" s="16" t="n">
        <f aca="false">B16</f>
        <v>0</v>
      </c>
      <c r="D15" s="16" t="n">
        <f aca="false">C16</f>
        <v>0</v>
      </c>
      <c r="E15" s="16" t="n">
        <f aca="false">D16</f>
        <v>0</v>
      </c>
      <c r="F15" s="16" t="n">
        <f aca="false">E16</f>
        <v>0</v>
      </c>
      <c r="G15" s="16" t="n">
        <f aca="false">F16</f>
        <v>0</v>
      </c>
      <c r="H15" s="16" t="n">
        <f aca="false">G16</f>
        <v>0</v>
      </c>
      <c r="I15" s="16" t="n">
        <f aca="false">H16</f>
        <v>0</v>
      </c>
      <c r="J15" s="16" t="n">
        <f aca="false">I16</f>
        <v>0</v>
      </c>
      <c r="K15" s="16" t="n">
        <f aca="false">J16</f>
        <v>0</v>
      </c>
      <c r="L15" s="16" t="n">
        <f aca="false">K16</f>
        <v>0</v>
      </c>
      <c r="M15" s="16" t="n">
        <f aca="false">L16</f>
        <v>0</v>
      </c>
      <c r="N15" s="16" t="n">
        <f aca="false">M16</f>
        <v>0</v>
      </c>
      <c r="O15" s="16" t="n">
        <f aca="false">N16</f>
        <v>0</v>
      </c>
      <c r="P15" s="16" t="n">
        <f aca="false">O16</f>
        <v>0</v>
      </c>
      <c r="Q15" s="16" t="n">
        <f aca="false">P16</f>
        <v>0</v>
      </c>
      <c r="R15" s="16" t="n">
        <f aca="false">Q16</f>
        <v>0</v>
      </c>
      <c r="S15" s="16" t="n">
        <f aca="false">R16</f>
        <v>0</v>
      </c>
      <c r="T15" s="16" t="n">
        <f aca="false">S16</f>
        <v>0</v>
      </c>
      <c r="U15" s="16" t="n">
        <f aca="false">T16</f>
        <v>0</v>
      </c>
      <c r="V15" s="16" t="n">
        <f aca="false">U16</f>
        <v>0</v>
      </c>
      <c r="W15" s="16" t="n">
        <f aca="false">V16</f>
        <v>0</v>
      </c>
      <c r="X15" s="16" t="n">
        <f aca="false">W16</f>
        <v>0</v>
      </c>
      <c r="Y15" s="16" t="n">
        <f aca="false">X16</f>
        <v>0</v>
      </c>
      <c r="Z15" s="16" t="n">
        <f aca="false">Y16</f>
        <v>0</v>
      </c>
      <c r="AA15" s="16" t="n">
        <f aca="false">Z16</f>
        <v>0</v>
      </c>
      <c r="AB15" s="16" t="n">
        <f aca="false">AA16</f>
        <v>0</v>
      </c>
      <c r="AC15" s="16" t="n">
        <f aca="false">AB16</f>
        <v>0</v>
      </c>
      <c r="AD15" s="16" t="n">
        <f aca="false">AC16</f>
        <v>0</v>
      </c>
      <c r="AE15" s="16" t="n">
        <f aca="false">AD16</f>
        <v>0</v>
      </c>
      <c r="AF15" s="16" t="n">
        <f aca="false">AE16</f>
        <v>0</v>
      </c>
      <c r="AG15" s="16" t="n">
        <f aca="false">AF16</f>
        <v>0</v>
      </c>
      <c r="AH15" s="16" t="n">
        <f aca="false">AG16</f>
        <v>0</v>
      </c>
      <c r="AI15" s="16" t="n">
        <f aca="false">AH16</f>
        <v>0</v>
      </c>
      <c r="AJ15" s="16" t="n">
        <f aca="false">AI16</f>
        <v>0</v>
      </c>
      <c r="AK15" s="16" t="n">
        <f aca="false">AJ16</f>
        <v>0</v>
      </c>
      <c r="AL15" s="16" t="n">
        <f aca="false">AK16</f>
        <v>0</v>
      </c>
      <c r="AM15" s="16" t="n">
        <f aca="false">AL16</f>
        <v>0</v>
      </c>
      <c r="AN15" s="16" t="n">
        <f aca="false">AM16</f>
        <v>0</v>
      </c>
      <c r="AO15" s="16" t="n">
        <f aca="false">AN16</f>
        <v>0</v>
      </c>
      <c r="AP15" s="16" t="n">
        <f aca="false">AO16</f>
        <v>0</v>
      </c>
      <c r="AQ15" s="16" t="n">
        <f aca="false">AP16</f>
        <v>0</v>
      </c>
      <c r="AR15" s="16" t="n">
        <f aca="false">AQ16</f>
        <v>0</v>
      </c>
      <c r="AS15" s="16" t="n">
        <f aca="false">AR16</f>
        <v>0</v>
      </c>
      <c r="AT15" s="16" t="n">
        <f aca="false">AS16</f>
        <v>0</v>
      </c>
      <c r="AU15" s="16" t="n">
        <f aca="false">AT16</f>
        <v>0</v>
      </c>
      <c r="AV15" s="16" t="n">
        <f aca="false">AU16</f>
        <v>0</v>
      </c>
      <c r="AW15" s="16" t="n">
        <f aca="false">AV16</f>
        <v>0</v>
      </c>
      <c r="AX15" s="16" t="n">
        <f aca="false">AW16</f>
        <v>0</v>
      </c>
      <c r="AY15" s="16" t="n">
        <f aca="false">AX16</f>
        <v>0</v>
      </c>
      <c r="AZ15" s="16" t="n">
        <f aca="false">AY16</f>
        <v>0</v>
      </c>
      <c r="BA15" s="16" t="n">
        <f aca="false">AZ16</f>
        <v>0</v>
      </c>
      <c r="BB15" s="16" t="n">
        <f aca="false">BA16</f>
        <v>0</v>
      </c>
      <c r="BC15" s="16" t="n">
        <f aca="false">BB16</f>
        <v>0</v>
      </c>
      <c r="BD15" s="16" t="n">
        <f aca="false">BC16</f>
        <v>0</v>
      </c>
      <c r="BE15" s="16" t="n">
        <f aca="false">BD16</f>
        <v>0</v>
      </c>
      <c r="BF15" s="16" t="n">
        <f aca="false">BE16</f>
        <v>0</v>
      </c>
      <c r="BG15" s="16" t="n">
        <f aca="false">BF16</f>
        <v>0</v>
      </c>
      <c r="BH15" s="16" t="n">
        <f aca="false">BG16</f>
        <v>0</v>
      </c>
      <c r="BI15" s="16" t="n">
        <f aca="false">BH16</f>
        <v>0</v>
      </c>
      <c r="BJ15" s="16" t="n">
        <f aca="false">BI16</f>
        <v>0</v>
      </c>
      <c r="BK15" s="16" t="n">
        <f aca="false">BJ16</f>
        <v>0</v>
      </c>
      <c r="BL15" s="16" t="n">
        <f aca="false">BK16</f>
        <v>0</v>
      </c>
      <c r="BM15" s="16" t="n">
        <f aca="false">BL16</f>
        <v>0</v>
      </c>
      <c r="BN15" s="16" t="n">
        <f aca="false">BM16</f>
        <v>0</v>
      </c>
      <c r="BO15" s="16" t="n">
        <f aca="false">BN16</f>
        <v>0</v>
      </c>
      <c r="BP15" s="16" t="n">
        <f aca="false">BO16</f>
        <v>0</v>
      </c>
      <c r="BQ15" s="16" t="n">
        <f aca="false">BP16</f>
        <v>0</v>
      </c>
      <c r="BR15" s="16" t="n">
        <f aca="false">BQ16</f>
        <v>0</v>
      </c>
      <c r="BS15" s="16" t="n">
        <f aca="false">BR16</f>
        <v>0</v>
      </c>
      <c r="BT15" s="16" t="n">
        <f aca="false">BS16</f>
        <v>0</v>
      </c>
      <c r="BU15" s="16" t="n">
        <f aca="false">BT16</f>
        <v>0</v>
      </c>
      <c r="BV15" s="16" t="n">
        <f aca="false">BU16</f>
        <v>0</v>
      </c>
      <c r="BW15" s="16" t="n">
        <f aca="false">BV16</f>
        <v>0</v>
      </c>
      <c r="BX15" s="16" t="n">
        <f aca="false">BW16</f>
        <v>0</v>
      </c>
      <c r="BY15" s="16" t="n">
        <f aca="false">BX16</f>
        <v>0</v>
      </c>
      <c r="BZ15" s="16" t="n">
        <f aca="false">BY16</f>
        <v>0</v>
      </c>
      <c r="CA15" s="16" t="n">
        <f aca="false">BZ16</f>
        <v>0</v>
      </c>
      <c r="CB15" s="16" t="n">
        <f aca="false">CA16</f>
        <v>0</v>
      </c>
      <c r="CC15" s="16" t="n">
        <f aca="false">CB16</f>
        <v>0</v>
      </c>
      <c r="CD15" s="16" t="n">
        <f aca="false">CC16</f>
        <v>0</v>
      </c>
      <c r="CE15" s="16" t="n">
        <f aca="false">CD16</f>
        <v>0</v>
      </c>
      <c r="CF15" s="16" t="n">
        <f aca="false">CE16</f>
        <v>0</v>
      </c>
      <c r="CG15" s="16" t="n">
        <f aca="false">CF16</f>
        <v>0</v>
      </c>
      <c r="CH15" s="16" t="n">
        <f aca="false">CG16</f>
        <v>0</v>
      </c>
      <c r="CI15" s="16" t="n">
        <f aca="false">CH16</f>
        <v>0</v>
      </c>
      <c r="CJ15" s="16" t="n">
        <f aca="false">CI16</f>
        <v>0</v>
      </c>
      <c r="CK15" s="16" t="n">
        <f aca="false">CJ16</f>
        <v>0</v>
      </c>
      <c r="CL15" s="16" t="n">
        <f aca="false">CK16</f>
        <v>0</v>
      </c>
      <c r="CM15" s="16" t="n">
        <f aca="false">CL16</f>
        <v>0</v>
      </c>
      <c r="CN15" s="16" t="n">
        <f aca="false">CM16</f>
        <v>0</v>
      </c>
      <c r="CO15" s="16" t="n">
        <f aca="false">CN16</f>
        <v>0</v>
      </c>
      <c r="CP15" s="16" t="n">
        <f aca="false">CO16</f>
        <v>0</v>
      </c>
      <c r="CQ15" s="16" t="n">
        <f aca="false">CP16</f>
        <v>0</v>
      </c>
      <c r="CR15" s="16" t="n">
        <f aca="false">CQ16</f>
        <v>0</v>
      </c>
      <c r="CS15" s="16" t="n">
        <f aca="false">CR16</f>
        <v>0</v>
      </c>
      <c r="CT15" s="16" t="n">
        <f aca="false">CS16</f>
        <v>0</v>
      </c>
      <c r="CU15" s="16" t="n">
        <f aca="false">CT16</f>
        <v>0</v>
      </c>
      <c r="CV15" s="16" t="n">
        <f aca="false">CU16</f>
        <v>0</v>
      </c>
      <c r="CW15" s="16" t="n">
        <f aca="false">CV16</f>
        <v>0</v>
      </c>
      <c r="CX15" s="16" t="n">
        <f aca="false">CW16</f>
        <v>0</v>
      </c>
    </row>
    <row r="16" customFormat="false" ht="15" hidden="false" customHeight="false" outlineLevel="0" collapsed="false">
      <c r="A16" s="1" t="n">
        <f aca="false">A15+1</f>
        <v>13</v>
      </c>
      <c r="B16" s="16" t="n">
        <f aca="false">B15</f>
        <v>0</v>
      </c>
      <c r="C16" s="16" t="n">
        <f aca="false">B17</f>
        <v>0</v>
      </c>
      <c r="D16" s="16" t="n">
        <f aca="false">C17</f>
        <v>0</v>
      </c>
      <c r="E16" s="16" t="n">
        <f aca="false">D17</f>
        <v>0</v>
      </c>
      <c r="F16" s="16" t="n">
        <f aca="false">E17</f>
        <v>0</v>
      </c>
      <c r="G16" s="16" t="n">
        <f aca="false">F17</f>
        <v>0</v>
      </c>
      <c r="H16" s="16" t="n">
        <f aca="false">G17</f>
        <v>0</v>
      </c>
      <c r="I16" s="16" t="n">
        <f aca="false">H17</f>
        <v>0</v>
      </c>
      <c r="J16" s="16" t="n">
        <f aca="false">I17</f>
        <v>0</v>
      </c>
      <c r="K16" s="16" t="n">
        <f aca="false">J17</f>
        <v>0</v>
      </c>
      <c r="L16" s="16" t="n">
        <f aca="false">K17</f>
        <v>0</v>
      </c>
      <c r="M16" s="16" t="n">
        <f aca="false">L17</f>
        <v>0</v>
      </c>
      <c r="N16" s="16" t="n">
        <f aca="false">M17</f>
        <v>0</v>
      </c>
      <c r="O16" s="16" t="n">
        <f aca="false">N17</f>
        <v>0</v>
      </c>
      <c r="P16" s="16" t="n">
        <f aca="false">O17</f>
        <v>0</v>
      </c>
      <c r="Q16" s="16" t="n">
        <f aca="false">P17</f>
        <v>0</v>
      </c>
      <c r="R16" s="16" t="n">
        <f aca="false">Q17</f>
        <v>0</v>
      </c>
      <c r="S16" s="16" t="n">
        <f aca="false">R17</f>
        <v>0</v>
      </c>
      <c r="T16" s="16" t="n">
        <f aca="false">S17</f>
        <v>0</v>
      </c>
      <c r="U16" s="16" t="n">
        <f aca="false">T17</f>
        <v>0</v>
      </c>
      <c r="V16" s="16" t="n">
        <f aca="false">U17</f>
        <v>0</v>
      </c>
      <c r="W16" s="16" t="n">
        <f aca="false">V17</f>
        <v>0</v>
      </c>
      <c r="X16" s="16" t="n">
        <f aca="false">W17</f>
        <v>0</v>
      </c>
      <c r="Y16" s="16" t="n">
        <f aca="false">X17</f>
        <v>0</v>
      </c>
      <c r="Z16" s="16" t="n">
        <f aca="false">Y17</f>
        <v>0</v>
      </c>
      <c r="AA16" s="16" t="n">
        <f aca="false">Z17</f>
        <v>0</v>
      </c>
      <c r="AB16" s="16" t="n">
        <f aca="false">AA17</f>
        <v>0</v>
      </c>
      <c r="AC16" s="16" t="n">
        <f aca="false">AB17</f>
        <v>0</v>
      </c>
      <c r="AD16" s="16" t="n">
        <f aca="false">AC17</f>
        <v>0</v>
      </c>
      <c r="AE16" s="16" t="n">
        <f aca="false">AD17</f>
        <v>0</v>
      </c>
      <c r="AF16" s="16" t="n">
        <f aca="false">AE17</f>
        <v>0</v>
      </c>
      <c r="AG16" s="16" t="n">
        <f aca="false">AF17</f>
        <v>0</v>
      </c>
      <c r="AH16" s="16" t="n">
        <f aca="false">AG17</f>
        <v>0</v>
      </c>
      <c r="AI16" s="16" t="n">
        <f aca="false">AH17</f>
        <v>0</v>
      </c>
      <c r="AJ16" s="16" t="n">
        <f aca="false">AI17</f>
        <v>0</v>
      </c>
      <c r="AK16" s="16" t="n">
        <f aca="false">AJ17</f>
        <v>0</v>
      </c>
      <c r="AL16" s="16" t="n">
        <f aca="false">AK17</f>
        <v>0</v>
      </c>
      <c r="AM16" s="16" t="n">
        <f aca="false">AL17</f>
        <v>0</v>
      </c>
      <c r="AN16" s="16" t="n">
        <f aca="false">AM17</f>
        <v>0</v>
      </c>
      <c r="AO16" s="16" t="n">
        <f aca="false">AN17</f>
        <v>0</v>
      </c>
      <c r="AP16" s="16" t="n">
        <f aca="false">AO17</f>
        <v>0</v>
      </c>
      <c r="AQ16" s="16" t="n">
        <f aca="false">AP17</f>
        <v>0</v>
      </c>
      <c r="AR16" s="16" t="n">
        <f aca="false">AQ17</f>
        <v>0</v>
      </c>
      <c r="AS16" s="16" t="n">
        <f aca="false">AR17</f>
        <v>0</v>
      </c>
      <c r="AT16" s="16" t="n">
        <f aca="false">AS17</f>
        <v>0</v>
      </c>
      <c r="AU16" s="16" t="n">
        <f aca="false">AT17</f>
        <v>0</v>
      </c>
      <c r="AV16" s="16" t="n">
        <f aca="false">AU17</f>
        <v>0</v>
      </c>
      <c r="AW16" s="16" t="n">
        <f aca="false">AV17</f>
        <v>0</v>
      </c>
      <c r="AX16" s="16" t="n">
        <f aca="false">AW17</f>
        <v>0</v>
      </c>
      <c r="AY16" s="16" t="n">
        <f aca="false">AX17</f>
        <v>0</v>
      </c>
      <c r="AZ16" s="16" t="n">
        <f aca="false">AY17</f>
        <v>0</v>
      </c>
      <c r="BA16" s="16" t="n">
        <f aca="false">AZ17</f>
        <v>0</v>
      </c>
      <c r="BB16" s="16" t="n">
        <f aca="false">BA17</f>
        <v>0</v>
      </c>
      <c r="BC16" s="16" t="n">
        <f aca="false">BB17</f>
        <v>0</v>
      </c>
      <c r="BD16" s="16" t="n">
        <f aca="false">BC17</f>
        <v>0</v>
      </c>
      <c r="BE16" s="16" t="n">
        <f aca="false">BD17</f>
        <v>0</v>
      </c>
      <c r="BF16" s="16" t="n">
        <f aca="false">BE17</f>
        <v>0</v>
      </c>
      <c r="BG16" s="16" t="n">
        <f aca="false">BF17</f>
        <v>0</v>
      </c>
      <c r="BH16" s="16" t="n">
        <f aca="false">BG17</f>
        <v>0</v>
      </c>
      <c r="BI16" s="16" t="n">
        <f aca="false">BH17</f>
        <v>0</v>
      </c>
      <c r="BJ16" s="16" t="n">
        <f aca="false">BI17</f>
        <v>0</v>
      </c>
      <c r="BK16" s="16" t="n">
        <f aca="false">BJ17</f>
        <v>0</v>
      </c>
      <c r="BL16" s="16" t="n">
        <f aca="false">BK17</f>
        <v>0</v>
      </c>
      <c r="BM16" s="16" t="n">
        <f aca="false">BL17</f>
        <v>0</v>
      </c>
      <c r="BN16" s="16" t="n">
        <f aca="false">BM17</f>
        <v>0</v>
      </c>
      <c r="BO16" s="16" t="n">
        <f aca="false">BN17</f>
        <v>0</v>
      </c>
      <c r="BP16" s="16" t="n">
        <f aca="false">BO17</f>
        <v>0</v>
      </c>
      <c r="BQ16" s="16" t="n">
        <f aca="false">BP17</f>
        <v>0</v>
      </c>
      <c r="BR16" s="16" t="n">
        <f aca="false">BQ17</f>
        <v>0</v>
      </c>
      <c r="BS16" s="16" t="n">
        <f aca="false">BR17</f>
        <v>0</v>
      </c>
      <c r="BT16" s="16" t="n">
        <f aca="false">BS17</f>
        <v>0</v>
      </c>
      <c r="BU16" s="16" t="n">
        <f aca="false">BT17</f>
        <v>0</v>
      </c>
      <c r="BV16" s="16" t="n">
        <f aca="false">BU17</f>
        <v>0</v>
      </c>
      <c r="BW16" s="16" t="n">
        <f aca="false">BV17</f>
        <v>0</v>
      </c>
      <c r="BX16" s="16" t="n">
        <f aca="false">BW17</f>
        <v>0</v>
      </c>
      <c r="BY16" s="16" t="n">
        <f aca="false">BX17</f>
        <v>0</v>
      </c>
      <c r="BZ16" s="16" t="n">
        <f aca="false">BY17</f>
        <v>0</v>
      </c>
      <c r="CA16" s="16" t="n">
        <f aca="false">BZ17</f>
        <v>0</v>
      </c>
      <c r="CB16" s="16" t="n">
        <f aca="false">CA17</f>
        <v>0</v>
      </c>
      <c r="CC16" s="16" t="n">
        <f aca="false">CB17</f>
        <v>0</v>
      </c>
      <c r="CD16" s="16" t="n">
        <f aca="false">CC17</f>
        <v>0</v>
      </c>
      <c r="CE16" s="16" t="n">
        <f aca="false">CD17</f>
        <v>0</v>
      </c>
      <c r="CF16" s="16" t="n">
        <f aca="false">CE17</f>
        <v>0</v>
      </c>
      <c r="CG16" s="16" t="n">
        <f aca="false">CF17</f>
        <v>0</v>
      </c>
      <c r="CH16" s="16" t="n">
        <f aca="false">CG17</f>
        <v>0</v>
      </c>
      <c r="CI16" s="16" t="n">
        <f aca="false">CH17</f>
        <v>0</v>
      </c>
      <c r="CJ16" s="16" t="n">
        <f aca="false">CI17</f>
        <v>0</v>
      </c>
      <c r="CK16" s="16" t="n">
        <f aca="false">CJ17</f>
        <v>0</v>
      </c>
      <c r="CL16" s="16" t="n">
        <f aca="false">CK17</f>
        <v>0</v>
      </c>
      <c r="CM16" s="16" t="n">
        <f aca="false">CL17</f>
        <v>0</v>
      </c>
      <c r="CN16" s="16" t="n">
        <f aca="false">CM17</f>
        <v>0</v>
      </c>
      <c r="CO16" s="16" t="n">
        <f aca="false">CN17</f>
        <v>0</v>
      </c>
      <c r="CP16" s="16" t="n">
        <f aca="false">CO17</f>
        <v>0</v>
      </c>
      <c r="CQ16" s="16" t="n">
        <f aca="false">CP17</f>
        <v>0</v>
      </c>
      <c r="CR16" s="16" t="n">
        <f aca="false">CQ17</f>
        <v>0</v>
      </c>
      <c r="CS16" s="16" t="n">
        <f aca="false">CR17</f>
        <v>0</v>
      </c>
      <c r="CT16" s="16" t="n">
        <f aca="false">CS17</f>
        <v>0</v>
      </c>
      <c r="CU16" s="16" t="n">
        <f aca="false">CT17</f>
        <v>0</v>
      </c>
      <c r="CV16" s="16" t="n">
        <f aca="false">CU17</f>
        <v>0</v>
      </c>
      <c r="CW16" s="16" t="n">
        <f aca="false">CV17</f>
        <v>0</v>
      </c>
      <c r="CX16" s="16" t="n">
        <f aca="false">CW17</f>
        <v>0</v>
      </c>
    </row>
    <row r="17" customFormat="false" ht="15" hidden="false" customHeight="false" outlineLevel="0" collapsed="false">
      <c r="A17" s="1" t="n">
        <f aca="false">A16+1</f>
        <v>14</v>
      </c>
      <c r="B17" s="16" t="n">
        <f aca="false">B16</f>
        <v>0</v>
      </c>
      <c r="C17" s="16" t="n">
        <f aca="false">B18</f>
        <v>0</v>
      </c>
      <c r="D17" s="16" t="n">
        <f aca="false">C18</f>
        <v>0</v>
      </c>
      <c r="E17" s="16" t="n">
        <f aca="false">D18</f>
        <v>0</v>
      </c>
      <c r="F17" s="16" t="n">
        <f aca="false">E18</f>
        <v>0</v>
      </c>
      <c r="G17" s="16" t="n">
        <f aca="false">F18</f>
        <v>0</v>
      </c>
      <c r="H17" s="16" t="n">
        <f aca="false">G18</f>
        <v>0</v>
      </c>
      <c r="I17" s="16" t="n">
        <f aca="false">H18</f>
        <v>0</v>
      </c>
      <c r="J17" s="16" t="n">
        <f aca="false">I18</f>
        <v>0</v>
      </c>
      <c r="K17" s="16" t="n">
        <f aca="false">J18</f>
        <v>0</v>
      </c>
      <c r="L17" s="16" t="n">
        <f aca="false">K18</f>
        <v>0</v>
      </c>
      <c r="M17" s="16" t="n">
        <f aca="false">L18</f>
        <v>0</v>
      </c>
      <c r="N17" s="16" t="n">
        <f aca="false">M18</f>
        <v>0</v>
      </c>
      <c r="O17" s="16" t="n">
        <f aca="false">N18</f>
        <v>0</v>
      </c>
      <c r="P17" s="16" t="n">
        <f aca="false">O18</f>
        <v>0</v>
      </c>
      <c r="Q17" s="16" t="n">
        <f aca="false">P18</f>
        <v>0</v>
      </c>
      <c r="R17" s="16" t="n">
        <f aca="false">Q18</f>
        <v>0</v>
      </c>
      <c r="S17" s="16" t="n">
        <f aca="false">R18</f>
        <v>0</v>
      </c>
      <c r="T17" s="16" t="n">
        <f aca="false">S18</f>
        <v>0</v>
      </c>
      <c r="U17" s="16" t="n">
        <f aca="false">T18</f>
        <v>0</v>
      </c>
      <c r="V17" s="16" t="n">
        <f aca="false">U18</f>
        <v>0</v>
      </c>
      <c r="W17" s="16" t="n">
        <f aca="false">V18</f>
        <v>0</v>
      </c>
      <c r="X17" s="16" t="n">
        <f aca="false">W18</f>
        <v>0</v>
      </c>
      <c r="Y17" s="16" t="n">
        <f aca="false">X18</f>
        <v>0</v>
      </c>
      <c r="Z17" s="16" t="n">
        <f aca="false">Y18</f>
        <v>0</v>
      </c>
      <c r="AA17" s="16" t="n">
        <f aca="false">Z18</f>
        <v>0</v>
      </c>
      <c r="AB17" s="16" t="n">
        <f aca="false">AA18</f>
        <v>0</v>
      </c>
      <c r="AC17" s="16" t="n">
        <f aca="false">AB18</f>
        <v>0</v>
      </c>
      <c r="AD17" s="16" t="n">
        <f aca="false">AC18</f>
        <v>0</v>
      </c>
      <c r="AE17" s="16" t="n">
        <f aca="false">AD18</f>
        <v>0</v>
      </c>
      <c r="AF17" s="16" t="n">
        <f aca="false">AE18</f>
        <v>0</v>
      </c>
      <c r="AG17" s="16" t="n">
        <f aca="false">AF18</f>
        <v>0</v>
      </c>
      <c r="AH17" s="16" t="n">
        <f aca="false">AG18</f>
        <v>0</v>
      </c>
      <c r="AI17" s="16" t="n">
        <f aca="false">AH18</f>
        <v>0</v>
      </c>
      <c r="AJ17" s="16" t="n">
        <f aca="false">AI18</f>
        <v>0</v>
      </c>
      <c r="AK17" s="16" t="n">
        <f aca="false">AJ18</f>
        <v>0</v>
      </c>
      <c r="AL17" s="16" t="n">
        <f aca="false">AK18</f>
        <v>0</v>
      </c>
      <c r="AM17" s="16" t="n">
        <f aca="false">AL18</f>
        <v>0</v>
      </c>
      <c r="AN17" s="16" t="n">
        <f aca="false">AM18</f>
        <v>0</v>
      </c>
      <c r="AO17" s="16" t="n">
        <f aca="false">AN18</f>
        <v>0</v>
      </c>
      <c r="AP17" s="16" t="n">
        <f aca="false">AO18</f>
        <v>0</v>
      </c>
      <c r="AQ17" s="16" t="n">
        <f aca="false">AP18</f>
        <v>0</v>
      </c>
      <c r="AR17" s="16" t="n">
        <f aca="false">AQ18</f>
        <v>0</v>
      </c>
      <c r="AS17" s="16" t="n">
        <f aca="false">AR18</f>
        <v>0</v>
      </c>
      <c r="AT17" s="16" t="n">
        <f aca="false">AS18</f>
        <v>0</v>
      </c>
      <c r="AU17" s="16" t="n">
        <f aca="false">AT18</f>
        <v>0</v>
      </c>
      <c r="AV17" s="16" t="n">
        <f aca="false">AU18</f>
        <v>0</v>
      </c>
      <c r="AW17" s="16" t="n">
        <f aca="false">AV18</f>
        <v>0</v>
      </c>
      <c r="AX17" s="16" t="n">
        <f aca="false">AW18</f>
        <v>0</v>
      </c>
      <c r="AY17" s="16" t="n">
        <f aca="false">AX18</f>
        <v>0</v>
      </c>
      <c r="AZ17" s="16" t="n">
        <f aca="false">AY18</f>
        <v>0</v>
      </c>
      <c r="BA17" s="16" t="n">
        <f aca="false">AZ18</f>
        <v>0</v>
      </c>
      <c r="BB17" s="16" t="n">
        <f aca="false">BA18</f>
        <v>0</v>
      </c>
      <c r="BC17" s="16" t="n">
        <f aca="false">BB18</f>
        <v>0</v>
      </c>
      <c r="BD17" s="16" t="n">
        <f aca="false">BC18</f>
        <v>0</v>
      </c>
      <c r="BE17" s="16" t="n">
        <f aca="false">BD18</f>
        <v>0</v>
      </c>
      <c r="BF17" s="16" t="n">
        <f aca="false">BE18</f>
        <v>0</v>
      </c>
      <c r="BG17" s="16" t="n">
        <f aca="false">BF18</f>
        <v>0</v>
      </c>
      <c r="BH17" s="16" t="n">
        <f aca="false">BG18</f>
        <v>0</v>
      </c>
      <c r="BI17" s="16" t="n">
        <f aca="false">BH18</f>
        <v>0</v>
      </c>
      <c r="BJ17" s="16" t="n">
        <f aca="false">BI18</f>
        <v>0</v>
      </c>
      <c r="BK17" s="16" t="n">
        <f aca="false">BJ18</f>
        <v>0</v>
      </c>
      <c r="BL17" s="16" t="n">
        <f aca="false">BK18</f>
        <v>0</v>
      </c>
      <c r="BM17" s="16" t="n">
        <f aca="false">BL18</f>
        <v>0</v>
      </c>
      <c r="BN17" s="16" t="n">
        <f aca="false">BM18</f>
        <v>0</v>
      </c>
      <c r="BO17" s="16" t="n">
        <f aca="false">BN18</f>
        <v>0</v>
      </c>
      <c r="BP17" s="16" t="n">
        <f aca="false">BO18</f>
        <v>0</v>
      </c>
      <c r="BQ17" s="16" t="n">
        <f aca="false">BP18</f>
        <v>0</v>
      </c>
      <c r="BR17" s="16" t="n">
        <f aca="false">BQ18</f>
        <v>0</v>
      </c>
      <c r="BS17" s="16" t="n">
        <f aca="false">BR18</f>
        <v>0</v>
      </c>
      <c r="BT17" s="16" t="n">
        <f aca="false">BS18</f>
        <v>0</v>
      </c>
      <c r="BU17" s="16" t="n">
        <f aca="false">BT18</f>
        <v>0</v>
      </c>
      <c r="BV17" s="16" t="n">
        <f aca="false">BU18</f>
        <v>0</v>
      </c>
      <c r="BW17" s="16" t="n">
        <f aca="false">BV18</f>
        <v>0</v>
      </c>
      <c r="BX17" s="16" t="n">
        <f aca="false">BW18</f>
        <v>0</v>
      </c>
      <c r="BY17" s="16" t="n">
        <f aca="false">BX18</f>
        <v>0</v>
      </c>
      <c r="BZ17" s="16" t="n">
        <f aca="false">BY18</f>
        <v>0</v>
      </c>
      <c r="CA17" s="16" t="n">
        <f aca="false">BZ18</f>
        <v>0</v>
      </c>
      <c r="CB17" s="16" t="n">
        <f aca="false">CA18</f>
        <v>0</v>
      </c>
      <c r="CC17" s="16" t="n">
        <f aca="false">CB18</f>
        <v>0</v>
      </c>
      <c r="CD17" s="16" t="n">
        <f aca="false">CC18</f>
        <v>0</v>
      </c>
      <c r="CE17" s="16" t="n">
        <f aca="false">CD18</f>
        <v>0</v>
      </c>
      <c r="CF17" s="16" t="n">
        <f aca="false">CE18</f>
        <v>0</v>
      </c>
      <c r="CG17" s="16" t="n">
        <f aca="false">CF18</f>
        <v>0</v>
      </c>
      <c r="CH17" s="16" t="n">
        <f aca="false">CG18</f>
        <v>0</v>
      </c>
      <c r="CI17" s="16" t="n">
        <f aca="false">CH18</f>
        <v>0</v>
      </c>
      <c r="CJ17" s="16" t="n">
        <f aca="false">CI18</f>
        <v>0</v>
      </c>
      <c r="CK17" s="16" t="n">
        <f aca="false">CJ18</f>
        <v>0</v>
      </c>
      <c r="CL17" s="16" t="n">
        <f aca="false">CK18</f>
        <v>0</v>
      </c>
      <c r="CM17" s="16" t="n">
        <f aca="false">CL18</f>
        <v>0</v>
      </c>
      <c r="CN17" s="16" t="n">
        <f aca="false">CM18</f>
        <v>0</v>
      </c>
      <c r="CO17" s="16" t="n">
        <f aca="false">CN18</f>
        <v>0</v>
      </c>
      <c r="CP17" s="16" t="n">
        <f aca="false">CO18</f>
        <v>0</v>
      </c>
      <c r="CQ17" s="16" t="n">
        <f aca="false">CP18</f>
        <v>0</v>
      </c>
      <c r="CR17" s="16" t="n">
        <f aca="false">CQ18</f>
        <v>0</v>
      </c>
      <c r="CS17" s="16" t="n">
        <f aca="false">CR18</f>
        <v>0</v>
      </c>
      <c r="CT17" s="16" t="n">
        <f aca="false">CS18</f>
        <v>0</v>
      </c>
      <c r="CU17" s="16" t="n">
        <f aca="false">CT18</f>
        <v>0</v>
      </c>
      <c r="CV17" s="16" t="n">
        <f aca="false">CU18</f>
        <v>0</v>
      </c>
      <c r="CW17" s="16" t="n">
        <f aca="false">CV18</f>
        <v>0</v>
      </c>
      <c r="CX17" s="16" t="n">
        <f aca="false">CW18</f>
        <v>0</v>
      </c>
    </row>
    <row r="18" customFormat="false" ht="15" hidden="false" customHeight="false" outlineLevel="0" collapsed="false">
      <c r="A18" s="1" t="n">
        <f aca="false">A17+1</f>
        <v>15</v>
      </c>
      <c r="B18" s="16" t="n">
        <f aca="false">B17</f>
        <v>0</v>
      </c>
      <c r="C18" s="16" t="n">
        <f aca="false">B19</f>
        <v>0</v>
      </c>
      <c r="D18" s="16" t="n">
        <f aca="false">C19</f>
        <v>0</v>
      </c>
      <c r="E18" s="16" t="n">
        <f aca="false">D19</f>
        <v>0</v>
      </c>
      <c r="F18" s="16" t="n">
        <f aca="false">E19</f>
        <v>0</v>
      </c>
      <c r="G18" s="16" t="n">
        <f aca="false">F19</f>
        <v>0</v>
      </c>
      <c r="H18" s="16" t="n">
        <f aca="false">G19</f>
        <v>0</v>
      </c>
      <c r="I18" s="16" t="n">
        <f aca="false">H19</f>
        <v>0</v>
      </c>
      <c r="J18" s="16" t="n">
        <f aca="false">I19</f>
        <v>0</v>
      </c>
      <c r="K18" s="16" t="n">
        <f aca="false">J19</f>
        <v>0</v>
      </c>
      <c r="L18" s="16" t="n">
        <f aca="false">K19</f>
        <v>0</v>
      </c>
      <c r="M18" s="16" t="n">
        <f aca="false">L19</f>
        <v>0</v>
      </c>
      <c r="N18" s="16" t="n">
        <f aca="false">M19</f>
        <v>0</v>
      </c>
      <c r="O18" s="16" t="n">
        <f aca="false">N19</f>
        <v>0</v>
      </c>
      <c r="P18" s="16" t="n">
        <f aca="false">O19</f>
        <v>0</v>
      </c>
      <c r="Q18" s="16" t="n">
        <f aca="false">P19</f>
        <v>0</v>
      </c>
      <c r="R18" s="16" t="n">
        <f aca="false">Q19</f>
        <v>0</v>
      </c>
      <c r="S18" s="16" t="n">
        <f aca="false">R19</f>
        <v>0</v>
      </c>
      <c r="T18" s="16" t="n">
        <f aca="false">S19</f>
        <v>0</v>
      </c>
      <c r="U18" s="16" t="n">
        <f aca="false">T19</f>
        <v>0</v>
      </c>
      <c r="V18" s="16" t="n">
        <f aca="false">U19</f>
        <v>0</v>
      </c>
      <c r="W18" s="16" t="n">
        <f aca="false">V19</f>
        <v>0</v>
      </c>
      <c r="X18" s="16" t="n">
        <f aca="false">W19</f>
        <v>0</v>
      </c>
      <c r="Y18" s="16" t="n">
        <f aca="false">X19</f>
        <v>0</v>
      </c>
      <c r="Z18" s="16" t="n">
        <f aca="false">Y19</f>
        <v>0</v>
      </c>
      <c r="AA18" s="16" t="n">
        <f aca="false">Z19</f>
        <v>0</v>
      </c>
      <c r="AB18" s="16" t="n">
        <f aca="false">AA19</f>
        <v>0</v>
      </c>
      <c r="AC18" s="16" t="n">
        <f aca="false">AB19</f>
        <v>0</v>
      </c>
      <c r="AD18" s="16" t="n">
        <f aca="false">AC19</f>
        <v>0</v>
      </c>
      <c r="AE18" s="16" t="n">
        <f aca="false">AD19</f>
        <v>0</v>
      </c>
      <c r="AF18" s="16" t="n">
        <f aca="false">AE19</f>
        <v>0</v>
      </c>
      <c r="AG18" s="16" t="n">
        <f aca="false">AF19</f>
        <v>0</v>
      </c>
      <c r="AH18" s="16" t="n">
        <f aca="false">AG19</f>
        <v>0</v>
      </c>
      <c r="AI18" s="16" t="n">
        <f aca="false">AH19</f>
        <v>0</v>
      </c>
      <c r="AJ18" s="16" t="n">
        <f aca="false">AI19</f>
        <v>0</v>
      </c>
      <c r="AK18" s="16" t="n">
        <f aca="false">AJ19</f>
        <v>0</v>
      </c>
      <c r="AL18" s="16" t="n">
        <f aca="false">AK19</f>
        <v>0</v>
      </c>
      <c r="AM18" s="16" t="n">
        <f aca="false">AL19</f>
        <v>0</v>
      </c>
      <c r="AN18" s="16" t="n">
        <f aca="false">AM19</f>
        <v>0</v>
      </c>
      <c r="AO18" s="16" t="n">
        <f aca="false">AN19</f>
        <v>0</v>
      </c>
      <c r="AP18" s="16" t="n">
        <f aca="false">AO19</f>
        <v>0</v>
      </c>
      <c r="AQ18" s="16" t="n">
        <f aca="false">AP19</f>
        <v>0</v>
      </c>
      <c r="AR18" s="16" t="n">
        <f aca="false">AQ19</f>
        <v>0</v>
      </c>
      <c r="AS18" s="16" t="n">
        <f aca="false">AR19</f>
        <v>0</v>
      </c>
      <c r="AT18" s="16" t="n">
        <f aca="false">AS19</f>
        <v>0</v>
      </c>
      <c r="AU18" s="16" t="n">
        <f aca="false">AT19</f>
        <v>0</v>
      </c>
      <c r="AV18" s="16" t="n">
        <f aca="false">AU19</f>
        <v>0</v>
      </c>
      <c r="AW18" s="16" t="n">
        <f aca="false">AV19</f>
        <v>0</v>
      </c>
      <c r="AX18" s="16" t="n">
        <f aca="false">AW19</f>
        <v>0</v>
      </c>
      <c r="AY18" s="16" t="n">
        <f aca="false">AX19</f>
        <v>0</v>
      </c>
      <c r="AZ18" s="16" t="n">
        <f aca="false">AY19</f>
        <v>0</v>
      </c>
      <c r="BA18" s="16" t="n">
        <f aca="false">AZ19</f>
        <v>0</v>
      </c>
      <c r="BB18" s="16" t="n">
        <f aca="false">BA19</f>
        <v>0</v>
      </c>
      <c r="BC18" s="16" t="n">
        <f aca="false">BB19</f>
        <v>0</v>
      </c>
      <c r="BD18" s="16" t="n">
        <f aca="false">BC19</f>
        <v>0</v>
      </c>
      <c r="BE18" s="16" t="n">
        <f aca="false">BD19</f>
        <v>0</v>
      </c>
      <c r="BF18" s="16" t="n">
        <f aca="false">BE19</f>
        <v>0</v>
      </c>
      <c r="BG18" s="16" t="n">
        <f aca="false">BF19</f>
        <v>0</v>
      </c>
      <c r="BH18" s="16" t="n">
        <f aca="false">BG19</f>
        <v>0</v>
      </c>
      <c r="BI18" s="16" t="n">
        <f aca="false">BH19</f>
        <v>0</v>
      </c>
      <c r="BJ18" s="16" t="n">
        <f aca="false">BI19</f>
        <v>0</v>
      </c>
      <c r="BK18" s="16" t="n">
        <f aca="false">BJ19</f>
        <v>0</v>
      </c>
      <c r="BL18" s="16" t="n">
        <f aca="false">BK19</f>
        <v>0</v>
      </c>
      <c r="BM18" s="16" t="n">
        <f aca="false">BL19</f>
        <v>0</v>
      </c>
      <c r="BN18" s="16" t="n">
        <f aca="false">BM19</f>
        <v>0</v>
      </c>
      <c r="BO18" s="16" t="n">
        <f aca="false">BN19</f>
        <v>0</v>
      </c>
      <c r="BP18" s="16" t="n">
        <f aca="false">BO19</f>
        <v>0</v>
      </c>
      <c r="BQ18" s="16" t="n">
        <f aca="false">BP19</f>
        <v>0</v>
      </c>
      <c r="BR18" s="16" t="n">
        <f aca="false">BQ19</f>
        <v>0</v>
      </c>
      <c r="BS18" s="16" t="n">
        <f aca="false">BR19</f>
        <v>0</v>
      </c>
      <c r="BT18" s="16" t="n">
        <f aca="false">BS19</f>
        <v>0</v>
      </c>
      <c r="BU18" s="16" t="n">
        <f aca="false">BT19</f>
        <v>0</v>
      </c>
      <c r="BV18" s="16" t="n">
        <f aca="false">BU19</f>
        <v>0</v>
      </c>
      <c r="BW18" s="16" t="n">
        <f aca="false">BV19</f>
        <v>0</v>
      </c>
      <c r="BX18" s="16" t="n">
        <f aca="false">BW19</f>
        <v>0</v>
      </c>
      <c r="BY18" s="16" t="n">
        <f aca="false">BX19</f>
        <v>0</v>
      </c>
      <c r="BZ18" s="16" t="n">
        <f aca="false">BY19</f>
        <v>0</v>
      </c>
      <c r="CA18" s="16" t="n">
        <f aca="false">BZ19</f>
        <v>0</v>
      </c>
      <c r="CB18" s="16" t="n">
        <f aca="false">CA19</f>
        <v>0</v>
      </c>
      <c r="CC18" s="16" t="n">
        <f aca="false">CB19</f>
        <v>0</v>
      </c>
      <c r="CD18" s="16" t="n">
        <f aca="false">CC19</f>
        <v>0</v>
      </c>
      <c r="CE18" s="16" t="n">
        <f aca="false">CD19</f>
        <v>0</v>
      </c>
      <c r="CF18" s="16" t="n">
        <f aca="false">CE19</f>
        <v>0</v>
      </c>
      <c r="CG18" s="16" t="n">
        <f aca="false">CF19</f>
        <v>0</v>
      </c>
      <c r="CH18" s="16" t="n">
        <f aca="false">CG19</f>
        <v>0</v>
      </c>
      <c r="CI18" s="16" t="n">
        <f aca="false">CH19</f>
        <v>0</v>
      </c>
      <c r="CJ18" s="16" t="n">
        <f aca="false">CI19</f>
        <v>0</v>
      </c>
      <c r="CK18" s="16" t="n">
        <f aca="false">CJ19</f>
        <v>0</v>
      </c>
      <c r="CL18" s="16" t="n">
        <f aca="false">CK19</f>
        <v>0</v>
      </c>
      <c r="CM18" s="16" t="n">
        <f aca="false">CL19</f>
        <v>0</v>
      </c>
      <c r="CN18" s="16" t="n">
        <f aca="false">CM19</f>
        <v>0</v>
      </c>
      <c r="CO18" s="16" t="n">
        <f aca="false">CN19</f>
        <v>0</v>
      </c>
      <c r="CP18" s="16" t="n">
        <f aca="false">CO19</f>
        <v>0</v>
      </c>
      <c r="CQ18" s="16" t="n">
        <f aca="false">CP19</f>
        <v>0</v>
      </c>
      <c r="CR18" s="16" t="n">
        <f aca="false">CQ19</f>
        <v>0</v>
      </c>
      <c r="CS18" s="16" t="n">
        <f aca="false">CR19</f>
        <v>0</v>
      </c>
      <c r="CT18" s="16" t="n">
        <f aca="false">CS19</f>
        <v>0</v>
      </c>
      <c r="CU18" s="16" t="n">
        <f aca="false">CT19</f>
        <v>0</v>
      </c>
      <c r="CV18" s="16" t="n">
        <f aca="false">CU19</f>
        <v>0</v>
      </c>
      <c r="CW18" s="16" t="n">
        <f aca="false">CV19</f>
        <v>0</v>
      </c>
      <c r="CX18" s="16" t="n">
        <f aca="false">CW19</f>
        <v>0</v>
      </c>
    </row>
    <row r="19" customFormat="false" ht="15" hidden="false" customHeight="false" outlineLevel="0" collapsed="false">
      <c r="A19" s="1" t="n">
        <f aca="false">A18+1</f>
        <v>16</v>
      </c>
      <c r="B19" s="16" t="n">
        <f aca="false">B18</f>
        <v>0</v>
      </c>
      <c r="C19" s="16" t="n">
        <f aca="false">B20</f>
        <v>0</v>
      </c>
      <c r="D19" s="16" t="n">
        <f aca="false">C20</f>
        <v>0</v>
      </c>
      <c r="E19" s="16" t="n">
        <f aca="false">D20</f>
        <v>0</v>
      </c>
      <c r="F19" s="16" t="n">
        <f aca="false">E20</f>
        <v>0</v>
      </c>
      <c r="G19" s="16" t="n">
        <f aca="false">F20</f>
        <v>0</v>
      </c>
      <c r="H19" s="16" t="n">
        <f aca="false">G20</f>
        <v>0</v>
      </c>
      <c r="I19" s="16" t="n">
        <f aca="false">H20</f>
        <v>0</v>
      </c>
      <c r="J19" s="16" t="n">
        <f aca="false">I20</f>
        <v>0</v>
      </c>
      <c r="K19" s="16" t="n">
        <f aca="false">J20</f>
        <v>0</v>
      </c>
      <c r="L19" s="16" t="n">
        <f aca="false">K20</f>
        <v>0</v>
      </c>
      <c r="M19" s="16" t="n">
        <f aca="false">L20</f>
        <v>0</v>
      </c>
      <c r="N19" s="16" t="n">
        <f aca="false">M20</f>
        <v>0</v>
      </c>
      <c r="O19" s="16" t="n">
        <f aca="false">N20</f>
        <v>0</v>
      </c>
      <c r="P19" s="16" t="n">
        <f aca="false">O20</f>
        <v>0</v>
      </c>
      <c r="Q19" s="16" t="n">
        <f aca="false">P20</f>
        <v>0</v>
      </c>
      <c r="R19" s="16" t="n">
        <f aca="false">Q20</f>
        <v>0</v>
      </c>
      <c r="S19" s="16" t="n">
        <f aca="false">R20</f>
        <v>0</v>
      </c>
      <c r="T19" s="16" t="n">
        <f aca="false">S20</f>
        <v>0</v>
      </c>
      <c r="U19" s="16" t="n">
        <f aca="false">T20</f>
        <v>0</v>
      </c>
      <c r="V19" s="16" t="n">
        <f aca="false">U20</f>
        <v>0</v>
      </c>
      <c r="W19" s="16" t="n">
        <f aca="false">V20</f>
        <v>0</v>
      </c>
      <c r="X19" s="16" t="n">
        <f aca="false">W20</f>
        <v>0</v>
      </c>
      <c r="Y19" s="16" t="n">
        <f aca="false">X20</f>
        <v>0</v>
      </c>
      <c r="Z19" s="16" t="n">
        <f aca="false">Y20</f>
        <v>0</v>
      </c>
      <c r="AA19" s="16" t="n">
        <f aca="false">Z20</f>
        <v>0</v>
      </c>
      <c r="AB19" s="16" t="n">
        <f aca="false">AA20</f>
        <v>0</v>
      </c>
      <c r="AC19" s="16" t="n">
        <f aca="false">AB20</f>
        <v>0</v>
      </c>
      <c r="AD19" s="16" t="n">
        <f aca="false">AC20</f>
        <v>0</v>
      </c>
      <c r="AE19" s="16" t="n">
        <f aca="false">AD20</f>
        <v>0</v>
      </c>
      <c r="AF19" s="16" t="n">
        <f aca="false">AE20</f>
        <v>0</v>
      </c>
      <c r="AG19" s="16" t="n">
        <f aca="false">AF20</f>
        <v>0</v>
      </c>
      <c r="AH19" s="16" t="n">
        <f aca="false">AG20</f>
        <v>0</v>
      </c>
      <c r="AI19" s="16" t="n">
        <f aca="false">AH20</f>
        <v>0</v>
      </c>
      <c r="AJ19" s="16" t="n">
        <f aca="false">AI20</f>
        <v>0</v>
      </c>
      <c r="AK19" s="16" t="n">
        <f aca="false">AJ20</f>
        <v>0</v>
      </c>
      <c r="AL19" s="16" t="n">
        <f aca="false">AK20</f>
        <v>0</v>
      </c>
      <c r="AM19" s="16" t="n">
        <f aca="false">AL20</f>
        <v>0</v>
      </c>
      <c r="AN19" s="16" t="n">
        <f aca="false">AM20</f>
        <v>0</v>
      </c>
      <c r="AO19" s="16" t="n">
        <f aca="false">AN20</f>
        <v>0</v>
      </c>
      <c r="AP19" s="16" t="n">
        <f aca="false">AO20</f>
        <v>0</v>
      </c>
      <c r="AQ19" s="16" t="n">
        <f aca="false">AP20</f>
        <v>0</v>
      </c>
      <c r="AR19" s="16" t="n">
        <f aca="false">AQ20</f>
        <v>0</v>
      </c>
      <c r="AS19" s="16" t="n">
        <f aca="false">AR20</f>
        <v>0</v>
      </c>
      <c r="AT19" s="16" t="n">
        <f aca="false">AS20</f>
        <v>0</v>
      </c>
      <c r="AU19" s="16" t="n">
        <f aca="false">AT20</f>
        <v>0</v>
      </c>
      <c r="AV19" s="16" t="n">
        <f aca="false">AU20</f>
        <v>0</v>
      </c>
      <c r="AW19" s="16" t="n">
        <f aca="false">AV20</f>
        <v>0</v>
      </c>
      <c r="AX19" s="16" t="n">
        <f aca="false">AW20</f>
        <v>0</v>
      </c>
      <c r="AY19" s="16" t="n">
        <f aca="false">AX20</f>
        <v>0</v>
      </c>
      <c r="AZ19" s="16" t="n">
        <f aca="false">AY20</f>
        <v>0</v>
      </c>
      <c r="BA19" s="16" t="n">
        <f aca="false">AZ20</f>
        <v>0</v>
      </c>
      <c r="BB19" s="16" t="n">
        <f aca="false">BA20</f>
        <v>0</v>
      </c>
      <c r="BC19" s="16" t="n">
        <f aca="false">BB20</f>
        <v>0</v>
      </c>
      <c r="BD19" s="16" t="n">
        <f aca="false">BC20</f>
        <v>0</v>
      </c>
      <c r="BE19" s="16" t="n">
        <f aca="false">BD20</f>
        <v>0</v>
      </c>
      <c r="BF19" s="16" t="n">
        <f aca="false">BE20</f>
        <v>0</v>
      </c>
      <c r="BG19" s="16" t="n">
        <f aca="false">BF20</f>
        <v>0</v>
      </c>
      <c r="BH19" s="16" t="n">
        <f aca="false">BG20</f>
        <v>0</v>
      </c>
      <c r="BI19" s="16" t="n">
        <f aca="false">BH20</f>
        <v>0</v>
      </c>
      <c r="BJ19" s="16" t="n">
        <f aca="false">BI20</f>
        <v>0</v>
      </c>
      <c r="BK19" s="16" t="n">
        <f aca="false">BJ20</f>
        <v>0</v>
      </c>
      <c r="BL19" s="16" t="n">
        <f aca="false">BK20</f>
        <v>0</v>
      </c>
      <c r="BM19" s="16" t="n">
        <f aca="false">BL20</f>
        <v>0</v>
      </c>
      <c r="BN19" s="16" t="n">
        <f aca="false">BM20</f>
        <v>0</v>
      </c>
      <c r="BO19" s="16" t="n">
        <f aca="false">BN20</f>
        <v>0</v>
      </c>
      <c r="BP19" s="16" t="n">
        <f aca="false">BO20</f>
        <v>0</v>
      </c>
      <c r="BQ19" s="16" t="n">
        <f aca="false">BP20</f>
        <v>0</v>
      </c>
      <c r="BR19" s="16" t="n">
        <f aca="false">BQ20</f>
        <v>0</v>
      </c>
      <c r="BS19" s="16" t="n">
        <f aca="false">BR20</f>
        <v>0</v>
      </c>
      <c r="BT19" s="16" t="n">
        <f aca="false">BS20</f>
        <v>0</v>
      </c>
      <c r="BU19" s="16" t="n">
        <f aca="false">BT20</f>
        <v>0</v>
      </c>
      <c r="BV19" s="16" t="n">
        <f aca="false">BU20</f>
        <v>0</v>
      </c>
      <c r="BW19" s="16" t="n">
        <f aca="false">BV20</f>
        <v>0</v>
      </c>
      <c r="BX19" s="16" t="n">
        <f aca="false">BW20</f>
        <v>0</v>
      </c>
      <c r="BY19" s="16" t="n">
        <f aca="false">BX20</f>
        <v>0</v>
      </c>
      <c r="BZ19" s="16" t="n">
        <f aca="false">BY20</f>
        <v>0</v>
      </c>
      <c r="CA19" s="16" t="n">
        <f aca="false">BZ20</f>
        <v>0</v>
      </c>
      <c r="CB19" s="16" t="n">
        <f aca="false">CA20</f>
        <v>0</v>
      </c>
      <c r="CC19" s="16" t="n">
        <f aca="false">CB20</f>
        <v>0</v>
      </c>
      <c r="CD19" s="16" t="n">
        <f aca="false">CC20</f>
        <v>0</v>
      </c>
      <c r="CE19" s="16" t="n">
        <f aca="false">CD20</f>
        <v>0</v>
      </c>
      <c r="CF19" s="16" t="n">
        <f aca="false">CE20</f>
        <v>0</v>
      </c>
      <c r="CG19" s="16" t="n">
        <f aca="false">CF20</f>
        <v>0</v>
      </c>
      <c r="CH19" s="16" t="n">
        <f aca="false">CG20</f>
        <v>0</v>
      </c>
      <c r="CI19" s="16" t="n">
        <f aca="false">CH20</f>
        <v>0</v>
      </c>
      <c r="CJ19" s="16" t="n">
        <f aca="false">CI20</f>
        <v>0</v>
      </c>
      <c r="CK19" s="16" t="n">
        <f aca="false">CJ20</f>
        <v>0</v>
      </c>
      <c r="CL19" s="16" t="n">
        <f aca="false">CK20</f>
        <v>0</v>
      </c>
      <c r="CM19" s="16" t="n">
        <f aca="false">CL20</f>
        <v>0</v>
      </c>
      <c r="CN19" s="16" t="n">
        <f aca="false">CM20</f>
        <v>0</v>
      </c>
      <c r="CO19" s="16" t="n">
        <f aca="false">CN20</f>
        <v>0</v>
      </c>
      <c r="CP19" s="16" t="n">
        <f aca="false">CO20</f>
        <v>0</v>
      </c>
      <c r="CQ19" s="16" t="n">
        <f aca="false">CP20</f>
        <v>0</v>
      </c>
      <c r="CR19" s="16" t="n">
        <f aca="false">CQ20</f>
        <v>0</v>
      </c>
      <c r="CS19" s="16" t="n">
        <f aca="false">CR20</f>
        <v>0</v>
      </c>
      <c r="CT19" s="16" t="n">
        <f aca="false">CS20</f>
        <v>0</v>
      </c>
      <c r="CU19" s="16" t="n">
        <f aca="false">CT20</f>
        <v>0</v>
      </c>
      <c r="CV19" s="16" t="n">
        <f aca="false">CU20</f>
        <v>0</v>
      </c>
      <c r="CW19" s="16" t="n">
        <f aca="false">CV20</f>
        <v>0</v>
      </c>
      <c r="CX19" s="16" t="n">
        <f aca="false">CW20</f>
        <v>0</v>
      </c>
    </row>
    <row r="20" customFormat="false" ht="15" hidden="false" customHeight="false" outlineLevel="0" collapsed="false">
      <c r="A20" s="1" t="n">
        <f aca="false">A19+1</f>
        <v>17</v>
      </c>
      <c r="B20" s="16" t="n">
        <f aca="false">B19</f>
        <v>0</v>
      </c>
      <c r="C20" s="16" t="n">
        <f aca="false">B21</f>
        <v>0</v>
      </c>
      <c r="D20" s="16" t="n">
        <f aca="false">C21</f>
        <v>0</v>
      </c>
      <c r="E20" s="16" t="n">
        <f aca="false">D21</f>
        <v>0</v>
      </c>
      <c r="F20" s="16" t="n">
        <f aca="false">E21</f>
        <v>0</v>
      </c>
      <c r="G20" s="16" t="n">
        <f aca="false">F21</f>
        <v>0</v>
      </c>
      <c r="H20" s="16" t="n">
        <f aca="false">G21</f>
        <v>0</v>
      </c>
      <c r="I20" s="16" t="n">
        <f aca="false">H21</f>
        <v>0</v>
      </c>
      <c r="J20" s="16" t="n">
        <f aca="false">I21</f>
        <v>0</v>
      </c>
      <c r="K20" s="16" t="n">
        <f aca="false">J21</f>
        <v>0</v>
      </c>
      <c r="L20" s="16" t="n">
        <f aca="false">K21</f>
        <v>0</v>
      </c>
      <c r="M20" s="16" t="n">
        <f aca="false">L21</f>
        <v>0</v>
      </c>
      <c r="N20" s="16" t="n">
        <f aca="false">M21</f>
        <v>0</v>
      </c>
      <c r="O20" s="16" t="n">
        <f aca="false">N21</f>
        <v>0</v>
      </c>
      <c r="P20" s="16" t="n">
        <f aca="false">O21</f>
        <v>0</v>
      </c>
      <c r="Q20" s="16" t="n">
        <f aca="false">P21</f>
        <v>0</v>
      </c>
      <c r="R20" s="16" t="n">
        <f aca="false">Q21</f>
        <v>0</v>
      </c>
      <c r="S20" s="16" t="n">
        <f aca="false">R21</f>
        <v>0</v>
      </c>
      <c r="T20" s="16" t="n">
        <f aca="false">S21</f>
        <v>0</v>
      </c>
      <c r="U20" s="16" t="n">
        <f aca="false">T21</f>
        <v>0</v>
      </c>
      <c r="V20" s="16" t="n">
        <f aca="false">U21</f>
        <v>0</v>
      </c>
      <c r="W20" s="16" t="n">
        <f aca="false">V21</f>
        <v>0</v>
      </c>
      <c r="X20" s="16" t="n">
        <f aca="false">W21</f>
        <v>0</v>
      </c>
      <c r="Y20" s="16" t="n">
        <f aca="false">X21</f>
        <v>0</v>
      </c>
      <c r="Z20" s="16" t="n">
        <f aca="false">Y21</f>
        <v>0</v>
      </c>
      <c r="AA20" s="16" t="n">
        <f aca="false">Z21</f>
        <v>0</v>
      </c>
      <c r="AB20" s="16" t="n">
        <f aca="false">AA21</f>
        <v>0</v>
      </c>
      <c r="AC20" s="16" t="n">
        <f aca="false">AB21</f>
        <v>0</v>
      </c>
      <c r="AD20" s="16" t="n">
        <f aca="false">AC21</f>
        <v>0</v>
      </c>
      <c r="AE20" s="16" t="n">
        <f aca="false">AD21</f>
        <v>0</v>
      </c>
      <c r="AF20" s="16" t="n">
        <f aca="false">AE21</f>
        <v>0</v>
      </c>
      <c r="AG20" s="16" t="n">
        <f aca="false">AF21</f>
        <v>0</v>
      </c>
      <c r="AH20" s="16" t="n">
        <f aca="false">AG21</f>
        <v>0</v>
      </c>
      <c r="AI20" s="16" t="n">
        <f aca="false">AH21</f>
        <v>0</v>
      </c>
      <c r="AJ20" s="16" t="n">
        <f aca="false">AI21</f>
        <v>0</v>
      </c>
      <c r="AK20" s="16" t="n">
        <f aca="false">AJ21</f>
        <v>0</v>
      </c>
      <c r="AL20" s="16" t="n">
        <f aca="false">AK21</f>
        <v>0</v>
      </c>
      <c r="AM20" s="16" t="n">
        <f aca="false">AL21</f>
        <v>0</v>
      </c>
      <c r="AN20" s="16" t="n">
        <f aca="false">AM21</f>
        <v>0</v>
      </c>
      <c r="AO20" s="16" t="n">
        <f aca="false">AN21</f>
        <v>0</v>
      </c>
      <c r="AP20" s="16" t="n">
        <f aca="false">AO21</f>
        <v>0</v>
      </c>
      <c r="AQ20" s="16" t="n">
        <f aca="false">AP21</f>
        <v>0</v>
      </c>
      <c r="AR20" s="16" t="n">
        <f aca="false">AQ21</f>
        <v>0</v>
      </c>
      <c r="AS20" s="16" t="n">
        <f aca="false">AR21</f>
        <v>0</v>
      </c>
      <c r="AT20" s="16" t="n">
        <f aca="false">AS21</f>
        <v>0</v>
      </c>
      <c r="AU20" s="16" t="n">
        <f aca="false">AT21</f>
        <v>0</v>
      </c>
      <c r="AV20" s="16" t="n">
        <f aca="false">AU21</f>
        <v>0</v>
      </c>
      <c r="AW20" s="16" t="n">
        <f aca="false">AV21</f>
        <v>0</v>
      </c>
      <c r="AX20" s="16" t="n">
        <f aca="false">AW21</f>
        <v>0</v>
      </c>
      <c r="AY20" s="16" t="n">
        <f aca="false">AX21</f>
        <v>0</v>
      </c>
      <c r="AZ20" s="16" t="n">
        <f aca="false">AY21</f>
        <v>0</v>
      </c>
      <c r="BA20" s="16" t="n">
        <f aca="false">AZ21</f>
        <v>0</v>
      </c>
      <c r="BB20" s="16" t="n">
        <f aca="false">BA21</f>
        <v>0</v>
      </c>
      <c r="BC20" s="16" t="n">
        <f aca="false">BB21</f>
        <v>0</v>
      </c>
      <c r="BD20" s="16" t="n">
        <f aca="false">BC21</f>
        <v>0</v>
      </c>
      <c r="BE20" s="16" t="n">
        <f aca="false">BD21</f>
        <v>0</v>
      </c>
      <c r="BF20" s="16" t="n">
        <f aca="false">BE21</f>
        <v>0</v>
      </c>
      <c r="BG20" s="16" t="n">
        <f aca="false">BF21</f>
        <v>0</v>
      </c>
      <c r="BH20" s="16" t="n">
        <f aca="false">BG21</f>
        <v>0</v>
      </c>
      <c r="BI20" s="16" t="n">
        <f aca="false">BH21</f>
        <v>0</v>
      </c>
      <c r="BJ20" s="16" t="n">
        <f aca="false">BI21</f>
        <v>0</v>
      </c>
      <c r="BK20" s="16" t="n">
        <f aca="false">BJ21</f>
        <v>0</v>
      </c>
      <c r="BL20" s="16" t="n">
        <f aca="false">BK21</f>
        <v>0</v>
      </c>
      <c r="BM20" s="16" t="n">
        <f aca="false">BL21</f>
        <v>0</v>
      </c>
      <c r="BN20" s="16" t="n">
        <f aca="false">BM21</f>
        <v>0</v>
      </c>
      <c r="BO20" s="16" t="n">
        <f aca="false">BN21</f>
        <v>0</v>
      </c>
      <c r="BP20" s="16" t="n">
        <f aca="false">BO21</f>
        <v>0</v>
      </c>
      <c r="BQ20" s="16" t="n">
        <f aca="false">BP21</f>
        <v>0</v>
      </c>
      <c r="BR20" s="16" t="n">
        <f aca="false">BQ21</f>
        <v>0</v>
      </c>
      <c r="BS20" s="16" t="n">
        <f aca="false">BR21</f>
        <v>0</v>
      </c>
      <c r="BT20" s="16" t="n">
        <f aca="false">BS21</f>
        <v>0</v>
      </c>
      <c r="BU20" s="16" t="n">
        <f aca="false">BT21</f>
        <v>0</v>
      </c>
      <c r="BV20" s="16" t="n">
        <f aca="false">BU21</f>
        <v>0</v>
      </c>
      <c r="BW20" s="16" t="n">
        <f aca="false">BV21</f>
        <v>0</v>
      </c>
      <c r="BX20" s="16" t="n">
        <f aca="false">BW21</f>
        <v>0</v>
      </c>
      <c r="BY20" s="16" t="n">
        <f aca="false">BX21</f>
        <v>0</v>
      </c>
      <c r="BZ20" s="16" t="n">
        <f aca="false">BY21</f>
        <v>0</v>
      </c>
      <c r="CA20" s="16" t="n">
        <f aca="false">BZ21</f>
        <v>0</v>
      </c>
      <c r="CB20" s="16" t="n">
        <f aca="false">CA21</f>
        <v>0</v>
      </c>
      <c r="CC20" s="16" t="n">
        <f aca="false">CB21</f>
        <v>0</v>
      </c>
      <c r="CD20" s="16" t="n">
        <f aca="false">CC21</f>
        <v>0</v>
      </c>
      <c r="CE20" s="16" t="n">
        <f aca="false">CD21</f>
        <v>0</v>
      </c>
      <c r="CF20" s="16" t="n">
        <f aca="false">CE21</f>
        <v>0</v>
      </c>
      <c r="CG20" s="16" t="n">
        <f aca="false">CF21</f>
        <v>0</v>
      </c>
      <c r="CH20" s="16" t="n">
        <f aca="false">CG21</f>
        <v>0</v>
      </c>
      <c r="CI20" s="16" t="n">
        <f aca="false">CH21</f>
        <v>0</v>
      </c>
      <c r="CJ20" s="16" t="n">
        <f aca="false">CI21</f>
        <v>0</v>
      </c>
      <c r="CK20" s="16" t="n">
        <f aca="false">CJ21</f>
        <v>0</v>
      </c>
      <c r="CL20" s="16" t="n">
        <f aca="false">CK21</f>
        <v>0</v>
      </c>
      <c r="CM20" s="16" t="n">
        <f aca="false">CL21</f>
        <v>0</v>
      </c>
      <c r="CN20" s="16" t="n">
        <f aca="false">CM21</f>
        <v>0</v>
      </c>
      <c r="CO20" s="16" t="n">
        <f aca="false">CN21</f>
        <v>0</v>
      </c>
      <c r="CP20" s="16" t="n">
        <f aca="false">CO21</f>
        <v>0</v>
      </c>
      <c r="CQ20" s="16" t="n">
        <f aca="false">CP21</f>
        <v>0</v>
      </c>
      <c r="CR20" s="16" t="n">
        <f aca="false">CQ21</f>
        <v>0</v>
      </c>
      <c r="CS20" s="16" t="n">
        <f aca="false">CR21</f>
        <v>0</v>
      </c>
      <c r="CT20" s="16" t="n">
        <f aca="false">CS21</f>
        <v>0</v>
      </c>
      <c r="CU20" s="16" t="n">
        <f aca="false">CT21</f>
        <v>0</v>
      </c>
      <c r="CV20" s="16" t="n">
        <f aca="false">CU21</f>
        <v>0</v>
      </c>
      <c r="CW20" s="16" t="n">
        <f aca="false">CV21</f>
        <v>0</v>
      </c>
      <c r="CX20" s="16" t="n">
        <f aca="false">CW21</f>
        <v>0</v>
      </c>
    </row>
    <row r="21" customFormat="false" ht="15" hidden="false" customHeight="false" outlineLevel="0" collapsed="false">
      <c r="A21" s="1" t="n">
        <f aca="false">A20+1</f>
        <v>18</v>
      </c>
      <c r="B21" s="16" t="n">
        <f aca="false">B20</f>
        <v>0</v>
      </c>
      <c r="C21" s="16" t="n">
        <f aca="false">B22</f>
        <v>0</v>
      </c>
      <c r="D21" s="16" t="n">
        <f aca="false">C22</f>
        <v>0</v>
      </c>
      <c r="E21" s="16" t="n">
        <f aca="false">D22</f>
        <v>0</v>
      </c>
      <c r="F21" s="16" t="n">
        <f aca="false">E22</f>
        <v>0</v>
      </c>
      <c r="G21" s="16" t="n">
        <f aca="false">F22</f>
        <v>0</v>
      </c>
      <c r="H21" s="16" t="n">
        <f aca="false">G22</f>
        <v>0</v>
      </c>
      <c r="I21" s="16" t="n">
        <f aca="false">H22</f>
        <v>0</v>
      </c>
      <c r="J21" s="16" t="n">
        <f aca="false">I22</f>
        <v>0</v>
      </c>
      <c r="K21" s="16" t="n">
        <f aca="false">J22</f>
        <v>0</v>
      </c>
      <c r="L21" s="16" t="n">
        <f aca="false">K22</f>
        <v>0</v>
      </c>
      <c r="M21" s="16" t="n">
        <f aca="false">L22</f>
        <v>0</v>
      </c>
      <c r="N21" s="16" t="n">
        <f aca="false">M22</f>
        <v>0</v>
      </c>
      <c r="O21" s="16" t="n">
        <f aca="false">N22</f>
        <v>0</v>
      </c>
      <c r="P21" s="16" t="n">
        <f aca="false">O22</f>
        <v>0</v>
      </c>
      <c r="Q21" s="16" t="n">
        <f aca="false">P22</f>
        <v>0</v>
      </c>
      <c r="R21" s="16" t="n">
        <f aca="false">Q22</f>
        <v>0</v>
      </c>
      <c r="S21" s="16" t="n">
        <f aca="false">R22</f>
        <v>0</v>
      </c>
      <c r="T21" s="16" t="n">
        <f aca="false">S22</f>
        <v>0</v>
      </c>
      <c r="U21" s="16" t="n">
        <f aca="false">T22</f>
        <v>0</v>
      </c>
      <c r="V21" s="16" t="n">
        <f aca="false">U22</f>
        <v>0</v>
      </c>
      <c r="W21" s="16" t="n">
        <f aca="false">V22</f>
        <v>0</v>
      </c>
      <c r="X21" s="16" t="n">
        <f aca="false">W22</f>
        <v>0</v>
      </c>
      <c r="Y21" s="16" t="n">
        <f aca="false">X22</f>
        <v>0</v>
      </c>
      <c r="Z21" s="16" t="n">
        <f aca="false">Y22</f>
        <v>0</v>
      </c>
      <c r="AA21" s="16" t="n">
        <f aca="false">Z22</f>
        <v>0</v>
      </c>
      <c r="AB21" s="16" t="n">
        <f aca="false">AA22</f>
        <v>0</v>
      </c>
      <c r="AC21" s="16" t="n">
        <f aca="false">AB22</f>
        <v>0</v>
      </c>
      <c r="AD21" s="16" t="n">
        <f aca="false">AC22</f>
        <v>0</v>
      </c>
      <c r="AE21" s="16" t="n">
        <f aca="false">AD22</f>
        <v>0</v>
      </c>
      <c r="AF21" s="16" t="n">
        <f aca="false">AE22</f>
        <v>0</v>
      </c>
      <c r="AG21" s="16" t="n">
        <f aca="false">AF22</f>
        <v>0</v>
      </c>
      <c r="AH21" s="16" t="n">
        <f aca="false">AG22</f>
        <v>0</v>
      </c>
      <c r="AI21" s="16" t="n">
        <f aca="false">AH22</f>
        <v>0</v>
      </c>
      <c r="AJ21" s="16" t="n">
        <f aca="false">AI22</f>
        <v>0</v>
      </c>
      <c r="AK21" s="16" t="n">
        <f aca="false">AJ22</f>
        <v>0</v>
      </c>
      <c r="AL21" s="16" t="n">
        <f aca="false">AK22</f>
        <v>0</v>
      </c>
      <c r="AM21" s="16" t="n">
        <f aca="false">AL22</f>
        <v>0</v>
      </c>
      <c r="AN21" s="16" t="n">
        <f aca="false">AM22</f>
        <v>0</v>
      </c>
      <c r="AO21" s="16" t="n">
        <f aca="false">AN22</f>
        <v>0</v>
      </c>
      <c r="AP21" s="16" t="n">
        <f aca="false">AO22</f>
        <v>0</v>
      </c>
      <c r="AQ21" s="16" t="n">
        <f aca="false">AP22</f>
        <v>0</v>
      </c>
      <c r="AR21" s="16" t="n">
        <f aca="false">AQ22</f>
        <v>0</v>
      </c>
      <c r="AS21" s="16" t="n">
        <f aca="false">AR22</f>
        <v>0</v>
      </c>
      <c r="AT21" s="16" t="n">
        <f aca="false">AS22</f>
        <v>0</v>
      </c>
      <c r="AU21" s="16" t="n">
        <f aca="false">AT22</f>
        <v>0</v>
      </c>
      <c r="AV21" s="16" t="n">
        <f aca="false">AU22</f>
        <v>0</v>
      </c>
      <c r="AW21" s="16" t="n">
        <f aca="false">AV22</f>
        <v>0</v>
      </c>
      <c r="AX21" s="16" t="n">
        <f aca="false">AW22</f>
        <v>0</v>
      </c>
      <c r="AY21" s="16" t="n">
        <f aca="false">AX22</f>
        <v>0</v>
      </c>
      <c r="AZ21" s="16" t="n">
        <f aca="false">AY22</f>
        <v>0</v>
      </c>
      <c r="BA21" s="16" t="n">
        <f aca="false">AZ22</f>
        <v>0</v>
      </c>
      <c r="BB21" s="16" t="n">
        <f aca="false">BA22</f>
        <v>0</v>
      </c>
      <c r="BC21" s="16" t="n">
        <f aca="false">BB22</f>
        <v>0</v>
      </c>
      <c r="BD21" s="16" t="n">
        <f aca="false">BC22</f>
        <v>0</v>
      </c>
      <c r="BE21" s="16" t="n">
        <f aca="false">BD22</f>
        <v>0</v>
      </c>
      <c r="BF21" s="16" t="n">
        <f aca="false">BE22</f>
        <v>0</v>
      </c>
      <c r="BG21" s="16" t="n">
        <f aca="false">BF22</f>
        <v>0</v>
      </c>
      <c r="BH21" s="16" t="n">
        <f aca="false">BG22</f>
        <v>0</v>
      </c>
      <c r="BI21" s="16" t="n">
        <f aca="false">BH22</f>
        <v>0</v>
      </c>
      <c r="BJ21" s="16" t="n">
        <f aca="false">BI22</f>
        <v>0</v>
      </c>
      <c r="BK21" s="16" t="n">
        <f aca="false">BJ22</f>
        <v>0</v>
      </c>
      <c r="BL21" s="16" t="n">
        <f aca="false">BK22</f>
        <v>0</v>
      </c>
      <c r="BM21" s="16" t="n">
        <f aca="false">BL22</f>
        <v>0</v>
      </c>
      <c r="BN21" s="16" t="n">
        <f aca="false">BM22</f>
        <v>0</v>
      </c>
      <c r="BO21" s="16" t="n">
        <f aca="false">BN22</f>
        <v>0</v>
      </c>
      <c r="BP21" s="16" t="n">
        <f aca="false">BO22</f>
        <v>0</v>
      </c>
      <c r="BQ21" s="16" t="n">
        <f aca="false">BP22</f>
        <v>0</v>
      </c>
      <c r="BR21" s="16" t="n">
        <f aca="false">BQ22</f>
        <v>0</v>
      </c>
      <c r="BS21" s="16" t="n">
        <f aca="false">BR22</f>
        <v>0</v>
      </c>
      <c r="BT21" s="16" t="n">
        <f aca="false">BS22</f>
        <v>0</v>
      </c>
      <c r="BU21" s="16" t="n">
        <f aca="false">BT22</f>
        <v>0</v>
      </c>
      <c r="BV21" s="16" t="n">
        <f aca="false">BU22</f>
        <v>0</v>
      </c>
      <c r="BW21" s="16" t="n">
        <f aca="false">BV22</f>
        <v>0</v>
      </c>
      <c r="BX21" s="16" t="n">
        <f aca="false">BW22</f>
        <v>0</v>
      </c>
      <c r="BY21" s="16" t="n">
        <f aca="false">BX22</f>
        <v>0</v>
      </c>
      <c r="BZ21" s="16" t="n">
        <f aca="false">BY22</f>
        <v>0</v>
      </c>
      <c r="CA21" s="16" t="n">
        <f aca="false">BZ22</f>
        <v>0</v>
      </c>
      <c r="CB21" s="16" t="n">
        <f aca="false">CA22</f>
        <v>0</v>
      </c>
      <c r="CC21" s="16" t="n">
        <f aca="false">CB22</f>
        <v>0</v>
      </c>
      <c r="CD21" s="16" t="n">
        <f aca="false">CC22</f>
        <v>0</v>
      </c>
      <c r="CE21" s="16" t="n">
        <f aca="false">CD22</f>
        <v>0</v>
      </c>
      <c r="CF21" s="16" t="n">
        <f aca="false">CE22</f>
        <v>0</v>
      </c>
      <c r="CG21" s="16" t="n">
        <f aca="false">CF22</f>
        <v>0</v>
      </c>
      <c r="CH21" s="16" t="n">
        <f aca="false">CG22</f>
        <v>0</v>
      </c>
      <c r="CI21" s="16" t="n">
        <f aca="false">CH22</f>
        <v>0</v>
      </c>
      <c r="CJ21" s="16" t="n">
        <f aca="false">CI22</f>
        <v>0</v>
      </c>
      <c r="CK21" s="16" t="n">
        <f aca="false">CJ22</f>
        <v>0</v>
      </c>
      <c r="CL21" s="16" t="n">
        <f aca="false">CK22</f>
        <v>0</v>
      </c>
      <c r="CM21" s="16" t="n">
        <f aca="false">CL22</f>
        <v>0</v>
      </c>
      <c r="CN21" s="16" t="n">
        <f aca="false">CM22</f>
        <v>0</v>
      </c>
      <c r="CO21" s="16" t="n">
        <f aca="false">CN22</f>
        <v>0</v>
      </c>
      <c r="CP21" s="16" t="n">
        <f aca="false">CO22</f>
        <v>0</v>
      </c>
      <c r="CQ21" s="16" t="n">
        <f aca="false">CP22</f>
        <v>0</v>
      </c>
      <c r="CR21" s="16" t="n">
        <f aca="false">CQ22</f>
        <v>0</v>
      </c>
      <c r="CS21" s="16" t="n">
        <f aca="false">CR22</f>
        <v>0</v>
      </c>
      <c r="CT21" s="16" t="n">
        <f aca="false">CS22</f>
        <v>0</v>
      </c>
      <c r="CU21" s="16" t="n">
        <f aca="false">CT22</f>
        <v>0</v>
      </c>
      <c r="CV21" s="16" t="n">
        <f aca="false">CU22</f>
        <v>0</v>
      </c>
      <c r="CW21" s="16" t="n">
        <f aca="false">CV22</f>
        <v>0</v>
      </c>
      <c r="CX21" s="16" t="n">
        <f aca="false">CW22</f>
        <v>0</v>
      </c>
    </row>
    <row r="22" customFormat="false" ht="15" hidden="false" customHeight="false" outlineLevel="0" collapsed="false">
      <c r="A22" s="1" t="n">
        <f aca="false">A21+1</f>
        <v>19</v>
      </c>
      <c r="B22" s="16" t="n">
        <f aca="false">B21</f>
        <v>0</v>
      </c>
      <c r="C22" s="16" t="n">
        <f aca="false">B23</f>
        <v>0</v>
      </c>
      <c r="D22" s="16" t="n">
        <f aca="false">C23</f>
        <v>0</v>
      </c>
      <c r="E22" s="16" t="n">
        <f aca="false">D23</f>
        <v>0</v>
      </c>
      <c r="F22" s="16" t="n">
        <f aca="false">E23</f>
        <v>0</v>
      </c>
      <c r="G22" s="16" t="n">
        <f aca="false">F23</f>
        <v>0</v>
      </c>
      <c r="H22" s="16" t="n">
        <f aca="false">G23</f>
        <v>0</v>
      </c>
      <c r="I22" s="16" t="n">
        <f aca="false">H23</f>
        <v>0</v>
      </c>
      <c r="J22" s="16" t="n">
        <f aca="false">I23</f>
        <v>0</v>
      </c>
      <c r="K22" s="16" t="n">
        <f aca="false">J23</f>
        <v>0</v>
      </c>
      <c r="L22" s="16" t="n">
        <f aca="false">K23</f>
        <v>0</v>
      </c>
      <c r="M22" s="16" t="n">
        <f aca="false">L23</f>
        <v>0</v>
      </c>
      <c r="N22" s="16" t="n">
        <f aca="false">M23</f>
        <v>0</v>
      </c>
      <c r="O22" s="16" t="n">
        <f aca="false">N23</f>
        <v>0</v>
      </c>
      <c r="P22" s="16" t="n">
        <f aca="false">O23</f>
        <v>0</v>
      </c>
      <c r="Q22" s="16" t="n">
        <f aca="false">P23</f>
        <v>0</v>
      </c>
      <c r="R22" s="16" t="n">
        <f aca="false">Q23</f>
        <v>0</v>
      </c>
      <c r="S22" s="16" t="n">
        <f aca="false">R23</f>
        <v>0</v>
      </c>
      <c r="T22" s="16" t="n">
        <f aca="false">S23</f>
        <v>0</v>
      </c>
      <c r="U22" s="16" t="n">
        <f aca="false">T23</f>
        <v>0</v>
      </c>
      <c r="V22" s="16" t="n">
        <f aca="false">U23</f>
        <v>0</v>
      </c>
      <c r="W22" s="16" t="n">
        <f aca="false">V23</f>
        <v>0</v>
      </c>
      <c r="X22" s="16" t="n">
        <f aca="false">W23</f>
        <v>0</v>
      </c>
      <c r="Y22" s="16" t="n">
        <f aca="false">X23</f>
        <v>0</v>
      </c>
      <c r="Z22" s="16" t="n">
        <f aca="false">Y23</f>
        <v>0</v>
      </c>
      <c r="AA22" s="16" t="n">
        <f aca="false">Z23</f>
        <v>0</v>
      </c>
      <c r="AB22" s="16" t="n">
        <f aca="false">AA23</f>
        <v>0</v>
      </c>
      <c r="AC22" s="16" t="n">
        <f aca="false">AB23</f>
        <v>0</v>
      </c>
      <c r="AD22" s="16" t="n">
        <f aca="false">AC23</f>
        <v>0</v>
      </c>
      <c r="AE22" s="16" t="n">
        <f aca="false">AD23</f>
        <v>0</v>
      </c>
      <c r="AF22" s="16" t="n">
        <f aca="false">AE23</f>
        <v>0</v>
      </c>
      <c r="AG22" s="16" t="n">
        <f aca="false">AF23</f>
        <v>0</v>
      </c>
      <c r="AH22" s="16" t="n">
        <f aca="false">AG23</f>
        <v>0</v>
      </c>
      <c r="AI22" s="16" t="n">
        <f aca="false">AH23</f>
        <v>0</v>
      </c>
      <c r="AJ22" s="16" t="n">
        <f aca="false">AI23</f>
        <v>0</v>
      </c>
      <c r="AK22" s="16" t="n">
        <f aca="false">AJ23</f>
        <v>0</v>
      </c>
      <c r="AL22" s="16" t="n">
        <f aca="false">AK23</f>
        <v>0</v>
      </c>
      <c r="AM22" s="16" t="n">
        <f aca="false">AL23</f>
        <v>0</v>
      </c>
      <c r="AN22" s="16" t="n">
        <f aca="false">AM23</f>
        <v>0</v>
      </c>
      <c r="AO22" s="16" t="n">
        <f aca="false">AN23</f>
        <v>0</v>
      </c>
      <c r="AP22" s="16" t="n">
        <f aca="false">AO23</f>
        <v>0</v>
      </c>
      <c r="AQ22" s="16" t="n">
        <f aca="false">AP23</f>
        <v>0</v>
      </c>
      <c r="AR22" s="16" t="n">
        <f aca="false">AQ23</f>
        <v>0</v>
      </c>
      <c r="AS22" s="16" t="n">
        <f aca="false">AR23</f>
        <v>0</v>
      </c>
      <c r="AT22" s="16" t="n">
        <f aca="false">AS23</f>
        <v>0</v>
      </c>
      <c r="AU22" s="16" t="n">
        <f aca="false">AT23</f>
        <v>0</v>
      </c>
      <c r="AV22" s="16" t="n">
        <f aca="false">AU23</f>
        <v>0</v>
      </c>
      <c r="AW22" s="16" t="n">
        <f aca="false">AV23</f>
        <v>0</v>
      </c>
      <c r="AX22" s="16" t="n">
        <f aca="false">AW23</f>
        <v>0</v>
      </c>
      <c r="AY22" s="16" t="n">
        <f aca="false">AX23</f>
        <v>0</v>
      </c>
      <c r="AZ22" s="16" t="n">
        <f aca="false">AY23</f>
        <v>0</v>
      </c>
      <c r="BA22" s="16" t="n">
        <f aca="false">AZ23</f>
        <v>0</v>
      </c>
      <c r="BB22" s="16" t="n">
        <f aca="false">BA23</f>
        <v>0</v>
      </c>
      <c r="BC22" s="16" t="n">
        <f aca="false">BB23</f>
        <v>0</v>
      </c>
      <c r="BD22" s="16" t="n">
        <f aca="false">BC23</f>
        <v>0</v>
      </c>
      <c r="BE22" s="16" t="n">
        <f aca="false">BD23</f>
        <v>0</v>
      </c>
      <c r="BF22" s="16" t="n">
        <f aca="false">BE23</f>
        <v>0</v>
      </c>
      <c r="BG22" s="16" t="n">
        <f aca="false">BF23</f>
        <v>0</v>
      </c>
      <c r="BH22" s="16" t="n">
        <f aca="false">BG23</f>
        <v>0</v>
      </c>
      <c r="BI22" s="16" t="n">
        <f aca="false">BH23</f>
        <v>0</v>
      </c>
      <c r="BJ22" s="16" t="n">
        <f aca="false">BI23</f>
        <v>0</v>
      </c>
      <c r="BK22" s="16" t="n">
        <f aca="false">BJ23</f>
        <v>0</v>
      </c>
      <c r="BL22" s="16" t="n">
        <f aca="false">BK23</f>
        <v>0</v>
      </c>
      <c r="BM22" s="16" t="n">
        <f aca="false">BL23</f>
        <v>0</v>
      </c>
      <c r="BN22" s="16" t="n">
        <f aca="false">BM23</f>
        <v>0</v>
      </c>
      <c r="BO22" s="16" t="n">
        <f aca="false">BN23</f>
        <v>0</v>
      </c>
      <c r="BP22" s="16" t="n">
        <f aca="false">BO23</f>
        <v>0</v>
      </c>
      <c r="BQ22" s="16" t="n">
        <f aca="false">BP23</f>
        <v>0</v>
      </c>
      <c r="BR22" s="16" t="n">
        <f aca="false">BQ23</f>
        <v>0</v>
      </c>
      <c r="BS22" s="16" t="n">
        <f aca="false">BR23</f>
        <v>0</v>
      </c>
      <c r="BT22" s="16" t="n">
        <f aca="false">BS23</f>
        <v>0</v>
      </c>
      <c r="BU22" s="16" t="n">
        <f aca="false">BT23</f>
        <v>0</v>
      </c>
      <c r="BV22" s="16" t="n">
        <f aca="false">BU23</f>
        <v>0</v>
      </c>
      <c r="BW22" s="16" t="n">
        <f aca="false">BV23</f>
        <v>0</v>
      </c>
      <c r="BX22" s="16" t="n">
        <f aca="false">BW23</f>
        <v>0</v>
      </c>
      <c r="BY22" s="16" t="n">
        <f aca="false">BX23</f>
        <v>0</v>
      </c>
      <c r="BZ22" s="16" t="n">
        <f aca="false">BY23</f>
        <v>0</v>
      </c>
      <c r="CA22" s="16" t="n">
        <f aca="false">BZ23</f>
        <v>0</v>
      </c>
      <c r="CB22" s="16" t="n">
        <f aca="false">CA23</f>
        <v>0</v>
      </c>
      <c r="CC22" s="16" t="n">
        <f aca="false">CB23</f>
        <v>0</v>
      </c>
      <c r="CD22" s="16" t="n">
        <f aca="false">CC23</f>
        <v>0</v>
      </c>
      <c r="CE22" s="16" t="n">
        <f aca="false">CD23</f>
        <v>0</v>
      </c>
      <c r="CF22" s="16" t="n">
        <f aca="false">CE23</f>
        <v>0</v>
      </c>
      <c r="CG22" s="16" t="n">
        <f aca="false">CF23</f>
        <v>0</v>
      </c>
      <c r="CH22" s="16" t="n">
        <f aca="false">CG23</f>
        <v>0</v>
      </c>
      <c r="CI22" s="16" t="n">
        <f aca="false">CH23</f>
        <v>0</v>
      </c>
      <c r="CJ22" s="16" t="n">
        <f aca="false">CI23</f>
        <v>0</v>
      </c>
      <c r="CK22" s="16" t="n">
        <f aca="false">CJ23</f>
        <v>0</v>
      </c>
      <c r="CL22" s="16" t="n">
        <f aca="false">CK23</f>
        <v>0</v>
      </c>
      <c r="CM22" s="16" t="n">
        <f aca="false">CL23</f>
        <v>0</v>
      </c>
      <c r="CN22" s="16" t="n">
        <f aca="false">CM23</f>
        <v>0</v>
      </c>
      <c r="CO22" s="16" t="n">
        <f aca="false">CN23</f>
        <v>0</v>
      </c>
      <c r="CP22" s="16" t="n">
        <f aca="false">CO23</f>
        <v>0</v>
      </c>
      <c r="CQ22" s="16" t="n">
        <f aca="false">CP23</f>
        <v>0</v>
      </c>
      <c r="CR22" s="16" t="n">
        <f aca="false">CQ23</f>
        <v>0</v>
      </c>
      <c r="CS22" s="16" t="n">
        <f aca="false">CR23</f>
        <v>0</v>
      </c>
      <c r="CT22" s="16" t="n">
        <f aca="false">CS23</f>
        <v>0</v>
      </c>
      <c r="CU22" s="16" t="n">
        <f aca="false">CT23</f>
        <v>0</v>
      </c>
      <c r="CV22" s="16" t="n">
        <f aca="false">CU23</f>
        <v>0</v>
      </c>
      <c r="CW22" s="16" t="n">
        <f aca="false">CV23</f>
        <v>0</v>
      </c>
      <c r="CX22" s="16" t="n">
        <f aca="false">CW23</f>
        <v>0</v>
      </c>
    </row>
    <row r="23" customFormat="false" ht="15" hidden="false" customHeight="false" outlineLevel="0" collapsed="false">
      <c r="A23" s="1" t="n">
        <f aca="false">A22+1</f>
        <v>20</v>
      </c>
      <c r="B23" s="16" t="n">
        <f aca="false">B22</f>
        <v>0</v>
      </c>
      <c r="C23" s="16" t="n">
        <f aca="false">B24</f>
        <v>0</v>
      </c>
      <c r="D23" s="16" t="n">
        <f aca="false">C24</f>
        <v>0</v>
      </c>
      <c r="E23" s="16" t="n">
        <f aca="false">D24</f>
        <v>0</v>
      </c>
      <c r="F23" s="16" t="n">
        <f aca="false">E24</f>
        <v>0</v>
      </c>
      <c r="G23" s="16" t="n">
        <f aca="false">F24</f>
        <v>0</v>
      </c>
      <c r="H23" s="16" t="n">
        <f aca="false">G24</f>
        <v>0</v>
      </c>
      <c r="I23" s="16" t="n">
        <f aca="false">H24</f>
        <v>0</v>
      </c>
      <c r="J23" s="16" t="n">
        <f aca="false">I24</f>
        <v>0</v>
      </c>
      <c r="K23" s="16" t="n">
        <f aca="false">J24</f>
        <v>0</v>
      </c>
      <c r="L23" s="16" t="n">
        <f aca="false">K24</f>
        <v>0</v>
      </c>
      <c r="M23" s="16" t="n">
        <f aca="false">L24</f>
        <v>0</v>
      </c>
      <c r="N23" s="16" t="n">
        <f aca="false">M24</f>
        <v>0</v>
      </c>
      <c r="O23" s="16" t="n">
        <f aca="false">N24</f>
        <v>0</v>
      </c>
      <c r="P23" s="16" t="n">
        <f aca="false">O24</f>
        <v>0</v>
      </c>
      <c r="Q23" s="16" t="n">
        <f aca="false">P24</f>
        <v>0</v>
      </c>
      <c r="R23" s="16" t="n">
        <f aca="false">Q24</f>
        <v>0</v>
      </c>
      <c r="S23" s="16" t="n">
        <f aca="false">R24</f>
        <v>0</v>
      </c>
      <c r="T23" s="16" t="n">
        <f aca="false">S24</f>
        <v>0</v>
      </c>
      <c r="U23" s="16" t="n">
        <f aca="false">T24</f>
        <v>0</v>
      </c>
      <c r="V23" s="16" t="n">
        <f aca="false">U24</f>
        <v>0</v>
      </c>
      <c r="W23" s="16" t="n">
        <f aca="false">V24</f>
        <v>0</v>
      </c>
      <c r="X23" s="16" t="n">
        <f aca="false">W24</f>
        <v>0</v>
      </c>
      <c r="Y23" s="16" t="n">
        <f aca="false">X24</f>
        <v>0</v>
      </c>
      <c r="Z23" s="16" t="n">
        <f aca="false">Y24</f>
        <v>0</v>
      </c>
      <c r="AA23" s="16" t="n">
        <f aca="false">Z24</f>
        <v>0</v>
      </c>
      <c r="AB23" s="16" t="n">
        <f aca="false">AA24</f>
        <v>0</v>
      </c>
      <c r="AC23" s="16" t="n">
        <f aca="false">AB24</f>
        <v>0</v>
      </c>
      <c r="AD23" s="16" t="n">
        <f aca="false">AC24</f>
        <v>0</v>
      </c>
      <c r="AE23" s="16" t="n">
        <f aca="false">AD24</f>
        <v>0</v>
      </c>
      <c r="AF23" s="16" t="n">
        <f aca="false">AE24</f>
        <v>0</v>
      </c>
      <c r="AG23" s="16" t="n">
        <f aca="false">AF24</f>
        <v>0</v>
      </c>
      <c r="AH23" s="16" t="n">
        <f aca="false">AG24</f>
        <v>0</v>
      </c>
      <c r="AI23" s="16" t="n">
        <f aca="false">AH24</f>
        <v>0</v>
      </c>
      <c r="AJ23" s="16" t="n">
        <f aca="false">AI24</f>
        <v>0</v>
      </c>
      <c r="AK23" s="16" t="n">
        <f aca="false">AJ24</f>
        <v>0</v>
      </c>
      <c r="AL23" s="16" t="n">
        <f aca="false">AK24</f>
        <v>0</v>
      </c>
      <c r="AM23" s="16" t="n">
        <f aca="false">AL24</f>
        <v>0</v>
      </c>
      <c r="AN23" s="16" t="n">
        <f aca="false">AM24</f>
        <v>0</v>
      </c>
      <c r="AO23" s="16" t="n">
        <f aca="false">AN24</f>
        <v>0</v>
      </c>
      <c r="AP23" s="16" t="n">
        <f aca="false">AO24</f>
        <v>0</v>
      </c>
      <c r="AQ23" s="16" t="n">
        <f aca="false">AP24</f>
        <v>0</v>
      </c>
      <c r="AR23" s="16" t="n">
        <f aca="false">AQ24</f>
        <v>0</v>
      </c>
      <c r="AS23" s="16" t="n">
        <f aca="false">AR24</f>
        <v>0</v>
      </c>
      <c r="AT23" s="16" t="n">
        <f aca="false">AS24</f>
        <v>0</v>
      </c>
      <c r="AU23" s="16" t="n">
        <f aca="false">AT24</f>
        <v>0</v>
      </c>
      <c r="AV23" s="16" t="n">
        <f aca="false">AU24</f>
        <v>0</v>
      </c>
      <c r="AW23" s="16" t="n">
        <f aca="false">AV24</f>
        <v>0</v>
      </c>
      <c r="AX23" s="16" t="n">
        <f aca="false">AW24</f>
        <v>0</v>
      </c>
      <c r="AY23" s="16" t="n">
        <f aca="false">AX24</f>
        <v>0</v>
      </c>
      <c r="AZ23" s="16" t="n">
        <f aca="false">AY24</f>
        <v>0</v>
      </c>
      <c r="BA23" s="16" t="n">
        <f aca="false">AZ24</f>
        <v>0</v>
      </c>
      <c r="BB23" s="16" t="n">
        <f aca="false">BA24</f>
        <v>0</v>
      </c>
      <c r="BC23" s="16" t="n">
        <f aca="false">BB24</f>
        <v>0</v>
      </c>
      <c r="BD23" s="16" t="n">
        <f aca="false">BC24</f>
        <v>0</v>
      </c>
      <c r="BE23" s="16" t="n">
        <f aca="false">BD24</f>
        <v>0</v>
      </c>
      <c r="BF23" s="16" t="n">
        <f aca="false">BE24</f>
        <v>0</v>
      </c>
      <c r="BG23" s="16" t="n">
        <f aca="false">BF24</f>
        <v>0</v>
      </c>
      <c r="BH23" s="16" t="n">
        <f aca="false">BG24</f>
        <v>0</v>
      </c>
      <c r="BI23" s="16" t="n">
        <f aca="false">BH24</f>
        <v>0</v>
      </c>
      <c r="BJ23" s="16" t="n">
        <f aca="false">BI24</f>
        <v>0</v>
      </c>
      <c r="BK23" s="16" t="n">
        <f aca="false">BJ24</f>
        <v>0</v>
      </c>
      <c r="BL23" s="16" t="n">
        <f aca="false">BK24</f>
        <v>0</v>
      </c>
      <c r="BM23" s="16" t="n">
        <f aca="false">BL24</f>
        <v>0</v>
      </c>
      <c r="BN23" s="16" t="n">
        <f aca="false">BM24</f>
        <v>0</v>
      </c>
      <c r="BO23" s="16" t="n">
        <f aca="false">BN24</f>
        <v>0</v>
      </c>
      <c r="BP23" s="16" t="n">
        <f aca="false">BO24</f>
        <v>0</v>
      </c>
      <c r="BQ23" s="16" t="n">
        <f aca="false">BP24</f>
        <v>0</v>
      </c>
      <c r="BR23" s="16" t="n">
        <f aca="false">BQ24</f>
        <v>0</v>
      </c>
      <c r="BS23" s="16" t="n">
        <f aca="false">BR24</f>
        <v>0</v>
      </c>
      <c r="BT23" s="16" t="n">
        <f aca="false">BS24</f>
        <v>0</v>
      </c>
      <c r="BU23" s="16" t="n">
        <f aca="false">BT24</f>
        <v>0</v>
      </c>
      <c r="BV23" s="16" t="n">
        <f aca="false">BU24</f>
        <v>0</v>
      </c>
      <c r="BW23" s="16" t="n">
        <f aca="false">BV24</f>
        <v>0</v>
      </c>
      <c r="BX23" s="16" t="n">
        <f aca="false">BW24</f>
        <v>0</v>
      </c>
      <c r="BY23" s="16" t="n">
        <f aca="false">BX24</f>
        <v>0</v>
      </c>
      <c r="BZ23" s="16" t="n">
        <f aca="false">BY24</f>
        <v>0</v>
      </c>
      <c r="CA23" s="16" t="n">
        <f aca="false">BZ24</f>
        <v>0</v>
      </c>
      <c r="CB23" s="16" t="n">
        <f aca="false">CA24</f>
        <v>0</v>
      </c>
      <c r="CC23" s="16" t="n">
        <f aca="false">CB24</f>
        <v>0</v>
      </c>
      <c r="CD23" s="16" t="n">
        <f aca="false">CC24</f>
        <v>0</v>
      </c>
      <c r="CE23" s="16" t="n">
        <f aca="false">CD24</f>
        <v>0</v>
      </c>
      <c r="CF23" s="16" t="n">
        <f aca="false">CE24</f>
        <v>0</v>
      </c>
      <c r="CG23" s="16" t="n">
        <f aca="false">CF24</f>
        <v>0</v>
      </c>
      <c r="CH23" s="16" t="n">
        <f aca="false">CG24</f>
        <v>0</v>
      </c>
      <c r="CI23" s="16" t="n">
        <f aca="false">CH24</f>
        <v>0</v>
      </c>
      <c r="CJ23" s="16" t="n">
        <f aca="false">CI24</f>
        <v>0</v>
      </c>
      <c r="CK23" s="16" t="n">
        <f aca="false">CJ24</f>
        <v>0</v>
      </c>
      <c r="CL23" s="16" t="n">
        <f aca="false">CK24</f>
        <v>0</v>
      </c>
      <c r="CM23" s="16" t="n">
        <f aca="false">CL24</f>
        <v>0</v>
      </c>
      <c r="CN23" s="16" t="n">
        <f aca="false">CM24</f>
        <v>0</v>
      </c>
      <c r="CO23" s="16" t="n">
        <f aca="false">CN24</f>
        <v>0</v>
      </c>
      <c r="CP23" s="16" t="n">
        <f aca="false">CO24</f>
        <v>0</v>
      </c>
      <c r="CQ23" s="16" t="n">
        <f aca="false">CP24</f>
        <v>0</v>
      </c>
      <c r="CR23" s="16" t="n">
        <f aca="false">CQ24</f>
        <v>0</v>
      </c>
      <c r="CS23" s="16" t="n">
        <f aca="false">CR24</f>
        <v>0</v>
      </c>
      <c r="CT23" s="16" t="n">
        <f aca="false">CS24</f>
        <v>0</v>
      </c>
      <c r="CU23" s="16" t="n">
        <f aca="false">CT24</f>
        <v>0</v>
      </c>
      <c r="CV23" s="16" t="n">
        <f aca="false">CU24</f>
        <v>0</v>
      </c>
      <c r="CW23" s="16" t="n">
        <f aca="false">CV24</f>
        <v>0</v>
      </c>
      <c r="CX23" s="16" t="n">
        <f aca="false">CW24</f>
        <v>0</v>
      </c>
    </row>
    <row r="24" customFormat="false" ht="15" hidden="false" customHeight="false" outlineLevel="0" collapsed="false">
      <c r="A24" s="1" t="n">
        <f aca="false">A23+1</f>
        <v>21</v>
      </c>
      <c r="B24" s="16" t="n">
        <f aca="false">B23</f>
        <v>0</v>
      </c>
      <c r="C24" s="16" t="n">
        <f aca="false">B25</f>
        <v>0</v>
      </c>
      <c r="D24" s="16" t="n">
        <f aca="false">C25</f>
        <v>0</v>
      </c>
      <c r="E24" s="16" t="n">
        <f aca="false">D25</f>
        <v>0</v>
      </c>
      <c r="F24" s="16" t="n">
        <f aca="false">E25</f>
        <v>0</v>
      </c>
      <c r="G24" s="16" t="n">
        <f aca="false">F25</f>
        <v>0</v>
      </c>
      <c r="H24" s="16" t="n">
        <f aca="false">G25</f>
        <v>0</v>
      </c>
      <c r="I24" s="16" t="n">
        <f aca="false">H25</f>
        <v>0</v>
      </c>
      <c r="J24" s="16" t="n">
        <f aca="false">I25</f>
        <v>0</v>
      </c>
      <c r="K24" s="16" t="n">
        <f aca="false">J25</f>
        <v>0</v>
      </c>
      <c r="L24" s="16" t="n">
        <f aca="false">K25</f>
        <v>0</v>
      </c>
      <c r="M24" s="16" t="n">
        <f aca="false">L25</f>
        <v>0</v>
      </c>
      <c r="N24" s="16" t="n">
        <f aca="false">M25</f>
        <v>0</v>
      </c>
      <c r="O24" s="16" t="n">
        <f aca="false">N25</f>
        <v>0</v>
      </c>
      <c r="P24" s="16" t="n">
        <f aca="false">O25</f>
        <v>0</v>
      </c>
      <c r="Q24" s="16" t="n">
        <f aca="false">P25</f>
        <v>0</v>
      </c>
      <c r="R24" s="16" t="n">
        <f aca="false">Q25</f>
        <v>0</v>
      </c>
      <c r="S24" s="16" t="n">
        <f aca="false">R25</f>
        <v>0</v>
      </c>
      <c r="T24" s="16" t="n">
        <f aca="false">S25</f>
        <v>0</v>
      </c>
      <c r="U24" s="16" t="n">
        <f aca="false">T25</f>
        <v>0</v>
      </c>
      <c r="V24" s="16" t="n">
        <f aca="false">U25</f>
        <v>0</v>
      </c>
      <c r="W24" s="16" t="n">
        <f aca="false">V25</f>
        <v>0</v>
      </c>
      <c r="X24" s="16" t="n">
        <f aca="false">W25</f>
        <v>0</v>
      </c>
      <c r="Y24" s="16" t="n">
        <f aca="false">X25</f>
        <v>0</v>
      </c>
      <c r="Z24" s="16" t="n">
        <f aca="false">Y25</f>
        <v>0</v>
      </c>
      <c r="AA24" s="16" t="n">
        <f aca="false">Z25</f>
        <v>0</v>
      </c>
      <c r="AB24" s="16" t="n">
        <f aca="false">AA25</f>
        <v>0</v>
      </c>
      <c r="AC24" s="16" t="n">
        <f aca="false">AB25</f>
        <v>0</v>
      </c>
      <c r="AD24" s="16" t="n">
        <f aca="false">AC25</f>
        <v>0</v>
      </c>
      <c r="AE24" s="16" t="n">
        <f aca="false">AD25</f>
        <v>0</v>
      </c>
      <c r="AF24" s="16" t="n">
        <f aca="false">AE25</f>
        <v>0</v>
      </c>
      <c r="AG24" s="16" t="n">
        <f aca="false">AF25</f>
        <v>0</v>
      </c>
      <c r="AH24" s="16" t="n">
        <f aca="false">AG25</f>
        <v>0</v>
      </c>
      <c r="AI24" s="16" t="n">
        <f aca="false">AH25</f>
        <v>0</v>
      </c>
      <c r="AJ24" s="16" t="n">
        <f aca="false">AI25</f>
        <v>0</v>
      </c>
      <c r="AK24" s="16" t="n">
        <f aca="false">AJ25</f>
        <v>0</v>
      </c>
      <c r="AL24" s="16" t="n">
        <f aca="false">AK25</f>
        <v>0</v>
      </c>
      <c r="AM24" s="16" t="n">
        <f aca="false">AL25</f>
        <v>0</v>
      </c>
      <c r="AN24" s="16" t="n">
        <f aca="false">AM25</f>
        <v>0</v>
      </c>
      <c r="AO24" s="16" t="n">
        <f aca="false">AN25</f>
        <v>0</v>
      </c>
      <c r="AP24" s="16" t="n">
        <f aca="false">AO25</f>
        <v>0</v>
      </c>
      <c r="AQ24" s="16" t="n">
        <f aca="false">AP25</f>
        <v>0</v>
      </c>
      <c r="AR24" s="16" t="n">
        <f aca="false">AQ25</f>
        <v>0</v>
      </c>
      <c r="AS24" s="16" t="n">
        <f aca="false">AR25</f>
        <v>0</v>
      </c>
      <c r="AT24" s="16" t="n">
        <f aca="false">AS25</f>
        <v>0</v>
      </c>
      <c r="AU24" s="16" t="n">
        <f aca="false">AT25</f>
        <v>0</v>
      </c>
      <c r="AV24" s="16" t="n">
        <f aca="false">AU25</f>
        <v>0</v>
      </c>
      <c r="AW24" s="16" t="n">
        <f aca="false">AV25</f>
        <v>0</v>
      </c>
      <c r="AX24" s="16" t="n">
        <f aca="false">AW25</f>
        <v>0</v>
      </c>
      <c r="AY24" s="16" t="n">
        <f aca="false">AX25</f>
        <v>0</v>
      </c>
      <c r="AZ24" s="16" t="n">
        <f aca="false">AY25</f>
        <v>0</v>
      </c>
      <c r="BA24" s="16" t="n">
        <f aca="false">AZ25</f>
        <v>0</v>
      </c>
      <c r="BB24" s="16" t="n">
        <f aca="false">BA25</f>
        <v>0</v>
      </c>
      <c r="BC24" s="16" t="n">
        <f aca="false">BB25</f>
        <v>0</v>
      </c>
      <c r="BD24" s="16" t="n">
        <f aca="false">BC25</f>
        <v>0</v>
      </c>
      <c r="BE24" s="16" t="n">
        <f aca="false">BD25</f>
        <v>0</v>
      </c>
      <c r="BF24" s="16" t="n">
        <f aca="false">BE25</f>
        <v>0</v>
      </c>
      <c r="BG24" s="16" t="n">
        <f aca="false">BF25</f>
        <v>0</v>
      </c>
      <c r="BH24" s="16" t="n">
        <f aca="false">BG25</f>
        <v>0</v>
      </c>
      <c r="BI24" s="16" t="n">
        <f aca="false">BH25</f>
        <v>0</v>
      </c>
      <c r="BJ24" s="16" t="n">
        <f aca="false">BI25</f>
        <v>0</v>
      </c>
      <c r="BK24" s="16" t="n">
        <f aca="false">BJ25</f>
        <v>0</v>
      </c>
      <c r="BL24" s="16" t="n">
        <f aca="false">BK25</f>
        <v>0</v>
      </c>
      <c r="BM24" s="16" t="n">
        <f aca="false">BL25</f>
        <v>0</v>
      </c>
      <c r="BN24" s="16" t="n">
        <f aca="false">BM25</f>
        <v>0</v>
      </c>
      <c r="BO24" s="16" t="n">
        <f aca="false">BN25</f>
        <v>0</v>
      </c>
      <c r="BP24" s="16" t="n">
        <f aca="false">BO25</f>
        <v>0</v>
      </c>
      <c r="BQ24" s="16" t="n">
        <f aca="false">BP25</f>
        <v>0</v>
      </c>
      <c r="BR24" s="16" t="n">
        <f aca="false">BQ25</f>
        <v>0</v>
      </c>
      <c r="BS24" s="16" t="n">
        <f aca="false">BR25</f>
        <v>0</v>
      </c>
      <c r="BT24" s="16" t="n">
        <f aca="false">BS25</f>
        <v>0</v>
      </c>
      <c r="BU24" s="16" t="n">
        <f aca="false">BT25</f>
        <v>0</v>
      </c>
      <c r="BV24" s="16" t="n">
        <f aca="false">BU25</f>
        <v>0</v>
      </c>
      <c r="BW24" s="16" t="n">
        <f aca="false">BV25</f>
        <v>0</v>
      </c>
      <c r="BX24" s="16" t="n">
        <f aca="false">BW25</f>
        <v>0</v>
      </c>
      <c r="BY24" s="16" t="n">
        <f aca="false">BX25</f>
        <v>0</v>
      </c>
      <c r="BZ24" s="16" t="n">
        <f aca="false">BY25</f>
        <v>0</v>
      </c>
      <c r="CA24" s="16" t="n">
        <f aca="false">BZ25</f>
        <v>0</v>
      </c>
      <c r="CB24" s="16" t="n">
        <f aca="false">CA25</f>
        <v>0</v>
      </c>
      <c r="CC24" s="16" t="n">
        <f aca="false">CB25</f>
        <v>0</v>
      </c>
      <c r="CD24" s="16" t="n">
        <f aca="false">CC25</f>
        <v>0</v>
      </c>
      <c r="CE24" s="16" t="n">
        <f aca="false">CD25</f>
        <v>0</v>
      </c>
      <c r="CF24" s="16" t="n">
        <f aca="false">CE25</f>
        <v>0</v>
      </c>
      <c r="CG24" s="16" t="n">
        <f aca="false">CF25</f>
        <v>0</v>
      </c>
      <c r="CH24" s="16" t="n">
        <f aca="false">CG25</f>
        <v>0</v>
      </c>
      <c r="CI24" s="16" t="n">
        <f aca="false">CH25</f>
        <v>0</v>
      </c>
      <c r="CJ24" s="16" t="n">
        <f aca="false">CI25</f>
        <v>0</v>
      </c>
      <c r="CK24" s="16" t="n">
        <f aca="false">CJ25</f>
        <v>0</v>
      </c>
      <c r="CL24" s="16" t="n">
        <f aca="false">CK25</f>
        <v>0</v>
      </c>
      <c r="CM24" s="16" t="n">
        <f aca="false">CL25</f>
        <v>0</v>
      </c>
      <c r="CN24" s="16" t="n">
        <f aca="false">CM25</f>
        <v>0</v>
      </c>
      <c r="CO24" s="16" t="n">
        <f aca="false">CN25</f>
        <v>0</v>
      </c>
      <c r="CP24" s="16" t="n">
        <f aca="false">CO25</f>
        <v>0</v>
      </c>
      <c r="CQ24" s="16" t="n">
        <f aca="false">CP25</f>
        <v>0</v>
      </c>
      <c r="CR24" s="16" t="n">
        <f aca="false">CQ25</f>
        <v>0</v>
      </c>
      <c r="CS24" s="16" t="n">
        <f aca="false">CR25</f>
        <v>0</v>
      </c>
      <c r="CT24" s="16" t="n">
        <f aca="false">CS25</f>
        <v>0</v>
      </c>
      <c r="CU24" s="16" t="n">
        <f aca="false">CT25</f>
        <v>0</v>
      </c>
      <c r="CV24" s="16" t="n">
        <f aca="false">CU25</f>
        <v>0</v>
      </c>
      <c r="CW24" s="16" t="n">
        <f aca="false">CV25</f>
        <v>0</v>
      </c>
      <c r="CX24" s="16" t="n">
        <f aca="false">CW25</f>
        <v>0</v>
      </c>
    </row>
    <row r="25" customFormat="false" ht="15" hidden="false" customHeight="false" outlineLevel="0" collapsed="false">
      <c r="A25" s="1" t="n">
        <f aca="false">A24+1</f>
        <v>22</v>
      </c>
      <c r="B25" s="16" t="n">
        <f aca="false">B24</f>
        <v>0</v>
      </c>
      <c r="C25" s="16" t="n">
        <f aca="false">B26</f>
        <v>0</v>
      </c>
      <c r="D25" s="16" t="n">
        <f aca="false">C26</f>
        <v>0</v>
      </c>
      <c r="E25" s="16" t="n">
        <f aca="false">D26</f>
        <v>0</v>
      </c>
      <c r="F25" s="16" t="n">
        <f aca="false">E26</f>
        <v>0</v>
      </c>
      <c r="G25" s="16" t="n">
        <f aca="false">F26</f>
        <v>0</v>
      </c>
      <c r="H25" s="16" t="n">
        <f aca="false">G26</f>
        <v>0</v>
      </c>
      <c r="I25" s="16" t="n">
        <f aca="false">H26</f>
        <v>0</v>
      </c>
      <c r="J25" s="16" t="n">
        <f aca="false">I26</f>
        <v>0</v>
      </c>
      <c r="K25" s="16" t="n">
        <f aca="false">J26</f>
        <v>0</v>
      </c>
      <c r="L25" s="16" t="n">
        <f aca="false">K26</f>
        <v>0</v>
      </c>
      <c r="M25" s="16" t="n">
        <f aca="false">L26</f>
        <v>0</v>
      </c>
      <c r="N25" s="16" t="n">
        <f aca="false">M26</f>
        <v>0</v>
      </c>
      <c r="O25" s="16" t="n">
        <f aca="false">N26</f>
        <v>0</v>
      </c>
      <c r="P25" s="16" t="n">
        <f aca="false">O26</f>
        <v>0</v>
      </c>
      <c r="Q25" s="16" t="n">
        <f aca="false">P26</f>
        <v>0</v>
      </c>
      <c r="R25" s="16" t="n">
        <f aca="false">Q26</f>
        <v>0</v>
      </c>
      <c r="S25" s="16" t="n">
        <f aca="false">R26</f>
        <v>0</v>
      </c>
      <c r="T25" s="16" t="n">
        <f aca="false">S26</f>
        <v>0</v>
      </c>
      <c r="U25" s="16" t="n">
        <f aca="false">T26</f>
        <v>0</v>
      </c>
      <c r="V25" s="16" t="n">
        <f aca="false">U26</f>
        <v>0</v>
      </c>
      <c r="W25" s="16" t="n">
        <f aca="false">V26</f>
        <v>0</v>
      </c>
      <c r="X25" s="16" t="n">
        <f aca="false">W26</f>
        <v>0</v>
      </c>
      <c r="Y25" s="16" t="n">
        <f aca="false">X26</f>
        <v>0</v>
      </c>
      <c r="Z25" s="16" t="n">
        <f aca="false">Y26</f>
        <v>0</v>
      </c>
      <c r="AA25" s="16" t="n">
        <f aca="false">Z26</f>
        <v>0</v>
      </c>
      <c r="AB25" s="16" t="n">
        <f aca="false">AA26</f>
        <v>0</v>
      </c>
      <c r="AC25" s="16" t="n">
        <f aca="false">AB26</f>
        <v>0</v>
      </c>
      <c r="AD25" s="16" t="n">
        <f aca="false">AC26</f>
        <v>0</v>
      </c>
      <c r="AE25" s="16" t="n">
        <f aca="false">AD26</f>
        <v>0</v>
      </c>
      <c r="AF25" s="16" t="n">
        <f aca="false">AE26</f>
        <v>0</v>
      </c>
      <c r="AG25" s="16" t="n">
        <f aca="false">AF26</f>
        <v>0</v>
      </c>
      <c r="AH25" s="16" t="n">
        <f aca="false">AG26</f>
        <v>0</v>
      </c>
      <c r="AI25" s="16" t="n">
        <f aca="false">AH26</f>
        <v>0</v>
      </c>
      <c r="AJ25" s="16" t="n">
        <f aca="false">AI26</f>
        <v>0</v>
      </c>
      <c r="AK25" s="16" t="n">
        <f aca="false">AJ26</f>
        <v>0</v>
      </c>
      <c r="AL25" s="16" t="n">
        <f aca="false">AK26</f>
        <v>0</v>
      </c>
      <c r="AM25" s="16" t="n">
        <f aca="false">AL26</f>
        <v>0</v>
      </c>
      <c r="AN25" s="16" t="n">
        <f aca="false">AM26</f>
        <v>0</v>
      </c>
      <c r="AO25" s="16" t="n">
        <f aca="false">AN26</f>
        <v>0</v>
      </c>
      <c r="AP25" s="16" t="n">
        <f aca="false">AO26</f>
        <v>0</v>
      </c>
      <c r="AQ25" s="16" t="n">
        <f aca="false">AP26</f>
        <v>0</v>
      </c>
      <c r="AR25" s="16" t="n">
        <f aca="false">AQ26</f>
        <v>0</v>
      </c>
      <c r="AS25" s="16" t="n">
        <f aca="false">AR26</f>
        <v>0</v>
      </c>
      <c r="AT25" s="16" t="n">
        <f aca="false">AS26</f>
        <v>0</v>
      </c>
      <c r="AU25" s="16" t="n">
        <f aca="false">AT26</f>
        <v>0</v>
      </c>
      <c r="AV25" s="16" t="n">
        <f aca="false">AU26</f>
        <v>0</v>
      </c>
      <c r="AW25" s="16" t="n">
        <f aca="false">AV26</f>
        <v>0</v>
      </c>
      <c r="AX25" s="16" t="n">
        <f aca="false">AW26</f>
        <v>0</v>
      </c>
      <c r="AY25" s="16" t="n">
        <f aca="false">AX26</f>
        <v>0</v>
      </c>
      <c r="AZ25" s="16" t="n">
        <f aca="false">AY26</f>
        <v>0</v>
      </c>
      <c r="BA25" s="16" t="n">
        <f aca="false">AZ26</f>
        <v>0</v>
      </c>
      <c r="BB25" s="16" t="n">
        <f aca="false">BA26</f>
        <v>0</v>
      </c>
      <c r="BC25" s="16" t="n">
        <f aca="false">BB26</f>
        <v>0</v>
      </c>
      <c r="BD25" s="16" t="n">
        <f aca="false">BC26</f>
        <v>0</v>
      </c>
      <c r="BE25" s="16" t="n">
        <f aca="false">BD26</f>
        <v>0</v>
      </c>
      <c r="BF25" s="16" t="n">
        <f aca="false">BE26</f>
        <v>0</v>
      </c>
      <c r="BG25" s="16" t="n">
        <f aca="false">BF26</f>
        <v>0</v>
      </c>
      <c r="BH25" s="16" t="n">
        <f aca="false">BG26</f>
        <v>0</v>
      </c>
      <c r="BI25" s="16" t="n">
        <f aca="false">BH26</f>
        <v>0</v>
      </c>
      <c r="BJ25" s="16" t="n">
        <f aca="false">BI26</f>
        <v>0</v>
      </c>
      <c r="BK25" s="16" t="n">
        <f aca="false">BJ26</f>
        <v>0</v>
      </c>
      <c r="BL25" s="16" t="n">
        <f aca="false">BK26</f>
        <v>0</v>
      </c>
      <c r="BM25" s="16" t="n">
        <f aca="false">BL26</f>
        <v>0</v>
      </c>
      <c r="BN25" s="16" t="n">
        <f aca="false">BM26</f>
        <v>0</v>
      </c>
      <c r="BO25" s="16" t="n">
        <f aca="false">BN26</f>
        <v>0</v>
      </c>
      <c r="BP25" s="16" t="n">
        <f aca="false">BO26</f>
        <v>0</v>
      </c>
      <c r="BQ25" s="16" t="n">
        <f aca="false">BP26</f>
        <v>0</v>
      </c>
      <c r="BR25" s="16" t="n">
        <f aca="false">BQ26</f>
        <v>0</v>
      </c>
      <c r="BS25" s="16" t="n">
        <f aca="false">BR26</f>
        <v>0</v>
      </c>
      <c r="BT25" s="16" t="n">
        <f aca="false">BS26</f>
        <v>0</v>
      </c>
      <c r="BU25" s="16" t="n">
        <f aca="false">BT26</f>
        <v>0</v>
      </c>
      <c r="BV25" s="16" t="n">
        <f aca="false">BU26</f>
        <v>0</v>
      </c>
      <c r="BW25" s="16" t="n">
        <f aca="false">BV26</f>
        <v>0</v>
      </c>
      <c r="BX25" s="16" t="n">
        <f aca="false">BW26</f>
        <v>0</v>
      </c>
      <c r="BY25" s="16" t="n">
        <f aca="false">BX26</f>
        <v>0</v>
      </c>
      <c r="BZ25" s="16" t="n">
        <f aca="false">BY26</f>
        <v>0</v>
      </c>
      <c r="CA25" s="16" t="n">
        <f aca="false">BZ26</f>
        <v>0</v>
      </c>
      <c r="CB25" s="16" t="n">
        <f aca="false">CA26</f>
        <v>0</v>
      </c>
      <c r="CC25" s="16" t="n">
        <f aca="false">CB26</f>
        <v>0</v>
      </c>
      <c r="CD25" s="16" t="n">
        <f aca="false">CC26</f>
        <v>0</v>
      </c>
      <c r="CE25" s="16" t="n">
        <f aca="false">CD26</f>
        <v>0</v>
      </c>
      <c r="CF25" s="16" t="n">
        <f aca="false">CE26</f>
        <v>0</v>
      </c>
      <c r="CG25" s="16" t="n">
        <f aca="false">CF26</f>
        <v>0</v>
      </c>
      <c r="CH25" s="16" t="n">
        <f aca="false">CG26</f>
        <v>0</v>
      </c>
      <c r="CI25" s="16" t="n">
        <f aca="false">CH26</f>
        <v>0</v>
      </c>
      <c r="CJ25" s="16" t="n">
        <f aca="false">CI26</f>
        <v>0</v>
      </c>
      <c r="CK25" s="16" t="n">
        <f aca="false">CJ26</f>
        <v>0</v>
      </c>
      <c r="CL25" s="16" t="n">
        <f aca="false">CK26</f>
        <v>0</v>
      </c>
      <c r="CM25" s="16" t="n">
        <f aca="false">CL26</f>
        <v>0</v>
      </c>
      <c r="CN25" s="16" t="n">
        <f aca="false">CM26</f>
        <v>0</v>
      </c>
      <c r="CO25" s="16" t="n">
        <f aca="false">CN26</f>
        <v>0</v>
      </c>
      <c r="CP25" s="16" t="n">
        <f aca="false">CO26</f>
        <v>0</v>
      </c>
      <c r="CQ25" s="16" t="n">
        <f aca="false">CP26</f>
        <v>0</v>
      </c>
      <c r="CR25" s="16" t="n">
        <f aca="false">CQ26</f>
        <v>0</v>
      </c>
      <c r="CS25" s="16" t="n">
        <f aca="false">CR26</f>
        <v>0</v>
      </c>
      <c r="CT25" s="16" t="n">
        <f aca="false">CS26</f>
        <v>0</v>
      </c>
      <c r="CU25" s="16" t="n">
        <f aca="false">CT26</f>
        <v>0</v>
      </c>
      <c r="CV25" s="16" t="n">
        <f aca="false">CU26</f>
        <v>0</v>
      </c>
      <c r="CW25" s="16" t="n">
        <f aca="false">CV26</f>
        <v>0</v>
      </c>
      <c r="CX25" s="16" t="n">
        <f aca="false">CW26</f>
        <v>0</v>
      </c>
    </row>
    <row r="26" customFormat="false" ht="15" hidden="false" customHeight="false" outlineLevel="0" collapsed="false">
      <c r="A26" s="1" t="n">
        <f aca="false">A25+1</f>
        <v>23</v>
      </c>
      <c r="B26" s="16" t="n">
        <f aca="false">B25</f>
        <v>0</v>
      </c>
      <c r="C26" s="16" t="n">
        <f aca="false">B27</f>
        <v>0</v>
      </c>
      <c r="D26" s="16" t="n">
        <f aca="false">C27</f>
        <v>0</v>
      </c>
      <c r="E26" s="16" t="n">
        <f aca="false">D27</f>
        <v>0</v>
      </c>
      <c r="F26" s="16" t="n">
        <f aca="false">E27</f>
        <v>0</v>
      </c>
      <c r="G26" s="16" t="n">
        <f aca="false">F27</f>
        <v>0</v>
      </c>
      <c r="H26" s="16" t="n">
        <f aca="false">G27</f>
        <v>0</v>
      </c>
      <c r="I26" s="16" t="n">
        <f aca="false">H27</f>
        <v>0</v>
      </c>
      <c r="J26" s="16" t="n">
        <f aca="false">I27</f>
        <v>0</v>
      </c>
      <c r="K26" s="16" t="n">
        <f aca="false">J27</f>
        <v>0</v>
      </c>
      <c r="L26" s="16" t="n">
        <f aca="false">K27</f>
        <v>0</v>
      </c>
      <c r="M26" s="16" t="n">
        <f aca="false">L27</f>
        <v>0</v>
      </c>
      <c r="N26" s="16" t="n">
        <f aca="false">M27</f>
        <v>0</v>
      </c>
      <c r="O26" s="16" t="n">
        <f aca="false">N27</f>
        <v>0</v>
      </c>
      <c r="P26" s="16" t="n">
        <f aca="false">O27</f>
        <v>0</v>
      </c>
      <c r="Q26" s="16" t="n">
        <f aca="false">P27</f>
        <v>0</v>
      </c>
      <c r="R26" s="16" t="n">
        <f aca="false">Q27</f>
        <v>0</v>
      </c>
      <c r="S26" s="16" t="n">
        <f aca="false">R27</f>
        <v>0</v>
      </c>
      <c r="T26" s="16" t="n">
        <f aca="false">S27</f>
        <v>0</v>
      </c>
      <c r="U26" s="16" t="n">
        <f aca="false">T27</f>
        <v>0</v>
      </c>
      <c r="V26" s="16" t="n">
        <f aca="false">U27</f>
        <v>0</v>
      </c>
      <c r="W26" s="16" t="n">
        <f aca="false">V27</f>
        <v>0</v>
      </c>
      <c r="X26" s="16" t="n">
        <f aca="false">W27</f>
        <v>0</v>
      </c>
      <c r="Y26" s="16" t="n">
        <f aca="false">X27</f>
        <v>0</v>
      </c>
      <c r="Z26" s="16" t="n">
        <f aca="false">Y27</f>
        <v>0</v>
      </c>
      <c r="AA26" s="16" t="n">
        <f aca="false">Z27</f>
        <v>0</v>
      </c>
      <c r="AB26" s="16" t="n">
        <f aca="false">AA27</f>
        <v>0</v>
      </c>
      <c r="AC26" s="16" t="n">
        <f aca="false">AB27</f>
        <v>0</v>
      </c>
      <c r="AD26" s="16" t="n">
        <f aca="false">AC27</f>
        <v>0</v>
      </c>
      <c r="AE26" s="16" t="n">
        <f aca="false">AD27</f>
        <v>0</v>
      </c>
      <c r="AF26" s="16" t="n">
        <f aca="false">AE27</f>
        <v>0</v>
      </c>
      <c r="AG26" s="16" t="n">
        <f aca="false">AF27</f>
        <v>0</v>
      </c>
      <c r="AH26" s="16" t="n">
        <f aca="false">AG27</f>
        <v>0</v>
      </c>
      <c r="AI26" s="16" t="n">
        <f aca="false">AH27</f>
        <v>0</v>
      </c>
      <c r="AJ26" s="16" t="n">
        <f aca="false">AI27</f>
        <v>0</v>
      </c>
      <c r="AK26" s="16" t="n">
        <f aca="false">AJ27</f>
        <v>0</v>
      </c>
      <c r="AL26" s="16" t="n">
        <f aca="false">AK27</f>
        <v>0</v>
      </c>
      <c r="AM26" s="16" t="n">
        <f aca="false">AL27</f>
        <v>0</v>
      </c>
      <c r="AN26" s="16" t="n">
        <f aca="false">AM27</f>
        <v>0</v>
      </c>
      <c r="AO26" s="16" t="n">
        <f aca="false">AN27</f>
        <v>0</v>
      </c>
      <c r="AP26" s="16" t="n">
        <f aca="false">AO27</f>
        <v>0</v>
      </c>
      <c r="AQ26" s="16" t="n">
        <f aca="false">AP27</f>
        <v>0</v>
      </c>
      <c r="AR26" s="16" t="n">
        <f aca="false">AQ27</f>
        <v>0</v>
      </c>
      <c r="AS26" s="16" t="n">
        <f aca="false">AR27</f>
        <v>0</v>
      </c>
      <c r="AT26" s="16" t="n">
        <f aca="false">AS27</f>
        <v>0</v>
      </c>
      <c r="AU26" s="16" t="n">
        <f aca="false">AT27</f>
        <v>0</v>
      </c>
      <c r="AV26" s="16" t="n">
        <f aca="false">AU27</f>
        <v>0</v>
      </c>
      <c r="AW26" s="16" t="n">
        <f aca="false">AV27</f>
        <v>0</v>
      </c>
      <c r="AX26" s="16" t="n">
        <f aca="false">AW27</f>
        <v>0</v>
      </c>
      <c r="AY26" s="16" t="n">
        <f aca="false">AX27</f>
        <v>0</v>
      </c>
      <c r="AZ26" s="16" t="n">
        <f aca="false">AY27</f>
        <v>0</v>
      </c>
      <c r="BA26" s="16" t="n">
        <f aca="false">AZ27</f>
        <v>0</v>
      </c>
      <c r="BB26" s="16" t="n">
        <f aca="false">BA27</f>
        <v>0</v>
      </c>
      <c r="BC26" s="16" t="n">
        <f aca="false">BB27</f>
        <v>0</v>
      </c>
      <c r="BD26" s="16" t="n">
        <f aca="false">BC27</f>
        <v>0</v>
      </c>
      <c r="BE26" s="16" t="n">
        <f aca="false">BD27</f>
        <v>0</v>
      </c>
      <c r="BF26" s="16" t="n">
        <f aca="false">BE27</f>
        <v>0</v>
      </c>
      <c r="BG26" s="16" t="n">
        <f aca="false">BF27</f>
        <v>0</v>
      </c>
      <c r="BH26" s="16" t="n">
        <f aca="false">BG27</f>
        <v>0</v>
      </c>
      <c r="BI26" s="16" t="n">
        <f aca="false">BH27</f>
        <v>0</v>
      </c>
      <c r="BJ26" s="16" t="n">
        <f aca="false">BI27</f>
        <v>0</v>
      </c>
      <c r="BK26" s="16" t="n">
        <f aca="false">BJ27</f>
        <v>0</v>
      </c>
      <c r="BL26" s="16" t="n">
        <f aca="false">BK27</f>
        <v>0</v>
      </c>
      <c r="BM26" s="16" t="n">
        <f aca="false">BL27</f>
        <v>0</v>
      </c>
      <c r="BN26" s="16" t="n">
        <f aca="false">BM27</f>
        <v>0</v>
      </c>
      <c r="BO26" s="16" t="n">
        <f aca="false">BN27</f>
        <v>0</v>
      </c>
      <c r="BP26" s="16" t="n">
        <f aca="false">BO27</f>
        <v>0</v>
      </c>
      <c r="BQ26" s="16" t="n">
        <f aca="false">BP27</f>
        <v>0</v>
      </c>
      <c r="BR26" s="16" t="n">
        <f aca="false">BQ27</f>
        <v>0</v>
      </c>
      <c r="BS26" s="16" t="n">
        <f aca="false">BR27</f>
        <v>0</v>
      </c>
      <c r="BT26" s="16" t="n">
        <f aca="false">BS27</f>
        <v>0</v>
      </c>
      <c r="BU26" s="16" t="n">
        <f aca="false">BT27</f>
        <v>0</v>
      </c>
      <c r="BV26" s="16" t="n">
        <f aca="false">BU27</f>
        <v>0</v>
      </c>
      <c r="BW26" s="16" t="n">
        <f aca="false">BV27</f>
        <v>0</v>
      </c>
      <c r="BX26" s="16" t="n">
        <f aca="false">BW27</f>
        <v>0</v>
      </c>
      <c r="BY26" s="16" t="n">
        <f aca="false">BX27</f>
        <v>0</v>
      </c>
      <c r="BZ26" s="16" t="n">
        <f aca="false">BY27</f>
        <v>0</v>
      </c>
      <c r="CA26" s="16" t="n">
        <f aca="false">BZ27</f>
        <v>0</v>
      </c>
      <c r="CB26" s="16" t="n">
        <f aca="false">CA27</f>
        <v>0</v>
      </c>
      <c r="CC26" s="16" t="n">
        <f aca="false">CB27</f>
        <v>0</v>
      </c>
      <c r="CD26" s="16" t="n">
        <f aca="false">CC27</f>
        <v>0</v>
      </c>
      <c r="CE26" s="16" t="n">
        <f aca="false">CD27</f>
        <v>0</v>
      </c>
      <c r="CF26" s="16" t="n">
        <f aca="false">CE27</f>
        <v>0</v>
      </c>
      <c r="CG26" s="16" t="n">
        <f aca="false">CF27</f>
        <v>0</v>
      </c>
      <c r="CH26" s="16" t="n">
        <f aca="false">CG27</f>
        <v>0</v>
      </c>
      <c r="CI26" s="16" t="n">
        <f aca="false">CH27</f>
        <v>0</v>
      </c>
      <c r="CJ26" s="16" t="n">
        <f aca="false">CI27</f>
        <v>0</v>
      </c>
      <c r="CK26" s="16" t="n">
        <f aca="false">CJ27</f>
        <v>0</v>
      </c>
      <c r="CL26" s="16" t="n">
        <f aca="false">CK27</f>
        <v>0</v>
      </c>
      <c r="CM26" s="16" t="n">
        <f aca="false">CL27</f>
        <v>0</v>
      </c>
      <c r="CN26" s="16" t="n">
        <f aca="false">CM27</f>
        <v>0</v>
      </c>
      <c r="CO26" s="16" t="n">
        <f aca="false">CN27</f>
        <v>0</v>
      </c>
      <c r="CP26" s="16" t="n">
        <f aca="false">CO27</f>
        <v>0</v>
      </c>
      <c r="CQ26" s="16" t="n">
        <f aca="false">CP27</f>
        <v>0</v>
      </c>
      <c r="CR26" s="16" t="n">
        <f aca="false">CQ27</f>
        <v>0</v>
      </c>
      <c r="CS26" s="16" t="n">
        <f aca="false">CR27</f>
        <v>0</v>
      </c>
      <c r="CT26" s="16" t="n">
        <f aca="false">CS27</f>
        <v>0</v>
      </c>
      <c r="CU26" s="16" t="n">
        <f aca="false">CT27</f>
        <v>0</v>
      </c>
      <c r="CV26" s="16" t="n">
        <f aca="false">CU27</f>
        <v>0</v>
      </c>
      <c r="CW26" s="16" t="n">
        <f aca="false">CV27</f>
        <v>0</v>
      </c>
      <c r="CX26" s="16" t="n">
        <f aca="false">CW27</f>
        <v>0</v>
      </c>
    </row>
    <row r="27" customFormat="false" ht="15" hidden="false" customHeight="false" outlineLevel="0" collapsed="false">
      <c r="A27" s="1" t="n">
        <f aca="false">A26+1</f>
        <v>24</v>
      </c>
      <c r="B27" s="16" t="n">
        <f aca="false">B26</f>
        <v>0</v>
      </c>
      <c r="C27" s="16" t="n">
        <f aca="false">B28</f>
        <v>0</v>
      </c>
      <c r="D27" s="16" t="n">
        <f aca="false">C28</f>
        <v>0</v>
      </c>
      <c r="E27" s="16" t="n">
        <f aca="false">D28</f>
        <v>0</v>
      </c>
      <c r="F27" s="16" t="n">
        <f aca="false">E28</f>
        <v>0</v>
      </c>
      <c r="G27" s="16" t="n">
        <f aca="false">F28</f>
        <v>0</v>
      </c>
      <c r="H27" s="16" t="n">
        <f aca="false">G28</f>
        <v>0</v>
      </c>
      <c r="I27" s="16" t="n">
        <f aca="false">H28</f>
        <v>0</v>
      </c>
      <c r="J27" s="16" t="n">
        <f aca="false">I28</f>
        <v>0</v>
      </c>
      <c r="K27" s="16" t="n">
        <f aca="false">J28</f>
        <v>0</v>
      </c>
      <c r="L27" s="16" t="n">
        <f aca="false">K28</f>
        <v>0</v>
      </c>
      <c r="M27" s="16" t="n">
        <f aca="false">L28</f>
        <v>0</v>
      </c>
      <c r="N27" s="16" t="n">
        <f aca="false">M28</f>
        <v>0</v>
      </c>
      <c r="O27" s="16" t="n">
        <f aca="false">N28</f>
        <v>0</v>
      </c>
      <c r="P27" s="16" t="n">
        <f aca="false">O28</f>
        <v>0</v>
      </c>
      <c r="Q27" s="16" t="n">
        <f aca="false">P28</f>
        <v>0</v>
      </c>
      <c r="R27" s="16" t="n">
        <f aca="false">Q28</f>
        <v>0</v>
      </c>
      <c r="S27" s="16" t="n">
        <f aca="false">R28</f>
        <v>0</v>
      </c>
      <c r="T27" s="16" t="n">
        <f aca="false">S28</f>
        <v>0</v>
      </c>
      <c r="U27" s="16" t="n">
        <f aca="false">T28</f>
        <v>0</v>
      </c>
      <c r="V27" s="16" t="n">
        <f aca="false">U28</f>
        <v>0</v>
      </c>
      <c r="W27" s="16" t="n">
        <f aca="false">V28</f>
        <v>0</v>
      </c>
      <c r="X27" s="16" t="n">
        <f aca="false">W28</f>
        <v>0</v>
      </c>
      <c r="Y27" s="16" t="n">
        <f aca="false">X28</f>
        <v>0</v>
      </c>
      <c r="Z27" s="16" t="n">
        <f aca="false">Y28</f>
        <v>0</v>
      </c>
      <c r="AA27" s="16" t="n">
        <f aca="false">Z28</f>
        <v>0</v>
      </c>
      <c r="AB27" s="16" t="n">
        <f aca="false">AA28</f>
        <v>0</v>
      </c>
      <c r="AC27" s="16" t="n">
        <f aca="false">AB28</f>
        <v>0</v>
      </c>
      <c r="AD27" s="16" t="n">
        <f aca="false">AC28</f>
        <v>0</v>
      </c>
      <c r="AE27" s="16" t="n">
        <f aca="false">AD28</f>
        <v>0</v>
      </c>
      <c r="AF27" s="16" t="n">
        <f aca="false">AE28</f>
        <v>0</v>
      </c>
      <c r="AG27" s="16" t="n">
        <f aca="false">AF28</f>
        <v>0</v>
      </c>
      <c r="AH27" s="16" t="n">
        <f aca="false">AG28</f>
        <v>0</v>
      </c>
      <c r="AI27" s="16" t="n">
        <f aca="false">AH28</f>
        <v>0</v>
      </c>
      <c r="AJ27" s="16" t="n">
        <f aca="false">AI28</f>
        <v>0</v>
      </c>
      <c r="AK27" s="16" t="n">
        <f aca="false">AJ28</f>
        <v>0</v>
      </c>
      <c r="AL27" s="16" t="n">
        <f aca="false">AK28</f>
        <v>0</v>
      </c>
      <c r="AM27" s="16" t="n">
        <f aca="false">AL28</f>
        <v>0</v>
      </c>
      <c r="AN27" s="16" t="n">
        <f aca="false">AM28</f>
        <v>0</v>
      </c>
      <c r="AO27" s="16" t="n">
        <f aca="false">AN28</f>
        <v>0</v>
      </c>
      <c r="AP27" s="16" t="n">
        <f aca="false">AO28</f>
        <v>0</v>
      </c>
      <c r="AQ27" s="16" t="n">
        <f aca="false">AP28</f>
        <v>0</v>
      </c>
      <c r="AR27" s="16" t="n">
        <f aca="false">AQ28</f>
        <v>0</v>
      </c>
      <c r="AS27" s="16" t="n">
        <f aca="false">AR28</f>
        <v>0</v>
      </c>
      <c r="AT27" s="16" t="n">
        <f aca="false">AS28</f>
        <v>0</v>
      </c>
      <c r="AU27" s="16" t="n">
        <f aca="false">AT28</f>
        <v>0</v>
      </c>
      <c r="AV27" s="16" t="n">
        <f aca="false">AU28</f>
        <v>0</v>
      </c>
      <c r="AW27" s="16" t="n">
        <f aca="false">AV28</f>
        <v>0</v>
      </c>
      <c r="AX27" s="16" t="n">
        <f aca="false">AW28</f>
        <v>0</v>
      </c>
      <c r="AY27" s="16" t="n">
        <f aca="false">AX28</f>
        <v>0</v>
      </c>
      <c r="AZ27" s="16" t="n">
        <f aca="false">AY28</f>
        <v>0</v>
      </c>
      <c r="BA27" s="16" t="n">
        <f aca="false">AZ28</f>
        <v>0</v>
      </c>
      <c r="BB27" s="16" t="n">
        <f aca="false">BA28</f>
        <v>0</v>
      </c>
      <c r="BC27" s="16" t="n">
        <f aca="false">BB28</f>
        <v>0</v>
      </c>
      <c r="BD27" s="16" t="n">
        <f aca="false">BC28</f>
        <v>0</v>
      </c>
      <c r="BE27" s="16" t="n">
        <f aca="false">BD28</f>
        <v>0</v>
      </c>
      <c r="BF27" s="16" t="n">
        <f aca="false">BE28</f>
        <v>0</v>
      </c>
      <c r="BG27" s="16" t="n">
        <f aca="false">BF28</f>
        <v>0</v>
      </c>
      <c r="BH27" s="16" t="n">
        <f aca="false">BG28</f>
        <v>0</v>
      </c>
      <c r="BI27" s="16" t="n">
        <f aca="false">BH28</f>
        <v>0</v>
      </c>
      <c r="BJ27" s="16" t="n">
        <f aca="false">BI28</f>
        <v>0</v>
      </c>
      <c r="BK27" s="16" t="n">
        <f aca="false">BJ28</f>
        <v>0</v>
      </c>
      <c r="BL27" s="16" t="n">
        <f aca="false">BK28</f>
        <v>0</v>
      </c>
      <c r="BM27" s="16" t="n">
        <f aca="false">BL28</f>
        <v>0</v>
      </c>
      <c r="BN27" s="16" t="n">
        <f aca="false">BM28</f>
        <v>0</v>
      </c>
      <c r="BO27" s="16" t="n">
        <f aca="false">BN28</f>
        <v>0</v>
      </c>
      <c r="BP27" s="16" t="n">
        <f aca="false">BO28</f>
        <v>0</v>
      </c>
      <c r="BQ27" s="16" t="n">
        <f aca="false">BP28</f>
        <v>0</v>
      </c>
      <c r="BR27" s="16" t="n">
        <f aca="false">BQ28</f>
        <v>0</v>
      </c>
      <c r="BS27" s="16" t="n">
        <f aca="false">BR28</f>
        <v>0</v>
      </c>
      <c r="BT27" s="16" t="n">
        <f aca="false">BS28</f>
        <v>0</v>
      </c>
      <c r="BU27" s="16" t="n">
        <f aca="false">BT28</f>
        <v>0</v>
      </c>
      <c r="BV27" s="16" t="n">
        <f aca="false">BU28</f>
        <v>0</v>
      </c>
      <c r="BW27" s="16" t="n">
        <f aca="false">BV28</f>
        <v>0</v>
      </c>
      <c r="BX27" s="16" t="n">
        <f aca="false">BW28</f>
        <v>0</v>
      </c>
      <c r="BY27" s="16" t="n">
        <f aca="false">BX28</f>
        <v>0</v>
      </c>
      <c r="BZ27" s="16" t="n">
        <f aca="false">BY28</f>
        <v>0</v>
      </c>
      <c r="CA27" s="16" t="n">
        <f aca="false">BZ28</f>
        <v>0</v>
      </c>
      <c r="CB27" s="16" t="n">
        <f aca="false">CA28</f>
        <v>0</v>
      </c>
      <c r="CC27" s="16" t="n">
        <f aca="false">CB28</f>
        <v>0</v>
      </c>
      <c r="CD27" s="16" t="n">
        <f aca="false">CC28</f>
        <v>0</v>
      </c>
      <c r="CE27" s="16" t="n">
        <f aca="false">CD28</f>
        <v>0</v>
      </c>
      <c r="CF27" s="16" t="n">
        <f aca="false">CE28</f>
        <v>0</v>
      </c>
      <c r="CG27" s="16" t="n">
        <f aca="false">CF28</f>
        <v>0</v>
      </c>
      <c r="CH27" s="16" t="n">
        <f aca="false">CG28</f>
        <v>0</v>
      </c>
      <c r="CI27" s="16" t="n">
        <f aca="false">CH28</f>
        <v>0</v>
      </c>
      <c r="CJ27" s="16" t="n">
        <f aca="false">CI28</f>
        <v>0</v>
      </c>
      <c r="CK27" s="16" t="n">
        <f aca="false">CJ28</f>
        <v>0</v>
      </c>
      <c r="CL27" s="16" t="n">
        <f aca="false">CK28</f>
        <v>0</v>
      </c>
      <c r="CM27" s="16" t="n">
        <f aca="false">CL28</f>
        <v>0</v>
      </c>
      <c r="CN27" s="16" t="n">
        <f aca="false">CM28</f>
        <v>0</v>
      </c>
      <c r="CO27" s="16" t="n">
        <f aca="false">CN28</f>
        <v>0</v>
      </c>
      <c r="CP27" s="16" t="n">
        <f aca="false">CO28</f>
        <v>0</v>
      </c>
      <c r="CQ27" s="16" t="n">
        <f aca="false">CP28</f>
        <v>0</v>
      </c>
      <c r="CR27" s="16" t="n">
        <f aca="false">CQ28</f>
        <v>0</v>
      </c>
      <c r="CS27" s="16" t="n">
        <f aca="false">CR28</f>
        <v>0</v>
      </c>
      <c r="CT27" s="16" t="n">
        <f aca="false">CS28</f>
        <v>0</v>
      </c>
      <c r="CU27" s="16" t="n">
        <f aca="false">CT28</f>
        <v>0</v>
      </c>
      <c r="CV27" s="16" t="n">
        <f aca="false">CU28</f>
        <v>0</v>
      </c>
      <c r="CW27" s="16" t="n">
        <f aca="false">CV28</f>
        <v>0</v>
      </c>
      <c r="CX27" s="16" t="n">
        <f aca="false">CW28</f>
        <v>0</v>
      </c>
    </row>
    <row r="28" customFormat="false" ht="15" hidden="false" customHeight="false" outlineLevel="0" collapsed="false">
      <c r="A28" s="1" t="n">
        <f aca="false">A27+1</f>
        <v>25</v>
      </c>
      <c r="B28" s="16" t="n">
        <f aca="false">B27</f>
        <v>0</v>
      </c>
      <c r="C28" s="16" t="n">
        <f aca="false">B29</f>
        <v>0</v>
      </c>
      <c r="D28" s="16" t="n">
        <f aca="false">C29</f>
        <v>0</v>
      </c>
      <c r="E28" s="16" t="n">
        <f aca="false">D29</f>
        <v>0</v>
      </c>
      <c r="F28" s="16" t="n">
        <f aca="false">E29</f>
        <v>0</v>
      </c>
      <c r="G28" s="16" t="n">
        <f aca="false">F29</f>
        <v>0</v>
      </c>
      <c r="H28" s="16" t="n">
        <f aca="false">G29</f>
        <v>0</v>
      </c>
      <c r="I28" s="16" t="n">
        <f aca="false">H29</f>
        <v>0</v>
      </c>
      <c r="J28" s="16" t="n">
        <f aca="false">I29</f>
        <v>0</v>
      </c>
      <c r="K28" s="16" t="n">
        <f aca="false">J29</f>
        <v>0</v>
      </c>
      <c r="L28" s="16" t="n">
        <f aca="false">K29</f>
        <v>0</v>
      </c>
      <c r="M28" s="16" t="n">
        <f aca="false">L29</f>
        <v>0</v>
      </c>
      <c r="N28" s="16" t="n">
        <f aca="false">M29</f>
        <v>0</v>
      </c>
      <c r="O28" s="16" t="n">
        <f aca="false">N29</f>
        <v>0</v>
      </c>
      <c r="P28" s="16" t="n">
        <f aca="false">O29</f>
        <v>0</v>
      </c>
      <c r="Q28" s="16" t="n">
        <f aca="false">P29</f>
        <v>0</v>
      </c>
      <c r="R28" s="16" t="n">
        <f aca="false">Q29</f>
        <v>0</v>
      </c>
      <c r="S28" s="16" t="n">
        <f aca="false">R29</f>
        <v>0</v>
      </c>
      <c r="T28" s="16" t="n">
        <f aca="false">S29</f>
        <v>0</v>
      </c>
      <c r="U28" s="16" t="n">
        <f aca="false">T29</f>
        <v>0</v>
      </c>
      <c r="V28" s="16" t="n">
        <f aca="false">U29</f>
        <v>0</v>
      </c>
      <c r="W28" s="16" t="n">
        <f aca="false">V29</f>
        <v>0</v>
      </c>
      <c r="X28" s="16" t="n">
        <f aca="false">W29</f>
        <v>0</v>
      </c>
      <c r="Y28" s="16" t="n">
        <f aca="false">X29</f>
        <v>0</v>
      </c>
      <c r="Z28" s="16" t="n">
        <f aca="false">Y29</f>
        <v>0</v>
      </c>
      <c r="AA28" s="16" t="n">
        <f aca="false">Z29</f>
        <v>0</v>
      </c>
      <c r="AB28" s="16" t="n">
        <f aca="false">AA29</f>
        <v>0</v>
      </c>
      <c r="AC28" s="16" t="n">
        <f aca="false">AB29</f>
        <v>0</v>
      </c>
      <c r="AD28" s="16" t="n">
        <f aca="false">AC29</f>
        <v>0</v>
      </c>
      <c r="AE28" s="16" t="n">
        <f aca="false">AD29</f>
        <v>0</v>
      </c>
      <c r="AF28" s="16" t="n">
        <f aca="false">AE29</f>
        <v>0</v>
      </c>
      <c r="AG28" s="16" t="n">
        <f aca="false">AF29</f>
        <v>0</v>
      </c>
      <c r="AH28" s="16" t="n">
        <f aca="false">AG29</f>
        <v>0</v>
      </c>
      <c r="AI28" s="16" t="n">
        <f aca="false">AH29</f>
        <v>0</v>
      </c>
      <c r="AJ28" s="16" t="n">
        <f aca="false">AI29</f>
        <v>0</v>
      </c>
      <c r="AK28" s="16" t="n">
        <f aca="false">AJ29</f>
        <v>0</v>
      </c>
      <c r="AL28" s="16" t="n">
        <f aca="false">AK29</f>
        <v>0</v>
      </c>
      <c r="AM28" s="16" t="n">
        <f aca="false">AL29</f>
        <v>0</v>
      </c>
      <c r="AN28" s="16" t="n">
        <f aca="false">AM29</f>
        <v>0</v>
      </c>
      <c r="AO28" s="16" t="n">
        <f aca="false">AN29</f>
        <v>0</v>
      </c>
      <c r="AP28" s="16" t="n">
        <f aca="false">AO29</f>
        <v>0</v>
      </c>
      <c r="AQ28" s="16" t="n">
        <f aca="false">AP29</f>
        <v>0</v>
      </c>
      <c r="AR28" s="16" t="n">
        <f aca="false">AQ29</f>
        <v>0</v>
      </c>
      <c r="AS28" s="16" t="n">
        <f aca="false">AR29</f>
        <v>0</v>
      </c>
      <c r="AT28" s="16" t="n">
        <f aca="false">AS29</f>
        <v>0</v>
      </c>
      <c r="AU28" s="16" t="n">
        <f aca="false">AT29</f>
        <v>0</v>
      </c>
      <c r="AV28" s="16" t="n">
        <f aca="false">AU29</f>
        <v>0</v>
      </c>
      <c r="AW28" s="16" t="n">
        <f aca="false">AV29</f>
        <v>0</v>
      </c>
      <c r="AX28" s="16" t="n">
        <f aca="false">AW29</f>
        <v>0</v>
      </c>
      <c r="AY28" s="16" t="n">
        <f aca="false">AX29</f>
        <v>0</v>
      </c>
      <c r="AZ28" s="16" t="n">
        <f aca="false">AY29</f>
        <v>0</v>
      </c>
      <c r="BA28" s="16" t="n">
        <f aca="false">AZ29</f>
        <v>0</v>
      </c>
      <c r="BB28" s="16" t="n">
        <f aca="false">BA29</f>
        <v>0</v>
      </c>
      <c r="BC28" s="16" t="n">
        <f aca="false">BB29</f>
        <v>0</v>
      </c>
      <c r="BD28" s="16" t="n">
        <f aca="false">BC29</f>
        <v>0</v>
      </c>
      <c r="BE28" s="16" t="n">
        <f aca="false">BD29</f>
        <v>0</v>
      </c>
      <c r="BF28" s="16" t="n">
        <f aca="false">BE29</f>
        <v>0</v>
      </c>
      <c r="BG28" s="16" t="n">
        <f aca="false">BF29</f>
        <v>0</v>
      </c>
      <c r="BH28" s="16" t="n">
        <f aca="false">BG29</f>
        <v>0</v>
      </c>
      <c r="BI28" s="16" t="n">
        <f aca="false">BH29</f>
        <v>0</v>
      </c>
      <c r="BJ28" s="16" t="n">
        <f aca="false">BI29</f>
        <v>0</v>
      </c>
      <c r="BK28" s="16" t="n">
        <f aca="false">BJ29</f>
        <v>0</v>
      </c>
      <c r="BL28" s="16" t="n">
        <f aca="false">BK29</f>
        <v>0</v>
      </c>
      <c r="BM28" s="16" t="n">
        <f aca="false">BL29</f>
        <v>0</v>
      </c>
      <c r="BN28" s="16" t="n">
        <f aca="false">BM29</f>
        <v>0</v>
      </c>
      <c r="BO28" s="16" t="n">
        <f aca="false">BN29</f>
        <v>0</v>
      </c>
      <c r="BP28" s="16" t="n">
        <f aca="false">BO29</f>
        <v>0</v>
      </c>
      <c r="BQ28" s="16" t="n">
        <f aca="false">BP29</f>
        <v>0</v>
      </c>
      <c r="BR28" s="16" t="n">
        <f aca="false">BQ29</f>
        <v>0</v>
      </c>
      <c r="BS28" s="16" t="n">
        <f aca="false">BR29</f>
        <v>0</v>
      </c>
      <c r="BT28" s="16" t="n">
        <f aca="false">BS29</f>
        <v>0</v>
      </c>
      <c r="BU28" s="16" t="n">
        <f aca="false">BT29</f>
        <v>0</v>
      </c>
      <c r="BV28" s="16" t="n">
        <f aca="false">BU29</f>
        <v>0</v>
      </c>
      <c r="BW28" s="16" t="n">
        <f aca="false">BV29</f>
        <v>0</v>
      </c>
      <c r="BX28" s="16" t="n">
        <f aca="false">BW29</f>
        <v>0</v>
      </c>
      <c r="BY28" s="16" t="n">
        <f aca="false">BX29</f>
        <v>0</v>
      </c>
      <c r="BZ28" s="16" t="n">
        <f aca="false">BY29</f>
        <v>0</v>
      </c>
      <c r="CA28" s="16" t="n">
        <f aca="false">BZ29</f>
        <v>0</v>
      </c>
      <c r="CB28" s="16" t="n">
        <f aca="false">CA29</f>
        <v>0</v>
      </c>
      <c r="CC28" s="16" t="n">
        <f aca="false">CB29</f>
        <v>0</v>
      </c>
      <c r="CD28" s="16" t="n">
        <f aca="false">CC29</f>
        <v>0</v>
      </c>
      <c r="CE28" s="16" t="n">
        <f aca="false">CD29</f>
        <v>0</v>
      </c>
      <c r="CF28" s="16" t="n">
        <f aca="false">CE29</f>
        <v>0</v>
      </c>
      <c r="CG28" s="16" t="n">
        <f aca="false">CF29</f>
        <v>0</v>
      </c>
      <c r="CH28" s="16" t="n">
        <f aca="false">CG29</f>
        <v>0</v>
      </c>
      <c r="CI28" s="16" t="n">
        <f aca="false">CH29</f>
        <v>0</v>
      </c>
      <c r="CJ28" s="16" t="n">
        <f aca="false">CI29</f>
        <v>0</v>
      </c>
      <c r="CK28" s="16" t="n">
        <f aca="false">CJ29</f>
        <v>0</v>
      </c>
      <c r="CL28" s="16" t="n">
        <f aca="false">CK29</f>
        <v>0</v>
      </c>
      <c r="CM28" s="16" t="n">
        <f aca="false">CL29</f>
        <v>0</v>
      </c>
      <c r="CN28" s="16" t="n">
        <f aca="false">CM29</f>
        <v>0</v>
      </c>
      <c r="CO28" s="16" t="n">
        <f aca="false">CN29</f>
        <v>0</v>
      </c>
      <c r="CP28" s="16" t="n">
        <f aca="false">CO29</f>
        <v>0</v>
      </c>
      <c r="CQ28" s="16" t="n">
        <f aca="false">CP29</f>
        <v>0</v>
      </c>
      <c r="CR28" s="16" t="n">
        <f aca="false">CQ29</f>
        <v>0</v>
      </c>
      <c r="CS28" s="16" t="n">
        <f aca="false">CR29</f>
        <v>0</v>
      </c>
      <c r="CT28" s="16" t="n">
        <f aca="false">CS29</f>
        <v>0</v>
      </c>
      <c r="CU28" s="16" t="n">
        <f aca="false">CT29</f>
        <v>0</v>
      </c>
      <c r="CV28" s="16" t="n">
        <f aca="false">CU29</f>
        <v>0</v>
      </c>
      <c r="CW28" s="16" t="n">
        <f aca="false">CV29</f>
        <v>0</v>
      </c>
      <c r="CX28" s="16" t="n">
        <f aca="false">CW29</f>
        <v>0</v>
      </c>
    </row>
    <row r="29" customFormat="false" ht="15" hidden="false" customHeight="false" outlineLevel="0" collapsed="false">
      <c r="A29" s="1" t="n">
        <f aca="false">A28+1</f>
        <v>26</v>
      </c>
      <c r="B29" s="16" t="n">
        <f aca="false">B28</f>
        <v>0</v>
      </c>
      <c r="C29" s="16" t="n">
        <f aca="false">B30</f>
        <v>0</v>
      </c>
      <c r="D29" s="16" t="n">
        <f aca="false">C30</f>
        <v>0</v>
      </c>
      <c r="E29" s="16" t="n">
        <f aca="false">D30</f>
        <v>0</v>
      </c>
      <c r="F29" s="16" t="n">
        <f aca="false">E30</f>
        <v>0</v>
      </c>
      <c r="G29" s="16" t="n">
        <f aca="false">F30</f>
        <v>0</v>
      </c>
      <c r="H29" s="16" t="n">
        <f aca="false">G30</f>
        <v>0</v>
      </c>
      <c r="I29" s="16" t="n">
        <f aca="false">H30</f>
        <v>0</v>
      </c>
      <c r="J29" s="16" t="n">
        <f aca="false">I30</f>
        <v>0</v>
      </c>
      <c r="K29" s="16" t="n">
        <f aca="false">J30</f>
        <v>0</v>
      </c>
      <c r="L29" s="16" t="n">
        <f aca="false">K30</f>
        <v>0</v>
      </c>
      <c r="M29" s="16" t="n">
        <f aca="false">L30</f>
        <v>0</v>
      </c>
      <c r="N29" s="16" t="n">
        <f aca="false">M30</f>
        <v>0</v>
      </c>
      <c r="O29" s="16" t="n">
        <f aca="false">N30</f>
        <v>0</v>
      </c>
      <c r="P29" s="16" t="n">
        <f aca="false">O30</f>
        <v>0</v>
      </c>
      <c r="Q29" s="16" t="n">
        <f aca="false">P30</f>
        <v>0</v>
      </c>
      <c r="R29" s="16" t="n">
        <f aca="false">Q30</f>
        <v>0</v>
      </c>
      <c r="S29" s="16" t="n">
        <f aca="false">R30</f>
        <v>0</v>
      </c>
      <c r="T29" s="16" t="n">
        <f aca="false">S30</f>
        <v>0</v>
      </c>
      <c r="U29" s="16" t="n">
        <f aca="false">T30</f>
        <v>0</v>
      </c>
      <c r="V29" s="16" t="n">
        <f aca="false">U30</f>
        <v>0</v>
      </c>
      <c r="W29" s="16" t="n">
        <f aca="false">V30</f>
        <v>0</v>
      </c>
      <c r="X29" s="16" t="n">
        <f aca="false">W30</f>
        <v>0</v>
      </c>
      <c r="Y29" s="16" t="n">
        <f aca="false">X30</f>
        <v>0</v>
      </c>
      <c r="Z29" s="16" t="n">
        <f aca="false">Y30</f>
        <v>0</v>
      </c>
      <c r="AA29" s="16" t="n">
        <f aca="false">Z30</f>
        <v>0</v>
      </c>
      <c r="AB29" s="16" t="n">
        <f aca="false">AA30</f>
        <v>0</v>
      </c>
      <c r="AC29" s="16" t="n">
        <f aca="false">AB30</f>
        <v>0</v>
      </c>
      <c r="AD29" s="16" t="n">
        <f aca="false">AC30</f>
        <v>0</v>
      </c>
      <c r="AE29" s="16" t="n">
        <f aca="false">AD30</f>
        <v>0</v>
      </c>
      <c r="AF29" s="16" t="n">
        <f aca="false">AE30</f>
        <v>0</v>
      </c>
      <c r="AG29" s="16" t="n">
        <f aca="false">AF30</f>
        <v>0</v>
      </c>
      <c r="AH29" s="16" t="n">
        <f aca="false">AG30</f>
        <v>0</v>
      </c>
      <c r="AI29" s="16" t="n">
        <f aca="false">AH30</f>
        <v>0</v>
      </c>
      <c r="AJ29" s="16" t="n">
        <f aca="false">AI30</f>
        <v>0</v>
      </c>
      <c r="AK29" s="16" t="n">
        <f aca="false">AJ30</f>
        <v>0</v>
      </c>
      <c r="AL29" s="16" t="n">
        <f aca="false">AK30</f>
        <v>0</v>
      </c>
      <c r="AM29" s="16" t="n">
        <f aca="false">AL30</f>
        <v>0</v>
      </c>
      <c r="AN29" s="16" t="n">
        <f aca="false">AM30</f>
        <v>0</v>
      </c>
      <c r="AO29" s="16" t="n">
        <f aca="false">AN30</f>
        <v>0</v>
      </c>
      <c r="AP29" s="16" t="n">
        <f aca="false">AO30</f>
        <v>0</v>
      </c>
      <c r="AQ29" s="16" t="n">
        <f aca="false">AP30</f>
        <v>0</v>
      </c>
      <c r="AR29" s="16" t="n">
        <f aca="false">AQ30</f>
        <v>0</v>
      </c>
      <c r="AS29" s="16" t="n">
        <f aca="false">AR30</f>
        <v>0</v>
      </c>
      <c r="AT29" s="16" t="n">
        <f aca="false">AS30</f>
        <v>0</v>
      </c>
      <c r="AU29" s="16" t="n">
        <f aca="false">AT30</f>
        <v>0</v>
      </c>
      <c r="AV29" s="16" t="n">
        <f aca="false">AU30</f>
        <v>0</v>
      </c>
      <c r="AW29" s="16" t="n">
        <f aca="false">AV30</f>
        <v>0</v>
      </c>
      <c r="AX29" s="16" t="n">
        <f aca="false">AW30</f>
        <v>0</v>
      </c>
      <c r="AY29" s="16" t="n">
        <f aca="false">AX30</f>
        <v>0</v>
      </c>
      <c r="AZ29" s="16" t="n">
        <f aca="false">AY30</f>
        <v>0</v>
      </c>
      <c r="BA29" s="16" t="n">
        <f aca="false">AZ30</f>
        <v>0</v>
      </c>
      <c r="BB29" s="16" t="n">
        <f aca="false">BA30</f>
        <v>0</v>
      </c>
      <c r="BC29" s="16" t="n">
        <f aca="false">BB30</f>
        <v>0</v>
      </c>
      <c r="BD29" s="16" t="n">
        <f aca="false">BC30</f>
        <v>0</v>
      </c>
      <c r="BE29" s="16" t="n">
        <f aca="false">BD30</f>
        <v>0</v>
      </c>
      <c r="BF29" s="16" t="n">
        <f aca="false">BE30</f>
        <v>0</v>
      </c>
      <c r="BG29" s="16" t="n">
        <f aca="false">BF30</f>
        <v>0</v>
      </c>
      <c r="BH29" s="16" t="n">
        <f aca="false">BG30</f>
        <v>0</v>
      </c>
      <c r="BI29" s="16" t="n">
        <f aca="false">BH30</f>
        <v>0</v>
      </c>
      <c r="BJ29" s="16" t="n">
        <f aca="false">BI30</f>
        <v>0</v>
      </c>
      <c r="BK29" s="16" t="n">
        <f aca="false">BJ30</f>
        <v>0</v>
      </c>
      <c r="BL29" s="16" t="n">
        <f aca="false">BK30</f>
        <v>0</v>
      </c>
      <c r="BM29" s="16" t="n">
        <f aca="false">BL30</f>
        <v>0</v>
      </c>
      <c r="BN29" s="16" t="n">
        <f aca="false">BM30</f>
        <v>0</v>
      </c>
      <c r="BO29" s="16" t="n">
        <f aca="false">BN30</f>
        <v>0</v>
      </c>
      <c r="BP29" s="16" t="n">
        <f aca="false">BO30</f>
        <v>0</v>
      </c>
      <c r="BQ29" s="16" t="n">
        <f aca="false">BP30</f>
        <v>0</v>
      </c>
      <c r="BR29" s="16" t="n">
        <f aca="false">BQ30</f>
        <v>0</v>
      </c>
      <c r="BS29" s="16" t="n">
        <f aca="false">BR30</f>
        <v>0</v>
      </c>
      <c r="BT29" s="16" t="n">
        <f aca="false">BS30</f>
        <v>0</v>
      </c>
      <c r="BU29" s="16" t="n">
        <f aca="false">BT30</f>
        <v>0</v>
      </c>
      <c r="BV29" s="16" t="n">
        <f aca="false">BU30</f>
        <v>0</v>
      </c>
      <c r="BW29" s="16" t="n">
        <f aca="false">BV30</f>
        <v>0</v>
      </c>
      <c r="BX29" s="16" t="n">
        <f aca="false">BW30</f>
        <v>0</v>
      </c>
      <c r="BY29" s="16" t="n">
        <f aca="false">BX30</f>
        <v>0</v>
      </c>
      <c r="BZ29" s="16" t="n">
        <f aca="false">BY30</f>
        <v>0</v>
      </c>
      <c r="CA29" s="16" t="n">
        <f aca="false">BZ30</f>
        <v>0</v>
      </c>
      <c r="CB29" s="16" t="n">
        <f aca="false">CA30</f>
        <v>0</v>
      </c>
      <c r="CC29" s="16" t="n">
        <f aca="false">CB30</f>
        <v>0</v>
      </c>
      <c r="CD29" s="16" t="n">
        <f aca="false">CC30</f>
        <v>0</v>
      </c>
      <c r="CE29" s="16" t="n">
        <f aca="false">CD30</f>
        <v>0</v>
      </c>
      <c r="CF29" s="16" t="n">
        <f aca="false">CE30</f>
        <v>0</v>
      </c>
      <c r="CG29" s="16" t="n">
        <f aca="false">CF30</f>
        <v>0</v>
      </c>
      <c r="CH29" s="16" t="n">
        <f aca="false">CG30</f>
        <v>0</v>
      </c>
      <c r="CI29" s="16" t="n">
        <f aca="false">CH30</f>
        <v>0</v>
      </c>
      <c r="CJ29" s="16" t="n">
        <f aca="false">CI30</f>
        <v>0</v>
      </c>
      <c r="CK29" s="16" t="n">
        <f aca="false">CJ30</f>
        <v>0</v>
      </c>
      <c r="CL29" s="16" t="n">
        <f aca="false">CK30</f>
        <v>0</v>
      </c>
      <c r="CM29" s="16" t="n">
        <f aca="false">CL30</f>
        <v>0</v>
      </c>
      <c r="CN29" s="16" t="n">
        <f aca="false">CM30</f>
        <v>0</v>
      </c>
      <c r="CO29" s="16" t="n">
        <f aca="false">CN30</f>
        <v>0</v>
      </c>
      <c r="CP29" s="16" t="n">
        <f aca="false">CO30</f>
        <v>0</v>
      </c>
      <c r="CQ29" s="16" t="n">
        <f aca="false">CP30</f>
        <v>0</v>
      </c>
      <c r="CR29" s="16" t="n">
        <f aca="false">CQ30</f>
        <v>0</v>
      </c>
      <c r="CS29" s="16" t="n">
        <f aca="false">CR30</f>
        <v>0</v>
      </c>
      <c r="CT29" s="16" t="n">
        <f aca="false">CS30</f>
        <v>0</v>
      </c>
      <c r="CU29" s="16" t="n">
        <f aca="false">CT30</f>
        <v>0</v>
      </c>
      <c r="CV29" s="16" t="n">
        <f aca="false">CU30</f>
        <v>0</v>
      </c>
      <c r="CW29" s="16" t="n">
        <f aca="false">CV30</f>
        <v>0</v>
      </c>
      <c r="CX29" s="16" t="n">
        <f aca="false">CW30</f>
        <v>0</v>
      </c>
    </row>
    <row r="30" customFormat="false" ht="15" hidden="false" customHeight="false" outlineLevel="0" collapsed="false">
      <c r="A30" s="1" t="n">
        <f aca="false">A29+1</f>
        <v>27</v>
      </c>
      <c r="B30" s="16" t="n">
        <f aca="false">B29</f>
        <v>0</v>
      </c>
      <c r="C30" s="16" t="n">
        <f aca="false">B31</f>
        <v>0</v>
      </c>
      <c r="D30" s="16" t="n">
        <f aca="false">C31</f>
        <v>0</v>
      </c>
      <c r="E30" s="16" t="n">
        <f aca="false">D31</f>
        <v>0</v>
      </c>
      <c r="F30" s="16" t="n">
        <f aca="false">E31</f>
        <v>0</v>
      </c>
      <c r="G30" s="16" t="n">
        <f aca="false">F31</f>
        <v>0</v>
      </c>
      <c r="H30" s="16" t="n">
        <f aca="false">G31</f>
        <v>0</v>
      </c>
      <c r="I30" s="16" t="n">
        <f aca="false">H31</f>
        <v>0</v>
      </c>
      <c r="J30" s="16" t="n">
        <f aca="false">I31</f>
        <v>0</v>
      </c>
      <c r="K30" s="16" t="n">
        <f aca="false">J31</f>
        <v>0</v>
      </c>
      <c r="L30" s="16" t="n">
        <f aca="false">K31</f>
        <v>0</v>
      </c>
      <c r="M30" s="16" t="n">
        <f aca="false">L31</f>
        <v>0</v>
      </c>
      <c r="N30" s="16" t="n">
        <f aca="false">M31</f>
        <v>0</v>
      </c>
      <c r="O30" s="16" t="n">
        <f aca="false">N31</f>
        <v>0</v>
      </c>
      <c r="P30" s="16" t="n">
        <f aca="false">O31</f>
        <v>0</v>
      </c>
      <c r="Q30" s="16" t="n">
        <f aca="false">P31</f>
        <v>0</v>
      </c>
      <c r="R30" s="16" t="n">
        <f aca="false">Q31</f>
        <v>0</v>
      </c>
      <c r="S30" s="16" t="n">
        <f aca="false">R31</f>
        <v>0</v>
      </c>
      <c r="T30" s="16" t="n">
        <f aca="false">S31</f>
        <v>0</v>
      </c>
      <c r="U30" s="16" t="n">
        <f aca="false">T31</f>
        <v>0</v>
      </c>
      <c r="V30" s="16" t="n">
        <f aca="false">U31</f>
        <v>0</v>
      </c>
      <c r="W30" s="16" t="n">
        <f aca="false">V31</f>
        <v>0</v>
      </c>
      <c r="X30" s="16" t="n">
        <f aca="false">W31</f>
        <v>0</v>
      </c>
      <c r="Y30" s="16" t="n">
        <f aca="false">X31</f>
        <v>0</v>
      </c>
      <c r="Z30" s="16" t="n">
        <f aca="false">Y31</f>
        <v>0</v>
      </c>
      <c r="AA30" s="16" t="n">
        <f aca="false">Z31</f>
        <v>0</v>
      </c>
      <c r="AB30" s="16" t="n">
        <f aca="false">AA31</f>
        <v>0</v>
      </c>
      <c r="AC30" s="16" t="n">
        <f aca="false">AB31</f>
        <v>0</v>
      </c>
      <c r="AD30" s="16" t="n">
        <f aca="false">AC31</f>
        <v>0</v>
      </c>
      <c r="AE30" s="16" t="n">
        <f aca="false">AD31</f>
        <v>0</v>
      </c>
      <c r="AF30" s="16" t="n">
        <f aca="false">AE31</f>
        <v>0</v>
      </c>
      <c r="AG30" s="16" t="n">
        <f aca="false">AF31</f>
        <v>0</v>
      </c>
      <c r="AH30" s="16" t="n">
        <f aca="false">AG31</f>
        <v>0</v>
      </c>
      <c r="AI30" s="16" t="n">
        <f aca="false">AH31</f>
        <v>0</v>
      </c>
      <c r="AJ30" s="16" t="n">
        <f aca="false">AI31</f>
        <v>0</v>
      </c>
      <c r="AK30" s="16" t="n">
        <f aca="false">AJ31</f>
        <v>0</v>
      </c>
      <c r="AL30" s="16" t="n">
        <f aca="false">AK31</f>
        <v>0</v>
      </c>
      <c r="AM30" s="16" t="n">
        <f aca="false">AL31</f>
        <v>0</v>
      </c>
      <c r="AN30" s="16" t="n">
        <f aca="false">AM31</f>
        <v>0</v>
      </c>
      <c r="AO30" s="16" t="n">
        <f aca="false">AN31</f>
        <v>0</v>
      </c>
      <c r="AP30" s="16" t="n">
        <f aca="false">AO31</f>
        <v>0</v>
      </c>
      <c r="AQ30" s="16" t="n">
        <f aca="false">AP31</f>
        <v>0</v>
      </c>
      <c r="AR30" s="16" t="n">
        <f aca="false">AQ31</f>
        <v>0</v>
      </c>
      <c r="AS30" s="16" t="n">
        <f aca="false">AR31</f>
        <v>0</v>
      </c>
      <c r="AT30" s="16" t="n">
        <f aca="false">AS31</f>
        <v>0</v>
      </c>
      <c r="AU30" s="16" t="n">
        <f aca="false">AT31</f>
        <v>0</v>
      </c>
      <c r="AV30" s="16" t="n">
        <f aca="false">AU31</f>
        <v>0</v>
      </c>
      <c r="AW30" s="16" t="n">
        <f aca="false">AV31</f>
        <v>0</v>
      </c>
      <c r="AX30" s="16" t="n">
        <f aca="false">AW31</f>
        <v>0</v>
      </c>
      <c r="AY30" s="16" t="n">
        <f aca="false">AX31</f>
        <v>0</v>
      </c>
      <c r="AZ30" s="16" t="n">
        <f aca="false">AY31</f>
        <v>0</v>
      </c>
      <c r="BA30" s="16" t="n">
        <f aca="false">AZ31</f>
        <v>0</v>
      </c>
      <c r="BB30" s="16" t="n">
        <f aca="false">BA31</f>
        <v>0</v>
      </c>
      <c r="BC30" s="16" t="n">
        <f aca="false">BB31</f>
        <v>0</v>
      </c>
      <c r="BD30" s="16" t="n">
        <f aca="false">BC31</f>
        <v>0</v>
      </c>
      <c r="BE30" s="16" t="n">
        <f aca="false">BD31</f>
        <v>0</v>
      </c>
      <c r="BF30" s="16" t="n">
        <f aca="false">BE31</f>
        <v>0</v>
      </c>
      <c r="BG30" s="16" t="n">
        <f aca="false">BF31</f>
        <v>0</v>
      </c>
      <c r="BH30" s="16" t="n">
        <f aca="false">BG31</f>
        <v>0</v>
      </c>
      <c r="BI30" s="16" t="n">
        <f aca="false">BH31</f>
        <v>0</v>
      </c>
      <c r="BJ30" s="16" t="n">
        <f aca="false">BI31</f>
        <v>0</v>
      </c>
      <c r="BK30" s="16" t="n">
        <f aca="false">BJ31</f>
        <v>0</v>
      </c>
      <c r="BL30" s="16" t="n">
        <f aca="false">BK31</f>
        <v>0</v>
      </c>
      <c r="BM30" s="16" t="n">
        <f aca="false">BL31</f>
        <v>0</v>
      </c>
      <c r="BN30" s="16" t="n">
        <f aca="false">BM31</f>
        <v>0</v>
      </c>
      <c r="BO30" s="16" t="n">
        <f aca="false">BN31</f>
        <v>0</v>
      </c>
      <c r="BP30" s="16" t="n">
        <f aca="false">BO31</f>
        <v>0</v>
      </c>
      <c r="BQ30" s="16" t="n">
        <f aca="false">BP31</f>
        <v>0</v>
      </c>
      <c r="BR30" s="16" t="n">
        <f aca="false">BQ31</f>
        <v>0</v>
      </c>
      <c r="BS30" s="16" t="n">
        <f aca="false">BR31</f>
        <v>0</v>
      </c>
      <c r="BT30" s="16" t="n">
        <f aca="false">BS31</f>
        <v>0</v>
      </c>
      <c r="BU30" s="16" t="n">
        <f aca="false">BT31</f>
        <v>0</v>
      </c>
      <c r="BV30" s="16" t="n">
        <f aca="false">BU31</f>
        <v>0</v>
      </c>
      <c r="BW30" s="16" t="n">
        <f aca="false">BV31</f>
        <v>0</v>
      </c>
      <c r="BX30" s="16" t="n">
        <f aca="false">BW31</f>
        <v>0</v>
      </c>
      <c r="BY30" s="16" t="n">
        <f aca="false">BX31</f>
        <v>0</v>
      </c>
      <c r="BZ30" s="16" t="n">
        <f aca="false">BY31</f>
        <v>0</v>
      </c>
      <c r="CA30" s="16" t="n">
        <f aca="false">BZ31</f>
        <v>0</v>
      </c>
      <c r="CB30" s="16" t="n">
        <f aca="false">CA31</f>
        <v>0</v>
      </c>
      <c r="CC30" s="16" t="n">
        <f aca="false">CB31</f>
        <v>0</v>
      </c>
      <c r="CD30" s="16" t="n">
        <f aca="false">CC31</f>
        <v>0</v>
      </c>
      <c r="CE30" s="16" t="n">
        <f aca="false">CD31</f>
        <v>0</v>
      </c>
      <c r="CF30" s="16" t="n">
        <f aca="false">CE31</f>
        <v>0</v>
      </c>
      <c r="CG30" s="16" t="n">
        <f aca="false">CF31</f>
        <v>0</v>
      </c>
      <c r="CH30" s="16" t="n">
        <f aca="false">CG31</f>
        <v>0</v>
      </c>
      <c r="CI30" s="16" t="n">
        <f aca="false">CH31</f>
        <v>0</v>
      </c>
      <c r="CJ30" s="16" t="n">
        <f aca="false">CI31</f>
        <v>0</v>
      </c>
      <c r="CK30" s="16" t="n">
        <f aca="false">CJ31</f>
        <v>0</v>
      </c>
      <c r="CL30" s="16" t="n">
        <f aca="false">CK31</f>
        <v>0</v>
      </c>
      <c r="CM30" s="16" t="n">
        <f aca="false">CL31</f>
        <v>0</v>
      </c>
      <c r="CN30" s="16" t="n">
        <f aca="false">CM31</f>
        <v>0</v>
      </c>
      <c r="CO30" s="16" t="n">
        <f aca="false">CN31</f>
        <v>0</v>
      </c>
      <c r="CP30" s="16" t="n">
        <f aca="false">CO31</f>
        <v>0</v>
      </c>
      <c r="CQ30" s="16" t="n">
        <f aca="false">CP31</f>
        <v>0</v>
      </c>
      <c r="CR30" s="16" t="n">
        <f aca="false">CQ31</f>
        <v>0</v>
      </c>
      <c r="CS30" s="16" t="n">
        <f aca="false">CR31</f>
        <v>0</v>
      </c>
      <c r="CT30" s="16" t="n">
        <f aca="false">CS31</f>
        <v>0</v>
      </c>
      <c r="CU30" s="16" t="n">
        <f aca="false">CT31</f>
        <v>0</v>
      </c>
      <c r="CV30" s="16" t="n">
        <f aca="false">CU31</f>
        <v>0</v>
      </c>
      <c r="CW30" s="16" t="n">
        <f aca="false">CV31</f>
        <v>0</v>
      </c>
      <c r="CX30" s="16" t="n">
        <f aca="false">CW31</f>
        <v>0</v>
      </c>
    </row>
    <row r="31" customFormat="false" ht="15" hidden="false" customHeight="false" outlineLevel="0" collapsed="false">
      <c r="A31" s="1" t="n">
        <f aca="false">A30+1</f>
        <v>28</v>
      </c>
      <c r="B31" s="16" t="n">
        <f aca="false">B30</f>
        <v>0</v>
      </c>
      <c r="C31" s="16" t="n">
        <f aca="false">B32</f>
        <v>0</v>
      </c>
      <c r="D31" s="16" t="n">
        <f aca="false">C32</f>
        <v>0</v>
      </c>
      <c r="E31" s="16" t="n">
        <f aca="false">D32</f>
        <v>0</v>
      </c>
      <c r="F31" s="16" t="n">
        <f aca="false">E32</f>
        <v>0</v>
      </c>
      <c r="G31" s="16" t="n">
        <f aca="false">F32</f>
        <v>0</v>
      </c>
      <c r="H31" s="16" t="n">
        <f aca="false">G32</f>
        <v>0</v>
      </c>
      <c r="I31" s="16" t="n">
        <f aca="false">H32</f>
        <v>0</v>
      </c>
      <c r="J31" s="16" t="n">
        <f aca="false">I32</f>
        <v>0</v>
      </c>
      <c r="K31" s="16" t="n">
        <f aca="false">J32</f>
        <v>0</v>
      </c>
      <c r="L31" s="16" t="n">
        <f aca="false">K32</f>
        <v>0</v>
      </c>
      <c r="M31" s="16" t="n">
        <f aca="false">L32</f>
        <v>0</v>
      </c>
      <c r="N31" s="16" t="n">
        <f aca="false">M32</f>
        <v>0</v>
      </c>
      <c r="O31" s="16" t="n">
        <f aca="false">N32</f>
        <v>0</v>
      </c>
      <c r="P31" s="16" t="n">
        <f aca="false">O32</f>
        <v>0</v>
      </c>
      <c r="Q31" s="16" t="n">
        <f aca="false">P32</f>
        <v>0</v>
      </c>
      <c r="R31" s="16" t="n">
        <f aca="false">Q32</f>
        <v>0</v>
      </c>
      <c r="S31" s="16" t="n">
        <f aca="false">R32</f>
        <v>0</v>
      </c>
      <c r="T31" s="16" t="n">
        <f aca="false">S32</f>
        <v>0</v>
      </c>
      <c r="U31" s="16" t="n">
        <f aca="false">T32</f>
        <v>0</v>
      </c>
      <c r="V31" s="16" t="n">
        <f aca="false">U32</f>
        <v>0</v>
      </c>
      <c r="W31" s="16" t="n">
        <f aca="false">V32</f>
        <v>0</v>
      </c>
      <c r="X31" s="16" t="n">
        <f aca="false">W32</f>
        <v>0</v>
      </c>
      <c r="Y31" s="16" t="n">
        <f aca="false">X32</f>
        <v>0</v>
      </c>
      <c r="Z31" s="16" t="n">
        <f aca="false">Y32</f>
        <v>0</v>
      </c>
      <c r="AA31" s="16" t="n">
        <f aca="false">Z32</f>
        <v>0</v>
      </c>
      <c r="AB31" s="16" t="n">
        <f aca="false">AA32</f>
        <v>0</v>
      </c>
      <c r="AC31" s="16" t="n">
        <f aca="false">AB32</f>
        <v>0</v>
      </c>
      <c r="AD31" s="16" t="n">
        <f aca="false">AC32</f>
        <v>0</v>
      </c>
      <c r="AE31" s="16" t="n">
        <f aca="false">AD32</f>
        <v>0</v>
      </c>
      <c r="AF31" s="16" t="n">
        <f aca="false">AE32</f>
        <v>0</v>
      </c>
      <c r="AG31" s="16" t="n">
        <f aca="false">AF32</f>
        <v>0</v>
      </c>
      <c r="AH31" s="16" t="n">
        <f aca="false">AG32</f>
        <v>0</v>
      </c>
      <c r="AI31" s="16" t="n">
        <f aca="false">AH32</f>
        <v>0</v>
      </c>
      <c r="AJ31" s="16" t="n">
        <f aca="false">AI32</f>
        <v>0</v>
      </c>
      <c r="AK31" s="16" t="n">
        <f aca="false">AJ32</f>
        <v>0</v>
      </c>
      <c r="AL31" s="16" t="n">
        <f aca="false">AK32</f>
        <v>0</v>
      </c>
      <c r="AM31" s="16" t="n">
        <f aca="false">AL32</f>
        <v>0</v>
      </c>
      <c r="AN31" s="16" t="n">
        <f aca="false">AM32</f>
        <v>0</v>
      </c>
      <c r="AO31" s="16" t="n">
        <f aca="false">AN32</f>
        <v>0</v>
      </c>
      <c r="AP31" s="16" t="n">
        <f aca="false">AO32</f>
        <v>0</v>
      </c>
      <c r="AQ31" s="16" t="n">
        <f aca="false">AP32</f>
        <v>0</v>
      </c>
      <c r="AR31" s="16" t="n">
        <f aca="false">AQ32</f>
        <v>0</v>
      </c>
      <c r="AS31" s="16" t="n">
        <f aca="false">AR32</f>
        <v>0</v>
      </c>
      <c r="AT31" s="16" t="n">
        <f aca="false">AS32</f>
        <v>0</v>
      </c>
      <c r="AU31" s="16" t="n">
        <f aca="false">AT32</f>
        <v>0</v>
      </c>
      <c r="AV31" s="16" t="n">
        <f aca="false">AU32</f>
        <v>0</v>
      </c>
      <c r="AW31" s="16" t="n">
        <f aca="false">AV32</f>
        <v>0</v>
      </c>
      <c r="AX31" s="16" t="n">
        <f aca="false">AW32</f>
        <v>0</v>
      </c>
      <c r="AY31" s="16" t="n">
        <f aca="false">AX32</f>
        <v>0</v>
      </c>
      <c r="AZ31" s="16" t="n">
        <f aca="false">AY32</f>
        <v>0</v>
      </c>
      <c r="BA31" s="16" t="n">
        <f aca="false">AZ32</f>
        <v>0</v>
      </c>
      <c r="BB31" s="16" t="n">
        <f aca="false">BA32</f>
        <v>0</v>
      </c>
      <c r="BC31" s="16" t="n">
        <f aca="false">BB32</f>
        <v>0</v>
      </c>
      <c r="BD31" s="16" t="n">
        <f aca="false">BC32</f>
        <v>0</v>
      </c>
      <c r="BE31" s="16" t="n">
        <f aca="false">BD32</f>
        <v>0</v>
      </c>
      <c r="BF31" s="16" t="n">
        <f aca="false">BE32</f>
        <v>0</v>
      </c>
      <c r="BG31" s="16" t="n">
        <f aca="false">BF32</f>
        <v>0</v>
      </c>
      <c r="BH31" s="16" t="n">
        <f aca="false">BG32</f>
        <v>0</v>
      </c>
      <c r="BI31" s="16" t="n">
        <f aca="false">BH32</f>
        <v>0</v>
      </c>
      <c r="BJ31" s="16" t="n">
        <f aca="false">BI32</f>
        <v>0</v>
      </c>
      <c r="BK31" s="16" t="n">
        <f aca="false">BJ32</f>
        <v>0</v>
      </c>
      <c r="BL31" s="16" t="n">
        <f aca="false">BK32</f>
        <v>0</v>
      </c>
      <c r="BM31" s="16" t="n">
        <f aca="false">BL32</f>
        <v>0</v>
      </c>
      <c r="BN31" s="16" t="n">
        <f aca="false">BM32</f>
        <v>0</v>
      </c>
      <c r="BO31" s="16" t="n">
        <f aca="false">BN32</f>
        <v>0</v>
      </c>
      <c r="BP31" s="16" t="n">
        <f aca="false">BO32</f>
        <v>0</v>
      </c>
      <c r="BQ31" s="16" t="n">
        <f aca="false">BP32</f>
        <v>0</v>
      </c>
      <c r="BR31" s="16" t="n">
        <f aca="false">BQ32</f>
        <v>0</v>
      </c>
      <c r="BS31" s="16" t="n">
        <f aca="false">BR32</f>
        <v>0</v>
      </c>
      <c r="BT31" s="16" t="n">
        <f aca="false">BS32</f>
        <v>0</v>
      </c>
      <c r="BU31" s="16" t="n">
        <f aca="false">BT32</f>
        <v>0</v>
      </c>
      <c r="BV31" s="16" t="n">
        <f aca="false">BU32</f>
        <v>0</v>
      </c>
      <c r="BW31" s="16" t="n">
        <f aca="false">BV32</f>
        <v>0</v>
      </c>
      <c r="BX31" s="16" t="n">
        <f aca="false">BW32</f>
        <v>0</v>
      </c>
      <c r="BY31" s="16" t="n">
        <f aca="false">BX32</f>
        <v>0</v>
      </c>
      <c r="BZ31" s="16" t="n">
        <f aca="false">BY32</f>
        <v>0</v>
      </c>
      <c r="CA31" s="16" t="n">
        <f aca="false">BZ32</f>
        <v>0</v>
      </c>
      <c r="CB31" s="16" t="n">
        <f aca="false">CA32</f>
        <v>0</v>
      </c>
      <c r="CC31" s="16" t="n">
        <f aca="false">CB32</f>
        <v>0</v>
      </c>
      <c r="CD31" s="16" t="n">
        <f aca="false">CC32</f>
        <v>0</v>
      </c>
      <c r="CE31" s="16" t="n">
        <f aca="false">CD32</f>
        <v>0</v>
      </c>
      <c r="CF31" s="16" t="n">
        <f aca="false">CE32</f>
        <v>0</v>
      </c>
      <c r="CG31" s="16" t="n">
        <f aca="false">CF32</f>
        <v>0</v>
      </c>
      <c r="CH31" s="16" t="n">
        <f aca="false">CG32</f>
        <v>0</v>
      </c>
      <c r="CI31" s="16" t="n">
        <f aca="false">CH32</f>
        <v>0</v>
      </c>
      <c r="CJ31" s="16" t="n">
        <f aca="false">CI32</f>
        <v>0</v>
      </c>
      <c r="CK31" s="16" t="n">
        <f aca="false">CJ32</f>
        <v>0</v>
      </c>
      <c r="CL31" s="16" t="n">
        <f aca="false">CK32</f>
        <v>0</v>
      </c>
      <c r="CM31" s="16" t="n">
        <f aca="false">CL32</f>
        <v>0</v>
      </c>
      <c r="CN31" s="16" t="n">
        <f aca="false">CM32</f>
        <v>0</v>
      </c>
      <c r="CO31" s="16" t="n">
        <f aca="false">CN32</f>
        <v>0</v>
      </c>
      <c r="CP31" s="16" t="n">
        <f aca="false">CO32</f>
        <v>0</v>
      </c>
      <c r="CQ31" s="16" t="n">
        <f aca="false">CP32</f>
        <v>0</v>
      </c>
      <c r="CR31" s="16" t="n">
        <f aca="false">CQ32</f>
        <v>0</v>
      </c>
      <c r="CS31" s="16" t="n">
        <f aca="false">CR32</f>
        <v>0</v>
      </c>
      <c r="CT31" s="16" t="n">
        <f aca="false">CS32</f>
        <v>0</v>
      </c>
      <c r="CU31" s="16" t="n">
        <f aca="false">CT32</f>
        <v>0</v>
      </c>
      <c r="CV31" s="16" t="n">
        <f aca="false">CU32</f>
        <v>0</v>
      </c>
      <c r="CW31" s="16" t="n">
        <f aca="false">CV32</f>
        <v>0</v>
      </c>
      <c r="CX31" s="16" t="n">
        <f aca="false">CW32</f>
        <v>0</v>
      </c>
    </row>
    <row r="32" customFormat="false" ht="15" hidden="false" customHeight="false" outlineLevel="0" collapsed="false">
      <c r="A32" s="1" t="n">
        <f aca="false">A31+1</f>
        <v>29</v>
      </c>
      <c r="B32" s="16" t="n">
        <f aca="false">B31</f>
        <v>0</v>
      </c>
      <c r="C32" s="16" t="n">
        <f aca="false">B33</f>
        <v>0</v>
      </c>
      <c r="D32" s="16" t="n">
        <f aca="false">C33</f>
        <v>0</v>
      </c>
      <c r="E32" s="16" t="n">
        <f aca="false">D33</f>
        <v>0</v>
      </c>
      <c r="F32" s="16" t="n">
        <f aca="false">E33</f>
        <v>0</v>
      </c>
      <c r="G32" s="16" t="n">
        <f aca="false">F33</f>
        <v>0</v>
      </c>
      <c r="H32" s="16" t="n">
        <f aca="false">G33</f>
        <v>0</v>
      </c>
      <c r="I32" s="16" t="n">
        <f aca="false">H33</f>
        <v>0</v>
      </c>
      <c r="J32" s="16" t="n">
        <f aca="false">I33</f>
        <v>0</v>
      </c>
      <c r="K32" s="16" t="n">
        <f aca="false">J33</f>
        <v>0</v>
      </c>
      <c r="L32" s="16" t="n">
        <f aca="false">K33</f>
        <v>0</v>
      </c>
      <c r="M32" s="16" t="n">
        <f aca="false">L33</f>
        <v>0</v>
      </c>
      <c r="N32" s="16" t="n">
        <f aca="false">M33</f>
        <v>0</v>
      </c>
      <c r="O32" s="16" t="n">
        <f aca="false">N33</f>
        <v>0</v>
      </c>
      <c r="P32" s="16" t="n">
        <f aca="false">O33</f>
        <v>0</v>
      </c>
      <c r="Q32" s="16" t="n">
        <f aca="false">P33</f>
        <v>0</v>
      </c>
      <c r="R32" s="16" t="n">
        <f aca="false">Q33</f>
        <v>0</v>
      </c>
      <c r="S32" s="16" t="n">
        <f aca="false">R33</f>
        <v>0</v>
      </c>
      <c r="T32" s="16" t="n">
        <f aca="false">S33</f>
        <v>0</v>
      </c>
      <c r="U32" s="16" t="n">
        <f aca="false">T33</f>
        <v>0</v>
      </c>
      <c r="V32" s="16" t="n">
        <f aca="false">U33</f>
        <v>0</v>
      </c>
      <c r="W32" s="16" t="n">
        <f aca="false">V33</f>
        <v>0</v>
      </c>
      <c r="X32" s="16" t="n">
        <f aca="false">W33</f>
        <v>0</v>
      </c>
      <c r="Y32" s="16" t="n">
        <f aca="false">X33</f>
        <v>0</v>
      </c>
      <c r="Z32" s="16" t="n">
        <f aca="false">Y33</f>
        <v>0</v>
      </c>
      <c r="AA32" s="16" t="n">
        <f aca="false">Z33</f>
        <v>0</v>
      </c>
      <c r="AB32" s="16" t="n">
        <f aca="false">AA33</f>
        <v>0</v>
      </c>
      <c r="AC32" s="16" t="n">
        <f aca="false">AB33</f>
        <v>0</v>
      </c>
      <c r="AD32" s="16" t="n">
        <f aca="false">AC33</f>
        <v>0</v>
      </c>
      <c r="AE32" s="16" t="n">
        <f aca="false">AD33</f>
        <v>0</v>
      </c>
      <c r="AF32" s="16" t="n">
        <f aca="false">AE33</f>
        <v>0</v>
      </c>
      <c r="AG32" s="16" t="n">
        <f aca="false">AF33</f>
        <v>0</v>
      </c>
      <c r="AH32" s="16" t="n">
        <f aca="false">AG33</f>
        <v>0</v>
      </c>
      <c r="AI32" s="16" t="n">
        <f aca="false">AH33</f>
        <v>0</v>
      </c>
      <c r="AJ32" s="16" t="n">
        <f aca="false">AI33</f>
        <v>0</v>
      </c>
      <c r="AK32" s="16" t="n">
        <f aca="false">AJ33</f>
        <v>0</v>
      </c>
      <c r="AL32" s="16" t="n">
        <f aca="false">AK33</f>
        <v>0</v>
      </c>
      <c r="AM32" s="16" t="n">
        <f aca="false">AL33</f>
        <v>0</v>
      </c>
      <c r="AN32" s="16" t="n">
        <f aca="false">AM33</f>
        <v>0</v>
      </c>
      <c r="AO32" s="16" t="n">
        <f aca="false">AN33</f>
        <v>0</v>
      </c>
      <c r="AP32" s="16" t="n">
        <f aca="false">AO33</f>
        <v>0</v>
      </c>
      <c r="AQ32" s="16" t="n">
        <f aca="false">AP33</f>
        <v>0</v>
      </c>
      <c r="AR32" s="16" t="n">
        <f aca="false">AQ33</f>
        <v>0</v>
      </c>
      <c r="AS32" s="16" t="n">
        <f aca="false">AR33</f>
        <v>0</v>
      </c>
      <c r="AT32" s="16" t="n">
        <f aca="false">AS33</f>
        <v>0</v>
      </c>
      <c r="AU32" s="16" t="n">
        <f aca="false">AT33</f>
        <v>0</v>
      </c>
      <c r="AV32" s="16" t="n">
        <f aca="false">AU33</f>
        <v>0</v>
      </c>
      <c r="AW32" s="16" t="n">
        <f aca="false">AV33</f>
        <v>0</v>
      </c>
      <c r="AX32" s="16" t="n">
        <f aca="false">AW33</f>
        <v>0</v>
      </c>
      <c r="AY32" s="16" t="n">
        <f aca="false">AX33</f>
        <v>0</v>
      </c>
      <c r="AZ32" s="16" t="n">
        <f aca="false">AY33</f>
        <v>0</v>
      </c>
      <c r="BA32" s="16" t="n">
        <f aca="false">AZ33</f>
        <v>0</v>
      </c>
      <c r="BB32" s="16" t="n">
        <f aca="false">BA33</f>
        <v>0</v>
      </c>
      <c r="BC32" s="16" t="n">
        <f aca="false">BB33</f>
        <v>0</v>
      </c>
      <c r="BD32" s="16" t="n">
        <f aca="false">BC33</f>
        <v>0</v>
      </c>
      <c r="BE32" s="16" t="n">
        <f aca="false">BD33</f>
        <v>0</v>
      </c>
      <c r="BF32" s="16" t="n">
        <f aca="false">BE33</f>
        <v>0</v>
      </c>
      <c r="BG32" s="16" t="n">
        <f aca="false">BF33</f>
        <v>0</v>
      </c>
      <c r="BH32" s="16" t="n">
        <f aca="false">BG33</f>
        <v>0</v>
      </c>
      <c r="BI32" s="16" t="n">
        <f aca="false">BH33</f>
        <v>0</v>
      </c>
      <c r="BJ32" s="16" t="n">
        <f aca="false">BI33</f>
        <v>0</v>
      </c>
      <c r="BK32" s="16" t="n">
        <f aca="false">BJ33</f>
        <v>0</v>
      </c>
      <c r="BL32" s="16" t="n">
        <f aca="false">BK33</f>
        <v>0</v>
      </c>
      <c r="BM32" s="16" t="n">
        <f aca="false">BL33</f>
        <v>0</v>
      </c>
      <c r="BN32" s="16" t="n">
        <f aca="false">BM33</f>
        <v>0</v>
      </c>
      <c r="BO32" s="16" t="n">
        <f aca="false">BN33</f>
        <v>0</v>
      </c>
      <c r="BP32" s="16" t="n">
        <f aca="false">BO33</f>
        <v>0</v>
      </c>
      <c r="BQ32" s="16" t="n">
        <f aca="false">BP33</f>
        <v>0</v>
      </c>
      <c r="BR32" s="16" t="n">
        <f aca="false">BQ33</f>
        <v>0</v>
      </c>
      <c r="BS32" s="16" t="n">
        <f aca="false">BR33</f>
        <v>0</v>
      </c>
      <c r="BT32" s="16" t="n">
        <f aca="false">BS33</f>
        <v>0</v>
      </c>
      <c r="BU32" s="16" t="n">
        <f aca="false">BT33</f>
        <v>0</v>
      </c>
      <c r="BV32" s="16" t="n">
        <f aca="false">BU33</f>
        <v>0</v>
      </c>
      <c r="BW32" s="16" t="n">
        <f aca="false">BV33</f>
        <v>0</v>
      </c>
      <c r="BX32" s="16" t="n">
        <f aca="false">BW33</f>
        <v>0</v>
      </c>
      <c r="BY32" s="16" t="n">
        <f aca="false">BX33</f>
        <v>0</v>
      </c>
      <c r="BZ32" s="16" t="n">
        <f aca="false">BY33</f>
        <v>0</v>
      </c>
      <c r="CA32" s="16" t="n">
        <f aca="false">BZ33</f>
        <v>0</v>
      </c>
      <c r="CB32" s="16" t="n">
        <f aca="false">CA33</f>
        <v>0</v>
      </c>
      <c r="CC32" s="16" t="n">
        <f aca="false">CB33</f>
        <v>0</v>
      </c>
      <c r="CD32" s="16" t="n">
        <f aca="false">CC33</f>
        <v>0</v>
      </c>
      <c r="CE32" s="16" t="n">
        <f aca="false">CD33</f>
        <v>0</v>
      </c>
      <c r="CF32" s="16" t="n">
        <f aca="false">CE33</f>
        <v>0</v>
      </c>
      <c r="CG32" s="16" t="n">
        <f aca="false">CF33</f>
        <v>0</v>
      </c>
      <c r="CH32" s="16" t="n">
        <f aca="false">CG33</f>
        <v>0</v>
      </c>
      <c r="CI32" s="16" t="n">
        <f aca="false">CH33</f>
        <v>0</v>
      </c>
      <c r="CJ32" s="16" t="n">
        <f aca="false">CI33</f>
        <v>0</v>
      </c>
      <c r="CK32" s="16" t="n">
        <f aca="false">CJ33</f>
        <v>0</v>
      </c>
      <c r="CL32" s="16" t="n">
        <f aca="false">CK33</f>
        <v>0</v>
      </c>
      <c r="CM32" s="16" t="n">
        <f aca="false">CL33</f>
        <v>0</v>
      </c>
      <c r="CN32" s="16" t="n">
        <f aca="false">CM33</f>
        <v>0</v>
      </c>
      <c r="CO32" s="16" t="n">
        <f aca="false">CN33</f>
        <v>0</v>
      </c>
      <c r="CP32" s="16" t="n">
        <f aca="false">CO33</f>
        <v>0</v>
      </c>
      <c r="CQ32" s="16" t="n">
        <f aca="false">CP33</f>
        <v>0</v>
      </c>
      <c r="CR32" s="16" t="n">
        <f aca="false">CQ33</f>
        <v>0</v>
      </c>
      <c r="CS32" s="16" t="n">
        <f aca="false">CR33</f>
        <v>0</v>
      </c>
      <c r="CT32" s="16" t="n">
        <f aca="false">CS33</f>
        <v>0</v>
      </c>
      <c r="CU32" s="16" t="n">
        <f aca="false">CT33</f>
        <v>0</v>
      </c>
      <c r="CV32" s="16" t="n">
        <f aca="false">CU33</f>
        <v>0</v>
      </c>
      <c r="CW32" s="16" t="n">
        <f aca="false">CV33</f>
        <v>0</v>
      </c>
      <c r="CX32" s="16" t="n">
        <f aca="false">CW33</f>
        <v>0</v>
      </c>
    </row>
    <row r="33" customFormat="false" ht="15" hidden="false" customHeight="false" outlineLevel="0" collapsed="false">
      <c r="A33" s="1" t="n">
        <f aca="false">A32+1</f>
        <v>30</v>
      </c>
      <c r="B33" s="16" t="n">
        <f aca="false">B32</f>
        <v>0</v>
      </c>
      <c r="C33" s="16" t="n">
        <f aca="false">B34</f>
        <v>0</v>
      </c>
      <c r="D33" s="16" t="n">
        <f aca="false">C34</f>
        <v>0</v>
      </c>
      <c r="E33" s="16" t="n">
        <f aca="false">D34</f>
        <v>0</v>
      </c>
      <c r="F33" s="16" t="n">
        <f aca="false">E34</f>
        <v>0</v>
      </c>
      <c r="G33" s="16" t="n">
        <f aca="false">F34</f>
        <v>0</v>
      </c>
      <c r="H33" s="16" t="n">
        <f aca="false">G34</f>
        <v>0</v>
      </c>
      <c r="I33" s="16" t="n">
        <f aca="false">H34</f>
        <v>0</v>
      </c>
      <c r="J33" s="16" t="n">
        <f aca="false">I34</f>
        <v>0</v>
      </c>
      <c r="K33" s="16" t="n">
        <f aca="false">J34</f>
        <v>0</v>
      </c>
      <c r="L33" s="16" t="n">
        <f aca="false">K34</f>
        <v>0</v>
      </c>
      <c r="M33" s="16" t="n">
        <f aca="false">L34</f>
        <v>0</v>
      </c>
      <c r="N33" s="16" t="n">
        <f aca="false">M34</f>
        <v>0</v>
      </c>
      <c r="O33" s="16" t="n">
        <f aca="false">N34</f>
        <v>0</v>
      </c>
      <c r="P33" s="16" t="n">
        <f aca="false">O34</f>
        <v>0</v>
      </c>
      <c r="Q33" s="16" t="n">
        <f aca="false">P34</f>
        <v>0</v>
      </c>
      <c r="R33" s="16" t="n">
        <f aca="false">Q34</f>
        <v>0</v>
      </c>
      <c r="S33" s="16" t="n">
        <f aca="false">R34</f>
        <v>0</v>
      </c>
      <c r="T33" s="16" t="n">
        <f aca="false">S34</f>
        <v>0</v>
      </c>
      <c r="U33" s="16" t="n">
        <f aca="false">T34</f>
        <v>0</v>
      </c>
      <c r="V33" s="16" t="n">
        <f aca="false">U34</f>
        <v>0</v>
      </c>
      <c r="W33" s="16" t="n">
        <f aca="false">V34</f>
        <v>0</v>
      </c>
      <c r="X33" s="16" t="n">
        <f aca="false">W34</f>
        <v>0</v>
      </c>
      <c r="Y33" s="16" t="n">
        <f aca="false">X34</f>
        <v>0</v>
      </c>
      <c r="Z33" s="16" t="n">
        <f aca="false">Y34</f>
        <v>0</v>
      </c>
      <c r="AA33" s="16" t="n">
        <f aca="false">Z34</f>
        <v>0</v>
      </c>
      <c r="AB33" s="16" t="n">
        <f aca="false">AA34</f>
        <v>0</v>
      </c>
      <c r="AC33" s="16" t="n">
        <f aca="false">AB34</f>
        <v>0</v>
      </c>
      <c r="AD33" s="16" t="n">
        <f aca="false">AC34</f>
        <v>0</v>
      </c>
      <c r="AE33" s="16" t="n">
        <f aca="false">AD34</f>
        <v>0</v>
      </c>
      <c r="AF33" s="16" t="n">
        <f aca="false">AE34</f>
        <v>0</v>
      </c>
      <c r="AG33" s="16" t="n">
        <f aca="false">AF34</f>
        <v>0</v>
      </c>
      <c r="AH33" s="16" t="n">
        <f aca="false">AG34</f>
        <v>0</v>
      </c>
      <c r="AI33" s="16" t="n">
        <f aca="false">AH34</f>
        <v>0</v>
      </c>
      <c r="AJ33" s="16" t="n">
        <f aca="false">AI34</f>
        <v>0</v>
      </c>
      <c r="AK33" s="16" t="n">
        <f aca="false">AJ34</f>
        <v>0</v>
      </c>
      <c r="AL33" s="16" t="n">
        <f aca="false">AK34</f>
        <v>0</v>
      </c>
      <c r="AM33" s="16" t="n">
        <f aca="false">AL34</f>
        <v>0</v>
      </c>
      <c r="AN33" s="16" t="n">
        <f aca="false">AM34</f>
        <v>0</v>
      </c>
      <c r="AO33" s="16" t="n">
        <f aca="false">AN34</f>
        <v>0</v>
      </c>
      <c r="AP33" s="16" t="n">
        <f aca="false">AO34</f>
        <v>0</v>
      </c>
      <c r="AQ33" s="16" t="n">
        <f aca="false">AP34</f>
        <v>0</v>
      </c>
      <c r="AR33" s="16" t="n">
        <f aca="false">AQ34</f>
        <v>0</v>
      </c>
      <c r="AS33" s="16" t="n">
        <f aca="false">AR34</f>
        <v>0</v>
      </c>
      <c r="AT33" s="16" t="n">
        <f aca="false">AS34</f>
        <v>0</v>
      </c>
      <c r="AU33" s="16" t="n">
        <f aca="false">AT34</f>
        <v>0</v>
      </c>
      <c r="AV33" s="16" t="n">
        <f aca="false">AU34</f>
        <v>0</v>
      </c>
      <c r="AW33" s="16" t="n">
        <f aca="false">AV34</f>
        <v>0</v>
      </c>
      <c r="AX33" s="16" t="n">
        <f aca="false">AW34</f>
        <v>0</v>
      </c>
      <c r="AY33" s="16" t="n">
        <f aca="false">AX34</f>
        <v>0</v>
      </c>
      <c r="AZ33" s="16" t="n">
        <f aca="false">AY34</f>
        <v>0</v>
      </c>
      <c r="BA33" s="16" t="n">
        <f aca="false">AZ34</f>
        <v>0</v>
      </c>
      <c r="BB33" s="16" t="n">
        <f aca="false">BA34</f>
        <v>0</v>
      </c>
      <c r="BC33" s="16" t="n">
        <f aca="false">BB34</f>
        <v>0</v>
      </c>
      <c r="BD33" s="16" t="n">
        <f aca="false">BC34</f>
        <v>0</v>
      </c>
      <c r="BE33" s="16" t="n">
        <f aca="false">BD34</f>
        <v>0</v>
      </c>
      <c r="BF33" s="16" t="n">
        <f aca="false">BE34</f>
        <v>0</v>
      </c>
      <c r="BG33" s="16" t="n">
        <f aca="false">BF34</f>
        <v>0</v>
      </c>
      <c r="BH33" s="16" t="n">
        <f aca="false">BG34</f>
        <v>0</v>
      </c>
      <c r="BI33" s="16" t="n">
        <f aca="false">BH34</f>
        <v>0</v>
      </c>
      <c r="BJ33" s="16" t="n">
        <f aca="false">BI34</f>
        <v>0</v>
      </c>
      <c r="BK33" s="16" t="n">
        <f aca="false">BJ34</f>
        <v>0</v>
      </c>
      <c r="BL33" s="16" t="n">
        <f aca="false">BK34</f>
        <v>0</v>
      </c>
      <c r="BM33" s="16" t="n">
        <f aca="false">BL34</f>
        <v>0</v>
      </c>
      <c r="BN33" s="16" t="n">
        <f aca="false">BM34</f>
        <v>0</v>
      </c>
      <c r="BO33" s="16" t="n">
        <f aca="false">BN34</f>
        <v>0</v>
      </c>
      <c r="BP33" s="16" t="n">
        <f aca="false">BO34</f>
        <v>0</v>
      </c>
      <c r="BQ33" s="16" t="n">
        <f aca="false">BP34</f>
        <v>0</v>
      </c>
      <c r="BR33" s="16" t="n">
        <f aca="false">BQ34</f>
        <v>0</v>
      </c>
      <c r="BS33" s="16" t="n">
        <f aca="false">BR34</f>
        <v>0</v>
      </c>
      <c r="BT33" s="16" t="n">
        <f aca="false">BS34</f>
        <v>0</v>
      </c>
      <c r="BU33" s="16" t="n">
        <f aca="false">BT34</f>
        <v>0</v>
      </c>
      <c r="BV33" s="16" t="n">
        <f aca="false">BU34</f>
        <v>0</v>
      </c>
      <c r="BW33" s="16" t="n">
        <f aca="false">BV34</f>
        <v>0</v>
      </c>
      <c r="BX33" s="16" t="n">
        <f aca="false">BW34</f>
        <v>0</v>
      </c>
      <c r="BY33" s="16" t="n">
        <f aca="false">BX34</f>
        <v>0</v>
      </c>
      <c r="BZ33" s="16" t="n">
        <f aca="false">BY34</f>
        <v>0</v>
      </c>
      <c r="CA33" s="16" t="n">
        <f aca="false">BZ34</f>
        <v>0</v>
      </c>
      <c r="CB33" s="16" t="n">
        <f aca="false">CA34</f>
        <v>0</v>
      </c>
      <c r="CC33" s="16" t="n">
        <f aca="false">CB34</f>
        <v>0</v>
      </c>
      <c r="CD33" s="16" t="n">
        <f aca="false">CC34</f>
        <v>0</v>
      </c>
      <c r="CE33" s="16" t="n">
        <f aca="false">CD34</f>
        <v>0</v>
      </c>
      <c r="CF33" s="16" t="n">
        <f aca="false">CE34</f>
        <v>0</v>
      </c>
      <c r="CG33" s="16" t="n">
        <f aca="false">CF34</f>
        <v>0</v>
      </c>
      <c r="CH33" s="16" t="n">
        <f aca="false">CG34</f>
        <v>0</v>
      </c>
      <c r="CI33" s="16" t="n">
        <f aca="false">CH34</f>
        <v>0</v>
      </c>
      <c r="CJ33" s="16" t="n">
        <f aca="false">CI34</f>
        <v>0</v>
      </c>
      <c r="CK33" s="16" t="n">
        <f aca="false">CJ34</f>
        <v>0</v>
      </c>
      <c r="CL33" s="16" t="n">
        <f aca="false">CK34</f>
        <v>0</v>
      </c>
      <c r="CM33" s="16" t="n">
        <f aca="false">CL34</f>
        <v>0</v>
      </c>
      <c r="CN33" s="16" t="n">
        <f aca="false">CM34</f>
        <v>0</v>
      </c>
      <c r="CO33" s="16" t="n">
        <f aca="false">CN34</f>
        <v>0</v>
      </c>
      <c r="CP33" s="16" t="n">
        <f aca="false">CO34</f>
        <v>0</v>
      </c>
      <c r="CQ33" s="16" t="n">
        <f aca="false">CP34</f>
        <v>0</v>
      </c>
      <c r="CR33" s="16" t="n">
        <f aca="false">CQ34</f>
        <v>0</v>
      </c>
      <c r="CS33" s="16" t="n">
        <f aca="false">CR34</f>
        <v>0</v>
      </c>
      <c r="CT33" s="16" t="n">
        <f aca="false">CS34</f>
        <v>0</v>
      </c>
      <c r="CU33" s="16" t="n">
        <f aca="false">CT34</f>
        <v>0</v>
      </c>
      <c r="CV33" s="16" t="n">
        <f aca="false">CU34</f>
        <v>0</v>
      </c>
      <c r="CW33" s="16" t="n">
        <f aca="false">CV34</f>
        <v>0</v>
      </c>
      <c r="CX33" s="16" t="n">
        <f aca="false">CW34</f>
        <v>0</v>
      </c>
    </row>
    <row r="34" customFormat="false" ht="15" hidden="false" customHeight="false" outlineLevel="0" collapsed="false">
      <c r="A34" s="1" t="n">
        <f aca="false">A33+1</f>
        <v>31</v>
      </c>
      <c r="B34" s="16" t="n">
        <f aca="false">B33</f>
        <v>0</v>
      </c>
      <c r="C34" s="16" t="n">
        <f aca="false">B35</f>
        <v>0</v>
      </c>
      <c r="D34" s="16" t="n">
        <f aca="false">C35</f>
        <v>0</v>
      </c>
      <c r="E34" s="16" t="n">
        <f aca="false">D35</f>
        <v>0</v>
      </c>
      <c r="F34" s="16" t="n">
        <f aca="false">E35</f>
        <v>0</v>
      </c>
      <c r="G34" s="16" t="n">
        <f aca="false">F35</f>
        <v>0</v>
      </c>
      <c r="H34" s="16" t="n">
        <f aca="false">G35</f>
        <v>0</v>
      </c>
      <c r="I34" s="16" t="n">
        <f aca="false">H35</f>
        <v>0</v>
      </c>
      <c r="J34" s="16" t="n">
        <f aca="false">I35</f>
        <v>0</v>
      </c>
      <c r="K34" s="16" t="n">
        <f aca="false">J35</f>
        <v>0</v>
      </c>
      <c r="L34" s="16" t="n">
        <f aca="false">K35</f>
        <v>0</v>
      </c>
      <c r="M34" s="16" t="n">
        <f aca="false">L35</f>
        <v>0</v>
      </c>
      <c r="N34" s="16" t="n">
        <f aca="false">M35</f>
        <v>0</v>
      </c>
      <c r="O34" s="16" t="n">
        <f aca="false">N35</f>
        <v>0</v>
      </c>
      <c r="P34" s="16" t="n">
        <f aca="false">O35</f>
        <v>0</v>
      </c>
      <c r="Q34" s="16" t="n">
        <f aca="false">P35</f>
        <v>0</v>
      </c>
      <c r="R34" s="16" t="n">
        <f aca="false">Q35</f>
        <v>0</v>
      </c>
      <c r="S34" s="16" t="n">
        <f aca="false">R35</f>
        <v>0</v>
      </c>
      <c r="T34" s="16" t="n">
        <f aca="false">S35</f>
        <v>0</v>
      </c>
      <c r="U34" s="16" t="n">
        <f aca="false">T35</f>
        <v>0</v>
      </c>
      <c r="V34" s="16" t="n">
        <f aca="false">U35</f>
        <v>0</v>
      </c>
      <c r="W34" s="16" t="n">
        <f aca="false">V35</f>
        <v>0</v>
      </c>
      <c r="X34" s="16" t="n">
        <f aca="false">W35</f>
        <v>0</v>
      </c>
      <c r="Y34" s="16" t="n">
        <f aca="false">X35</f>
        <v>0</v>
      </c>
      <c r="Z34" s="16" t="n">
        <f aca="false">Y35</f>
        <v>0</v>
      </c>
      <c r="AA34" s="16" t="n">
        <f aca="false">Z35</f>
        <v>0</v>
      </c>
      <c r="AB34" s="16" t="n">
        <f aca="false">AA35</f>
        <v>0</v>
      </c>
      <c r="AC34" s="16" t="n">
        <f aca="false">AB35</f>
        <v>0</v>
      </c>
      <c r="AD34" s="16" t="n">
        <f aca="false">AC35</f>
        <v>0</v>
      </c>
      <c r="AE34" s="16" t="n">
        <f aca="false">AD35</f>
        <v>0</v>
      </c>
      <c r="AF34" s="16" t="n">
        <f aca="false">AE35</f>
        <v>0</v>
      </c>
      <c r="AG34" s="16" t="n">
        <f aca="false">AF35</f>
        <v>0</v>
      </c>
      <c r="AH34" s="16" t="n">
        <f aca="false">AG35</f>
        <v>0</v>
      </c>
      <c r="AI34" s="16" t="n">
        <f aca="false">AH35</f>
        <v>0</v>
      </c>
      <c r="AJ34" s="16" t="n">
        <f aca="false">AI35</f>
        <v>0</v>
      </c>
      <c r="AK34" s="16" t="n">
        <f aca="false">AJ35</f>
        <v>0</v>
      </c>
      <c r="AL34" s="16" t="n">
        <f aca="false">AK35</f>
        <v>0</v>
      </c>
      <c r="AM34" s="16" t="n">
        <f aca="false">AL35</f>
        <v>0</v>
      </c>
      <c r="AN34" s="16" t="n">
        <f aca="false">AM35</f>
        <v>0</v>
      </c>
      <c r="AO34" s="16" t="n">
        <f aca="false">AN35</f>
        <v>0</v>
      </c>
      <c r="AP34" s="16" t="n">
        <f aca="false">AO35</f>
        <v>0</v>
      </c>
      <c r="AQ34" s="16" t="n">
        <f aca="false">AP35</f>
        <v>0</v>
      </c>
      <c r="AR34" s="16" t="n">
        <f aca="false">AQ35</f>
        <v>0</v>
      </c>
      <c r="AS34" s="16" t="n">
        <f aca="false">AR35</f>
        <v>0</v>
      </c>
      <c r="AT34" s="16" t="n">
        <f aca="false">AS35</f>
        <v>0</v>
      </c>
      <c r="AU34" s="16" t="n">
        <f aca="false">AT35</f>
        <v>0</v>
      </c>
      <c r="AV34" s="16" t="n">
        <f aca="false">AU35</f>
        <v>0</v>
      </c>
      <c r="AW34" s="16" t="n">
        <f aca="false">AV35</f>
        <v>0</v>
      </c>
      <c r="AX34" s="16" t="n">
        <f aca="false">AW35</f>
        <v>0</v>
      </c>
      <c r="AY34" s="16" t="n">
        <f aca="false">AX35</f>
        <v>0</v>
      </c>
      <c r="AZ34" s="16" t="n">
        <f aca="false">AY35</f>
        <v>0</v>
      </c>
      <c r="BA34" s="16" t="n">
        <f aca="false">AZ35</f>
        <v>0</v>
      </c>
      <c r="BB34" s="16" t="n">
        <f aca="false">BA35</f>
        <v>0</v>
      </c>
      <c r="BC34" s="16" t="n">
        <f aca="false">BB35</f>
        <v>0</v>
      </c>
      <c r="BD34" s="16" t="n">
        <f aca="false">BC35</f>
        <v>0</v>
      </c>
      <c r="BE34" s="16" t="n">
        <f aca="false">BD35</f>
        <v>0</v>
      </c>
      <c r="BF34" s="16" t="n">
        <f aca="false">BE35</f>
        <v>0</v>
      </c>
      <c r="BG34" s="16" t="n">
        <f aca="false">BF35</f>
        <v>0</v>
      </c>
      <c r="BH34" s="16" t="n">
        <f aca="false">BG35</f>
        <v>0</v>
      </c>
      <c r="BI34" s="16" t="n">
        <f aca="false">BH35</f>
        <v>0</v>
      </c>
      <c r="BJ34" s="16" t="n">
        <f aca="false">BI35</f>
        <v>0</v>
      </c>
      <c r="BK34" s="16" t="n">
        <f aca="false">BJ35</f>
        <v>0</v>
      </c>
      <c r="BL34" s="16" t="n">
        <f aca="false">BK35</f>
        <v>0</v>
      </c>
      <c r="BM34" s="16" t="n">
        <f aca="false">BL35</f>
        <v>0</v>
      </c>
      <c r="BN34" s="16" t="n">
        <f aca="false">BM35</f>
        <v>0</v>
      </c>
      <c r="BO34" s="16" t="n">
        <f aca="false">BN35</f>
        <v>0</v>
      </c>
      <c r="BP34" s="16" t="n">
        <f aca="false">BO35</f>
        <v>0</v>
      </c>
      <c r="BQ34" s="16" t="n">
        <f aca="false">BP35</f>
        <v>0</v>
      </c>
      <c r="BR34" s="16" t="n">
        <f aca="false">BQ35</f>
        <v>0</v>
      </c>
      <c r="BS34" s="16" t="n">
        <f aca="false">BR35</f>
        <v>0</v>
      </c>
      <c r="BT34" s="16" t="n">
        <f aca="false">BS35</f>
        <v>0</v>
      </c>
      <c r="BU34" s="16" t="n">
        <f aca="false">BT35</f>
        <v>0</v>
      </c>
      <c r="BV34" s="16" t="n">
        <f aca="false">BU35</f>
        <v>0</v>
      </c>
      <c r="BW34" s="16" t="n">
        <f aca="false">BV35</f>
        <v>0</v>
      </c>
      <c r="BX34" s="16" t="n">
        <f aca="false">BW35</f>
        <v>0</v>
      </c>
      <c r="BY34" s="16" t="n">
        <f aca="false">BX35</f>
        <v>0</v>
      </c>
      <c r="BZ34" s="16" t="n">
        <f aca="false">BY35</f>
        <v>0</v>
      </c>
      <c r="CA34" s="16" t="n">
        <f aca="false">BZ35</f>
        <v>0</v>
      </c>
      <c r="CB34" s="16" t="n">
        <f aca="false">CA35</f>
        <v>0</v>
      </c>
      <c r="CC34" s="16" t="n">
        <f aca="false">CB35</f>
        <v>0</v>
      </c>
      <c r="CD34" s="16" t="n">
        <f aca="false">CC35</f>
        <v>0</v>
      </c>
      <c r="CE34" s="16" t="n">
        <f aca="false">CD35</f>
        <v>0</v>
      </c>
      <c r="CF34" s="16" t="n">
        <f aca="false">CE35</f>
        <v>0</v>
      </c>
      <c r="CG34" s="16" t="n">
        <f aca="false">CF35</f>
        <v>0</v>
      </c>
      <c r="CH34" s="16" t="n">
        <f aca="false">CG35</f>
        <v>0</v>
      </c>
      <c r="CI34" s="16" t="n">
        <f aca="false">CH35</f>
        <v>0</v>
      </c>
      <c r="CJ34" s="16" t="n">
        <f aca="false">CI35</f>
        <v>0</v>
      </c>
      <c r="CK34" s="16" t="n">
        <f aca="false">CJ35</f>
        <v>0</v>
      </c>
      <c r="CL34" s="16" t="n">
        <f aca="false">CK35</f>
        <v>0</v>
      </c>
      <c r="CM34" s="16" t="n">
        <f aca="false">CL35</f>
        <v>0</v>
      </c>
      <c r="CN34" s="16" t="n">
        <f aca="false">CM35</f>
        <v>0</v>
      </c>
      <c r="CO34" s="16" t="n">
        <f aca="false">CN35</f>
        <v>0</v>
      </c>
      <c r="CP34" s="16" t="n">
        <f aca="false">CO35</f>
        <v>0</v>
      </c>
      <c r="CQ34" s="16" t="n">
        <f aca="false">CP35</f>
        <v>0</v>
      </c>
      <c r="CR34" s="16" t="n">
        <f aca="false">CQ35</f>
        <v>0</v>
      </c>
      <c r="CS34" s="16" t="n">
        <f aca="false">CR35</f>
        <v>0</v>
      </c>
      <c r="CT34" s="16" t="n">
        <f aca="false">CS35</f>
        <v>0</v>
      </c>
      <c r="CU34" s="16" t="n">
        <f aca="false">CT35</f>
        <v>0</v>
      </c>
      <c r="CV34" s="16" t="n">
        <f aca="false">CU35</f>
        <v>0</v>
      </c>
      <c r="CW34" s="16" t="n">
        <f aca="false">CV35</f>
        <v>0</v>
      </c>
      <c r="CX34" s="16" t="n">
        <f aca="false">CW35</f>
        <v>0</v>
      </c>
    </row>
    <row r="35" customFormat="false" ht="15" hidden="false" customHeight="false" outlineLevel="0" collapsed="false">
      <c r="A35" s="1" t="n">
        <f aca="false">A34+1</f>
        <v>32</v>
      </c>
      <c r="B35" s="16" t="n">
        <f aca="false">B34</f>
        <v>0</v>
      </c>
      <c r="C35" s="16" t="n">
        <f aca="false">B36</f>
        <v>0</v>
      </c>
      <c r="D35" s="16" t="n">
        <f aca="false">C36</f>
        <v>0</v>
      </c>
      <c r="E35" s="16" t="n">
        <f aca="false">D36</f>
        <v>0</v>
      </c>
      <c r="F35" s="16" t="n">
        <f aca="false">E36</f>
        <v>0</v>
      </c>
      <c r="G35" s="16" t="n">
        <f aca="false">F36</f>
        <v>0</v>
      </c>
      <c r="H35" s="16" t="n">
        <f aca="false">G36</f>
        <v>0</v>
      </c>
      <c r="I35" s="16" t="n">
        <f aca="false">H36</f>
        <v>0</v>
      </c>
      <c r="J35" s="16" t="n">
        <f aca="false">I36</f>
        <v>0</v>
      </c>
      <c r="K35" s="16" t="n">
        <f aca="false">J36</f>
        <v>0</v>
      </c>
      <c r="L35" s="16" t="n">
        <f aca="false">K36</f>
        <v>0</v>
      </c>
      <c r="M35" s="16" t="n">
        <f aca="false">L36</f>
        <v>0</v>
      </c>
      <c r="N35" s="16" t="n">
        <f aca="false">M36</f>
        <v>0</v>
      </c>
      <c r="O35" s="16" t="n">
        <f aca="false">N36</f>
        <v>0</v>
      </c>
      <c r="P35" s="16" t="n">
        <f aca="false">O36</f>
        <v>0</v>
      </c>
      <c r="Q35" s="16" t="n">
        <f aca="false">P36</f>
        <v>0</v>
      </c>
      <c r="R35" s="16" t="n">
        <f aca="false">Q36</f>
        <v>0</v>
      </c>
      <c r="S35" s="16" t="n">
        <f aca="false">R36</f>
        <v>0</v>
      </c>
      <c r="T35" s="16" t="n">
        <f aca="false">S36</f>
        <v>0</v>
      </c>
      <c r="U35" s="16" t="n">
        <f aca="false">T36</f>
        <v>0</v>
      </c>
      <c r="V35" s="16" t="n">
        <f aca="false">U36</f>
        <v>0</v>
      </c>
      <c r="W35" s="16" t="n">
        <f aca="false">V36</f>
        <v>0</v>
      </c>
      <c r="X35" s="16" t="n">
        <f aca="false">W36</f>
        <v>0</v>
      </c>
      <c r="Y35" s="16" t="n">
        <f aca="false">X36</f>
        <v>0</v>
      </c>
      <c r="Z35" s="16" t="n">
        <f aca="false">Y36</f>
        <v>0</v>
      </c>
      <c r="AA35" s="16" t="n">
        <f aca="false">Z36</f>
        <v>0</v>
      </c>
      <c r="AB35" s="16" t="n">
        <f aca="false">AA36</f>
        <v>0</v>
      </c>
      <c r="AC35" s="16" t="n">
        <f aca="false">AB36</f>
        <v>0</v>
      </c>
      <c r="AD35" s="16" t="n">
        <f aca="false">AC36</f>
        <v>0</v>
      </c>
      <c r="AE35" s="16" t="n">
        <f aca="false">AD36</f>
        <v>0</v>
      </c>
      <c r="AF35" s="16" t="n">
        <f aca="false">AE36</f>
        <v>0</v>
      </c>
      <c r="AG35" s="16" t="n">
        <f aca="false">AF36</f>
        <v>0</v>
      </c>
      <c r="AH35" s="16" t="n">
        <f aca="false">AG36</f>
        <v>0</v>
      </c>
      <c r="AI35" s="16" t="n">
        <f aca="false">AH36</f>
        <v>0</v>
      </c>
      <c r="AJ35" s="16" t="n">
        <f aca="false">AI36</f>
        <v>0</v>
      </c>
      <c r="AK35" s="16" t="n">
        <f aca="false">AJ36</f>
        <v>0</v>
      </c>
      <c r="AL35" s="16" t="n">
        <f aca="false">AK36</f>
        <v>0</v>
      </c>
      <c r="AM35" s="16" t="n">
        <f aca="false">AL36</f>
        <v>0</v>
      </c>
      <c r="AN35" s="16" t="n">
        <f aca="false">AM36</f>
        <v>0</v>
      </c>
      <c r="AO35" s="16" t="n">
        <f aca="false">AN36</f>
        <v>0</v>
      </c>
      <c r="AP35" s="16" t="n">
        <f aca="false">AO36</f>
        <v>0</v>
      </c>
      <c r="AQ35" s="16" t="n">
        <f aca="false">AP36</f>
        <v>0</v>
      </c>
      <c r="AR35" s="16" t="n">
        <f aca="false">AQ36</f>
        <v>0</v>
      </c>
      <c r="AS35" s="16" t="n">
        <f aca="false">AR36</f>
        <v>0</v>
      </c>
      <c r="AT35" s="16" t="n">
        <f aca="false">AS36</f>
        <v>0</v>
      </c>
      <c r="AU35" s="16" t="n">
        <f aca="false">AT36</f>
        <v>0</v>
      </c>
      <c r="AV35" s="16" t="n">
        <f aca="false">AU36</f>
        <v>0</v>
      </c>
      <c r="AW35" s="16" t="n">
        <f aca="false">AV36</f>
        <v>0</v>
      </c>
      <c r="AX35" s="16" t="n">
        <f aca="false">AW36</f>
        <v>0</v>
      </c>
      <c r="AY35" s="16" t="n">
        <f aca="false">AX36</f>
        <v>0</v>
      </c>
      <c r="AZ35" s="16" t="n">
        <f aca="false">AY36</f>
        <v>0</v>
      </c>
      <c r="BA35" s="16" t="n">
        <f aca="false">AZ36</f>
        <v>0</v>
      </c>
      <c r="BB35" s="16" t="n">
        <f aca="false">BA36</f>
        <v>0</v>
      </c>
      <c r="BC35" s="16" t="n">
        <f aca="false">BB36</f>
        <v>0</v>
      </c>
      <c r="BD35" s="16" t="n">
        <f aca="false">BC36</f>
        <v>0</v>
      </c>
      <c r="BE35" s="16" t="n">
        <f aca="false">BD36</f>
        <v>0</v>
      </c>
      <c r="BF35" s="16" t="n">
        <f aca="false">BE36</f>
        <v>0</v>
      </c>
      <c r="BG35" s="16" t="n">
        <f aca="false">BF36</f>
        <v>0</v>
      </c>
      <c r="BH35" s="16" t="n">
        <f aca="false">BG36</f>
        <v>0</v>
      </c>
      <c r="BI35" s="16" t="n">
        <f aca="false">BH36</f>
        <v>0</v>
      </c>
      <c r="BJ35" s="16" t="n">
        <f aca="false">BI36</f>
        <v>0</v>
      </c>
      <c r="BK35" s="16" t="n">
        <f aca="false">BJ36</f>
        <v>0</v>
      </c>
      <c r="BL35" s="16" t="n">
        <f aca="false">BK36</f>
        <v>0</v>
      </c>
      <c r="BM35" s="16" t="n">
        <f aca="false">BL36</f>
        <v>0</v>
      </c>
      <c r="BN35" s="16" t="n">
        <f aca="false">BM36</f>
        <v>0</v>
      </c>
      <c r="BO35" s="16" t="n">
        <f aca="false">BN36</f>
        <v>0</v>
      </c>
      <c r="BP35" s="16" t="n">
        <f aca="false">BO36</f>
        <v>0</v>
      </c>
      <c r="BQ35" s="16" t="n">
        <f aca="false">BP36</f>
        <v>0</v>
      </c>
      <c r="BR35" s="16" t="n">
        <f aca="false">BQ36</f>
        <v>0</v>
      </c>
      <c r="BS35" s="16" t="n">
        <f aca="false">BR36</f>
        <v>0</v>
      </c>
      <c r="BT35" s="16" t="n">
        <f aca="false">BS36</f>
        <v>0</v>
      </c>
      <c r="BU35" s="16" t="n">
        <f aca="false">BT36</f>
        <v>0</v>
      </c>
      <c r="BV35" s="16" t="n">
        <f aca="false">BU36</f>
        <v>0</v>
      </c>
      <c r="BW35" s="16" t="n">
        <f aca="false">BV36</f>
        <v>0</v>
      </c>
      <c r="BX35" s="16" t="n">
        <f aca="false">BW36</f>
        <v>0</v>
      </c>
      <c r="BY35" s="16" t="n">
        <f aca="false">BX36</f>
        <v>0</v>
      </c>
      <c r="BZ35" s="16" t="n">
        <f aca="false">BY36</f>
        <v>0</v>
      </c>
      <c r="CA35" s="16" t="n">
        <f aca="false">BZ36</f>
        <v>0</v>
      </c>
      <c r="CB35" s="16" t="n">
        <f aca="false">CA36</f>
        <v>0</v>
      </c>
      <c r="CC35" s="16" t="n">
        <f aca="false">CB36</f>
        <v>0</v>
      </c>
      <c r="CD35" s="16" t="n">
        <f aca="false">CC36</f>
        <v>0</v>
      </c>
      <c r="CE35" s="16" t="n">
        <f aca="false">CD36</f>
        <v>0</v>
      </c>
      <c r="CF35" s="16" t="n">
        <f aca="false">CE36</f>
        <v>0</v>
      </c>
      <c r="CG35" s="16" t="n">
        <f aca="false">CF36</f>
        <v>0</v>
      </c>
      <c r="CH35" s="16" t="n">
        <f aca="false">CG36</f>
        <v>0</v>
      </c>
      <c r="CI35" s="16" t="n">
        <f aca="false">CH36</f>
        <v>0</v>
      </c>
      <c r="CJ35" s="16" t="n">
        <f aca="false">CI36</f>
        <v>0</v>
      </c>
      <c r="CK35" s="16" t="n">
        <f aca="false">CJ36</f>
        <v>0</v>
      </c>
      <c r="CL35" s="16" t="n">
        <f aca="false">CK36</f>
        <v>0</v>
      </c>
      <c r="CM35" s="16" t="n">
        <f aca="false">CL36</f>
        <v>0</v>
      </c>
      <c r="CN35" s="16" t="n">
        <f aca="false">CM36</f>
        <v>0</v>
      </c>
      <c r="CO35" s="16" t="n">
        <f aca="false">CN36</f>
        <v>0</v>
      </c>
      <c r="CP35" s="16" t="n">
        <f aca="false">CO36</f>
        <v>0</v>
      </c>
      <c r="CQ35" s="16" t="n">
        <f aca="false">CP36</f>
        <v>0</v>
      </c>
      <c r="CR35" s="16" t="n">
        <f aca="false">CQ36</f>
        <v>0</v>
      </c>
      <c r="CS35" s="16" t="n">
        <f aca="false">CR36</f>
        <v>0</v>
      </c>
      <c r="CT35" s="16" t="n">
        <f aca="false">CS36</f>
        <v>0</v>
      </c>
      <c r="CU35" s="16" t="n">
        <f aca="false">CT36</f>
        <v>0</v>
      </c>
      <c r="CV35" s="16" t="n">
        <f aca="false">CU36</f>
        <v>0</v>
      </c>
      <c r="CW35" s="16" t="n">
        <f aca="false">CV36</f>
        <v>0</v>
      </c>
      <c r="CX35" s="16" t="n">
        <f aca="false">CW36</f>
        <v>0</v>
      </c>
    </row>
    <row r="36" customFormat="false" ht="15" hidden="false" customHeight="false" outlineLevel="0" collapsed="false">
      <c r="A36" s="1" t="n">
        <f aca="false">A35+1</f>
        <v>33</v>
      </c>
      <c r="B36" s="16" t="n">
        <f aca="false">B35</f>
        <v>0</v>
      </c>
      <c r="C36" s="16" t="n">
        <f aca="false">B37</f>
        <v>0</v>
      </c>
      <c r="D36" s="16" t="n">
        <f aca="false">C37</f>
        <v>0</v>
      </c>
      <c r="E36" s="16" t="n">
        <f aca="false">D37</f>
        <v>0</v>
      </c>
      <c r="F36" s="16" t="n">
        <f aca="false">E37</f>
        <v>0</v>
      </c>
      <c r="G36" s="16" t="n">
        <f aca="false">F37</f>
        <v>0</v>
      </c>
      <c r="H36" s="16" t="n">
        <f aca="false">G37</f>
        <v>0</v>
      </c>
      <c r="I36" s="16" t="n">
        <f aca="false">H37</f>
        <v>0</v>
      </c>
      <c r="J36" s="16" t="n">
        <f aca="false">I37</f>
        <v>0</v>
      </c>
      <c r="K36" s="16" t="n">
        <f aca="false">J37</f>
        <v>0</v>
      </c>
      <c r="L36" s="16" t="n">
        <f aca="false">K37</f>
        <v>0</v>
      </c>
      <c r="M36" s="16" t="n">
        <f aca="false">L37</f>
        <v>0</v>
      </c>
      <c r="N36" s="16" t="n">
        <f aca="false">M37</f>
        <v>0</v>
      </c>
      <c r="O36" s="16" t="n">
        <f aca="false">N37</f>
        <v>0</v>
      </c>
      <c r="P36" s="16" t="n">
        <f aca="false">O37</f>
        <v>0</v>
      </c>
      <c r="Q36" s="16" t="n">
        <f aca="false">P37</f>
        <v>0</v>
      </c>
      <c r="R36" s="16" t="n">
        <f aca="false">Q37</f>
        <v>0</v>
      </c>
      <c r="S36" s="16" t="n">
        <f aca="false">R37</f>
        <v>0</v>
      </c>
      <c r="T36" s="16" t="n">
        <f aca="false">S37</f>
        <v>0</v>
      </c>
      <c r="U36" s="16" t="n">
        <f aca="false">T37</f>
        <v>0</v>
      </c>
      <c r="V36" s="16" t="n">
        <f aca="false">U37</f>
        <v>0</v>
      </c>
      <c r="W36" s="16" t="n">
        <f aca="false">V37</f>
        <v>0</v>
      </c>
      <c r="X36" s="16" t="n">
        <f aca="false">W37</f>
        <v>0</v>
      </c>
      <c r="Y36" s="16" t="n">
        <f aca="false">X37</f>
        <v>0</v>
      </c>
      <c r="Z36" s="16" t="n">
        <f aca="false">Y37</f>
        <v>0</v>
      </c>
      <c r="AA36" s="16" t="n">
        <f aca="false">Z37</f>
        <v>0</v>
      </c>
      <c r="AB36" s="16" t="n">
        <f aca="false">AA37</f>
        <v>0</v>
      </c>
      <c r="AC36" s="16" t="n">
        <f aca="false">AB37</f>
        <v>0</v>
      </c>
      <c r="AD36" s="16" t="n">
        <f aca="false">AC37</f>
        <v>0</v>
      </c>
      <c r="AE36" s="16" t="n">
        <f aca="false">AD37</f>
        <v>0</v>
      </c>
      <c r="AF36" s="16" t="n">
        <f aca="false">AE37</f>
        <v>0</v>
      </c>
      <c r="AG36" s="16" t="n">
        <f aca="false">AF37</f>
        <v>0</v>
      </c>
      <c r="AH36" s="16" t="n">
        <f aca="false">AG37</f>
        <v>0</v>
      </c>
      <c r="AI36" s="16" t="n">
        <f aca="false">AH37</f>
        <v>0</v>
      </c>
      <c r="AJ36" s="16" t="n">
        <f aca="false">AI37</f>
        <v>0</v>
      </c>
      <c r="AK36" s="16" t="n">
        <f aca="false">AJ37</f>
        <v>0</v>
      </c>
      <c r="AL36" s="16" t="n">
        <f aca="false">AK37</f>
        <v>0</v>
      </c>
      <c r="AM36" s="16" t="n">
        <f aca="false">AL37</f>
        <v>0</v>
      </c>
      <c r="AN36" s="16" t="n">
        <f aca="false">AM37</f>
        <v>0</v>
      </c>
      <c r="AO36" s="16" t="n">
        <f aca="false">AN37</f>
        <v>0</v>
      </c>
      <c r="AP36" s="16" t="n">
        <f aca="false">AO37</f>
        <v>0</v>
      </c>
      <c r="AQ36" s="16" t="n">
        <f aca="false">AP37</f>
        <v>0</v>
      </c>
      <c r="AR36" s="16" t="n">
        <f aca="false">AQ37</f>
        <v>0</v>
      </c>
      <c r="AS36" s="16" t="n">
        <f aca="false">AR37</f>
        <v>0</v>
      </c>
      <c r="AT36" s="16" t="n">
        <f aca="false">AS37</f>
        <v>0</v>
      </c>
      <c r="AU36" s="16" t="n">
        <f aca="false">AT37</f>
        <v>0</v>
      </c>
      <c r="AV36" s="16" t="n">
        <f aca="false">AU37</f>
        <v>0</v>
      </c>
      <c r="AW36" s="16" t="n">
        <f aca="false">AV37</f>
        <v>0</v>
      </c>
      <c r="AX36" s="16" t="n">
        <f aca="false">AW37</f>
        <v>0</v>
      </c>
      <c r="AY36" s="16" t="n">
        <f aca="false">AX37</f>
        <v>0</v>
      </c>
      <c r="AZ36" s="16" t="n">
        <f aca="false">AY37</f>
        <v>0</v>
      </c>
      <c r="BA36" s="16" t="n">
        <f aca="false">AZ37</f>
        <v>0</v>
      </c>
      <c r="BB36" s="16" t="n">
        <f aca="false">BA37</f>
        <v>0</v>
      </c>
      <c r="BC36" s="16" t="n">
        <f aca="false">BB37</f>
        <v>0</v>
      </c>
      <c r="BD36" s="16" t="n">
        <f aca="false">BC37</f>
        <v>0</v>
      </c>
      <c r="BE36" s="16" t="n">
        <f aca="false">BD37</f>
        <v>0</v>
      </c>
      <c r="BF36" s="16" t="n">
        <f aca="false">BE37</f>
        <v>0</v>
      </c>
      <c r="BG36" s="16" t="n">
        <f aca="false">BF37</f>
        <v>0</v>
      </c>
      <c r="BH36" s="16" t="n">
        <f aca="false">BG37</f>
        <v>0</v>
      </c>
      <c r="BI36" s="16" t="n">
        <f aca="false">BH37</f>
        <v>0</v>
      </c>
      <c r="BJ36" s="16" t="n">
        <f aca="false">BI37</f>
        <v>0</v>
      </c>
      <c r="BK36" s="16" t="n">
        <f aca="false">BJ37</f>
        <v>0</v>
      </c>
      <c r="BL36" s="16" t="n">
        <f aca="false">BK37</f>
        <v>0</v>
      </c>
      <c r="BM36" s="16" t="n">
        <f aca="false">BL37</f>
        <v>0</v>
      </c>
      <c r="BN36" s="16" t="n">
        <f aca="false">BM37</f>
        <v>0</v>
      </c>
      <c r="BO36" s="16" t="n">
        <f aca="false">BN37</f>
        <v>0</v>
      </c>
      <c r="BP36" s="16" t="n">
        <f aca="false">BO37</f>
        <v>0</v>
      </c>
      <c r="BQ36" s="16" t="n">
        <f aca="false">BP37</f>
        <v>0</v>
      </c>
      <c r="BR36" s="16" t="n">
        <f aca="false">BQ37</f>
        <v>0</v>
      </c>
      <c r="BS36" s="16" t="n">
        <f aca="false">BR37</f>
        <v>0</v>
      </c>
      <c r="BT36" s="16" t="n">
        <f aca="false">BS37</f>
        <v>0</v>
      </c>
      <c r="BU36" s="16" t="n">
        <f aca="false">BT37</f>
        <v>0</v>
      </c>
      <c r="BV36" s="16" t="n">
        <f aca="false">BU37</f>
        <v>0</v>
      </c>
      <c r="BW36" s="16" t="n">
        <f aca="false">BV37</f>
        <v>0</v>
      </c>
      <c r="BX36" s="16" t="n">
        <f aca="false">BW37</f>
        <v>0</v>
      </c>
      <c r="BY36" s="16" t="n">
        <f aca="false">BX37</f>
        <v>0</v>
      </c>
      <c r="BZ36" s="16" t="n">
        <f aca="false">BY37</f>
        <v>0</v>
      </c>
      <c r="CA36" s="16" t="n">
        <f aca="false">BZ37</f>
        <v>0</v>
      </c>
      <c r="CB36" s="16" t="n">
        <f aca="false">CA37</f>
        <v>0</v>
      </c>
      <c r="CC36" s="16" t="n">
        <f aca="false">CB37</f>
        <v>0</v>
      </c>
      <c r="CD36" s="16" t="n">
        <f aca="false">CC37</f>
        <v>0</v>
      </c>
      <c r="CE36" s="16" t="n">
        <f aca="false">CD37</f>
        <v>0</v>
      </c>
      <c r="CF36" s="16" t="n">
        <f aca="false">CE37</f>
        <v>0</v>
      </c>
      <c r="CG36" s="16" t="n">
        <f aca="false">CF37</f>
        <v>0</v>
      </c>
      <c r="CH36" s="16" t="n">
        <f aca="false">CG37</f>
        <v>0</v>
      </c>
      <c r="CI36" s="16" t="n">
        <f aca="false">CH37</f>
        <v>0</v>
      </c>
      <c r="CJ36" s="16" t="n">
        <f aca="false">CI37</f>
        <v>0</v>
      </c>
      <c r="CK36" s="16" t="n">
        <f aca="false">CJ37</f>
        <v>0</v>
      </c>
      <c r="CL36" s="16" t="n">
        <f aca="false">CK37</f>
        <v>0</v>
      </c>
      <c r="CM36" s="16" t="n">
        <f aca="false">CL37</f>
        <v>0</v>
      </c>
      <c r="CN36" s="16" t="n">
        <f aca="false">CM37</f>
        <v>0</v>
      </c>
      <c r="CO36" s="16" t="n">
        <f aca="false">CN37</f>
        <v>0</v>
      </c>
      <c r="CP36" s="16" t="n">
        <f aca="false">CO37</f>
        <v>0</v>
      </c>
      <c r="CQ36" s="16" t="n">
        <f aca="false">CP37</f>
        <v>0</v>
      </c>
      <c r="CR36" s="16" t="n">
        <f aca="false">CQ37</f>
        <v>0</v>
      </c>
      <c r="CS36" s="16" t="n">
        <f aca="false">CR37</f>
        <v>0</v>
      </c>
      <c r="CT36" s="16" t="n">
        <f aca="false">CS37</f>
        <v>0</v>
      </c>
      <c r="CU36" s="16" t="n">
        <f aca="false">CT37</f>
        <v>0</v>
      </c>
      <c r="CV36" s="16" t="n">
        <f aca="false">CU37</f>
        <v>0</v>
      </c>
      <c r="CW36" s="16" t="n">
        <f aca="false">CV37</f>
        <v>0</v>
      </c>
      <c r="CX36" s="16" t="n">
        <f aca="false">CW37</f>
        <v>0</v>
      </c>
    </row>
    <row r="37" customFormat="false" ht="15" hidden="false" customHeight="false" outlineLevel="0" collapsed="false">
      <c r="A37" s="1" t="n">
        <f aca="false">A36+1</f>
        <v>34</v>
      </c>
      <c r="B37" s="16" t="n">
        <f aca="false">B36</f>
        <v>0</v>
      </c>
      <c r="C37" s="16" t="n">
        <f aca="false">B38</f>
        <v>0</v>
      </c>
      <c r="D37" s="16" t="n">
        <f aca="false">C38</f>
        <v>0</v>
      </c>
      <c r="E37" s="16" t="n">
        <f aca="false">D38</f>
        <v>0</v>
      </c>
      <c r="F37" s="16" t="n">
        <f aca="false">E38</f>
        <v>0</v>
      </c>
      <c r="G37" s="16" t="n">
        <f aca="false">F38</f>
        <v>0</v>
      </c>
      <c r="H37" s="16" t="n">
        <f aca="false">G38</f>
        <v>0</v>
      </c>
      <c r="I37" s="16" t="n">
        <f aca="false">H38</f>
        <v>0</v>
      </c>
      <c r="J37" s="16" t="n">
        <f aca="false">I38</f>
        <v>0</v>
      </c>
      <c r="K37" s="16" t="n">
        <f aca="false">J38</f>
        <v>0</v>
      </c>
      <c r="L37" s="16" t="n">
        <f aca="false">K38</f>
        <v>0</v>
      </c>
      <c r="M37" s="16" t="n">
        <f aca="false">L38</f>
        <v>0</v>
      </c>
      <c r="N37" s="16" t="n">
        <f aca="false">M38</f>
        <v>0</v>
      </c>
      <c r="O37" s="16" t="n">
        <f aca="false">N38</f>
        <v>0</v>
      </c>
      <c r="P37" s="16" t="n">
        <f aca="false">O38</f>
        <v>0</v>
      </c>
      <c r="Q37" s="16" t="n">
        <f aca="false">P38</f>
        <v>0</v>
      </c>
      <c r="R37" s="16" t="n">
        <f aca="false">Q38</f>
        <v>0</v>
      </c>
      <c r="S37" s="16" t="n">
        <f aca="false">R38</f>
        <v>0</v>
      </c>
      <c r="T37" s="16" t="n">
        <f aca="false">S38</f>
        <v>0</v>
      </c>
      <c r="U37" s="16" t="n">
        <f aca="false">T38</f>
        <v>0</v>
      </c>
      <c r="V37" s="16" t="n">
        <f aca="false">U38</f>
        <v>0</v>
      </c>
      <c r="W37" s="16" t="n">
        <f aca="false">V38</f>
        <v>0</v>
      </c>
      <c r="X37" s="16" t="n">
        <f aca="false">W38</f>
        <v>0</v>
      </c>
      <c r="Y37" s="16" t="n">
        <f aca="false">X38</f>
        <v>0</v>
      </c>
      <c r="Z37" s="16" t="n">
        <f aca="false">Y38</f>
        <v>0</v>
      </c>
      <c r="AA37" s="16" t="n">
        <f aca="false">Z38</f>
        <v>0</v>
      </c>
      <c r="AB37" s="16" t="n">
        <f aca="false">AA38</f>
        <v>0</v>
      </c>
      <c r="AC37" s="16" t="n">
        <f aca="false">AB38</f>
        <v>0</v>
      </c>
      <c r="AD37" s="16" t="n">
        <f aca="false">AC38</f>
        <v>0</v>
      </c>
      <c r="AE37" s="16" t="n">
        <f aca="false">AD38</f>
        <v>0</v>
      </c>
      <c r="AF37" s="16" t="n">
        <f aca="false">AE38</f>
        <v>0</v>
      </c>
      <c r="AG37" s="16" t="n">
        <f aca="false">AF38</f>
        <v>0</v>
      </c>
      <c r="AH37" s="16" t="n">
        <f aca="false">AG38</f>
        <v>0</v>
      </c>
      <c r="AI37" s="16" t="n">
        <f aca="false">AH38</f>
        <v>0</v>
      </c>
      <c r="AJ37" s="16" t="n">
        <f aca="false">AI38</f>
        <v>0</v>
      </c>
      <c r="AK37" s="16" t="n">
        <f aca="false">AJ38</f>
        <v>0</v>
      </c>
      <c r="AL37" s="16" t="n">
        <f aca="false">AK38</f>
        <v>0</v>
      </c>
      <c r="AM37" s="16" t="n">
        <f aca="false">AL38</f>
        <v>0</v>
      </c>
      <c r="AN37" s="16" t="n">
        <f aca="false">AM38</f>
        <v>0</v>
      </c>
      <c r="AO37" s="16" t="n">
        <f aca="false">AN38</f>
        <v>0</v>
      </c>
      <c r="AP37" s="16" t="n">
        <f aca="false">AO38</f>
        <v>0</v>
      </c>
      <c r="AQ37" s="16" t="n">
        <f aca="false">AP38</f>
        <v>0</v>
      </c>
      <c r="AR37" s="16" t="n">
        <f aca="false">AQ38</f>
        <v>0</v>
      </c>
      <c r="AS37" s="16" t="n">
        <f aca="false">AR38</f>
        <v>0</v>
      </c>
      <c r="AT37" s="16" t="n">
        <f aca="false">AS38</f>
        <v>0</v>
      </c>
      <c r="AU37" s="16" t="n">
        <f aca="false">AT38</f>
        <v>0</v>
      </c>
      <c r="AV37" s="16" t="n">
        <f aca="false">AU38</f>
        <v>0</v>
      </c>
      <c r="AW37" s="16" t="n">
        <f aca="false">AV38</f>
        <v>0</v>
      </c>
      <c r="AX37" s="16" t="n">
        <f aca="false">AW38</f>
        <v>0</v>
      </c>
      <c r="AY37" s="16" t="n">
        <f aca="false">AX38</f>
        <v>0</v>
      </c>
      <c r="AZ37" s="16" t="n">
        <f aca="false">AY38</f>
        <v>0</v>
      </c>
      <c r="BA37" s="16" t="n">
        <f aca="false">AZ38</f>
        <v>0</v>
      </c>
      <c r="BB37" s="16" t="n">
        <f aca="false">BA38</f>
        <v>0</v>
      </c>
      <c r="BC37" s="16" t="n">
        <f aca="false">BB38</f>
        <v>0</v>
      </c>
      <c r="BD37" s="16" t="n">
        <f aca="false">BC38</f>
        <v>0</v>
      </c>
      <c r="BE37" s="16" t="n">
        <f aca="false">BD38</f>
        <v>0</v>
      </c>
      <c r="BF37" s="16" t="n">
        <f aca="false">BE38</f>
        <v>0</v>
      </c>
      <c r="BG37" s="16" t="n">
        <f aca="false">BF38</f>
        <v>0</v>
      </c>
      <c r="BH37" s="16" t="n">
        <f aca="false">BG38</f>
        <v>0</v>
      </c>
      <c r="BI37" s="16" t="n">
        <f aca="false">BH38</f>
        <v>0</v>
      </c>
      <c r="BJ37" s="16" t="n">
        <f aca="false">BI38</f>
        <v>0</v>
      </c>
      <c r="BK37" s="16" t="n">
        <f aca="false">BJ38</f>
        <v>0</v>
      </c>
      <c r="BL37" s="16" t="n">
        <f aca="false">BK38</f>
        <v>0</v>
      </c>
      <c r="BM37" s="16" t="n">
        <f aca="false">BL38</f>
        <v>0</v>
      </c>
      <c r="BN37" s="16" t="n">
        <f aca="false">BM38</f>
        <v>0</v>
      </c>
      <c r="BO37" s="16" t="n">
        <f aca="false">BN38</f>
        <v>0</v>
      </c>
      <c r="BP37" s="16" t="n">
        <f aca="false">BO38</f>
        <v>0</v>
      </c>
      <c r="BQ37" s="16" t="n">
        <f aca="false">BP38</f>
        <v>0</v>
      </c>
      <c r="BR37" s="16" t="n">
        <f aca="false">BQ38</f>
        <v>0</v>
      </c>
      <c r="BS37" s="16" t="n">
        <f aca="false">BR38</f>
        <v>0</v>
      </c>
      <c r="BT37" s="16" t="n">
        <f aca="false">BS38</f>
        <v>0</v>
      </c>
      <c r="BU37" s="16" t="n">
        <f aca="false">BT38</f>
        <v>0</v>
      </c>
      <c r="BV37" s="16" t="n">
        <f aca="false">BU38</f>
        <v>0</v>
      </c>
      <c r="BW37" s="16" t="n">
        <f aca="false">BV38</f>
        <v>0</v>
      </c>
      <c r="BX37" s="16" t="n">
        <f aca="false">BW38</f>
        <v>0</v>
      </c>
      <c r="BY37" s="16" t="n">
        <f aca="false">BX38</f>
        <v>0</v>
      </c>
      <c r="BZ37" s="16" t="n">
        <f aca="false">BY38</f>
        <v>0</v>
      </c>
      <c r="CA37" s="16" t="n">
        <f aca="false">BZ38</f>
        <v>0</v>
      </c>
      <c r="CB37" s="16" t="n">
        <f aca="false">CA38</f>
        <v>0</v>
      </c>
      <c r="CC37" s="16" t="n">
        <f aca="false">CB38</f>
        <v>0</v>
      </c>
      <c r="CD37" s="16" t="n">
        <f aca="false">CC38</f>
        <v>0</v>
      </c>
      <c r="CE37" s="16" t="n">
        <f aca="false">CD38</f>
        <v>0</v>
      </c>
      <c r="CF37" s="16" t="n">
        <f aca="false">CE38</f>
        <v>0</v>
      </c>
      <c r="CG37" s="16" t="n">
        <f aca="false">CF38</f>
        <v>0</v>
      </c>
      <c r="CH37" s="16" t="n">
        <f aca="false">CG38</f>
        <v>0</v>
      </c>
      <c r="CI37" s="16" t="n">
        <f aca="false">CH38</f>
        <v>0</v>
      </c>
      <c r="CJ37" s="16" t="n">
        <f aca="false">CI38</f>
        <v>0</v>
      </c>
      <c r="CK37" s="16" t="n">
        <f aca="false">CJ38</f>
        <v>0</v>
      </c>
      <c r="CL37" s="16" t="n">
        <f aca="false">CK38</f>
        <v>0</v>
      </c>
      <c r="CM37" s="16" t="n">
        <f aca="false">CL38</f>
        <v>0</v>
      </c>
      <c r="CN37" s="16" t="n">
        <f aca="false">CM38</f>
        <v>0</v>
      </c>
      <c r="CO37" s="16" t="n">
        <f aca="false">CN38</f>
        <v>0</v>
      </c>
      <c r="CP37" s="16" t="n">
        <f aca="false">CO38</f>
        <v>0</v>
      </c>
      <c r="CQ37" s="16" t="n">
        <f aca="false">CP38</f>
        <v>0</v>
      </c>
      <c r="CR37" s="16" t="n">
        <f aca="false">CQ38</f>
        <v>0</v>
      </c>
      <c r="CS37" s="16" t="n">
        <f aca="false">CR38</f>
        <v>0</v>
      </c>
      <c r="CT37" s="16" t="n">
        <f aca="false">CS38</f>
        <v>0</v>
      </c>
      <c r="CU37" s="16" t="n">
        <f aca="false">CT38</f>
        <v>0</v>
      </c>
      <c r="CV37" s="16" t="n">
        <f aca="false">CU38</f>
        <v>0</v>
      </c>
      <c r="CW37" s="16" t="n">
        <f aca="false">CV38</f>
        <v>0</v>
      </c>
      <c r="CX37" s="16" t="n">
        <f aca="false">CW38</f>
        <v>0</v>
      </c>
    </row>
    <row r="38" customFormat="false" ht="15" hidden="false" customHeight="false" outlineLevel="0" collapsed="false">
      <c r="A38" s="1" t="n">
        <f aca="false">A37+1</f>
        <v>35</v>
      </c>
      <c r="B38" s="16" t="n">
        <f aca="false">B37</f>
        <v>0</v>
      </c>
      <c r="C38" s="16" t="n">
        <f aca="false">B39</f>
        <v>0</v>
      </c>
      <c r="D38" s="16" t="n">
        <f aca="false">C39</f>
        <v>0</v>
      </c>
      <c r="E38" s="16" t="n">
        <f aca="false">D39</f>
        <v>0</v>
      </c>
      <c r="F38" s="16" t="n">
        <f aca="false">E39</f>
        <v>0</v>
      </c>
      <c r="G38" s="16" t="n">
        <f aca="false">F39</f>
        <v>0</v>
      </c>
      <c r="H38" s="16" t="n">
        <f aca="false">G39</f>
        <v>0</v>
      </c>
      <c r="I38" s="16" t="n">
        <f aca="false">H39</f>
        <v>0</v>
      </c>
      <c r="J38" s="16" t="n">
        <f aca="false">I39</f>
        <v>0</v>
      </c>
      <c r="K38" s="16" t="n">
        <f aca="false">J39</f>
        <v>0</v>
      </c>
      <c r="L38" s="16" t="n">
        <f aca="false">K39</f>
        <v>0</v>
      </c>
      <c r="M38" s="16" t="n">
        <f aca="false">L39</f>
        <v>0</v>
      </c>
      <c r="N38" s="16" t="n">
        <f aca="false">M39</f>
        <v>0</v>
      </c>
      <c r="O38" s="16" t="n">
        <f aca="false">N39</f>
        <v>0</v>
      </c>
      <c r="P38" s="16" t="n">
        <f aca="false">O39</f>
        <v>0</v>
      </c>
      <c r="Q38" s="16" t="n">
        <f aca="false">P39</f>
        <v>0</v>
      </c>
      <c r="R38" s="16" t="n">
        <f aca="false">Q39</f>
        <v>0</v>
      </c>
      <c r="S38" s="16" t="n">
        <f aca="false">R39</f>
        <v>0</v>
      </c>
      <c r="T38" s="16" t="n">
        <f aca="false">S39</f>
        <v>0</v>
      </c>
      <c r="U38" s="16" t="n">
        <f aca="false">T39</f>
        <v>0</v>
      </c>
      <c r="V38" s="16" t="n">
        <f aca="false">U39</f>
        <v>0</v>
      </c>
      <c r="W38" s="16" t="n">
        <f aca="false">V39</f>
        <v>0</v>
      </c>
      <c r="X38" s="16" t="n">
        <f aca="false">W39</f>
        <v>0</v>
      </c>
      <c r="Y38" s="16" t="n">
        <f aca="false">X39</f>
        <v>0</v>
      </c>
      <c r="Z38" s="16" t="n">
        <f aca="false">Y39</f>
        <v>0</v>
      </c>
      <c r="AA38" s="16" t="n">
        <f aca="false">Z39</f>
        <v>0</v>
      </c>
      <c r="AB38" s="16" t="n">
        <f aca="false">AA39</f>
        <v>0</v>
      </c>
      <c r="AC38" s="16" t="n">
        <f aca="false">AB39</f>
        <v>0</v>
      </c>
      <c r="AD38" s="16" t="n">
        <f aca="false">AC39</f>
        <v>0</v>
      </c>
      <c r="AE38" s="16" t="n">
        <f aca="false">AD39</f>
        <v>0</v>
      </c>
      <c r="AF38" s="16" t="n">
        <f aca="false">AE39</f>
        <v>0</v>
      </c>
      <c r="AG38" s="16" t="n">
        <f aca="false">AF39</f>
        <v>0</v>
      </c>
      <c r="AH38" s="16" t="n">
        <f aca="false">AG39</f>
        <v>0</v>
      </c>
      <c r="AI38" s="16" t="n">
        <f aca="false">AH39</f>
        <v>0</v>
      </c>
      <c r="AJ38" s="16" t="n">
        <f aca="false">AI39</f>
        <v>0</v>
      </c>
      <c r="AK38" s="16" t="n">
        <f aca="false">AJ39</f>
        <v>0</v>
      </c>
      <c r="AL38" s="16" t="n">
        <f aca="false">AK39</f>
        <v>0</v>
      </c>
      <c r="AM38" s="16" t="n">
        <f aca="false">AL39</f>
        <v>0</v>
      </c>
      <c r="AN38" s="16" t="n">
        <f aca="false">AM39</f>
        <v>0</v>
      </c>
      <c r="AO38" s="16" t="n">
        <f aca="false">AN39</f>
        <v>0</v>
      </c>
      <c r="AP38" s="16" t="n">
        <f aca="false">AO39</f>
        <v>0</v>
      </c>
      <c r="AQ38" s="16" t="n">
        <f aca="false">AP39</f>
        <v>0</v>
      </c>
      <c r="AR38" s="16" t="n">
        <f aca="false">AQ39</f>
        <v>0</v>
      </c>
      <c r="AS38" s="16" t="n">
        <f aca="false">AR39</f>
        <v>0</v>
      </c>
      <c r="AT38" s="16" t="n">
        <f aca="false">AS39</f>
        <v>0</v>
      </c>
      <c r="AU38" s="16" t="n">
        <f aca="false">AT39</f>
        <v>0</v>
      </c>
      <c r="AV38" s="16" t="n">
        <f aca="false">AU39</f>
        <v>0</v>
      </c>
      <c r="AW38" s="16" t="n">
        <f aca="false">AV39</f>
        <v>0</v>
      </c>
      <c r="AX38" s="16" t="n">
        <f aca="false">AW39</f>
        <v>0</v>
      </c>
      <c r="AY38" s="16" t="n">
        <f aca="false">AX39</f>
        <v>0</v>
      </c>
      <c r="AZ38" s="16" t="n">
        <f aca="false">AY39</f>
        <v>0</v>
      </c>
      <c r="BA38" s="16" t="n">
        <f aca="false">AZ39</f>
        <v>0</v>
      </c>
      <c r="BB38" s="16" t="n">
        <f aca="false">BA39</f>
        <v>0</v>
      </c>
      <c r="BC38" s="16" t="n">
        <f aca="false">BB39</f>
        <v>0</v>
      </c>
      <c r="BD38" s="16" t="n">
        <f aca="false">BC39</f>
        <v>0</v>
      </c>
      <c r="BE38" s="16" t="n">
        <f aca="false">BD39</f>
        <v>0</v>
      </c>
      <c r="BF38" s="16" t="n">
        <f aca="false">BE39</f>
        <v>0</v>
      </c>
      <c r="BG38" s="16" t="n">
        <f aca="false">BF39</f>
        <v>0</v>
      </c>
      <c r="BH38" s="16" t="n">
        <f aca="false">BG39</f>
        <v>0</v>
      </c>
      <c r="BI38" s="16" t="n">
        <f aca="false">BH39</f>
        <v>0</v>
      </c>
      <c r="BJ38" s="16" t="n">
        <f aca="false">BI39</f>
        <v>0</v>
      </c>
      <c r="BK38" s="16" t="n">
        <f aca="false">BJ39</f>
        <v>0</v>
      </c>
      <c r="BL38" s="16" t="n">
        <f aca="false">BK39</f>
        <v>0</v>
      </c>
      <c r="BM38" s="16" t="n">
        <f aca="false">BL39</f>
        <v>0</v>
      </c>
      <c r="BN38" s="16" t="n">
        <f aca="false">BM39</f>
        <v>0</v>
      </c>
      <c r="BO38" s="16" t="n">
        <f aca="false">BN39</f>
        <v>0</v>
      </c>
      <c r="BP38" s="16" t="n">
        <f aca="false">BO39</f>
        <v>0</v>
      </c>
      <c r="BQ38" s="16" t="n">
        <f aca="false">BP39</f>
        <v>0</v>
      </c>
      <c r="BR38" s="16" t="n">
        <f aca="false">BQ39</f>
        <v>0</v>
      </c>
      <c r="BS38" s="16" t="n">
        <f aca="false">BR39</f>
        <v>0</v>
      </c>
      <c r="BT38" s="16" t="n">
        <f aca="false">BS39</f>
        <v>0</v>
      </c>
      <c r="BU38" s="16" t="n">
        <f aca="false">BT39</f>
        <v>0</v>
      </c>
      <c r="BV38" s="16" t="n">
        <f aca="false">BU39</f>
        <v>0</v>
      </c>
      <c r="BW38" s="16" t="n">
        <f aca="false">BV39</f>
        <v>0</v>
      </c>
      <c r="BX38" s="16" t="n">
        <f aca="false">BW39</f>
        <v>0</v>
      </c>
      <c r="BY38" s="16" t="n">
        <f aca="false">BX39</f>
        <v>0</v>
      </c>
      <c r="BZ38" s="16" t="n">
        <f aca="false">BY39</f>
        <v>0</v>
      </c>
      <c r="CA38" s="16" t="n">
        <f aca="false">BZ39</f>
        <v>0</v>
      </c>
      <c r="CB38" s="16" t="n">
        <f aca="false">CA39</f>
        <v>0</v>
      </c>
      <c r="CC38" s="16" t="n">
        <f aca="false">CB39</f>
        <v>0</v>
      </c>
      <c r="CD38" s="16" t="n">
        <f aca="false">CC39</f>
        <v>0</v>
      </c>
      <c r="CE38" s="16" t="n">
        <f aca="false">CD39</f>
        <v>0</v>
      </c>
      <c r="CF38" s="16" t="n">
        <f aca="false">CE39</f>
        <v>0</v>
      </c>
      <c r="CG38" s="16" t="n">
        <f aca="false">CF39</f>
        <v>0</v>
      </c>
      <c r="CH38" s="16" t="n">
        <f aca="false">CG39</f>
        <v>0</v>
      </c>
      <c r="CI38" s="16" t="n">
        <f aca="false">CH39</f>
        <v>0</v>
      </c>
      <c r="CJ38" s="16" t="n">
        <f aca="false">CI39</f>
        <v>0</v>
      </c>
      <c r="CK38" s="16" t="n">
        <f aca="false">CJ39</f>
        <v>0</v>
      </c>
      <c r="CL38" s="16" t="n">
        <f aca="false">CK39</f>
        <v>0</v>
      </c>
      <c r="CM38" s="16" t="n">
        <f aca="false">CL39</f>
        <v>0</v>
      </c>
      <c r="CN38" s="16" t="n">
        <f aca="false">CM39</f>
        <v>0</v>
      </c>
      <c r="CO38" s="16" t="n">
        <f aca="false">CN39</f>
        <v>0</v>
      </c>
      <c r="CP38" s="16" t="n">
        <f aca="false">CO39</f>
        <v>0</v>
      </c>
      <c r="CQ38" s="16" t="n">
        <f aca="false">CP39</f>
        <v>0</v>
      </c>
      <c r="CR38" s="16" t="n">
        <f aca="false">CQ39</f>
        <v>0</v>
      </c>
      <c r="CS38" s="16" t="n">
        <f aca="false">CR39</f>
        <v>0</v>
      </c>
      <c r="CT38" s="16" t="n">
        <f aca="false">CS39</f>
        <v>0</v>
      </c>
      <c r="CU38" s="16" t="n">
        <f aca="false">CT39</f>
        <v>0</v>
      </c>
      <c r="CV38" s="16" t="n">
        <f aca="false">CU39</f>
        <v>0</v>
      </c>
      <c r="CW38" s="16" t="n">
        <f aca="false">CV39</f>
        <v>0</v>
      </c>
      <c r="CX38" s="16" t="n">
        <f aca="false">CW39</f>
        <v>0</v>
      </c>
    </row>
    <row r="39" customFormat="false" ht="15" hidden="false" customHeight="false" outlineLevel="0" collapsed="false">
      <c r="A39" s="1" t="n">
        <f aca="false">A38+1</f>
        <v>36</v>
      </c>
      <c r="B39" s="16" t="n">
        <f aca="false">B38</f>
        <v>0</v>
      </c>
      <c r="C39" s="16" t="n">
        <f aca="false">B40</f>
        <v>0</v>
      </c>
      <c r="D39" s="16" t="n">
        <f aca="false">C40</f>
        <v>0</v>
      </c>
      <c r="E39" s="16" t="n">
        <f aca="false">D40</f>
        <v>0</v>
      </c>
      <c r="F39" s="16" t="n">
        <f aca="false">E40</f>
        <v>0</v>
      </c>
      <c r="G39" s="16" t="n">
        <f aca="false">F40</f>
        <v>0</v>
      </c>
      <c r="H39" s="16" t="n">
        <f aca="false">G40</f>
        <v>0</v>
      </c>
      <c r="I39" s="16" t="n">
        <f aca="false">H40</f>
        <v>0</v>
      </c>
      <c r="J39" s="16" t="n">
        <f aca="false">I40</f>
        <v>0</v>
      </c>
      <c r="K39" s="16" t="n">
        <f aca="false">J40</f>
        <v>0</v>
      </c>
      <c r="L39" s="16" t="n">
        <f aca="false">K40</f>
        <v>0</v>
      </c>
      <c r="M39" s="16" t="n">
        <f aca="false">L40</f>
        <v>0</v>
      </c>
      <c r="N39" s="16" t="n">
        <f aca="false">M40</f>
        <v>0</v>
      </c>
      <c r="O39" s="16" t="n">
        <f aca="false">N40</f>
        <v>0</v>
      </c>
      <c r="P39" s="16" t="n">
        <f aca="false">O40</f>
        <v>0</v>
      </c>
      <c r="Q39" s="16" t="n">
        <f aca="false">P40</f>
        <v>0</v>
      </c>
      <c r="R39" s="16" t="n">
        <f aca="false">Q40</f>
        <v>0</v>
      </c>
      <c r="S39" s="16" t="n">
        <f aca="false">R40</f>
        <v>0</v>
      </c>
      <c r="T39" s="16" t="n">
        <f aca="false">S40</f>
        <v>0</v>
      </c>
      <c r="U39" s="16" t="n">
        <f aca="false">T40</f>
        <v>0</v>
      </c>
      <c r="V39" s="16" t="n">
        <f aca="false">U40</f>
        <v>0</v>
      </c>
      <c r="W39" s="16" t="n">
        <f aca="false">V40</f>
        <v>0</v>
      </c>
      <c r="X39" s="16" t="n">
        <f aca="false">W40</f>
        <v>0</v>
      </c>
      <c r="Y39" s="16" t="n">
        <f aca="false">X40</f>
        <v>0</v>
      </c>
      <c r="Z39" s="16" t="n">
        <f aca="false">Y40</f>
        <v>0</v>
      </c>
      <c r="AA39" s="16" t="n">
        <f aca="false">Z40</f>
        <v>0</v>
      </c>
      <c r="AB39" s="16" t="n">
        <f aca="false">AA40</f>
        <v>0</v>
      </c>
      <c r="AC39" s="16" t="n">
        <f aca="false">AB40</f>
        <v>0</v>
      </c>
      <c r="AD39" s="16" t="n">
        <f aca="false">AC40</f>
        <v>0</v>
      </c>
      <c r="AE39" s="16" t="n">
        <f aca="false">AD40</f>
        <v>0</v>
      </c>
      <c r="AF39" s="16" t="n">
        <f aca="false">AE40</f>
        <v>0</v>
      </c>
      <c r="AG39" s="16" t="n">
        <f aca="false">AF40</f>
        <v>0</v>
      </c>
      <c r="AH39" s="16" t="n">
        <f aca="false">AG40</f>
        <v>0</v>
      </c>
      <c r="AI39" s="16" t="n">
        <f aca="false">AH40</f>
        <v>0</v>
      </c>
      <c r="AJ39" s="16" t="n">
        <f aca="false">AI40</f>
        <v>0</v>
      </c>
      <c r="AK39" s="16" t="n">
        <f aca="false">AJ40</f>
        <v>0</v>
      </c>
      <c r="AL39" s="16" t="n">
        <f aca="false">AK40</f>
        <v>0</v>
      </c>
      <c r="AM39" s="16" t="n">
        <f aca="false">AL40</f>
        <v>0</v>
      </c>
      <c r="AN39" s="16" t="n">
        <f aca="false">AM40</f>
        <v>0</v>
      </c>
      <c r="AO39" s="16" t="n">
        <f aca="false">AN40</f>
        <v>0</v>
      </c>
      <c r="AP39" s="16" t="n">
        <f aca="false">AO40</f>
        <v>0</v>
      </c>
      <c r="AQ39" s="16" t="n">
        <f aca="false">AP40</f>
        <v>0</v>
      </c>
      <c r="AR39" s="16" t="n">
        <f aca="false">AQ40</f>
        <v>0</v>
      </c>
      <c r="AS39" s="16" t="n">
        <f aca="false">AR40</f>
        <v>0</v>
      </c>
      <c r="AT39" s="16" t="n">
        <f aca="false">AS40</f>
        <v>0</v>
      </c>
      <c r="AU39" s="16" t="n">
        <f aca="false">AT40</f>
        <v>0</v>
      </c>
      <c r="AV39" s="16" t="n">
        <f aca="false">AU40</f>
        <v>0</v>
      </c>
      <c r="AW39" s="16" t="n">
        <f aca="false">AV40</f>
        <v>0</v>
      </c>
      <c r="AX39" s="16" t="n">
        <f aca="false">AW40</f>
        <v>0</v>
      </c>
      <c r="AY39" s="16" t="n">
        <f aca="false">AX40</f>
        <v>0</v>
      </c>
      <c r="AZ39" s="16" t="n">
        <f aca="false">AY40</f>
        <v>0</v>
      </c>
      <c r="BA39" s="16" t="n">
        <f aca="false">AZ40</f>
        <v>0</v>
      </c>
      <c r="BB39" s="16" t="n">
        <f aca="false">BA40</f>
        <v>0</v>
      </c>
      <c r="BC39" s="16" t="n">
        <f aca="false">BB40</f>
        <v>0</v>
      </c>
      <c r="BD39" s="16" t="n">
        <f aca="false">BC40</f>
        <v>0</v>
      </c>
      <c r="BE39" s="16" t="n">
        <f aca="false">BD40</f>
        <v>0</v>
      </c>
      <c r="BF39" s="16" t="n">
        <f aca="false">BE40</f>
        <v>0</v>
      </c>
      <c r="BG39" s="16" t="n">
        <f aca="false">BF40</f>
        <v>0</v>
      </c>
      <c r="BH39" s="16" t="n">
        <f aca="false">BG40</f>
        <v>0</v>
      </c>
      <c r="BI39" s="16" t="n">
        <f aca="false">BH40</f>
        <v>0</v>
      </c>
      <c r="BJ39" s="16" t="n">
        <f aca="false">BI40</f>
        <v>0</v>
      </c>
      <c r="BK39" s="16" t="n">
        <f aca="false">BJ40</f>
        <v>0</v>
      </c>
      <c r="BL39" s="16" t="n">
        <f aca="false">BK40</f>
        <v>0</v>
      </c>
      <c r="BM39" s="16" t="n">
        <f aca="false">BL40</f>
        <v>0</v>
      </c>
      <c r="BN39" s="16" t="n">
        <f aca="false">BM40</f>
        <v>0</v>
      </c>
      <c r="BO39" s="16" t="n">
        <f aca="false">BN40</f>
        <v>0</v>
      </c>
      <c r="BP39" s="16" t="n">
        <f aca="false">BO40</f>
        <v>0</v>
      </c>
      <c r="BQ39" s="16" t="n">
        <f aca="false">BP40</f>
        <v>0</v>
      </c>
      <c r="BR39" s="16" t="n">
        <f aca="false">BQ40</f>
        <v>0</v>
      </c>
      <c r="BS39" s="16" t="n">
        <f aca="false">BR40</f>
        <v>0</v>
      </c>
      <c r="BT39" s="16" t="n">
        <f aca="false">BS40</f>
        <v>0</v>
      </c>
      <c r="BU39" s="16" t="n">
        <f aca="false">BT40</f>
        <v>0</v>
      </c>
      <c r="BV39" s="16" t="n">
        <f aca="false">BU40</f>
        <v>0</v>
      </c>
      <c r="BW39" s="16" t="n">
        <f aca="false">BV40</f>
        <v>0</v>
      </c>
      <c r="BX39" s="16" t="n">
        <f aca="false">BW40</f>
        <v>0</v>
      </c>
      <c r="BY39" s="16" t="n">
        <f aca="false">BX40</f>
        <v>0</v>
      </c>
      <c r="BZ39" s="16" t="n">
        <f aca="false">BY40</f>
        <v>0</v>
      </c>
      <c r="CA39" s="16" t="n">
        <f aca="false">BZ40</f>
        <v>0</v>
      </c>
      <c r="CB39" s="16" t="n">
        <f aca="false">CA40</f>
        <v>0</v>
      </c>
      <c r="CC39" s="16" t="n">
        <f aca="false">CB40</f>
        <v>0</v>
      </c>
      <c r="CD39" s="16" t="n">
        <f aca="false">CC40</f>
        <v>0</v>
      </c>
      <c r="CE39" s="16" t="n">
        <f aca="false">CD40</f>
        <v>0</v>
      </c>
      <c r="CF39" s="16" t="n">
        <f aca="false">CE40</f>
        <v>0</v>
      </c>
      <c r="CG39" s="16" t="n">
        <f aca="false">CF40</f>
        <v>0</v>
      </c>
      <c r="CH39" s="16" t="n">
        <f aca="false">CG40</f>
        <v>0</v>
      </c>
      <c r="CI39" s="16" t="n">
        <f aca="false">CH40</f>
        <v>0</v>
      </c>
      <c r="CJ39" s="16" t="n">
        <f aca="false">CI40</f>
        <v>0</v>
      </c>
      <c r="CK39" s="16" t="n">
        <f aca="false">CJ40</f>
        <v>0</v>
      </c>
      <c r="CL39" s="16" t="n">
        <f aca="false">CK40</f>
        <v>0</v>
      </c>
      <c r="CM39" s="16" t="n">
        <f aca="false">CL40</f>
        <v>0</v>
      </c>
      <c r="CN39" s="16" t="n">
        <f aca="false">CM40</f>
        <v>0</v>
      </c>
      <c r="CO39" s="16" t="n">
        <f aca="false">CN40</f>
        <v>0</v>
      </c>
      <c r="CP39" s="16" t="n">
        <f aca="false">CO40</f>
        <v>0</v>
      </c>
      <c r="CQ39" s="16" t="n">
        <f aca="false">CP40</f>
        <v>0</v>
      </c>
      <c r="CR39" s="16" t="n">
        <f aca="false">CQ40</f>
        <v>0</v>
      </c>
      <c r="CS39" s="16" t="n">
        <f aca="false">CR40</f>
        <v>0</v>
      </c>
      <c r="CT39" s="16" t="n">
        <f aca="false">CS40</f>
        <v>0</v>
      </c>
      <c r="CU39" s="16" t="n">
        <f aca="false">CT40</f>
        <v>0</v>
      </c>
      <c r="CV39" s="16" t="n">
        <f aca="false">CU40</f>
        <v>0</v>
      </c>
      <c r="CW39" s="16" t="n">
        <f aca="false">CV40</f>
        <v>0</v>
      </c>
      <c r="CX39" s="16" t="n">
        <f aca="false">CW40</f>
        <v>0</v>
      </c>
    </row>
    <row r="40" customFormat="false" ht="15" hidden="false" customHeight="false" outlineLevel="0" collapsed="false">
      <c r="A40" s="1" t="n">
        <f aca="false">A39+1</f>
        <v>37</v>
      </c>
      <c r="B40" s="16" t="n">
        <f aca="false">B39</f>
        <v>0</v>
      </c>
      <c r="C40" s="16" t="n">
        <f aca="false">B41</f>
        <v>0</v>
      </c>
      <c r="D40" s="16" t="n">
        <f aca="false">C41</f>
        <v>0</v>
      </c>
      <c r="E40" s="16" t="n">
        <f aca="false">D41</f>
        <v>0</v>
      </c>
      <c r="F40" s="16" t="n">
        <f aca="false">E41</f>
        <v>0</v>
      </c>
      <c r="G40" s="16" t="n">
        <f aca="false">F41</f>
        <v>0</v>
      </c>
      <c r="H40" s="16" t="n">
        <f aca="false">G41</f>
        <v>0</v>
      </c>
      <c r="I40" s="16" t="n">
        <f aca="false">H41</f>
        <v>0</v>
      </c>
      <c r="J40" s="16" t="n">
        <f aca="false">I41</f>
        <v>0</v>
      </c>
      <c r="K40" s="16" t="n">
        <f aca="false">J41</f>
        <v>0</v>
      </c>
      <c r="L40" s="16" t="n">
        <f aca="false">K41</f>
        <v>0</v>
      </c>
      <c r="M40" s="16" t="n">
        <f aca="false">L41</f>
        <v>0</v>
      </c>
      <c r="N40" s="16" t="n">
        <f aca="false">M41</f>
        <v>0</v>
      </c>
      <c r="O40" s="16" t="n">
        <f aca="false">N41</f>
        <v>0</v>
      </c>
      <c r="P40" s="16" t="n">
        <f aca="false">O41</f>
        <v>0</v>
      </c>
      <c r="Q40" s="16" t="n">
        <f aca="false">P41</f>
        <v>0</v>
      </c>
      <c r="R40" s="16" t="n">
        <f aca="false">Q41</f>
        <v>0</v>
      </c>
      <c r="S40" s="16" t="n">
        <f aca="false">R41</f>
        <v>0</v>
      </c>
      <c r="T40" s="16" t="n">
        <f aca="false">S41</f>
        <v>0</v>
      </c>
      <c r="U40" s="16" t="n">
        <f aca="false">T41</f>
        <v>0</v>
      </c>
      <c r="V40" s="16" t="n">
        <f aca="false">U41</f>
        <v>0</v>
      </c>
      <c r="W40" s="16" t="n">
        <f aca="false">V41</f>
        <v>0</v>
      </c>
      <c r="X40" s="16" t="n">
        <f aca="false">W41</f>
        <v>0</v>
      </c>
      <c r="Y40" s="16" t="n">
        <f aca="false">X41</f>
        <v>0</v>
      </c>
      <c r="Z40" s="16" t="n">
        <f aca="false">Y41</f>
        <v>0</v>
      </c>
      <c r="AA40" s="16" t="n">
        <f aca="false">Z41</f>
        <v>0</v>
      </c>
      <c r="AB40" s="16" t="n">
        <f aca="false">AA41</f>
        <v>0</v>
      </c>
      <c r="AC40" s="16" t="n">
        <f aca="false">AB41</f>
        <v>0</v>
      </c>
      <c r="AD40" s="16" t="n">
        <f aca="false">AC41</f>
        <v>0</v>
      </c>
      <c r="AE40" s="16" t="n">
        <f aca="false">AD41</f>
        <v>0</v>
      </c>
      <c r="AF40" s="16" t="n">
        <f aca="false">AE41</f>
        <v>0</v>
      </c>
      <c r="AG40" s="16" t="n">
        <f aca="false">AF41</f>
        <v>0</v>
      </c>
      <c r="AH40" s="16" t="n">
        <f aca="false">AG41</f>
        <v>0</v>
      </c>
      <c r="AI40" s="16" t="n">
        <f aca="false">AH41</f>
        <v>0</v>
      </c>
      <c r="AJ40" s="16" t="n">
        <f aca="false">AI41</f>
        <v>0</v>
      </c>
      <c r="AK40" s="16" t="n">
        <f aca="false">AJ41</f>
        <v>0</v>
      </c>
      <c r="AL40" s="16" t="n">
        <f aca="false">AK41</f>
        <v>0</v>
      </c>
      <c r="AM40" s="16" t="n">
        <f aca="false">AL41</f>
        <v>0</v>
      </c>
      <c r="AN40" s="16" t="n">
        <f aca="false">AM41</f>
        <v>0</v>
      </c>
      <c r="AO40" s="16" t="n">
        <f aca="false">AN41</f>
        <v>0</v>
      </c>
      <c r="AP40" s="16" t="n">
        <f aca="false">AO41</f>
        <v>0</v>
      </c>
      <c r="AQ40" s="16" t="n">
        <f aca="false">AP41</f>
        <v>0</v>
      </c>
      <c r="AR40" s="16" t="n">
        <f aca="false">AQ41</f>
        <v>0</v>
      </c>
      <c r="AS40" s="16" t="n">
        <f aca="false">AR41</f>
        <v>0</v>
      </c>
      <c r="AT40" s="16" t="n">
        <f aca="false">AS41</f>
        <v>0</v>
      </c>
      <c r="AU40" s="16" t="n">
        <f aca="false">AT41</f>
        <v>0</v>
      </c>
      <c r="AV40" s="16" t="n">
        <f aca="false">AU41</f>
        <v>0</v>
      </c>
      <c r="AW40" s="16" t="n">
        <f aca="false">AV41</f>
        <v>0</v>
      </c>
      <c r="AX40" s="16" t="n">
        <f aca="false">AW41</f>
        <v>0</v>
      </c>
      <c r="AY40" s="16" t="n">
        <f aca="false">AX41</f>
        <v>0</v>
      </c>
      <c r="AZ40" s="16" t="n">
        <f aca="false">AY41</f>
        <v>0</v>
      </c>
      <c r="BA40" s="16" t="n">
        <f aca="false">AZ41</f>
        <v>0</v>
      </c>
      <c r="BB40" s="16" t="n">
        <f aca="false">BA41</f>
        <v>0</v>
      </c>
      <c r="BC40" s="16" t="n">
        <f aca="false">BB41</f>
        <v>0</v>
      </c>
      <c r="BD40" s="16" t="n">
        <f aca="false">BC41</f>
        <v>0</v>
      </c>
      <c r="BE40" s="16" t="n">
        <f aca="false">BD41</f>
        <v>0</v>
      </c>
      <c r="BF40" s="16" t="n">
        <f aca="false">BE41</f>
        <v>0</v>
      </c>
      <c r="BG40" s="16" t="n">
        <f aca="false">BF41</f>
        <v>0</v>
      </c>
      <c r="BH40" s="16" t="n">
        <f aca="false">BG41</f>
        <v>0</v>
      </c>
      <c r="BI40" s="16" t="n">
        <f aca="false">BH41</f>
        <v>0</v>
      </c>
      <c r="BJ40" s="16" t="n">
        <f aca="false">BI41</f>
        <v>0</v>
      </c>
      <c r="BK40" s="16" t="n">
        <f aca="false">BJ41</f>
        <v>0</v>
      </c>
      <c r="BL40" s="16" t="n">
        <f aca="false">BK41</f>
        <v>0</v>
      </c>
      <c r="BM40" s="16" t="n">
        <f aca="false">BL41</f>
        <v>0</v>
      </c>
      <c r="BN40" s="16" t="n">
        <f aca="false">BM41</f>
        <v>0</v>
      </c>
      <c r="BO40" s="16" t="n">
        <f aca="false">BN41</f>
        <v>0</v>
      </c>
      <c r="BP40" s="16" t="n">
        <f aca="false">BO41</f>
        <v>0</v>
      </c>
      <c r="BQ40" s="16" t="n">
        <f aca="false">BP41</f>
        <v>0</v>
      </c>
      <c r="BR40" s="16" t="n">
        <f aca="false">BQ41</f>
        <v>0</v>
      </c>
      <c r="BS40" s="16" t="n">
        <f aca="false">BR41</f>
        <v>0</v>
      </c>
      <c r="BT40" s="16" t="n">
        <f aca="false">BS41</f>
        <v>0</v>
      </c>
      <c r="BU40" s="16" t="n">
        <f aca="false">BT41</f>
        <v>0</v>
      </c>
      <c r="BV40" s="16" t="n">
        <f aca="false">BU41</f>
        <v>0</v>
      </c>
      <c r="BW40" s="16" t="n">
        <f aca="false">BV41</f>
        <v>0</v>
      </c>
      <c r="BX40" s="16" t="n">
        <f aca="false">BW41</f>
        <v>0</v>
      </c>
      <c r="BY40" s="16" t="n">
        <f aca="false">BX41</f>
        <v>0</v>
      </c>
      <c r="BZ40" s="16" t="n">
        <f aca="false">BY41</f>
        <v>0</v>
      </c>
      <c r="CA40" s="16" t="n">
        <f aca="false">BZ41</f>
        <v>0</v>
      </c>
      <c r="CB40" s="16" t="n">
        <f aca="false">CA41</f>
        <v>0</v>
      </c>
      <c r="CC40" s="16" t="n">
        <f aca="false">CB41</f>
        <v>0</v>
      </c>
      <c r="CD40" s="16" t="n">
        <f aca="false">CC41</f>
        <v>0</v>
      </c>
      <c r="CE40" s="16" t="n">
        <f aca="false">CD41</f>
        <v>0</v>
      </c>
      <c r="CF40" s="16" t="n">
        <f aca="false">CE41</f>
        <v>0</v>
      </c>
      <c r="CG40" s="16" t="n">
        <f aca="false">CF41</f>
        <v>0</v>
      </c>
      <c r="CH40" s="16" t="n">
        <f aca="false">CG41</f>
        <v>0</v>
      </c>
      <c r="CI40" s="16" t="n">
        <f aca="false">CH41</f>
        <v>0</v>
      </c>
      <c r="CJ40" s="16" t="n">
        <f aca="false">CI41</f>
        <v>0</v>
      </c>
      <c r="CK40" s="16" t="n">
        <f aca="false">CJ41</f>
        <v>0</v>
      </c>
      <c r="CL40" s="16" t="n">
        <f aca="false">CK41</f>
        <v>0</v>
      </c>
      <c r="CM40" s="16" t="n">
        <f aca="false">CL41</f>
        <v>0</v>
      </c>
      <c r="CN40" s="16" t="n">
        <f aca="false">CM41</f>
        <v>0</v>
      </c>
      <c r="CO40" s="16" t="n">
        <f aca="false">CN41</f>
        <v>0</v>
      </c>
      <c r="CP40" s="16" t="n">
        <f aca="false">CO41</f>
        <v>0</v>
      </c>
      <c r="CQ40" s="16" t="n">
        <f aca="false">CP41</f>
        <v>0</v>
      </c>
      <c r="CR40" s="16" t="n">
        <f aca="false">CQ41</f>
        <v>0</v>
      </c>
      <c r="CS40" s="16" t="n">
        <f aca="false">CR41</f>
        <v>0</v>
      </c>
      <c r="CT40" s="16" t="n">
        <f aca="false">CS41</f>
        <v>0</v>
      </c>
      <c r="CU40" s="16" t="n">
        <f aca="false">CT41</f>
        <v>0</v>
      </c>
      <c r="CV40" s="16" t="n">
        <f aca="false">CU41</f>
        <v>0</v>
      </c>
      <c r="CW40" s="16" t="n">
        <f aca="false">CV41</f>
        <v>0</v>
      </c>
      <c r="CX40" s="16" t="n">
        <f aca="false">CW41</f>
        <v>0</v>
      </c>
    </row>
    <row r="41" customFormat="false" ht="15" hidden="false" customHeight="false" outlineLevel="0" collapsed="false">
      <c r="A41" s="1" t="n">
        <f aca="false">A40+1</f>
        <v>38</v>
      </c>
      <c r="B41" s="16" t="n">
        <f aca="false">B40</f>
        <v>0</v>
      </c>
      <c r="C41" s="16" t="n">
        <f aca="false">B42</f>
        <v>0</v>
      </c>
      <c r="D41" s="16" t="n">
        <f aca="false">C42</f>
        <v>0</v>
      </c>
      <c r="E41" s="16" t="n">
        <f aca="false">D42</f>
        <v>0</v>
      </c>
      <c r="F41" s="16" t="n">
        <f aca="false">E42</f>
        <v>0</v>
      </c>
      <c r="G41" s="16" t="n">
        <f aca="false">F42</f>
        <v>0</v>
      </c>
      <c r="H41" s="16" t="n">
        <f aca="false">G42</f>
        <v>0</v>
      </c>
      <c r="I41" s="16" t="n">
        <f aca="false">H42</f>
        <v>0</v>
      </c>
      <c r="J41" s="16" t="n">
        <f aca="false">I42</f>
        <v>0</v>
      </c>
      <c r="K41" s="16" t="n">
        <f aca="false">J42</f>
        <v>0</v>
      </c>
      <c r="L41" s="16" t="n">
        <f aca="false">K42</f>
        <v>0</v>
      </c>
      <c r="M41" s="16" t="n">
        <f aca="false">L42</f>
        <v>0</v>
      </c>
      <c r="N41" s="16" t="n">
        <f aca="false">M42</f>
        <v>0</v>
      </c>
      <c r="O41" s="16" t="n">
        <f aca="false">N42</f>
        <v>0</v>
      </c>
      <c r="P41" s="16" t="n">
        <f aca="false">O42</f>
        <v>0</v>
      </c>
      <c r="Q41" s="16" t="n">
        <f aca="false">P42</f>
        <v>0</v>
      </c>
      <c r="R41" s="16" t="n">
        <f aca="false">Q42</f>
        <v>0</v>
      </c>
      <c r="S41" s="16" t="n">
        <f aca="false">R42</f>
        <v>0</v>
      </c>
      <c r="T41" s="16" t="n">
        <f aca="false">S42</f>
        <v>0</v>
      </c>
      <c r="U41" s="16" t="n">
        <f aca="false">T42</f>
        <v>0</v>
      </c>
      <c r="V41" s="16" t="n">
        <f aca="false">U42</f>
        <v>0</v>
      </c>
      <c r="W41" s="16" t="n">
        <f aca="false">V42</f>
        <v>0</v>
      </c>
      <c r="X41" s="16" t="n">
        <f aca="false">W42</f>
        <v>0</v>
      </c>
      <c r="Y41" s="16" t="n">
        <f aca="false">X42</f>
        <v>0</v>
      </c>
      <c r="Z41" s="16" t="n">
        <f aca="false">Y42</f>
        <v>0</v>
      </c>
      <c r="AA41" s="16" t="n">
        <f aca="false">Z42</f>
        <v>0</v>
      </c>
      <c r="AB41" s="16" t="n">
        <f aca="false">AA42</f>
        <v>0</v>
      </c>
      <c r="AC41" s="16" t="n">
        <f aca="false">AB42</f>
        <v>0</v>
      </c>
      <c r="AD41" s="16" t="n">
        <f aca="false">AC42</f>
        <v>0</v>
      </c>
      <c r="AE41" s="16" t="n">
        <f aca="false">AD42</f>
        <v>0</v>
      </c>
      <c r="AF41" s="16" t="n">
        <f aca="false">AE42</f>
        <v>0</v>
      </c>
      <c r="AG41" s="16" t="n">
        <f aca="false">AF42</f>
        <v>0</v>
      </c>
      <c r="AH41" s="16" t="n">
        <f aca="false">AG42</f>
        <v>0</v>
      </c>
      <c r="AI41" s="16" t="n">
        <f aca="false">AH42</f>
        <v>0</v>
      </c>
      <c r="AJ41" s="16" t="n">
        <f aca="false">AI42</f>
        <v>0</v>
      </c>
      <c r="AK41" s="16" t="n">
        <f aca="false">AJ42</f>
        <v>0</v>
      </c>
      <c r="AL41" s="16" t="n">
        <f aca="false">AK42</f>
        <v>0</v>
      </c>
      <c r="AM41" s="16" t="n">
        <f aca="false">AL42</f>
        <v>0</v>
      </c>
      <c r="AN41" s="16" t="n">
        <f aca="false">AM42</f>
        <v>0</v>
      </c>
      <c r="AO41" s="16" t="n">
        <f aca="false">AN42</f>
        <v>0</v>
      </c>
      <c r="AP41" s="16" t="n">
        <f aca="false">AO42</f>
        <v>0</v>
      </c>
      <c r="AQ41" s="16" t="n">
        <f aca="false">AP42</f>
        <v>0</v>
      </c>
      <c r="AR41" s="16" t="n">
        <f aca="false">AQ42</f>
        <v>0</v>
      </c>
      <c r="AS41" s="16" t="n">
        <f aca="false">AR42</f>
        <v>0</v>
      </c>
      <c r="AT41" s="16" t="n">
        <f aca="false">AS42</f>
        <v>0</v>
      </c>
      <c r="AU41" s="16" t="n">
        <f aca="false">AT42</f>
        <v>0</v>
      </c>
      <c r="AV41" s="16" t="n">
        <f aca="false">AU42</f>
        <v>0</v>
      </c>
      <c r="AW41" s="16" t="n">
        <f aca="false">AV42</f>
        <v>0</v>
      </c>
      <c r="AX41" s="16" t="n">
        <f aca="false">AW42</f>
        <v>0</v>
      </c>
      <c r="AY41" s="16" t="n">
        <f aca="false">AX42</f>
        <v>0</v>
      </c>
      <c r="AZ41" s="16" t="n">
        <f aca="false">AY42</f>
        <v>0</v>
      </c>
      <c r="BA41" s="16" t="n">
        <f aca="false">AZ42</f>
        <v>0</v>
      </c>
      <c r="BB41" s="16" t="n">
        <f aca="false">BA42</f>
        <v>0</v>
      </c>
      <c r="BC41" s="16" t="n">
        <f aca="false">BB42</f>
        <v>0</v>
      </c>
      <c r="BD41" s="16" t="n">
        <f aca="false">BC42</f>
        <v>0</v>
      </c>
      <c r="BE41" s="16" t="n">
        <f aca="false">BD42</f>
        <v>0</v>
      </c>
      <c r="BF41" s="16" t="n">
        <f aca="false">BE42</f>
        <v>0</v>
      </c>
      <c r="BG41" s="16" t="n">
        <f aca="false">BF42</f>
        <v>0</v>
      </c>
      <c r="BH41" s="16" t="n">
        <f aca="false">BG42</f>
        <v>0</v>
      </c>
      <c r="BI41" s="16" t="n">
        <f aca="false">BH42</f>
        <v>0</v>
      </c>
      <c r="BJ41" s="16" t="n">
        <f aca="false">BI42</f>
        <v>0</v>
      </c>
      <c r="BK41" s="16" t="n">
        <f aca="false">BJ42</f>
        <v>0</v>
      </c>
      <c r="BL41" s="16" t="n">
        <f aca="false">BK42</f>
        <v>0</v>
      </c>
      <c r="BM41" s="16" t="n">
        <f aca="false">BL42</f>
        <v>0</v>
      </c>
      <c r="BN41" s="16" t="n">
        <f aca="false">BM42</f>
        <v>0</v>
      </c>
      <c r="BO41" s="16" t="n">
        <f aca="false">BN42</f>
        <v>0</v>
      </c>
      <c r="BP41" s="16" t="n">
        <f aca="false">BO42</f>
        <v>0</v>
      </c>
      <c r="BQ41" s="16" t="n">
        <f aca="false">BP42</f>
        <v>0</v>
      </c>
      <c r="BR41" s="16" t="n">
        <f aca="false">BQ42</f>
        <v>0</v>
      </c>
      <c r="BS41" s="16" t="n">
        <f aca="false">BR42</f>
        <v>0</v>
      </c>
      <c r="BT41" s="16" t="n">
        <f aca="false">BS42</f>
        <v>0</v>
      </c>
      <c r="BU41" s="16" t="n">
        <f aca="false">BT42</f>
        <v>0</v>
      </c>
      <c r="BV41" s="16" t="n">
        <f aca="false">BU42</f>
        <v>0</v>
      </c>
      <c r="BW41" s="16" t="n">
        <f aca="false">BV42</f>
        <v>0</v>
      </c>
      <c r="BX41" s="16" t="n">
        <f aca="false">BW42</f>
        <v>0</v>
      </c>
      <c r="BY41" s="16" t="n">
        <f aca="false">BX42</f>
        <v>0</v>
      </c>
      <c r="BZ41" s="16" t="n">
        <f aca="false">BY42</f>
        <v>0</v>
      </c>
      <c r="CA41" s="16" t="n">
        <f aca="false">BZ42</f>
        <v>0</v>
      </c>
      <c r="CB41" s="16" t="n">
        <f aca="false">CA42</f>
        <v>0</v>
      </c>
      <c r="CC41" s="16" t="n">
        <f aca="false">CB42</f>
        <v>0</v>
      </c>
      <c r="CD41" s="16" t="n">
        <f aca="false">CC42</f>
        <v>0</v>
      </c>
      <c r="CE41" s="16" t="n">
        <f aca="false">CD42</f>
        <v>0</v>
      </c>
      <c r="CF41" s="16" t="n">
        <f aca="false">CE42</f>
        <v>0</v>
      </c>
      <c r="CG41" s="16" t="n">
        <f aca="false">CF42</f>
        <v>0</v>
      </c>
      <c r="CH41" s="16" t="n">
        <f aca="false">CG42</f>
        <v>0</v>
      </c>
      <c r="CI41" s="16" t="n">
        <f aca="false">CH42</f>
        <v>0</v>
      </c>
      <c r="CJ41" s="16" t="n">
        <f aca="false">CI42</f>
        <v>0</v>
      </c>
      <c r="CK41" s="16" t="n">
        <f aca="false">CJ42</f>
        <v>0</v>
      </c>
      <c r="CL41" s="16" t="n">
        <f aca="false">CK42</f>
        <v>0</v>
      </c>
      <c r="CM41" s="16" t="n">
        <f aca="false">CL42</f>
        <v>0</v>
      </c>
      <c r="CN41" s="16" t="n">
        <f aca="false">CM42</f>
        <v>0</v>
      </c>
      <c r="CO41" s="16" t="n">
        <f aca="false">CN42</f>
        <v>0</v>
      </c>
      <c r="CP41" s="16" t="n">
        <f aca="false">CO42</f>
        <v>0</v>
      </c>
      <c r="CQ41" s="16" t="n">
        <f aca="false">CP42</f>
        <v>0</v>
      </c>
      <c r="CR41" s="16" t="n">
        <f aca="false">CQ42</f>
        <v>0</v>
      </c>
      <c r="CS41" s="16" t="n">
        <f aca="false">CR42</f>
        <v>0</v>
      </c>
      <c r="CT41" s="16" t="n">
        <f aca="false">CS42</f>
        <v>0</v>
      </c>
      <c r="CU41" s="16" t="n">
        <f aca="false">CT42</f>
        <v>0</v>
      </c>
      <c r="CV41" s="16" t="n">
        <f aca="false">CU42</f>
        <v>0</v>
      </c>
      <c r="CW41" s="16" t="n">
        <f aca="false">CV42</f>
        <v>0</v>
      </c>
      <c r="CX41" s="16" t="n">
        <f aca="false">CW42</f>
        <v>0</v>
      </c>
    </row>
    <row r="42" customFormat="false" ht="15" hidden="false" customHeight="false" outlineLevel="0" collapsed="false">
      <c r="A42" s="1" t="n">
        <f aca="false">A41+1</f>
        <v>39</v>
      </c>
      <c r="B42" s="16" t="n">
        <f aca="false">B41</f>
        <v>0</v>
      </c>
      <c r="C42" s="16" t="n">
        <f aca="false">B43</f>
        <v>0</v>
      </c>
      <c r="D42" s="16" t="n">
        <f aca="false">C43</f>
        <v>0</v>
      </c>
      <c r="E42" s="16" t="n">
        <f aca="false">D43</f>
        <v>0</v>
      </c>
      <c r="F42" s="16" t="n">
        <f aca="false">E43</f>
        <v>0</v>
      </c>
      <c r="G42" s="16" t="n">
        <f aca="false">F43</f>
        <v>0</v>
      </c>
      <c r="H42" s="16" t="n">
        <f aca="false">G43</f>
        <v>0</v>
      </c>
      <c r="I42" s="16" t="n">
        <f aca="false">H43</f>
        <v>0</v>
      </c>
      <c r="J42" s="16" t="n">
        <f aca="false">I43</f>
        <v>0</v>
      </c>
      <c r="K42" s="16" t="n">
        <f aca="false">J43</f>
        <v>0</v>
      </c>
      <c r="L42" s="16" t="n">
        <f aca="false">K43</f>
        <v>0</v>
      </c>
      <c r="M42" s="16" t="n">
        <f aca="false">L43</f>
        <v>0</v>
      </c>
      <c r="N42" s="16" t="n">
        <f aca="false">M43</f>
        <v>0</v>
      </c>
      <c r="O42" s="16" t="n">
        <f aca="false">N43</f>
        <v>0</v>
      </c>
      <c r="P42" s="16" t="n">
        <f aca="false">O43</f>
        <v>0</v>
      </c>
      <c r="Q42" s="16" t="n">
        <f aca="false">P43</f>
        <v>0</v>
      </c>
      <c r="R42" s="16" t="n">
        <f aca="false">Q43</f>
        <v>0</v>
      </c>
      <c r="S42" s="16" t="n">
        <f aca="false">R43</f>
        <v>0</v>
      </c>
      <c r="T42" s="16" t="n">
        <f aca="false">S43</f>
        <v>0</v>
      </c>
      <c r="U42" s="16" t="n">
        <f aca="false">T43</f>
        <v>0</v>
      </c>
      <c r="V42" s="16" t="n">
        <f aca="false">U43</f>
        <v>0</v>
      </c>
      <c r="W42" s="16" t="n">
        <f aca="false">V43</f>
        <v>0</v>
      </c>
      <c r="X42" s="16" t="n">
        <f aca="false">W43</f>
        <v>0</v>
      </c>
      <c r="Y42" s="16" t="n">
        <f aca="false">X43</f>
        <v>0</v>
      </c>
      <c r="Z42" s="16" t="n">
        <f aca="false">Y43</f>
        <v>0</v>
      </c>
      <c r="AA42" s="16" t="n">
        <f aca="false">Z43</f>
        <v>0</v>
      </c>
      <c r="AB42" s="16" t="n">
        <f aca="false">AA43</f>
        <v>0</v>
      </c>
      <c r="AC42" s="16" t="n">
        <f aca="false">AB43</f>
        <v>0</v>
      </c>
      <c r="AD42" s="16" t="n">
        <f aca="false">AC43</f>
        <v>0</v>
      </c>
      <c r="AE42" s="16" t="n">
        <f aca="false">AD43</f>
        <v>0</v>
      </c>
      <c r="AF42" s="16" t="n">
        <f aca="false">AE43</f>
        <v>0</v>
      </c>
      <c r="AG42" s="16" t="n">
        <f aca="false">AF43</f>
        <v>0</v>
      </c>
      <c r="AH42" s="16" t="n">
        <f aca="false">AG43</f>
        <v>0</v>
      </c>
      <c r="AI42" s="16" t="n">
        <f aca="false">AH43</f>
        <v>0</v>
      </c>
      <c r="AJ42" s="16" t="n">
        <f aca="false">AI43</f>
        <v>0</v>
      </c>
      <c r="AK42" s="16" t="n">
        <f aca="false">AJ43</f>
        <v>0</v>
      </c>
      <c r="AL42" s="16" t="n">
        <f aca="false">AK43</f>
        <v>0</v>
      </c>
      <c r="AM42" s="16" t="n">
        <f aca="false">AL43</f>
        <v>0</v>
      </c>
      <c r="AN42" s="16" t="n">
        <f aca="false">AM43</f>
        <v>0</v>
      </c>
      <c r="AO42" s="16" t="n">
        <f aca="false">AN43</f>
        <v>0</v>
      </c>
      <c r="AP42" s="16" t="n">
        <f aca="false">AO43</f>
        <v>0</v>
      </c>
      <c r="AQ42" s="16" t="n">
        <f aca="false">AP43</f>
        <v>0</v>
      </c>
      <c r="AR42" s="16" t="n">
        <f aca="false">AQ43</f>
        <v>0</v>
      </c>
      <c r="AS42" s="16" t="n">
        <f aca="false">AR43</f>
        <v>0</v>
      </c>
      <c r="AT42" s="16" t="n">
        <f aca="false">AS43</f>
        <v>0</v>
      </c>
      <c r="AU42" s="16" t="n">
        <f aca="false">AT43</f>
        <v>0</v>
      </c>
      <c r="AV42" s="16" t="n">
        <f aca="false">AU43</f>
        <v>0</v>
      </c>
      <c r="AW42" s="16" t="n">
        <f aca="false">AV43</f>
        <v>0</v>
      </c>
      <c r="AX42" s="16" t="n">
        <f aca="false">AW43</f>
        <v>0</v>
      </c>
      <c r="AY42" s="16" t="n">
        <f aca="false">AX43</f>
        <v>0</v>
      </c>
      <c r="AZ42" s="16" t="n">
        <f aca="false">AY43</f>
        <v>0</v>
      </c>
      <c r="BA42" s="16" t="n">
        <f aca="false">AZ43</f>
        <v>0</v>
      </c>
      <c r="BB42" s="16" t="n">
        <f aca="false">BA43</f>
        <v>0</v>
      </c>
      <c r="BC42" s="16" t="n">
        <f aca="false">BB43</f>
        <v>0</v>
      </c>
      <c r="BD42" s="16" t="n">
        <f aca="false">BC43</f>
        <v>0</v>
      </c>
      <c r="BE42" s="16" t="n">
        <f aca="false">BD43</f>
        <v>0</v>
      </c>
      <c r="BF42" s="16" t="n">
        <f aca="false">BE43</f>
        <v>0</v>
      </c>
      <c r="BG42" s="16" t="n">
        <f aca="false">BF43</f>
        <v>0</v>
      </c>
      <c r="BH42" s="16" t="n">
        <f aca="false">BG43</f>
        <v>0</v>
      </c>
      <c r="BI42" s="16" t="n">
        <f aca="false">BH43</f>
        <v>0</v>
      </c>
      <c r="BJ42" s="16" t="n">
        <f aca="false">BI43</f>
        <v>0</v>
      </c>
      <c r="BK42" s="16" t="n">
        <f aca="false">BJ43</f>
        <v>0</v>
      </c>
      <c r="BL42" s="16" t="n">
        <f aca="false">BK43</f>
        <v>0</v>
      </c>
      <c r="BM42" s="16" t="n">
        <f aca="false">BL43</f>
        <v>0</v>
      </c>
      <c r="BN42" s="16" t="n">
        <f aca="false">BM43</f>
        <v>0</v>
      </c>
      <c r="BO42" s="16" t="n">
        <f aca="false">BN43</f>
        <v>0</v>
      </c>
      <c r="BP42" s="16" t="n">
        <f aca="false">BO43</f>
        <v>0</v>
      </c>
      <c r="BQ42" s="16" t="n">
        <f aca="false">BP43</f>
        <v>0</v>
      </c>
      <c r="BR42" s="16" t="n">
        <f aca="false">BQ43</f>
        <v>0</v>
      </c>
      <c r="BS42" s="16" t="n">
        <f aca="false">BR43</f>
        <v>0</v>
      </c>
      <c r="BT42" s="16" t="n">
        <f aca="false">BS43</f>
        <v>0</v>
      </c>
      <c r="BU42" s="16" t="n">
        <f aca="false">BT43</f>
        <v>0</v>
      </c>
      <c r="BV42" s="16" t="n">
        <f aca="false">BU43</f>
        <v>0</v>
      </c>
      <c r="BW42" s="16" t="n">
        <f aca="false">BV43</f>
        <v>0</v>
      </c>
      <c r="BX42" s="16" t="n">
        <f aca="false">BW43</f>
        <v>0</v>
      </c>
      <c r="BY42" s="16" t="n">
        <f aca="false">BX43</f>
        <v>0</v>
      </c>
      <c r="BZ42" s="16" t="n">
        <f aca="false">BY43</f>
        <v>0</v>
      </c>
      <c r="CA42" s="16" t="n">
        <f aca="false">BZ43</f>
        <v>0</v>
      </c>
      <c r="CB42" s="16" t="n">
        <f aca="false">CA43</f>
        <v>0</v>
      </c>
      <c r="CC42" s="16" t="n">
        <f aca="false">CB43</f>
        <v>0</v>
      </c>
      <c r="CD42" s="16" t="n">
        <f aca="false">CC43</f>
        <v>0</v>
      </c>
      <c r="CE42" s="16" t="n">
        <f aca="false">CD43</f>
        <v>0</v>
      </c>
      <c r="CF42" s="16" t="n">
        <f aca="false">CE43</f>
        <v>0</v>
      </c>
      <c r="CG42" s="16" t="n">
        <f aca="false">CF43</f>
        <v>0</v>
      </c>
      <c r="CH42" s="16" t="n">
        <f aca="false">CG43</f>
        <v>0</v>
      </c>
      <c r="CI42" s="16" t="n">
        <f aca="false">CH43</f>
        <v>0</v>
      </c>
      <c r="CJ42" s="16" t="n">
        <f aca="false">CI43</f>
        <v>0</v>
      </c>
      <c r="CK42" s="16" t="n">
        <f aca="false">CJ43</f>
        <v>0</v>
      </c>
      <c r="CL42" s="16" t="n">
        <f aca="false">CK43</f>
        <v>0</v>
      </c>
      <c r="CM42" s="16" t="n">
        <f aca="false">CL43</f>
        <v>0</v>
      </c>
      <c r="CN42" s="16" t="n">
        <f aca="false">CM43</f>
        <v>0</v>
      </c>
      <c r="CO42" s="16" t="n">
        <f aca="false">CN43</f>
        <v>0</v>
      </c>
      <c r="CP42" s="16" t="n">
        <f aca="false">CO43</f>
        <v>0</v>
      </c>
      <c r="CQ42" s="16" t="n">
        <f aca="false">CP43</f>
        <v>0</v>
      </c>
      <c r="CR42" s="16" t="n">
        <f aca="false">CQ43</f>
        <v>0</v>
      </c>
      <c r="CS42" s="16" t="n">
        <f aca="false">CR43</f>
        <v>0</v>
      </c>
      <c r="CT42" s="16" t="n">
        <f aca="false">CS43</f>
        <v>0</v>
      </c>
      <c r="CU42" s="16" t="n">
        <f aca="false">CT43</f>
        <v>0</v>
      </c>
      <c r="CV42" s="16" t="n">
        <f aca="false">CU43</f>
        <v>0</v>
      </c>
      <c r="CW42" s="16" t="n">
        <f aca="false">CV43</f>
        <v>0</v>
      </c>
      <c r="CX42" s="16" t="n">
        <f aca="false">CW43</f>
        <v>0</v>
      </c>
    </row>
    <row r="43" customFormat="false" ht="15" hidden="false" customHeight="false" outlineLevel="0" collapsed="false">
      <c r="A43" s="1" t="n">
        <f aca="false">A42+1</f>
        <v>40</v>
      </c>
      <c r="B43" s="16" t="n">
        <f aca="false">B42</f>
        <v>0</v>
      </c>
      <c r="C43" s="16" t="n">
        <f aca="false">B44</f>
        <v>0</v>
      </c>
      <c r="D43" s="16" t="n">
        <f aca="false">C44</f>
        <v>0</v>
      </c>
      <c r="E43" s="16" t="n">
        <f aca="false">D44</f>
        <v>0</v>
      </c>
      <c r="F43" s="16" t="n">
        <f aca="false">E44</f>
        <v>0</v>
      </c>
      <c r="G43" s="16" t="n">
        <f aca="false">F44</f>
        <v>0</v>
      </c>
      <c r="H43" s="16" t="n">
        <f aca="false">G44</f>
        <v>0</v>
      </c>
      <c r="I43" s="16" t="n">
        <f aca="false">H44</f>
        <v>0</v>
      </c>
      <c r="J43" s="16" t="n">
        <f aca="false">I44</f>
        <v>0</v>
      </c>
      <c r="K43" s="16" t="n">
        <f aca="false">J44</f>
        <v>0</v>
      </c>
      <c r="L43" s="16" t="n">
        <f aca="false">K44</f>
        <v>0</v>
      </c>
      <c r="M43" s="16" t="n">
        <f aca="false">L44</f>
        <v>0</v>
      </c>
      <c r="N43" s="16" t="n">
        <f aca="false">M44</f>
        <v>0</v>
      </c>
      <c r="O43" s="16" t="n">
        <f aca="false">N44</f>
        <v>0</v>
      </c>
      <c r="P43" s="16" t="n">
        <f aca="false">O44</f>
        <v>0</v>
      </c>
      <c r="Q43" s="16" t="n">
        <f aca="false">P44</f>
        <v>0</v>
      </c>
      <c r="R43" s="16" t="n">
        <f aca="false">Q44</f>
        <v>0</v>
      </c>
      <c r="S43" s="16" t="n">
        <f aca="false">R44</f>
        <v>0</v>
      </c>
      <c r="T43" s="16" t="n">
        <f aca="false">S44</f>
        <v>0</v>
      </c>
      <c r="U43" s="16" t="n">
        <f aca="false">T44</f>
        <v>0</v>
      </c>
      <c r="V43" s="16" t="n">
        <f aca="false">U44</f>
        <v>0</v>
      </c>
      <c r="W43" s="16" t="n">
        <f aca="false">V44</f>
        <v>0</v>
      </c>
      <c r="X43" s="16" t="n">
        <f aca="false">W44</f>
        <v>0</v>
      </c>
      <c r="Y43" s="16" t="n">
        <f aca="false">X44</f>
        <v>0</v>
      </c>
      <c r="Z43" s="16" t="n">
        <f aca="false">Y44</f>
        <v>0</v>
      </c>
      <c r="AA43" s="16" t="n">
        <f aca="false">Z44</f>
        <v>0</v>
      </c>
      <c r="AB43" s="16" t="n">
        <f aca="false">AA44</f>
        <v>0</v>
      </c>
      <c r="AC43" s="16" t="n">
        <f aca="false">AB44</f>
        <v>0</v>
      </c>
      <c r="AD43" s="16" t="n">
        <f aca="false">AC44</f>
        <v>0</v>
      </c>
      <c r="AE43" s="16" t="n">
        <f aca="false">AD44</f>
        <v>0</v>
      </c>
      <c r="AF43" s="16" t="n">
        <f aca="false">AE44</f>
        <v>0</v>
      </c>
      <c r="AG43" s="16" t="n">
        <f aca="false">AF44</f>
        <v>0</v>
      </c>
      <c r="AH43" s="16" t="n">
        <f aca="false">AG44</f>
        <v>0</v>
      </c>
      <c r="AI43" s="16" t="n">
        <f aca="false">AH44</f>
        <v>0</v>
      </c>
      <c r="AJ43" s="16" t="n">
        <f aca="false">AI44</f>
        <v>0</v>
      </c>
      <c r="AK43" s="16" t="n">
        <f aca="false">AJ44</f>
        <v>0</v>
      </c>
      <c r="AL43" s="16" t="n">
        <f aca="false">AK44</f>
        <v>0</v>
      </c>
      <c r="AM43" s="16" t="n">
        <f aca="false">AL44</f>
        <v>0</v>
      </c>
      <c r="AN43" s="16" t="n">
        <f aca="false">AM44</f>
        <v>0</v>
      </c>
      <c r="AO43" s="16" t="n">
        <f aca="false">AN44</f>
        <v>0</v>
      </c>
      <c r="AP43" s="16" t="n">
        <f aca="false">AO44</f>
        <v>0</v>
      </c>
      <c r="AQ43" s="16" t="n">
        <f aca="false">AP44</f>
        <v>0</v>
      </c>
      <c r="AR43" s="16" t="n">
        <f aca="false">AQ44</f>
        <v>0</v>
      </c>
      <c r="AS43" s="16" t="n">
        <f aca="false">AR44</f>
        <v>0</v>
      </c>
      <c r="AT43" s="16" t="n">
        <f aca="false">AS44</f>
        <v>0</v>
      </c>
      <c r="AU43" s="16" t="n">
        <f aca="false">AT44</f>
        <v>0</v>
      </c>
      <c r="AV43" s="16" t="n">
        <f aca="false">AU44</f>
        <v>0</v>
      </c>
      <c r="AW43" s="16" t="n">
        <f aca="false">AV44</f>
        <v>0</v>
      </c>
      <c r="AX43" s="16" t="n">
        <f aca="false">AW44</f>
        <v>0</v>
      </c>
      <c r="AY43" s="16" t="n">
        <f aca="false">AX44</f>
        <v>0</v>
      </c>
      <c r="AZ43" s="16" t="n">
        <f aca="false">AY44</f>
        <v>0</v>
      </c>
      <c r="BA43" s="16" t="n">
        <f aca="false">AZ44</f>
        <v>0</v>
      </c>
      <c r="BB43" s="16" t="n">
        <f aca="false">BA44</f>
        <v>0</v>
      </c>
      <c r="BC43" s="16" t="n">
        <f aca="false">BB44</f>
        <v>0</v>
      </c>
      <c r="BD43" s="16" t="n">
        <f aca="false">BC44</f>
        <v>0</v>
      </c>
      <c r="BE43" s="16" t="n">
        <f aca="false">BD44</f>
        <v>0</v>
      </c>
      <c r="BF43" s="16" t="n">
        <f aca="false">BE44</f>
        <v>0</v>
      </c>
      <c r="BG43" s="16" t="n">
        <f aca="false">BF44</f>
        <v>0</v>
      </c>
      <c r="BH43" s="16" t="n">
        <f aca="false">BG44</f>
        <v>0</v>
      </c>
      <c r="BI43" s="16" t="n">
        <f aca="false">BH44</f>
        <v>0</v>
      </c>
      <c r="BJ43" s="16" t="n">
        <f aca="false">BI44</f>
        <v>0</v>
      </c>
      <c r="BK43" s="16" t="n">
        <f aca="false">BJ44</f>
        <v>0</v>
      </c>
      <c r="BL43" s="16" t="n">
        <f aca="false">BK44</f>
        <v>0</v>
      </c>
      <c r="BM43" s="16" t="n">
        <f aca="false">BL44</f>
        <v>0</v>
      </c>
      <c r="BN43" s="16" t="n">
        <f aca="false">BM44</f>
        <v>0</v>
      </c>
      <c r="BO43" s="16" t="n">
        <f aca="false">BN44</f>
        <v>0</v>
      </c>
      <c r="BP43" s="16" t="n">
        <f aca="false">BO44</f>
        <v>0</v>
      </c>
      <c r="BQ43" s="16" t="n">
        <f aca="false">BP44</f>
        <v>0</v>
      </c>
      <c r="BR43" s="16" t="n">
        <f aca="false">BQ44</f>
        <v>0</v>
      </c>
      <c r="BS43" s="16" t="n">
        <f aca="false">BR44</f>
        <v>0</v>
      </c>
      <c r="BT43" s="16" t="n">
        <f aca="false">BS44</f>
        <v>0</v>
      </c>
      <c r="BU43" s="16" t="n">
        <f aca="false">BT44</f>
        <v>0</v>
      </c>
      <c r="BV43" s="16" t="n">
        <f aca="false">BU44</f>
        <v>0</v>
      </c>
      <c r="BW43" s="16" t="n">
        <f aca="false">BV44</f>
        <v>0</v>
      </c>
      <c r="BX43" s="16" t="n">
        <f aca="false">BW44</f>
        <v>0</v>
      </c>
      <c r="BY43" s="16" t="n">
        <f aca="false">BX44</f>
        <v>0</v>
      </c>
      <c r="BZ43" s="16" t="n">
        <f aca="false">BY44</f>
        <v>0</v>
      </c>
      <c r="CA43" s="16" t="n">
        <f aca="false">BZ44</f>
        <v>0</v>
      </c>
      <c r="CB43" s="16" t="n">
        <f aca="false">CA44</f>
        <v>0</v>
      </c>
      <c r="CC43" s="16" t="n">
        <f aca="false">CB44</f>
        <v>0</v>
      </c>
      <c r="CD43" s="16" t="n">
        <f aca="false">CC44</f>
        <v>0</v>
      </c>
      <c r="CE43" s="16" t="n">
        <f aca="false">CD44</f>
        <v>0</v>
      </c>
      <c r="CF43" s="16" t="n">
        <f aca="false">CE44</f>
        <v>0</v>
      </c>
      <c r="CG43" s="16" t="n">
        <f aca="false">CF44</f>
        <v>0</v>
      </c>
      <c r="CH43" s="16" t="n">
        <f aca="false">CG44</f>
        <v>0</v>
      </c>
      <c r="CI43" s="16" t="n">
        <f aca="false">CH44</f>
        <v>0</v>
      </c>
      <c r="CJ43" s="16" t="n">
        <f aca="false">CI44</f>
        <v>0</v>
      </c>
      <c r="CK43" s="16" t="n">
        <f aca="false">CJ44</f>
        <v>0</v>
      </c>
      <c r="CL43" s="16" t="n">
        <f aca="false">CK44</f>
        <v>0</v>
      </c>
      <c r="CM43" s="16" t="n">
        <f aca="false">CL44</f>
        <v>0</v>
      </c>
      <c r="CN43" s="16" t="n">
        <f aca="false">CM44</f>
        <v>0</v>
      </c>
      <c r="CO43" s="16" t="n">
        <f aca="false">CN44</f>
        <v>0</v>
      </c>
      <c r="CP43" s="16" t="n">
        <f aca="false">CO44</f>
        <v>0</v>
      </c>
      <c r="CQ43" s="16" t="n">
        <f aca="false">CP44</f>
        <v>0</v>
      </c>
      <c r="CR43" s="16" t="n">
        <f aca="false">CQ44</f>
        <v>0</v>
      </c>
      <c r="CS43" s="16" t="n">
        <f aca="false">CR44</f>
        <v>0</v>
      </c>
      <c r="CT43" s="16" t="n">
        <f aca="false">CS44</f>
        <v>0</v>
      </c>
      <c r="CU43" s="16" t="n">
        <f aca="false">CT44</f>
        <v>0</v>
      </c>
      <c r="CV43" s="16" t="n">
        <f aca="false">CU44</f>
        <v>0</v>
      </c>
      <c r="CW43" s="16" t="n">
        <f aca="false">CV44</f>
        <v>0</v>
      </c>
      <c r="CX43" s="16" t="n">
        <f aca="false">CW44</f>
        <v>0</v>
      </c>
    </row>
    <row r="44" customFormat="false" ht="15" hidden="false" customHeight="false" outlineLevel="0" collapsed="false">
      <c r="A44" s="1" t="n">
        <f aca="false">A43+1</f>
        <v>41</v>
      </c>
      <c r="B44" s="16" t="n">
        <f aca="false">B43</f>
        <v>0</v>
      </c>
      <c r="C44" s="16" t="n">
        <f aca="false">B45</f>
        <v>0</v>
      </c>
      <c r="D44" s="16" t="n">
        <f aca="false">C45</f>
        <v>0</v>
      </c>
      <c r="E44" s="16" t="n">
        <f aca="false">D45</f>
        <v>0</v>
      </c>
      <c r="F44" s="16" t="n">
        <f aca="false">E45</f>
        <v>0</v>
      </c>
      <c r="G44" s="16" t="n">
        <f aca="false">F45</f>
        <v>0</v>
      </c>
      <c r="H44" s="16" t="n">
        <f aca="false">G45</f>
        <v>0</v>
      </c>
      <c r="I44" s="16" t="n">
        <f aca="false">H45</f>
        <v>0</v>
      </c>
      <c r="J44" s="16" t="n">
        <f aca="false">I45</f>
        <v>0</v>
      </c>
      <c r="K44" s="16" t="n">
        <f aca="false">J45</f>
        <v>0</v>
      </c>
      <c r="L44" s="16" t="n">
        <f aca="false">K45</f>
        <v>0</v>
      </c>
      <c r="M44" s="16" t="n">
        <f aca="false">L45</f>
        <v>0</v>
      </c>
      <c r="N44" s="16" t="n">
        <f aca="false">M45</f>
        <v>0</v>
      </c>
      <c r="O44" s="16" t="n">
        <f aca="false">N45</f>
        <v>0</v>
      </c>
      <c r="P44" s="16" t="n">
        <f aca="false">O45</f>
        <v>0</v>
      </c>
      <c r="Q44" s="16" t="n">
        <f aca="false">P45</f>
        <v>0</v>
      </c>
      <c r="R44" s="16" t="n">
        <f aca="false">Q45</f>
        <v>0</v>
      </c>
      <c r="S44" s="16" t="n">
        <f aca="false">R45</f>
        <v>0</v>
      </c>
      <c r="T44" s="16" t="n">
        <f aca="false">S45</f>
        <v>0</v>
      </c>
      <c r="U44" s="16" t="n">
        <f aca="false">T45</f>
        <v>0</v>
      </c>
      <c r="V44" s="16" t="n">
        <f aca="false">U45</f>
        <v>0</v>
      </c>
      <c r="W44" s="16" t="n">
        <f aca="false">V45</f>
        <v>0</v>
      </c>
      <c r="X44" s="16" t="n">
        <f aca="false">W45</f>
        <v>0</v>
      </c>
      <c r="Y44" s="16" t="n">
        <f aca="false">X45</f>
        <v>0</v>
      </c>
      <c r="Z44" s="16" t="n">
        <f aca="false">Y45</f>
        <v>0</v>
      </c>
      <c r="AA44" s="16" t="n">
        <f aca="false">Z45</f>
        <v>0</v>
      </c>
      <c r="AB44" s="16" t="n">
        <f aca="false">AA45</f>
        <v>0</v>
      </c>
      <c r="AC44" s="16" t="n">
        <f aca="false">AB45</f>
        <v>0</v>
      </c>
      <c r="AD44" s="16" t="n">
        <f aca="false">AC45</f>
        <v>0</v>
      </c>
      <c r="AE44" s="16" t="n">
        <f aca="false">AD45</f>
        <v>0</v>
      </c>
      <c r="AF44" s="16" t="n">
        <f aca="false">AE45</f>
        <v>0</v>
      </c>
      <c r="AG44" s="16" t="n">
        <f aca="false">AF45</f>
        <v>0</v>
      </c>
      <c r="AH44" s="16" t="n">
        <f aca="false">AG45</f>
        <v>0</v>
      </c>
      <c r="AI44" s="16" t="n">
        <f aca="false">AH45</f>
        <v>0</v>
      </c>
      <c r="AJ44" s="16" t="n">
        <f aca="false">AI45</f>
        <v>0</v>
      </c>
      <c r="AK44" s="16" t="n">
        <f aca="false">AJ45</f>
        <v>0</v>
      </c>
      <c r="AL44" s="16" t="n">
        <f aca="false">AK45</f>
        <v>0</v>
      </c>
      <c r="AM44" s="16" t="n">
        <f aca="false">AL45</f>
        <v>0</v>
      </c>
      <c r="AN44" s="16" t="n">
        <f aca="false">AM45</f>
        <v>0</v>
      </c>
      <c r="AO44" s="16" t="n">
        <f aca="false">AN45</f>
        <v>0</v>
      </c>
      <c r="AP44" s="16" t="n">
        <f aca="false">AO45</f>
        <v>0</v>
      </c>
      <c r="AQ44" s="16" t="n">
        <f aca="false">AP45</f>
        <v>0</v>
      </c>
      <c r="AR44" s="16" t="n">
        <f aca="false">AQ45</f>
        <v>0</v>
      </c>
      <c r="AS44" s="16" t="n">
        <f aca="false">AR45</f>
        <v>0</v>
      </c>
      <c r="AT44" s="16" t="n">
        <f aca="false">AS45</f>
        <v>0</v>
      </c>
      <c r="AU44" s="16" t="n">
        <f aca="false">AT45</f>
        <v>0</v>
      </c>
      <c r="AV44" s="16" t="n">
        <f aca="false">AU45</f>
        <v>0</v>
      </c>
      <c r="AW44" s="16" t="n">
        <f aca="false">AV45</f>
        <v>0</v>
      </c>
      <c r="AX44" s="16" t="n">
        <f aca="false">AW45</f>
        <v>0</v>
      </c>
      <c r="AY44" s="16" t="n">
        <f aca="false">AX45</f>
        <v>0</v>
      </c>
      <c r="AZ44" s="16" t="n">
        <f aca="false">AY45</f>
        <v>0</v>
      </c>
      <c r="BA44" s="16" t="n">
        <f aca="false">AZ45</f>
        <v>0</v>
      </c>
      <c r="BB44" s="16" t="n">
        <f aca="false">BA45</f>
        <v>0</v>
      </c>
      <c r="BC44" s="16" t="n">
        <f aca="false">BB45</f>
        <v>0</v>
      </c>
      <c r="BD44" s="16" t="n">
        <f aca="false">BC45</f>
        <v>0</v>
      </c>
      <c r="BE44" s="16" t="n">
        <f aca="false">BD45</f>
        <v>0</v>
      </c>
      <c r="BF44" s="16" t="n">
        <f aca="false">BE45</f>
        <v>0</v>
      </c>
      <c r="BG44" s="16" t="n">
        <f aca="false">BF45</f>
        <v>0</v>
      </c>
      <c r="BH44" s="16" t="n">
        <f aca="false">BG45</f>
        <v>0</v>
      </c>
      <c r="BI44" s="16" t="n">
        <f aca="false">BH45</f>
        <v>0</v>
      </c>
      <c r="BJ44" s="16" t="n">
        <f aca="false">BI45</f>
        <v>0</v>
      </c>
      <c r="BK44" s="16" t="n">
        <f aca="false">BJ45</f>
        <v>0</v>
      </c>
      <c r="BL44" s="16" t="n">
        <f aca="false">BK45</f>
        <v>0</v>
      </c>
      <c r="BM44" s="16" t="n">
        <f aca="false">BL45</f>
        <v>0</v>
      </c>
      <c r="BN44" s="16" t="n">
        <f aca="false">BM45</f>
        <v>0</v>
      </c>
      <c r="BO44" s="16" t="n">
        <f aca="false">BN45</f>
        <v>0</v>
      </c>
      <c r="BP44" s="16" t="n">
        <f aca="false">BO45</f>
        <v>0</v>
      </c>
      <c r="BQ44" s="16" t="n">
        <f aca="false">BP45</f>
        <v>0</v>
      </c>
      <c r="BR44" s="16" t="n">
        <f aca="false">BQ45</f>
        <v>0</v>
      </c>
      <c r="BS44" s="16" t="n">
        <f aca="false">BR45</f>
        <v>0</v>
      </c>
      <c r="BT44" s="16" t="n">
        <f aca="false">BS45</f>
        <v>0</v>
      </c>
      <c r="BU44" s="16" t="n">
        <f aca="false">BT45</f>
        <v>0</v>
      </c>
      <c r="BV44" s="16" t="n">
        <f aca="false">BU45</f>
        <v>0</v>
      </c>
      <c r="BW44" s="16" t="n">
        <f aca="false">BV45</f>
        <v>0</v>
      </c>
      <c r="BX44" s="16" t="n">
        <f aca="false">BW45</f>
        <v>0</v>
      </c>
      <c r="BY44" s="16" t="n">
        <f aca="false">BX45</f>
        <v>0</v>
      </c>
      <c r="BZ44" s="16" t="n">
        <f aca="false">BY45</f>
        <v>0</v>
      </c>
      <c r="CA44" s="16" t="n">
        <f aca="false">BZ45</f>
        <v>0</v>
      </c>
      <c r="CB44" s="16" t="n">
        <f aca="false">CA45</f>
        <v>0</v>
      </c>
      <c r="CC44" s="16" t="n">
        <f aca="false">CB45</f>
        <v>0</v>
      </c>
      <c r="CD44" s="16" t="n">
        <f aca="false">CC45</f>
        <v>0</v>
      </c>
      <c r="CE44" s="16" t="n">
        <f aca="false">CD45</f>
        <v>0</v>
      </c>
      <c r="CF44" s="16" t="n">
        <f aca="false">CE45</f>
        <v>0</v>
      </c>
      <c r="CG44" s="16" t="n">
        <f aca="false">CF45</f>
        <v>0</v>
      </c>
      <c r="CH44" s="16" t="n">
        <f aca="false">CG45</f>
        <v>0</v>
      </c>
      <c r="CI44" s="16" t="n">
        <f aca="false">CH45</f>
        <v>0</v>
      </c>
      <c r="CJ44" s="16" t="n">
        <f aca="false">CI45</f>
        <v>0</v>
      </c>
      <c r="CK44" s="16" t="n">
        <f aca="false">CJ45</f>
        <v>0</v>
      </c>
      <c r="CL44" s="16" t="n">
        <f aca="false">CK45</f>
        <v>0</v>
      </c>
      <c r="CM44" s="16" t="n">
        <f aca="false">CL45</f>
        <v>0</v>
      </c>
      <c r="CN44" s="16" t="n">
        <f aca="false">CM45</f>
        <v>0</v>
      </c>
      <c r="CO44" s="16" t="n">
        <f aca="false">CN45</f>
        <v>0</v>
      </c>
      <c r="CP44" s="16" t="n">
        <f aca="false">CO45</f>
        <v>0</v>
      </c>
      <c r="CQ44" s="16" t="n">
        <f aca="false">CP45</f>
        <v>0</v>
      </c>
      <c r="CR44" s="16" t="n">
        <f aca="false">CQ45</f>
        <v>0</v>
      </c>
      <c r="CS44" s="16" t="n">
        <f aca="false">CR45</f>
        <v>0</v>
      </c>
      <c r="CT44" s="16" t="n">
        <f aca="false">CS45</f>
        <v>0</v>
      </c>
      <c r="CU44" s="16" t="n">
        <f aca="false">CT45</f>
        <v>0</v>
      </c>
      <c r="CV44" s="16" t="n">
        <f aca="false">CU45</f>
        <v>0</v>
      </c>
      <c r="CW44" s="16" t="n">
        <f aca="false">CV45</f>
        <v>0</v>
      </c>
      <c r="CX44" s="16" t="n">
        <f aca="false">CW45</f>
        <v>0</v>
      </c>
    </row>
    <row r="45" customFormat="false" ht="15" hidden="false" customHeight="false" outlineLevel="0" collapsed="false">
      <c r="A45" s="1" t="n">
        <f aca="false">A44+1</f>
        <v>42</v>
      </c>
      <c r="B45" s="16" t="n">
        <f aca="false">B44</f>
        <v>0</v>
      </c>
      <c r="C45" s="16" t="n">
        <f aca="false">B46</f>
        <v>0</v>
      </c>
      <c r="D45" s="16" t="n">
        <f aca="false">C46</f>
        <v>0</v>
      </c>
      <c r="E45" s="16" t="n">
        <f aca="false">D46</f>
        <v>0</v>
      </c>
      <c r="F45" s="16" t="n">
        <f aca="false">E46</f>
        <v>0</v>
      </c>
      <c r="G45" s="16" t="n">
        <f aca="false">F46</f>
        <v>0</v>
      </c>
      <c r="H45" s="16" t="n">
        <f aca="false">G46</f>
        <v>0</v>
      </c>
      <c r="I45" s="16" t="n">
        <f aca="false">H46</f>
        <v>0</v>
      </c>
      <c r="J45" s="16" t="n">
        <f aca="false">I46</f>
        <v>0</v>
      </c>
      <c r="K45" s="16" t="n">
        <f aca="false">J46</f>
        <v>0</v>
      </c>
      <c r="L45" s="16" t="n">
        <f aca="false">K46</f>
        <v>0</v>
      </c>
      <c r="M45" s="16" t="n">
        <f aca="false">L46</f>
        <v>0</v>
      </c>
      <c r="N45" s="16" t="n">
        <f aca="false">M46</f>
        <v>0</v>
      </c>
      <c r="O45" s="16" t="n">
        <f aca="false">N46</f>
        <v>0</v>
      </c>
      <c r="P45" s="16" t="n">
        <f aca="false">O46</f>
        <v>0</v>
      </c>
      <c r="Q45" s="16" t="n">
        <f aca="false">P46</f>
        <v>0</v>
      </c>
      <c r="R45" s="16" t="n">
        <f aca="false">Q46</f>
        <v>0</v>
      </c>
      <c r="S45" s="16" t="n">
        <f aca="false">R46</f>
        <v>0</v>
      </c>
      <c r="T45" s="16" t="n">
        <f aca="false">S46</f>
        <v>0</v>
      </c>
      <c r="U45" s="16" t="n">
        <f aca="false">T46</f>
        <v>0</v>
      </c>
      <c r="V45" s="16" t="n">
        <f aca="false">U46</f>
        <v>0</v>
      </c>
      <c r="W45" s="16" t="n">
        <f aca="false">V46</f>
        <v>0</v>
      </c>
      <c r="X45" s="16" t="n">
        <f aca="false">W46</f>
        <v>0</v>
      </c>
      <c r="Y45" s="16" t="n">
        <f aca="false">X46</f>
        <v>0</v>
      </c>
      <c r="Z45" s="16" t="n">
        <f aca="false">Y46</f>
        <v>0</v>
      </c>
      <c r="AA45" s="16" t="n">
        <f aca="false">Z46</f>
        <v>0</v>
      </c>
      <c r="AB45" s="16" t="n">
        <f aca="false">AA46</f>
        <v>0</v>
      </c>
      <c r="AC45" s="16" t="n">
        <f aca="false">AB46</f>
        <v>0</v>
      </c>
      <c r="AD45" s="16" t="n">
        <f aca="false">AC46</f>
        <v>0</v>
      </c>
      <c r="AE45" s="16" t="n">
        <f aca="false">AD46</f>
        <v>0</v>
      </c>
      <c r="AF45" s="16" t="n">
        <f aca="false">AE46</f>
        <v>0</v>
      </c>
      <c r="AG45" s="16" t="n">
        <f aca="false">AF46</f>
        <v>0</v>
      </c>
      <c r="AH45" s="16" t="n">
        <f aca="false">AG46</f>
        <v>0</v>
      </c>
      <c r="AI45" s="16" t="n">
        <f aca="false">AH46</f>
        <v>0</v>
      </c>
      <c r="AJ45" s="16" t="n">
        <f aca="false">AI46</f>
        <v>0</v>
      </c>
      <c r="AK45" s="16" t="n">
        <f aca="false">AJ46</f>
        <v>0</v>
      </c>
      <c r="AL45" s="16" t="n">
        <f aca="false">AK46</f>
        <v>0</v>
      </c>
      <c r="AM45" s="16" t="n">
        <f aca="false">AL46</f>
        <v>0</v>
      </c>
      <c r="AN45" s="16" t="n">
        <f aca="false">AM46</f>
        <v>0</v>
      </c>
      <c r="AO45" s="16" t="n">
        <f aca="false">AN46</f>
        <v>0</v>
      </c>
      <c r="AP45" s="16" t="n">
        <f aca="false">AO46</f>
        <v>0</v>
      </c>
      <c r="AQ45" s="16" t="n">
        <f aca="false">AP46</f>
        <v>0</v>
      </c>
      <c r="AR45" s="16" t="n">
        <f aca="false">AQ46</f>
        <v>0</v>
      </c>
      <c r="AS45" s="16" t="n">
        <f aca="false">AR46</f>
        <v>0</v>
      </c>
      <c r="AT45" s="16" t="n">
        <f aca="false">AS46</f>
        <v>0</v>
      </c>
      <c r="AU45" s="16" t="n">
        <f aca="false">AT46</f>
        <v>0</v>
      </c>
      <c r="AV45" s="16" t="n">
        <f aca="false">AU46</f>
        <v>0</v>
      </c>
      <c r="AW45" s="16" t="n">
        <f aca="false">AV46</f>
        <v>0</v>
      </c>
      <c r="AX45" s="16" t="n">
        <f aca="false">AW46</f>
        <v>0</v>
      </c>
      <c r="AY45" s="16" t="n">
        <f aca="false">AX46</f>
        <v>0</v>
      </c>
      <c r="AZ45" s="16" t="n">
        <f aca="false">AY46</f>
        <v>0</v>
      </c>
      <c r="BA45" s="16" t="n">
        <f aca="false">AZ46</f>
        <v>0</v>
      </c>
      <c r="BB45" s="16" t="n">
        <f aca="false">BA46</f>
        <v>0</v>
      </c>
      <c r="BC45" s="16" t="n">
        <f aca="false">BB46</f>
        <v>0</v>
      </c>
      <c r="BD45" s="16" t="n">
        <f aca="false">BC46</f>
        <v>0</v>
      </c>
      <c r="BE45" s="16" t="n">
        <f aca="false">BD46</f>
        <v>0</v>
      </c>
      <c r="BF45" s="16" t="n">
        <f aca="false">BE46</f>
        <v>0</v>
      </c>
      <c r="BG45" s="16" t="n">
        <f aca="false">BF46</f>
        <v>0</v>
      </c>
      <c r="BH45" s="16" t="n">
        <f aca="false">BG46</f>
        <v>0</v>
      </c>
      <c r="BI45" s="16" t="n">
        <f aca="false">BH46</f>
        <v>0</v>
      </c>
      <c r="BJ45" s="16" t="n">
        <f aca="false">BI46</f>
        <v>0</v>
      </c>
      <c r="BK45" s="16" t="n">
        <f aca="false">BJ46</f>
        <v>0</v>
      </c>
      <c r="BL45" s="16" t="n">
        <f aca="false">BK46</f>
        <v>0</v>
      </c>
      <c r="BM45" s="16" t="n">
        <f aca="false">BL46</f>
        <v>0</v>
      </c>
      <c r="BN45" s="16" t="n">
        <f aca="false">BM46</f>
        <v>0</v>
      </c>
      <c r="BO45" s="16" t="n">
        <f aca="false">BN46</f>
        <v>0</v>
      </c>
      <c r="BP45" s="16" t="n">
        <f aca="false">BO46</f>
        <v>0</v>
      </c>
      <c r="BQ45" s="16" t="n">
        <f aca="false">BP46</f>
        <v>0</v>
      </c>
      <c r="BR45" s="16" t="n">
        <f aca="false">BQ46</f>
        <v>0</v>
      </c>
      <c r="BS45" s="16" t="n">
        <f aca="false">BR46</f>
        <v>0</v>
      </c>
      <c r="BT45" s="16" t="n">
        <f aca="false">BS46</f>
        <v>0</v>
      </c>
      <c r="BU45" s="16" t="n">
        <f aca="false">BT46</f>
        <v>0</v>
      </c>
      <c r="BV45" s="16" t="n">
        <f aca="false">BU46</f>
        <v>0</v>
      </c>
      <c r="BW45" s="16" t="n">
        <f aca="false">BV46</f>
        <v>0</v>
      </c>
      <c r="BX45" s="16" t="n">
        <f aca="false">BW46</f>
        <v>0</v>
      </c>
      <c r="BY45" s="16" t="n">
        <f aca="false">BX46</f>
        <v>0</v>
      </c>
      <c r="BZ45" s="16" t="n">
        <f aca="false">BY46</f>
        <v>0</v>
      </c>
      <c r="CA45" s="16" t="n">
        <f aca="false">BZ46</f>
        <v>0</v>
      </c>
      <c r="CB45" s="16" t="n">
        <f aca="false">CA46</f>
        <v>0</v>
      </c>
      <c r="CC45" s="16" t="n">
        <f aca="false">CB46</f>
        <v>0</v>
      </c>
      <c r="CD45" s="16" t="n">
        <f aca="false">CC46</f>
        <v>0</v>
      </c>
      <c r="CE45" s="16" t="n">
        <f aca="false">CD46</f>
        <v>0</v>
      </c>
      <c r="CF45" s="16" t="n">
        <f aca="false">CE46</f>
        <v>0</v>
      </c>
      <c r="CG45" s="16" t="n">
        <f aca="false">CF46</f>
        <v>0</v>
      </c>
      <c r="CH45" s="16" t="n">
        <f aca="false">CG46</f>
        <v>0</v>
      </c>
      <c r="CI45" s="16" t="n">
        <f aca="false">CH46</f>
        <v>0</v>
      </c>
      <c r="CJ45" s="16" t="n">
        <f aca="false">CI46</f>
        <v>0</v>
      </c>
      <c r="CK45" s="16" t="n">
        <f aca="false">CJ46</f>
        <v>0</v>
      </c>
      <c r="CL45" s="16" t="n">
        <f aca="false">CK46</f>
        <v>0</v>
      </c>
      <c r="CM45" s="16" t="n">
        <f aca="false">CL46</f>
        <v>0</v>
      </c>
      <c r="CN45" s="16" t="n">
        <f aca="false">CM46</f>
        <v>0</v>
      </c>
      <c r="CO45" s="16" t="n">
        <f aca="false">CN46</f>
        <v>0</v>
      </c>
      <c r="CP45" s="16" t="n">
        <f aca="false">CO46</f>
        <v>0</v>
      </c>
      <c r="CQ45" s="16" t="n">
        <f aca="false">CP46</f>
        <v>0</v>
      </c>
      <c r="CR45" s="16" t="n">
        <f aca="false">CQ46</f>
        <v>0</v>
      </c>
      <c r="CS45" s="16" t="n">
        <f aca="false">CR46</f>
        <v>0</v>
      </c>
      <c r="CT45" s="16" t="n">
        <f aca="false">CS46</f>
        <v>0</v>
      </c>
      <c r="CU45" s="16" t="n">
        <f aca="false">CT46</f>
        <v>0</v>
      </c>
      <c r="CV45" s="16" t="n">
        <f aca="false">CU46</f>
        <v>0</v>
      </c>
      <c r="CW45" s="16" t="n">
        <f aca="false">CV46</f>
        <v>0</v>
      </c>
      <c r="CX45" s="16" t="n">
        <f aca="false">CW46</f>
        <v>0</v>
      </c>
    </row>
    <row r="46" customFormat="false" ht="15" hidden="false" customHeight="false" outlineLevel="0" collapsed="false">
      <c r="A46" s="1" t="n">
        <f aca="false">A45+1</f>
        <v>43</v>
      </c>
      <c r="B46" s="16" t="n">
        <f aca="false">B45</f>
        <v>0</v>
      </c>
      <c r="C46" s="16" t="n">
        <f aca="false">B47</f>
        <v>0</v>
      </c>
      <c r="D46" s="16" t="n">
        <f aca="false">C47</f>
        <v>0</v>
      </c>
      <c r="E46" s="16" t="n">
        <f aca="false">D47</f>
        <v>0</v>
      </c>
      <c r="F46" s="16" t="n">
        <f aca="false">E47</f>
        <v>0</v>
      </c>
      <c r="G46" s="16" t="n">
        <f aca="false">F47</f>
        <v>0</v>
      </c>
      <c r="H46" s="16" t="n">
        <f aca="false">G47</f>
        <v>0</v>
      </c>
      <c r="I46" s="16" t="n">
        <f aca="false">H47</f>
        <v>0</v>
      </c>
      <c r="J46" s="16" t="n">
        <f aca="false">I47</f>
        <v>0</v>
      </c>
      <c r="K46" s="16" t="n">
        <f aca="false">J47</f>
        <v>0</v>
      </c>
      <c r="L46" s="16" t="n">
        <f aca="false">K47</f>
        <v>0</v>
      </c>
      <c r="M46" s="16" t="n">
        <f aca="false">L47</f>
        <v>0</v>
      </c>
      <c r="N46" s="16" t="n">
        <f aca="false">M47</f>
        <v>0</v>
      </c>
      <c r="O46" s="16" t="n">
        <f aca="false">N47</f>
        <v>0</v>
      </c>
      <c r="P46" s="16" t="n">
        <f aca="false">O47</f>
        <v>0</v>
      </c>
      <c r="Q46" s="16" t="n">
        <f aca="false">P47</f>
        <v>0</v>
      </c>
      <c r="R46" s="16" t="n">
        <f aca="false">Q47</f>
        <v>0</v>
      </c>
      <c r="S46" s="16" t="n">
        <f aca="false">R47</f>
        <v>0</v>
      </c>
      <c r="T46" s="16" t="n">
        <f aca="false">S47</f>
        <v>0</v>
      </c>
      <c r="U46" s="16" t="n">
        <f aca="false">T47</f>
        <v>0</v>
      </c>
      <c r="V46" s="16" t="n">
        <f aca="false">U47</f>
        <v>0</v>
      </c>
      <c r="W46" s="16" t="n">
        <f aca="false">V47</f>
        <v>0</v>
      </c>
      <c r="X46" s="16" t="n">
        <f aca="false">W47</f>
        <v>0</v>
      </c>
      <c r="Y46" s="16" t="n">
        <f aca="false">X47</f>
        <v>0</v>
      </c>
      <c r="Z46" s="16" t="n">
        <f aca="false">Y47</f>
        <v>0</v>
      </c>
      <c r="AA46" s="16" t="n">
        <f aca="false">Z47</f>
        <v>0</v>
      </c>
      <c r="AB46" s="16" t="n">
        <f aca="false">AA47</f>
        <v>0</v>
      </c>
      <c r="AC46" s="16" t="n">
        <f aca="false">AB47</f>
        <v>0</v>
      </c>
      <c r="AD46" s="16" t="n">
        <f aca="false">AC47</f>
        <v>0</v>
      </c>
      <c r="AE46" s="16" t="n">
        <f aca="false">AD47</f>
        <v>0</v>
      </c>
      <c r="AF46" s="16" t="n">
        <f aca="false">AE47</f>
        <v>0</v>
      </c>
      <c r="AG46" s="16" t="n">
        <f aca="false">AF47</f>
        <v>0</v>
      </c>
      <c r="AH46" s="16" t="n">
        <f aca="false">AG47</f>
        <v>0</v>
      </c>
      <c r="AI46" s="16" t="n">
        <f aca="false">AH47</f>
        <v>0</v>
      </c>
      <c r="AJ46" s="16" t="n">
        <f aca="false">AI47</f>
        <v>0</v>
      </c>
      <c r="AK46" s="16" t="n">
        <f aca="false">AJ47</f>
        <v>0</v>
      </c>
      <c r="AL46" s="16" t="n">
        <f aca="false">AK47</f>
        <v>0</v>
      </c>
      <c r="AM46" s="16" t="n">
        <f aca="false">AL47</f>
        <v>0</v>
      </c>
      <c r="AN46" s="16" t="n">
        <f aca="false">AM47</f>
        <v>0</v>
      </c>
      <c r="AO46" s="16" t="n">
        <f aca="false">AN47</f>
        <v>0</v>
      </c>
      <c r="AP46" s="16" t="n">
        <f aca="false">AO47</f>
        <v>0</v>
      </c>
      <c r="AQ46" s="16" t="n">
        <f aca="false">AP47</f>
        <v>0</v>
      </c>
      <c r="AR46" s="16" t="n">
        <f aca="false">AQ47</f>
        <v>0</v>
      </c>
      <c r="AS46" s="16" t="n">
        <f aca="false">AR47</f>
        <v>0</v>
      </c>
      <c r="AT46" s="16" t="n">
        <f aca="false">AS47</f>
        <v>0</v>
      </c>
      <c r="AU46" s="16" t="n">
        <f aca="false">AT47</f>
        <v>0</v>
      </c>
      <c r="AV46" s="16" t="n">
        <f aca="false">AU47</f>
        <v>0</v>
      </c>
      <c r="AW46" s="16" t="n">
        <f aca="false">AV47</f>
        <v>0</v>
      </c>
      <c r="AX46" s="16" t="n">
        <f aca="false">AW47</f>
        <v>0</v>
      </c>
      <c r="AY46" s="16" t="n">
        <f aca="false">AX47</f>
        <v>0</v>
      </c>
      <c r="AZ46" s="16" t="n">
        <f aca="false">AY47</f>
        <v>0</v>
      </c>
      <c r="BA46" s="16" t="n">
        <f aca="false">AZ47</f>
        <v>0</v>
      </c>
      <c r="BB46" s="16" t="n">
        <f aca="false">BA47</f>
        <v>0</v>
      </c>
      <c r="BC46" s="16" t="n">
        <f aca="false">BB47</f>
        <v>0</v>
      </c>
      <c r="BD46" s="16" t="n">
        <f aca="false">BC47</f>
        <v>0</v>
      </c>
      <c r="BE46" s="16" t="n">
        <f aca="false">BD47</f>
        <v>0</v>
      </c>
      <c r="BF46" s="16" t="n">
        <f aca="false">BE47</f>
        <v>0</v>
      </c>
      <c r="BG46" s="16" t="n">
        <f aca="false">BF47</f>
        <v>0</v>
      </c>
      <c r="BH46" s="16" t="n">
        <f aca="false">BG47</f>
        <v>0</v>
      </c>
      <c r="BI46" s="16" t="n">
        <f aca="false">BH47</f>
        <v>0</v>
      </c>
      <c r="BJ46" s="16" t="n">
        <f aca="false">BI47</f>
        <v>0</v>
      </c>
      <c r="BK46" s="16" t="n">
        <f aca="false">BJ47</f>
        <v>0</v>
      </c>
      <c r="BL46" s="16" t="n">
        <f aca="false">BK47</f>
        <v>0</v>
      </c>
      <c r="BM46" s="16" t="n">
        <f aca="false">BL47</f>
        <v>0</v>
      </c>
      <c r="BN46" s="16" t="n">
        <f aca="false">BM47</f>
        <v>0</v>
      </c>
      <c r="BO46" s="16" t="n">
        <f aca="false">BN47</f>
        <v>0</v>
      </c>
      <c r="BP46" s="16" t="n">
        <f aca="false">BO47</f>
        <v>0</v>
      </c>
      <c r="BQ46" s="16" t="n">
        <f aca="false">BP47</f>
        <v>0</v>
      </c>
      <c r="BR46" s="16" t="n">
        <f aca="false">BQ47</f>
        <v>0</v>
      </c>
      <c r="BS46" s="16" t="n">
        <f aca="false">BR47</f>
        <v>0</v>
      </c>
      <c r="BT46" s="16" t="n">
        <f aca="false">BS47</f>
        <v>0</v>
      </c>
      <c r="BU46" s="16" t="n">
        <f aca="false">BT47</f>
        <v>0</v>
      </c>
      <c r="BV46" s="16" t="n">
        <f aca="false">BU47</f>
        <v>0</v>
      </c>
      <c r="BW46" s="16" t="n">
        <f aca="false">BV47</f>
        <v>0</v>
      </c>
      <c r="BX46" s="16" t="n">
        <f aca="false">BW47</f>
        <v>0</v>
      </c>
      <c r="BY46" s="16" t="n">
        <f aca="false">BX47</f>
        <v>0</v>
      </c>
      <c r="BZ46" s="16" t="n">
        <f aca="false">BY47</f>
        <v>0</v>
      </c>
      <c r="CA46" s="16" t="n">
        <f aca="false">BZ47</f>
        <v>0</v>
      </c>
      <c r="CB46" s="16" t="n">
        <f aca="false">CA47</f>
        <v>0</v>
      </c>
      <c r="CC46" s="16" t="n">
        <f aca="false">CB47</f>
        <v>0</v>
      </c>
      <c r="CD46" s="16" t="n">
        <f aca="false">CC47</f>
        <v>0</v>
      </c>
      <c r="CE46" s="16" t="n">
        <f aca="false">CD47</f>
        <v>0</v>
      </c>
      <c r="CF46" s="16" t="n">
        <f aca="false">CE47</f>
        <v>0</v>
      </c>
      <c r="CG46" s="16" t="n">
        <f aca="false">CF47</f>
        <v>0</v>
      </c>
      <c r="CH46" s="16" t="n">
        <f aca="false">CG47</f>
        <v>0</v>
      </c>
      <c r="CI46" s="16" t="n">
        <f aca="false">CH47</f>
        <v>0</v>
      </c>
      <c r="CJ46" s="16" t="n">
        <f aca="false">CI47</f>
        <v>0</v>
      </c>
      <c r="CK46" s="16" t="n">
        <f aca="false">CJ47</f>
        <v>0</v>
      </c>
      <c r="CL46" s="16" t="n">
        <f aca="false">CK47</f>
        <v>0</v>
      </c>
      <c r="CM46" s="16" t="n">
        <f aca="false">CL47</f>
        <v>0</v>
      </c>
      <c r="CN46" s="16" t="n">
        <f aca="false">CM47</f>
        <v>0</v>
      </c>
      <c r="CO46" s="16" t="n">
        <f aca="false">CN47</f>
        <v>0</v>
      </c>
      <c r="CP46" s="16" t="n">
        <f aca="false">CO47</f>
        <v>0</v>
      </c>
      <c r="CQ46" s="16" t="n">
        <f aca="false">CP47</f>
        <v>0</v>
      </c>
      <c r="CR46" s="16" t="n">
        <f aca="false">CQ47</f>
        <v>0</v>
      </c>
      <c r="CS46" s="16" t="n">
        <f aca="false">CR47</f>
        <v>0</v>
      </c>
      <c r="CT46" s="16" t="n">
        <f aca="false">CS47</f>
        <v>0</v>
      </c>
      <c r="CU46" s="16" t="n">
        <f aca="false">CT47</f>
        <v>0</v>
      </c>
      <c r="CV46" s="16" t="n">
        <f aca="false">CU47</f>
        <v>0</v>
      </c>
      <c r="CW46" s="16" t="n">
        <f aca="false">CV47</f>
        <v>0</v>
      </c>
      <c r="CX46" s="16" t="n">
        <f aca="false">CW47</f>
        <v>0</v>
      </c>
    </row>
    <row r="47" customFormat="false" ht="15" hidden="false" customHeight="false" outlineLevel="0" collapsed="false">
      <c r="A47" s="1" t="n">
        <f aca="false">A46+1</f>
        <v>44</v>
      </c>
      <c r="B47" s="16" t="n">
        <f aca="false">B46</f>
        <v>0</v>
      </c>
      <c r="C47" s="16" t="n">
        <f aca="false">B48</f>
        <v>0</v>
      </c>
      <c r="D47" s="16" t="n">
        <f aca="false">C48</f>
        <v>0</v>
      </c>
      <c r="E47" s="16" t="n">
        <f aca="false">D48</f>
        <v>0</v>
      </c>
      <c r="F47" s="16" t="n">
        <f aca="false">E48</f>
        <v>0</v>
      </c>
      <c r="G47" s="16" t="n">
        <f aca="false">F48</f>
        <v>0</v>
      </c>
      <c r="H47" s="16" t="n">
        <f aca="false">G48</f>
        <v>0</v>
      </c>
      <c r="I47" s="16" t="n">
        <f aca="false">H48</f>
        <v>0</v>
      </c>
      <c r="J47" s="16" t="n">
        <f aca="false">I48</f>
        <v>0</v>
      </c>
      <c r="K47" s="16" t="n">
        <f aca="false">J48</f>
        <v>0</v>
      </c>
      <c r="L47" s="16" t="n">
        <f aca="false">K48</f>
        <v>0</v>
      </c>
      <c r="M47" s="16" t="n">
        <f aca="false">L48</f>
        <v>0</v>
      </c>
      <c r="N47" s="16" t="n">
        <f aca="false">M48</f>
        <v>0</v>
      </c>
      <c r="O47" s="16" t="n">
        <f aca="false">N48</f>
        <v>0</v>
      </c>
      <c r="P47" s="16" t="n">
        <f aca="false">O48</f>
        <v>0</v>
      </c>
      <c r="Q47" s="16" t="n">
        <f aca="false">P48</f>
        <v>0</v>
      </c>
      <c r="R47" s="16" t="n">
        <f aca="false">Q48</f>
        <v>0</v>
      </c>
      <c r="S47" s="16" t="n">
        <f aca="false">R48</f>
        <v>0</v>
      </c>
      <c r="T47" s="16" t="n">
        <f aca="false">S48</f>
        <v>0</v>
      </c>
      <c r="U47" s="16" t="n">
        <f aca="false">T48</f>
        <v>0</v>
      </c>
      <c r="V47" s="16" t="n">
        <f aca="false">U48</f>
        <v>0</v>
      </c>
      <c r="W47" s="16" t="n">
        <f aca="false">V48</f>
        <v>0</v>
      </c>
      <c r="X47" s="16" t="n">
        <f aca="false">W48</f>
        <v>0</v>
      </c>
      <c r="Y47" s="16" t="n">
        <f aca="false">X48</f>
        <v>0</v>
      </c>
      <c r="Z47" s="16" t="n">
        <f aca="false">Y48</f>
        <v>0</v>
      </c>
      <c r="AA47" s="16" t="n">
        <f aca="false">Z48</f>
        <v>0</v>
      </c>
      <c r="AB47" s="16" t="n">
        <f aca="false">AA48</f>
        <v>0</v>
      </c>
      <c r="AC47" s="16" t="n">
        <f aca="false">AB48</f>
        <v>0</v>
      </c>
      <c r="AD47" s="16" t="n">
        <f aca="false">AC48</f>
        <v>0</v>
      </c>
      <c r="AE47" s="16" t="n">
        <f aca="false">AD48</f>
        <v>0</v>
      </c>
      <c r="AF47" s="16" t="n">
        <f aca="false">AE48</f>
        <v>0</v>
      </c>
      <c r="AG47" s="16" t="n">
        <f aca="false">AF48</f>
        <v>0</v>
      </c>
      <c r="AH47" s="16" t="n">
        <f aca="false">AG48</f>
        <v>0</v>
      </c>
      <c r="AI47" s="16" t="n">
        <f aca="false">AH48</f>
        <v>0</v>
      </c>
      <c r="AJ47" s="16" t="n">
        <f aca="false">AI48</f>
        <v>0</v>
      </c>
      <c r="AK47" s="16" t="n">
        <f aca="false">AJ48</f>
        <v>0</v>
      </c>
      <c r="AL47" s="16" t="n">
        <f aca="false">AK48</f>
        <v>0</v>
      </c>
      <c r="AM47" s="16" t="n">
        <f aca="false">AL48</f>
        <v>0</v>
      </c>
      <c r="AN47" s="16" t="n">
        <f aca="false">AM48</f>
        <v>0</v>
      </c>
      <c r="AO47" s="16" t="n">
        <f aca="false">AN48</f>
        <v>0</v>
      </c>
      <c r="AP47" s="16" t="n">
        <f aca="false">AO48</f>
        <v>0</v>
      </c>
      <c r="AQ47" s="16" t="n">
        <f aca="false">AP48</f>
        <v>0</v>
      </c>
      <c r="AR47" s="16" t="n">
        <f aca="false">AQ48</f>
        <v>0</v>
      </c>
      <c r="AS47" s="16" t="n">
        <f aca="false">AR48</f>
        <v>0</v>
      </c>
      <c r="AT47" s="16" t="n">
        <f aca="false">AS48</f>
        <v>0</v>
      </c>
      <c r="AU47" s="16" t="n">
        <f aca="false">AT48</f>
        <v>0</v>
      </c>
      <c r="AV47" s="16" t="n">
        <f aca="false">AU48</f>
        <v>0</v>
      </c>
      <c r="AW47" s="16" t="n">
        <f aca="false">AV48</f>
        <v>0</v>
      </c>
      <c r="AX47" s="16" t="n">
        <f aca="false">AW48</f>
        <v>0</v>
      </c>
      <c r="AY47" s="16" t="n">
        <f aca="false">AX48</f>
        <v>0</v>
      </c>
      <c r="AZ47" s="16" t="n">
        <f aca="false">AY48</f>
        <v>0</v>
      </c>
      <c r="BA47" s="16" t="n">
        <f aca="false">AZ48</f>
        <v>0</v>
      </c>
      <c r="BB47" s="16" t="n">
        <f aca="false">BA48</f>
        <v>0</v>
      </c>
      <c r="BC47" s="16" t="n">
        <f aca="false">BB48</f>
        <v>0</v>
      </c>
      <c r="BD47" s="16" t="n">
        <f aca="false">BC48</f>
        <v>0</v>
      </c>
      <c r="BE47" s="16" t="n">
        <f aca="false">BD48</f>
        <v>0</v>
      </c>
      <c r="BF47" s="16" t="n">
        <f aca="false">BE48</f>
        <v>0</v>
      </c>
      <c r="BG47" s="16" t="n">
        <f aca="false">BF48</f>
        <v>0</v>
      </c>
      <c r="BH47" s="16" t="n">
        <f aca="false">BG48</f>
        <v>0</v>
      </c>
      <c r="BI47" s="16" t="n">
        <f aca="false">BH48</f>
        <v>0</v>
      </c>
      <c r="BJ47" s="16" t="n">
        <f aca="false">BI48</f>
        <v>0</v>
      </c>
      <c r="BK47" s="16" t="n">
        <f aca="false">BJ48</f>
        <v>0</v>
      </c>
      <c r="BL47" s="16" t="n">
        <f aca="false">BK48</f>
        <v>0</v>
      </c>
      <c r="BM47" s="16" t="n">
        <f aca="false">BL48</f>
        <v>0</v>
      </c>
      <c r="BN47" s="16" t="n">
        <f aca="false">BM48</f>
        <v>0</v>
      </c>
      <c r="BO47" s="16" t="n">
        <f aca="false">BN48</f>
        <v>0</v>
      </c>
      <c r="BP47" s="16" t="n">
        <f aca="false">BO48</f>
        <v>0</v>
      </c>
      <c r="BQ47" s="16" t="n">
        <f aca="false">BP48</f>
        <v>0</v>
      </c>
      <c r="BR47" s="16" t="n">
        <f aca="false">BQ48</f>
        <v>0</v>
      </c>
      <c r="BS47" s="16" t="n">
        <f aca="false">BR48</f>
        <v>0</v>
      </c>
      <c r="BT47" s="16" t="n">
        <f aca="false">BS48</f>
        <v>0</v>
      </c>
      <c r="BU47" s="16" t="n">
        <f aca="false">BT48</f>
        <v>0</v>
      </c>
      <c r="BV47" s="16" t="n">
        <f aca="false">BU48</f>
        <v>0</v>
      </c>
      <c r="BW47" s="16" t="n">
        <f aca="false">BV48</f>
        <v>0</v>
      </c>
      <c r="BX47" s="16" t="n">
        <f aca="false">BW48</f>
        <v>0</v>
      </c>
      <c r="BY47" s="16" t="n">
        <f aca="false">BX48</f>
        <v>0</v>
      </c>
      <c r="BZ47" s="16" t="n">
        <f aca="false">BY48</f>
        <v>0</v>
      </c>
      <c r="CA47" s="16" t="n">
        <f aca="false">BZ48</f>
        <v>0</v>
      </c>
      <c r="CB47" s="16" t="n">
        <f aca="false">CA48</f>
        <v>0</v>
      </c>
      <c r="CC47" s="16" t="n">
        <f aca="false">CB48</f>
        <v>0</v>
      </c>
      <c r="CD47" s="16" t="n">
        <f aca="false">CC48</f>
        <v>0</v>
      </c>
      <c r="CE47" s="16" t="n">
        <f aca="false">CD48</f>
        <v>0</v>
      </c>
      <c r="CF47" s="16" t="n">
        <f aca="false">CE48</f>
        <v>0</v>
      </c>
      <c r="CG47" s="16" t="n">
        <f aca="false">CF48</f>
        <v>0</v>
      </c>
      <c r="CH47" s="16" t="n">
        <f aca="false">CG48</f>
        <v>0</v>
      </c>
      <c r="CI47" s="16" t="n">
        <f aca="false">CH48</f>
        <v>0</v>
      </c>
      <c r="CJ47" s="16" t="n">
        <f aca="false">CI48</f>
        <v>0</v>
      </c>
      <c r="CK47" s="16" t="n">
        <f aca="false">CJ48</f>
        <v>0</v>
      </c>
      <c r="CL47" s="16" t="n">
        <f aca="false">CK48</f>
        <v>0</v>
      </c>
      <c r="CM47" s="16" t="n">
        <f aca="false">CL48</f>
        <v>0</v>
      </c>
      <c r="CN47" s="16" t="n">
        <f aca="false">CM48</f>
        <v>0</v>
      </c>
      <c r="CO47" s="16" t="n">
        <f aca="false">CN48</f>
        <v>0</v>
      </c>
      <c r="CP47" s="16" t="n">
        <f aca="false">CO48</f>
        <v>0</v>
      </c>
      <c r="CQ47" s="16" t="n">
        <f aca="false">CP48</f>
        <v>0</v>
      </c>
      <c r="CR47" s="16" t="n">
        <f aca="false">CQ48</f>
        <v>0</v>
      </c>
      <c r="CS47" s="16" t="n">
        <f aca="false">CR48</f>
        <v>0</v>
      </c>
      <c r="CT47" s="16" t="n">
        <f aca="false">CS48</f>
        <v>0</v>
      </c>
      <c r="CU47" s="16" t="n">
        <f aca="false">CT48</f>
        <v>0</v>
      </c>
      <c r="CV47" s="16" t="n">
        <f aca="false">CU48</f>
        <v>0</v>
      </c>
      <c r="CW47" s="16" t="n">
        <f aca="false">CV48</f>
        <v>0</v>
      </c>
      <c r="CX47" s="16" t="n">
        <f aca="false">CW48</f>
        <v>0</v>
      </c>
    </row>
    <row r="48" customFormat="false" ht="15" hidden="false" customHeight="false" outlineLevel="0" collapsed="false">
      <c r="A48" s="1" t="n">
        <f aca="false">A47+1</f>
        <v>45</v>
      </c>
      <c r="B48" s="16" t="n">
        <f aca="false">B47</f>
        <v>0</v>
      </c>
      <c r="C48" s="16" t="n">
        <f aca="false">B49</f>
        <v>0</v>
      </c>
      <c r="D48" s="16" t="n">
        <f aca="false">C49</f>
        <v>0</v>
      </c>
      <c r="E48" s="16" t="n">
        <f aca="false">D49</f>
        <v>0</v>
      </c>
      <c r="F48" s="16" t="n">
        <f aca="false">E49</f>
        <v>0</v>
      </c>
      <c r="G48" s="16" t="n">
        <f aca="false">F49</f>
        <v>0</v>
      </c>
      <c r="H48" s="16" t="n">
        <f aca="false">G49</f>
        <v>0</v>
      </c>
      <c r="I48" s="16" t="n">
        <f aca="false">H49</f>
        <v>0</v>
      </c>
      <c r="J48" s="16" t="n">
        <f aca="false">I49</f>
        <v>0</v>
      </c>
      <c r="K48" s="16" t="n">
        <f aca="false">J49</f>
        <v>0</v>
      </c>
      <c r="L48" s="16" t="n">
        <f aca="false">K49</f>
        <v>0</v>
      </c>
      <c r="M48" s="16" t="n">
        <f aca="false">L49</f>
        <v>0</v>
      </c>
      <c r="N48" s="16" t="n">
        <f aca="false">M49</f>
        <v>0</v>
      </c>
      <c r="O48" s="16" t="n">
        <f aca="false">N49</f>
        <v>0</v>
      </c>
      <c r="P48" s="16" t="n">
        <f aca="false">O49</f>
        <v>0</v>
      </c>
      <c r="Q48" s="16" t="n">
        <f aca="false">P49</f>
        <v>0</v>
      </c>
      <c r="R48" s="16" t="n">
        <f aca="false">Q49</f>
        <v>0</v>
      </c>
      <c r="S48" s="16" t="n">
        <f aca="false">R49</f>
        <v>0</v>
      </c>
      <c r="T48" s="16" t="n">
        <f aca="false">S49</f>
        <v>0</v>
      </c>
      <c r="U48" s="16" t="n">
        <f aca="false">T49</f>
        <v>0</v>
      </c>
      <c r="V48" s="16" t="n">
        <f aca="false">U49</f>
        <v>0</v>
      </c>
      <c r="W48" s="16" t="n">
        <f aca="false">V49</f>
        <v>0</v>
      </c>
      <c r="X48" s="16" t="n">
        <f aca="false">W49</f>
        <v>0</v>
      </c>
      <c r="Y48" s="16" t="n">
        <f aca="false">X49</f>
        <v>0</v>
      </c>
      <c r="Z48" s="16" t="n">
        <f aca="false">Y49</f>
        <v>0</v>
      </c>
      <c r="AA48" s="16" t="n">
        <f aca="false">Z49</f>
        <v>0</v>
      </c>
      <c r="AB48" s="16" t="n">
        <f aca="false">AA49</f>
        <v>0</v>
      </c>
      <c r="AC48" s="16" t="n">
        <f aca="false">AB49</f>
        <v>0</v>
      </c>
      <c r="AD48" s="16" t="n">
        <f aca="false">AC49</f>
        <v>0</v>
      </c>
      <c r="AE48" s="16" t="n">
        <f aca="false">AD49</f>
        <v>0</v>
      </c>
      <c r="AF48" s="16" t="n">
        <f aca="false">AE49</f>
        <v>0</v>
      </c>
      <c r="AG48" s="16" t="n">
        <f aca="false">AF49</f>
        <v>0</v>
      </c>
      <c r="AH48" s="16" t="n">
        <f aca="false">AG49</f>
        <v>0</v>
      </c>
      <c r="AI48" s="16" t="n">
        <f aca="false">AH49</f>
        <v>0</v>
      </c>
      <c r="AJ48" s="16" t="n">
        <f aca="false">AI49</f>
        <v>0</v>
      </c>
      <c r="AK48" s="16" t="n">
        <f aca="false">AJ49</f>
        <v>0</v>
      </c>
      <c r="AL48" s="16" t="n">
        <f aca="false">AK49</f>
        <v>0</v>
      </c>
      <c r="AM48" s="16" t="n">
        <f aca="false">AL49</f>
        <v>0</v>
      </c>
      <c r="AN48" s="16" t="n">
        <f aca="false">AM49</f>
        <v>0</v>
      </c>
      <c r="AO48" s="16" t="n">
        <f aca="false">AN49</f>
        <v>0</v>
      </c>
      <c r="AP48" s="16" t="n">
        <f aca="false">AO49</f>
        <v>0</v>
      </c>
      <c r="AQ48" s="16" t="n">
        <f aca="false">AP49</f>
        <v>0</v>
      </c>
      <c r="AR48" s="16" t="n">
        <f aca="false">AQ49</f>
        <v>0</v>
      </c>
      <c r="AS48" s="16" t="n">
        <f aca="false">AR49</f>
        <v>0</v>
      </c>
      <c r="AT48" s="16" t="n">
        <f aca="false">AS49</f>
        <v>0</v>
      </c>
      <c r="AU48" s="16" t="n">
        <f aca="false">AT49</f>
        <v>0</v>
      </c>
      <c r="AV48" s="16" t="n">
        <f aca="false">AU49</f>
        <v>0</v>
      </c>
      <c r="AW48" s="16" t="n">
        <f aca="false">AV49</f>
        <v>0</v>
      </c>
      <c r="AX48" s="16" t="n">
        <f aca="false">AW49</f>
        <v>0</v>
      </c>
      <c r="AY48" s="16" t="n">
        <f aca="false">AX49</f>
        <v>0</v>
      </c>
      <c r="AZ48" s="16" t="n">
        <f aca="false">AY49</f>
        <v>0</v>
      </c>
      <c r="BA48" s="16" t="n">
        <f aca="false">AZ49</f>
        <v>0</v>
      </c>
      <c r="BB48" s="16" t="n">
        <f aca="false">BA49</f>
        <v>0</v>
      </c>
      <c r="BC48" s="16" t="n">
        <f aca="false">BB49</f>
        <v>0</v>
      </c>
      <c r="BD48" s="16" t="n">
        <f aca="false">BC49</f>
        <v>0</v>
      </c>
      <c r="BE48" s="16" t="n">
        <f aca="false">BD49</f>
        <v>0</v>
      </c>
      <c r="BF48" s="16" t="n">
        <f aca="false">BE49</f>
        <v>0</v>
      </c>
      <c r="BG48" s="16" t="n">
        <f aca="false">BF49</f>
        <v>0</v>
      </c>
      <c r="BH48" s="16" t="n">
        <f aca="false">BG49</f>
        <v>0</v>
      </c>
      <c r="BI48" s="16" t="n">
        <f aca="false">BH49</f>
        <v>0</v>
      </c>
      <c r="BJ48" s="16" t="n">
        <f aca="false">BI49</f>
        <v>0</v>
      </c>
      <c r="BK48" s="16" t="n">
        <f aca="false">BJ49</f>
        <v>0</v>
      </c>
      <c r="BL48" s="16" t="n">
        <f aca="false">BK49</f>
        <v>0</v>
      </c>
      <c r="BM48" s="16" t="n">
        <f aca="false">BL49</f>
        <v>0</v>
      </c>
      <c r="BN48" s="16" t="n">
        <f aca="false">BM49</f>
        <v>0</v>
      </c>
      <c r="BO48" s="16" t="n">
        <f aca="false">BN49</f>
        <v>0</v>
      </c>
      <c r="BP48" s="16" t="n">
        <f aca="false">BO49</f>
        <v>0</v>
      </c>
      <c r="BQ48" s="16" t="n">
        <f aca="false">BP49</f>
        <v>0</v>
      </c>
      <c r="BR48" s="16" t="n">
        <f aca="false">BQ49</f>
        <v>0</v>
      </c>
      <c r="BS48" s="16" t="n">
        <f aca="false">BR49</f>
        <v>0</v>
      </c>
      <c r="BT48" s="16" t="n">
        <f aca="false">BS49</f>
        <v>0</v>
      </c>
      <c r="BU48" s="16" t="n">
        <f aca="false">BT49</f>
        <v>0</v>
      </c>
      <c r="BV48" s="16" t="n">
        <f aca="false">BU49</f>
        <v>0</v>
      </c>
      <c r="BW48" s="16" t="n">
        <f aca="false">BV49</f>
        <v>0</v>
      </c>
      <c r="BX48" s="16" t="n">
        <f aca="false">BW49</f>
        <v>0</v>
      </c>
      <c r="BY48" s="16" t="n">
        <f aca="false">BX49</f>
        <v>0</v>
      </c>
      <c r="BZ48" s="16" t="n">
        <f aca="false">BY49</f>
        <v>0</v>
      </c>
      <c r="CA48" s="16" t="n">
        <f aca="false">BZ49</f>
        <v>0</v>
      </c>
      <c r="CB48" s="16" t="n">
        <f aca="false">CA49</f>
        <v>0</v>
      </c>
      <c r="CC48" s="16" t="n">
        <f aca="false">CB49</f>
        <v>0</v>
      </c>
      <c r="CD48" s="16" t="n">
        <f aca="false">CC49</f>
        <v>0</v>
      </c>
      <c r="CE48" s="16" t="n">
        <f aca="false">CD49</f>
        <v>0</v>
      </c>
      <c r="CF48" s="16" t="n">
        <f aca="false">CE49</f>
        <v>0</v>
      </c>
      <c r="CG48" s="16" t="n">
        <f aca="false">CF49</f>
        <v>0</v>
      </c>
      <c r="CH48" s="16" t="n">
        <f aca="false">CG49</f>
        <v>0</v>
      </c>
      <c r="CI48" s="16" t="n">
        <f aca="false">CH49</f>
        <v>0</v>
      </c>
      <c r="CJ48" s="16" t="n">
        <f aca="false">CI49</f>
        <v>0</v>
      </c>
      <c r="CK48" s="16" t="n">
        <f aca="false">CJ49</f>
        <v>0</v>
      </c>
      <c r="CL48" s="16" t="n">
        <f aca="false">CK49</f>
        <v>0</v>
      </c>
      <c r="CM48" s="16" t="n">
        <f aca="false">CL49</f>
        <v>0</v>
      </c>
      <c r="CN48" s="16" t="n">
        <f aca="false">CM49</f>
        <v>0</v>
      </c>
      <c r="CO48" s="16" t="n">
        <f aca="false">CN49</f>
        <v>0</v>
      </c>
      <c r="CP48" s="16" t="n">
        <f aca="false">CO49</f>
        <v>0</v>
      </c>
      <c r="CQ48" s="16" t="n">
        <f aca="false">CP49</f>
        <v>0</v>
      </c>
      <c r="CR48" s="16" t="n">
        <f aca="false">CQ49</f>
        <v>0</v>
      </c>
      <c r="CS48" s="16" t="n">
        <f aca="false">CR49</f>
        <v>0</v>
      </c>
      <c r="CT48" s="16" t="n">
        <f aca="false">CS49</f>
        <v>0</v>
      </c>
      <c r="CU48" s="16" t="n">
        <f aca="false">CT49</f>
        <v>0</v>
      </c>
      <c r="CV48" s="16" t="n">
        <f aca="false">CU49</f>
        <v>0</v>
      </c>
      <c r="CW48" s="16" t="n">
        <f aca="false">CV49</f>
        <v>0</v>
      </c>
      <c r="CX48" s="16" t="n">
        <f aca="false">CW49</f>
        <v>0</v>
      </c>
    </row>
    <row r="49" customFormat="false" ht="15" hidden="false" customHeight="false" outlineLevel="0" collapsed="false">
      <c r="A49" s="1" t="n">
        <f aca="false">A48+1</f>
        <v>46</v>
      </c>
      <c r="B49" s="16" t="n">
        <f aca="false">B48</f>
        <v>0</v>
      </c>
      <c r="C49" s="16" t="n">
        <f aca="false">B50</f>
        <v>0</v>
      </c>
      <c r="D49" s="16" t="n">
        <f aca="false">C50</f>
        <v>0</v>
      </c>
      <c r="E49" s="16" t="n">
        <f aca="false">D50</f>
        <v>0</v>
      </c>
      <c r="F49" s="16" t="n">
        <f aca="false">E50</f>
        <v>0</v>
      </c>
      <c r="G49" s="16" t="n">
        <f aca="false">F50</f>
        <v>0</v>
      </c>
      <c r="H49" s="16" t="n">
        <f aca="false">G50</f>
        <v>0</v>
      </c>
      <c r="I49" s="16" t="n">
        <f aca="false">H50</f>
        <v>0</v>
      </c>
      <c r="J49" s="16" t="n">
        <f aca="false">I50</f>
        <v>0</v>
      </c>
      <c r="K49" s="16" t="n">
        <f aca="false">J50</f>
        <v>0</v>
      </c>
      <c r="L49" s="16" t="n">
        <f aca="false">K50</f>
        <v>0</v>
      </c>
      <c r="M49" s="16" t="n">
        <f aca="false">L50</f>
        <v>0</v>
      </c>
      <c r="N49" s="16" t="n">
        <f aca="false">M50</f>
        <v>0</v>
      </c>
      <c r="O49" s="16" t="n">
        <f aca="false">N50</f>
        <v>0</v>
      </c>
      <c r="P49" s="16" t="n">
        <f aca="false">O50</f>
        <v>0</v>
      </c>
      <c r="Q49" s="16" t="n">
        <f aca="false">P50</f>
        <v>0</v>
      </c>
      <c r="R49" s="16" t="n">
        <f aca="false">Q50</f>
        <v>0</v>
      </c>
      <c r="S49" s="16" t="n">
        <f aca="false">R50</f>
        <v>0</v>
      </c>
      <c r="T49" s="16" t="n">
        <f aca="false">S50</f>
        <v>0</v>
      </c>
      <c r="U49" s="16" t="n">
        <f aca="false">T50</f>
        <v>0</v>
      </c>
      <c r="V49" s="16" t="n">
        <f aca="false">U50</f>
        <v>0</v>
      </c>
      <c r="W49" s="16" t="n">
        <f aca="false">V50</f>
        <v>0</v>
      </c>
      <c r="X49" s="16" t="n">
        <f aca="false">W50</f>
        <v>0</v>
      </c>
      <c r="Y49" s="16" t="n">
        <f aca="false">X50</f>
        <v>0</v>
      </c>
      <c r="Z49" s="16" t="n">
        <f aca="false">Y50</f>
        <v>0</v>
      </c>
      <c r="AA49" s="16" t="n">
        <f aca="false">Z50</f>
        <v>0</v>
      </c>
      <c r="AB49" s="16" t="n">
        <f aca="false">AA50</f>
        <v>0</v>
      </c>
      <c r="AC49" s="16" t="n">
        <f aca="false">AB50</f>
        <v>0</v>
      </c>
      <c r="AD49" s="16" t="n">
        <f aca="false">AC50</f>
        <v>0</v>
      </c>
      <c r="AE49" s="16" t="n">
        <f aca="false">AD50</f>
        <v>0</v>
      </c>
      <c r="AF49" s="16" t="n">
        <f aca="false">AE50</f>
        <v>0</v>
      </c>
      <c r="AG49" s="16" t="n">
        <f aca="false">AF50</f>
        <v>0</v>
      </c>
      <c r="AH49" s="16" t="n">
        <f aca="false">AG50</f>
        <v>0</v>
      </c>
      <c r="AI49" s="16" t="n">
        <f aca="false">AH50</f>
        <v>0</v>
      </c>
      <c r="AJ49" s="16" t="n">
        <f aca="false">AI50</f>
        <v>0</v>
      </c>
      <c r="AK49" s="16" t="n">
        <f aca="false">AJ50</f>
        <v>0</v>
      </c>
      <c r="AL49" s="16" t="n">
        <f aca="false">AK50</f>
        <v>0</v>
      </c>
      <c r="AM49" s="16" t="n">
        <f aca="false">AL50</f>
        <v>0</v>
      </c>
      <c r="AN49" s="16" t="n">
        <f aca="false">AM50</f>
        <v>0</v>
      </c>
      <c r="AO49" s="16" t="n">
        <f aca="false">AN50</f>
        <v>0</v>
      </c>
      <c r="AP49" s="16" t="n">
        <f aca="false">AO50</f>
        <v>0</v>
      </c>
      <c r="AQ49" s="16" t="n">
        <f aca="false">AP50</f>
        <v>0</v>
      </c>
      <c r="AR49" s="16" t="n">
        <f aca="false">AQ50</f>
        <v>0</v>
      </c>
      <c r="AS49" s="16" t="n">
        <f aca="false">AR50</f>
        <v>0</v>
      </c>
      <c r="AT49" s="16" t="n">
        <f aca="false">AS50</f>
        <v>0</v>
      </c>
      <c r="AU49" s="16" t="n">
        <f aca="false">AT50</f>
        <v>0</v>
      </c>
      <c r="AV49" s="16" t="n">
        <f aca="false">AU50</f>
        <v>0</v>
      </c>
      <c r="AW49" s="16" t="n">
        <f aca="false">AV50</f>
        <v>0</v>
      </c>
      <c r="AX49" s="16" t="n">
        <f aca="false">AW50</f>
        <v>0</v>
      </c>
      <c r="AY49" s="16" t="n">
        <f aca="false">AX50</f>
        <v>0</v>
      </c>
      <c r="AZ49" s="16" t="n">
        <f aca="false">AY50</f>
        <v>0</v>
      </c>
      <c r="BA49" s="16" t="n">
        <f aca="false">AZ50</f>
        <v>0</v>
      </c>
      <c r="BB49" s="16" t="n">
        <f aca="false">BA50</f>
        <v>0</v>
      </c>
      <c r="BC49" s="16" t="n">
        <f aca="false">BB50</f>
        <v>0</v>
      </c>
      <c r="BD49" s="16" t="n">
        <f aca="false">BC50</f>
        <v>0</v>
      </c>
      <c r="BE49" s="16" t="n">
        <f aca="false">BD50</f>
        <v>0</v>
      </c>
      <c r="BF49" s="16" t="n">
        <f aca="false">BE50</f>
        <v>0</v>
      </c>
      <c r="BG49" s="16" t="n">
        <f aca="false">BF50</f>
        <v>0</v>
      </c>
      <c r="BH49" s="16" t="n">
        <f aca="false">BG50</f>
        <v>0</v>
      </c>
      <c r="BI49" s="16" t="n">
        <f aca="false">BH50</f>
        <v>0</v>
      </c>
      <c r="BJ49" s="16" t="n">
        <f aca="false">BI50</f>
        <v>0</v>
      </c>
      <c r="BK49" s="16" t="n">
        <f aca="false">BJ50</f>
        <v>0</v>
      </c>
      <c r="BL49" s="16" t="n">
        <f aca="false">BK50</f>
        <v>0</v>
      </c>
      <c r="BM49" s="16" t="n">
        <f aca="false">BL50</f>
        <v>0</v>
      </c>
      <c r="BN49" s="16" t="n">
        <f aca="false">BM50</f>
        <v>0</v>
      </c>
      <c r="BO49" s="16" t="n">
        <f aca="false">BN50</f>
        <v>0</v>
      </c>
      <c r="BP49" s="16" t="n">
        <f aca="false">BO50</f>
        <v>0</v>
      </c>
      <c r="BQ49" s="16" t="n">
        <f aca="false">BP50</f>
        <v>0</v>
      </c>
      <c r="BR49" s="16" t="n">
        <f aca="false">BQ50</f>
        <v>0</v>
      </c>
      <c r="BS49" s="16" t="n">
        <f aca="false">BR50</f>
        <v>0</v>
      </c>
      <c r="BT49" s="16" t="n">
        <f aca="false">BS50</f>
        <v>0</v>
      </c>
      <c r="BU49" s="16" t="n">
        <f aca="false">BT50</f>
        <v>0</v>
      </c>
      <c r="BV49" s="16" t="n">
        <f aca="false">BU50</f>
        <v>0</v>
      </c>
      <c r="BW49" s="16" t="n">
        <f aca="false">BV50</f>
        <v>0</v>
      </c>
      <c r="BX49" s="16" t="n">
        <f aca="false">BW50</f>
        <v>0</v>
      </c>
      <c r="BY49" s="16" t="n">
        <f aca="false">BX50</f>
        <v>0</v>
      </c>
      <c r="BZ49" s="16" t="n">
        <f aca="false">BY50</f>
        <v>0</v>
      </c>
      <c r="CA49" s="16" t="n">
        <f aca="false">BZ50</f>
        <v>0</v>
      </c>
      <c r="CB49" s="16" t="n">
        <f aca="false">CA50</f>
        <v>0</v>
      </c>
      <c r="CC49" s="16" t="n">
        <f aca="false">CB50</f>
        <v>0</v>
      </c>
      <c r="CD49" s="16" t="n">
        <f aca="false">CC50</f>
        <v>0</v>
      </c>
      <c r="CE49" s="16" t="n">
        <f aca="false">CD50</f>
        <v>0</v>
      </c>
      <c r="CF49" s="16" t="n">
        <f aca="false">CE50</f>
        <v>0</v>
      </c>
      <c r="CG49" s="16" t="n">
        <f aca="false">CF50</f>
        <v>0</v>
      </c>
      <c r="CH49" s="16" t="n">
        <f aca="false">CG50</f>
        <v>0</v>
      </c>
      <c r="CI49" s="16" t="n">
        <f aca="false">CH50</f>
        <v>0</v>
      </c>
      <c r="CJ49" s="16" t="n">
        <f aca="false">CI50</f>
        <v>0</v>
      </c>
      <c r="CK49" s="16" t="n">
        <f aca="false">CJ50</f>
        <v>0</v>
      </c>
      <c r="CL49" s="16" t="n">
        <f aca="false">CK50</f>
        <v>0</v>
      </c>
      <c r="CM49" s="16" t="n">
        <f aca="false">CL50</f>
        <v>0</v>
      </c>
      <c r="CN49" s="16" t="n">
        <f aca="false">CM50</f>
        <v>0</v>
      </c>
      <c r="CO49" s="16" t="n">
        <f aca="false">CN50</f>
        <v>0</v>
      </c>
      <c r="CP49" s="16" t="n">
        <f aca="false">CO50</f>
        <v>0</v>
      </c>
      <c r="CQ49" s="16" t="n">
        <f aca="false">CP50</f>
        <v>0</v>
      </c>
      <c r="CR49" s="16" t="n">
        <f aca="false">CQ50</f>
        <v>0</v>
      </c>
      <c r="CS49" s="16" t="n">
        <f aca="false">CR50</f>
        <v>0</v>
      </c>
      <c r="CT49" s="16" t="n">
        <f aca="false">CS50</f>
        <v>0</v>
      </c>
      <c r="CU49" s="16" t="n">
        <f aca="false">CT50</f>
        <v>0</v>
      </c>
      <c r="CV49" s="16" t="n">
        <f aca="false">CU50</f>
        <v>0</v>
      </c>
      <c r="CW49" s="16" t="n">
        <f aca="false">CV50</f>
        <v>0</v>
      </c>
      <c r="CX49" s="16" t="n">
        <f aca="false">CW50</f>
        <v>0</v>
      </c>
    </row>
    <row r="50" customFormat="false" ht="15" hidden="false" customHeight="false" outlineLevel="0" collapsed="false">
      <c r="A50" s="1" t="n">
        <f aca="false">A49+1</f>
        <v>47</v>
      </c>
      <c r="B50" s="16" t="n">
        <f aca="false">B49</f>
        <v>0</v>
      </c>
      <c r="C50" s="16" t="n">
        <f aca="false">B51</f>
        <v>0</v>
      </c>
      <c r="D50" s="16" t="n">
        <f aca="false">C51</f>
        <v>0</v>
      </c>
      <c r="E50" s="16" t="n">
        <f aca="false">D51</f>
        <v>0</v>
      </c>
      <c r="F50" s="16" t="n">
        <f aca="false">E51</f>
        <v>0</v>
      </c>
      <c r="G50" s="16" t="n">
        <f aca="false">F51</f>
        <v>0</v>
      </c>
      <c r="H50" s="16" t="n">
        <f aca="false">G51</f>
        <v>0</v>
      </c>
      <c r="I50" s="16" t="n">
        <f aca="false">H51</f>
        <v>0</v>
      </c>
      <c r="J50" s="16" t="n">
        <f aca="false">I51</f>
        <v>0</v>
      </c>
      <c r="K50" s="16" t="n">
        <f aca="false">J51</f>
        <v>0</v>
      </c>
      <c r="L50" s="16" t="n">
        <f aca="false">K51</f>
        <v>0</v>
      </c>
      <c r="M50" s="16" t="n">
        <f aca="false">L51</f>
        <v>0</v>
      </c>
      <c r="N50" s="16" t="n">
        <f aca="false">M51</f>
        <v>0</v>
      </c>
      <c r="O50" s="16" t="n">
        <f aca="false">N51</f>
        <v>0</v>
      </c>
      <c r="P50" s="16" t="n">
        <f aca="false">O51</f>
        <v>0</v>
      </c>
      <c r="Q50" s="16" t="n">
        <f aca="false">P51</f>
        <v>0</v>
      </c>
      <c r="R50" s="16" t="n">
        <f aca="false">Q51</f>
        <v>0</v>
      </c>
      <c r="S50" s="16" t="n">
        <f aca="false">R51</f>
        <v>0</v>
      </c>
      <c r="T50" s="16" t="n">
        <f aca="false">S51</f>
        <v>0</v>
      </c>
      <c r="U50" s="16" t="n">
        <f aca="false">T51</f>
        <v>0</v>
      </c>
      <c r="V50" s="16" t="n">
        <f aca="false">U51</f>
        <v>0</v>
      </c>
      <c r="W50" s="16" t="n">
        <f aca="false">V51</f>
        <v>0</v>
      </c>
      <c r="X50" s="16" t="n">
        <f aca="false">W51</f>
        <v>0</v>
      </c>
      <c r="Y50" s="16" t="n">
        <f aca="false">X51</f>
        <v>0</v>
      </c>
      <c r="Z50" s="16" t="n">
        <f aca="false">Y51</f>
        <v>0</v>
      </c>
      <c r="AA50" s="16" t="n">
        <f aca="false">Z51</f>
        <v>0</v>
      </c>
      <c r="AB50" s="16" t="n">
        <f aca="false">AA51</f>
        <v>0</v>
      </c>
      <c r="AC50" s="16" t="n">
        <f aca="false">AB51</f>
        <v>0</v>
      </c>
      <c r="AD50" s="16" t="n">
        <f aca="false">AC51</f>
        <v>0</v>
      </c>
      <c r="AE50" s="16" t="n">
        <f aca="false">AD51</f>
        <v>0</v>
      </c>
      <c r="AF50" s="16" t="n">
        <f aca="false">AE51</f>
        <v>0</v>
      </c>
      <c r="AG50" s="16" t="n">
        <f aca="false">AF51</f>
        <v>0</v>
      </c>
      <c r="AH50" s="16" t="n">
        <f aca="false">AG51</f>
        <v>0</v>
      </c>
      <c r="AI50" s="16" t="n">
        <f aca="false">AH51</f>
        <v>0</v>
      </c>
      <c r="AJ50" s="16" t="n">
        <f aca="false">AI51</f>
        <v>0</v>
      </c>
      <c r="AK50" s="16" t="n">
        <f aca="false">AJ51</f>
        <v>0</v>
      </c>
      <c r="AL50" s="16" t="n">
        <f aca="false">AK51</f>
        <v>0</v>
      </c>
      <c r="AM50" s="16" t="n">
        <f aca="false">AL51</f>
        <v>0</v>
      </c>
      <c r="AN50" s="16" t="n">
        <f aca="false">AM51</f>
        <v>0</v>
      </c>
      <c r="AO50" s="16" t="n">
        <f aca="false">AN51</f>
        <v>0</v>
      </c>
      <c r="AP50" s="16" t="n">
        <f aca="false">AO51</f>
        <v>0</v>
      </c>
      <c r="AQ50" s="16" t="n">
        <f aca="false">AP51</f>
        <v>0</v>
      </c>
      <c r="AR50" s="16" t="n">
        <f aca="false">AQ51</f>
        <v>0</v>
      </c>
      <c r="AS50" s="16" t="n">
        <f aca="false">AR51</f>
        <v>0</v>
      </c>
      <c r="AT50" s="16" t="n">
        <f aca="false">AS51</f>
        <v>0</v>
      </c>
      <c r="AU50" s="16" t="n">
        <f aca="false">AT51</f>
        <v>0</v>
      </c>
      <c r="AV50" s="16" t="n">
        <f aca="false">AU51</f>
        <v>0</v>
      </c>
      <c r="AW50" s="16" t="n">
        <f aca="false">AV51</f>
        <v>0</v>
      </c>
      <c r="AX50" s="16" t="n">
        <f aca="false">AW51</f>
        <v>0</v>
      </c>
      <c r="AY50" s="16" t="n">
        <f aca="false">AX51</f>
        <v>0</v>
      </c>
      <c r="AZ50" s="16" t="n">
        <f aca="false">AY51</f>
        <v>0</v>
      </c>
      <c r="BA50" s="16" t="n">
        <f aca="false">AZ51</f>
        <v>0</v>
      </c>
      <c r="BB50" s="16" t="n">
        <f aca="false">BA51</f>
        <v>0</v>
      </c>
      <c r="BC50" s="16" t="n">
        <f aca="false">BB51</f>
        <v>0</v>
      </c>
      <c r="BD50" s="16" t="n">
        <f aca="false">BC51</f>
        <v>0</v>
      </c>
      <c r="BE50" s="16" t="n">
        <f aca="false">BD51</f>
        <v>0</v>
      </c>
      <c r="BF50" s="16" t="n">
        <f aca="false">BE51</f>
        <v>0</v>
      </c>
      <c r="BG50" s="16" t="n">
        <f aca="false">BF51</f>
        <v>0</v>
      </c>
      <c r="BH50" s="16" t="n">
        <f aca="false">BG51</f>
        <v>0</v>
      </c>
      <c r="BI50" s="16" t="n">
        <f aca="false">BH51</f>
        <v>0</v>
      </c>
      <c r="BJ50" s="16" t="n">
        <f aca="false">BI51</f>
        <v>0</v>
      </c>
      <c r="BK50" s="16" t="n">
        <f aca="false">BJ51</f>
        <v>0</v>
      </c>
      <c r="BL50" s="16" t="n">
        <f aca="false">BK51</f>
        <v>0</v>
      </c>
      <c r="BM50" s="16" t="n">
        <f aca="false">BL51</f>
        <v>0</v>
      </c>
      <c r="BN50" s="16" t="n">
        <f aca="false">BM51</f>
        <v>0</v>
      </c>
      <c r="BO50" s="16" t="n">
        <f aca="false">BN51</f>
        <v>0</v>
      </c>
      <c r="BP50" s="16" t="n">
        <f aca="false">BO51</f>
        <v>0</v>
      </c>
      <c r="BQ50" s="16" t="n">
        <f aca="false">BP51</f>
        <v>0</v>
      </c>
      <c r="BR50" s="16" t="n">
        <f aca="false">BQ51</f>
        <v>0</v>
      </c>
      <c r="BS50" s="16" t="n">
        <f aca="false">BR51</f>
        <v>0</v>
      </c>
      <c r="BT50" s="16" t="n">
        <f aca="false">BS51</f>
        <v>0</v>
      </c>
      <c r="BU50" s="16" t="n">
        <f aca="false">BT51</f>
        <v>0</v>
      </c>
      <c r="BV50" s="16" t="n">
        <f aca="false">BU51</f>
        <v>0</v>
      </c>
      <c r="BW50" s="16" t="n">
        <f aca="false">BV51</f>
        <v>0</v>
      </c>
      <c r="BX50" s="16" t="n">
        <f aca="false">BW51</f>
        <v>0</v>
      </c>
      <c r="BY50" s="16" t="n">
        <f aca="false">BX51</f>
        <v>0</v>
      </c>
      <c r="BZ50" s="16" t="n">
        <f aca="false">BY51</f>
        <v>0</v>
      </c>
      <c r="CA50" s="16" t="n">
        <f aca="false">BZ51</f>
        <v>0</v>
      </c>
      <c r="CB50" s="16" t="n">
        <f aca="false">CA51</f>
        <v>0</v>
      </c>
      <c r="CC50" s="16" t="n">
        <f aca="false">CB51</f>
        <v>0</v>
      </c>
      <c r="CD50" s="16" t="n">
        <f aca="false">CC51</f>
        <v>0</v>
      </c>
      <c r="CE50" s="16" t="n">
        <f aca="false">CD51</f>
        <v>0</v>
      </c>
      <c r="CF50" s="16" t="n">
        <f aca="false">CE51</f>
        <v>0</v>
      </c>
      <c r="CG50" s="16" t="n">
        <f aca="false">CF51</f>
        <v>0</v>
      </c>
      <c r="CH50" s="16" t="n">
        <f aca="false">CG51</f>
        <v>0</v>
      </c>
      <c r="CI50" s="16" t="n">
        <f aca="false">CH51</f>
        <v>0</v>
      </c>
      <c r="CJ50" s="16" t="n">
        <f aca="false">CI51</f>
        <v>0</v>
      </c>
      <c r="CK50" s="16" t="n">
        <f aca="false">CJ51</f>
        <v>0</v>
      </c>
      <c r="CL50" s="16" t="n">
        <f aca="false">CK51</f>
        <v>0</v>
      </c>
      <c r="CM50" s="16" t="n">
        <f aca="false">CL51</f>
        <v>0</v>
      </c>
      <c r="CN50" s="16" t="n">
        <f aca="false">CM51</f>
        <v>0</v>
      </c>
      <c r="CO50" s="16" t="n">
        <f aca="false">CN51</f>
        <v>0</v>
      </c>
      <c r="CP50" s="16" t="n">
        <f aca="false">CO51</f>
        <v>0</v>
      </c>
      <c r="CQ50" s="16" t="n">
        <f aca="false">CP51</f>
        <v>0</v>
      </c>
      <c r="CR50" s="16" t="n">
        <f aca="false">CQ51</f>
        <v>0</v>
      </c>
      <c r="CS50" s="16" t="n">
        <f aca="false">CR51</f>
        <v>0</v>
      </c>
      <c r="CT50" s="16" t="n">
        <f aca="false">CS51</f>
        <v>0</v>
      </c>
      <c r="CU50" s="16" t="n">
        <f aca="false">CT51</f>
        <v>0</v>
      </c>
      <c r="CV50" s="16" t="n">
        <f aca="false">CU51</f>
        <v>0</v>
      </c>
      <c r="CW50" s="16" t="n">
        <f aca="false">CV51</f>
        <v>0</v>
      </c>
      <c r="CX50" s="16" t="n">
        <f aca="false">CW51</f>
        <v>0</v>
      </c>
    </row>
    <row r="51" customFormat="false" ht="15" hidden="false" customHeight="false" outlineLevel="0" collapsed="false">
      <c r="A51" s="1" t="n">
        <f aca="false">A50+1</f>
        <v>48</v>
      </c>
      <c r="B51" s="16" t="n">
        <f aca="false">B50</f>
        <v>0</v>
      </c>
      <c r="C51" s="16" t="n">
        <f aca="false">B52</f>
        <v>0</v>
      </c>
      <c r="D51" s="16" t="n">
        <f aca="false">C52</f>
        <v>0</v>
      </c>
      <c r="E51" s="16" t="n">
        <f aca="false">D52</f>
        <v>0</v>
      </c>
      <c r="F51" s="16" t="n">
        <f aca="false">E52</f>
        <v>0</v>
      </c>
      <c r="G51" s="16" t="n">
        <f aca="false">F52</f>
        <v>0</v>
      </c>
      <c r="H51" s="16" t="n">
        <f aca="false">G52</f>
        <v>0</v>
      </c>
      <c r="I51" s="16" t="n">
        <f aca="false">H52</f>
        <v>0</v>
      </c>
      <c r="J51" s="16" t="n">
        <f aca="false">I52</f>
        <v>0</v>
      </c>
      <c r="K51" s="16" t="n">
        <f aca="false">J52</f>
        <v>0</v>
      </c>
      <c r="L51" s="16" t="n">
        <f aca="false">K52</f>
        <v>0</v>
      </c>
      <c r="M51" s="16" t="n">
        <f aca="false">L52</f>
        <v>0</v>
      </c>
      <c r="N51" s="16" t="n">
        <f aca="false">M52</f>
        <v>0</v>
      </c>
      <c r="O51" s="16" t="n">
        <f aca="false">N52</f>
        <v>0</v>
      </c>
      <c r="P51" s="16" t="n">
        <f aca="false">O52</f>
        <v>0</v>
      </c>
      <c r="Q51" s="16" t="n">
        <f aca="false">P52</f>
        <v>0</v>
      </c>
      <c r="R51" s="16" t="n">
        <f aca="false">Q52</f>
        <v>0</v>
      </c>
      <c r="S51" s="16" t="n">
        <f aca="false">R52</f>
        <v>0</v>
      </c>
      <c r="T51" s="16" t="n">
        <f aca="false">S52</f>
        <v>0</v>
      </c>
      <c r="U51" s="16" t="n">
        <f aca="false">T52</f>
        <v>0</v>
      </c>
      <c r="V51" s="16" t="n">
        <f aca="false">U52</f>
        <v>0</v>
      </c>
      <c r="W51" s="16" t="n">
        <f aca="false">V52</f>
        <v>0</v>
      </c>
      <c r="X51" s="16" t="n">
        <f aca="false">W52</f>
        <v>0</v>
      </c>
      <c r="Y51" s="16" t="n">
        <f aca="false">X52</f>
        <v>0</v>
      </c>
      <c r="Z51" s="16" t="n">
        <f aca="false">Y52</f>
        <v>0</v>
      </c>
      <c r="AA51" s="16" t="n">
        <f aca="false">Z52</f>
        <v>0</v>
      </c>
      <c r="AB51" s="16" t="n">
        <f aca="false">AA52</f>
        <v>0</v>
      </c>
      <c r="AC51" s="16" t="n">
        <f aca="false">AB52</f>
        <v>0</v>
      </c>
      <c r="AD51" s="16" t="n">
        <f aca="false">AC52</f>
        <v>0</v>
      </c>
      <c r="AE51" s="16" t="n">
        <f aca="false">AD52</f>
        <v>0</v>
      </c>
      <c r="AF51" s="16" t="n">
        <f aca="false">AE52</f>
        <v>0</v>
      </c>
      <c r="AG51" s="16" t="n">
        <f aca="false">AF52</f>
        <v>0</v>
      </c>
      <c r="AH51" s="16" t="n">
        <f aca="false">AG52</f>
        <v>0</v>
      </c>
      <c r="AI51" s="16" t="n">
        <f aca="false">AH52</f>
        <v>0</v>
      </c>
      <c r="AJ51" s="16" t="n">
        <f aca="false">AI52</f>
        <v>0</v>
      </c>
      <c r="AK51" s="16" t="n">
        <f aca="false">AJ52</f>
        <v>0</v>
      </c>
      <c r="AL51" s="16" t="n">
        <f aca="false">AK52</f>
        <v>0</v>
      </c>
      <c r="AM51" s="16" t="n">
        <f aca="false">AL52</f>
        <v>0</v>
      </c>
      <c r="AN51" s="16" t="n">
        <f aca="false">AM52</f>
        <v>0</v>
      </c>
      <c r="AO51" s="16" t="n">
        <f aca="false">AN52</f>
        <v>0</v>
      </c>
      <c r="AP51" s="16" t="n">
        <f aca="false">AO52</f>
        <v>0</v>
      </c>
      <c r="AQ51" s="16" t="n">
        <f aca="false">AP52</f>
        <v>0</v>
      </c>
      <c r="AR51" s="16" t="n">
        <f aca="false">AQ52</f>
        <v>0</v>
      </c>
      <c r="AS51" s="16" t="n">
        <f aca="false">AR52</f>
        <v>0</v>
      </c>
      <c r="AT51" s="16" t="n">
        <f aca="false">AS52</f>
        <v>0</v>
      </c>
      <c r="AU51" s="16" t="n">
        <f aca="false">AT52</f>
        <v>0</v>
      </c>
      <c r="AV51" s="16" t="n">
        <f aca="false">AU52</f>
        <v>0</v>
      </c>
      <c r="AW51" s="16" t="n">
        <f aca="false">AV52</f>
        <v>0</v>
      </c>
      <c r="AX51" s="16" t="n">
        <f aca="false">AW52</f>
        <v>0</v>
      </c>
      <c r="AY51" s="16" t="n">
        <f aca="false">AX52</f>
        <v>0</v>
      </c>
      <c r="AZ51" s="16" t="n">
        <f aca="false">AY52</f>
        <v>0</v>
      </c>
      <c r="BA51" s="16" t="n">
        <f aca="false">AZ52</f>
        <v>0</v>
      </c>
      <c r="BB51" s="16" t="n">
        <f aca="false">BA52</f>
        <v>0</v>
      </c>
      <c r="BC51" s="16" t="n">
        <f aca="false">BB52</f>
        <v>0</v>
      </c>
      <c r="BD51" s="16" t="n">
        <f aca="false">BC52</f>
        <v>0</v>
      </c>
      <c r="BE51" s="16" t="n">
        <f aca="false">BD52</f>
        <v>0</v>
      </c>
      <c r="BF51" s="16" t="n">
        <f aca="false">BE52</f>
        <v>0</v>
      </c>
      <c r="BG51" s="16" t="n">
        <f aca="false">BF52</f>
        <v>0</v>
      </c>
      <c r="BH51" s="16" t="n">
        <f aca="false">BG52</f>
        <v>0</v>
      </c>
      <c r="BI51" s="16" t="n">
        <f aca="false">BH52</f>
        <v>0</v>
      </c>
      <c r="BJ51" s="16" t="n">
        <f aca="false">BI52</f>
        <v>0</v>
      </c>
      <c r="BK51" s="16" t="n">
        <f aca="false">BJ52</f>
        <v>0</v>
      </c>
      <c r="BL51" s="16" t="n">
        <f aca="false">BK52</f>
        <v>0</v>
      </c>
      <c r="BM51" s="16" t="n">
        <f aca="false">BL52</f>
        <v>0</v>
      </c>
      <c r="BN51" s="16" t="n">
        <f aca="false">BM52</f>
        <v>0</v>
      </c>
      <c r="BO51" s="16" t="n">
        <f aca="false">BN52</f>
        <v>0</v>
      </c>
      <c r="BP51" s="16" t="n">
        <f aca="false">BO52</f>
        <v>0</v>
      </c>
      <c r="BQ51" s="16" t="n">
        <f aca="false">BP52</f>
        <v>0</v>
      </c>
      <c r="BR51" s="16" t="n">
        <f aca="false">BQ52</f>
        <v>0</v>
      </c>
      <c r="BS51" s="16" t="n">
        <f aca="false">BR52</f>
        <v>0</v>
      </c>
      <c r="BT51" s="16" t="n">
        <f aca="false">BS52</f>
        <v>0</v>
      </c>
      <c r="BU51" s="16" t="n">
        <f aca="false">BT52</f>
        <v>0</v>
      </c>
      <c r="BV51" s="16" t="n">
        <f aca="false">BU52</f>
        <v>0</v>
      </c>
      <c r="BW51" s="16" t="n">
        <f aca="false">BV52</f>
        <v>0</v>
      </c>
      <c r="BX51" s="16" t="n">
        <f aca="false">BW52</f>
        <v>0</v>
      </c>
      <c r="BY51" s="16" t="n">
        <f aca="false">BX52</f>
        <v>0</v>
      </c>
      <c r="BZ51" s="16" t="n">
        <f aca="false">BY52</f>
        <v>0</v>
      </c>
      <c r="CA51" s="16" t="n">
        <f aca="false">BZ52</f>
        <v>0</v>
      </c>
      <c r="CB51" s="16" t="n">
        <f aca="false">CA52</f>
        <v>0</v>
      </c>
      <c r="CC51" s="16" t="n">
        <f aca="false">CB52</f>
        <v>0</v>
      </c>
      <c r="CD51" s="16" t="n">
        <f aca="false">CC52</f>
        <v>0</v>
      </c>
      <c r="CE51" s="16" t="n">
        <f aca="false">CD52</f>
        <v>0</v>
      </c>
      <c r="CF51" s="16" t="n">
        <f aca="false">CE52</f>
        <v>0</v>
      </c>
      <c r="CG51" s="16" t="n">
        <f aca="false">CF52</f>
        <v>0</v>
      </c>
      <c r="CH51" s="16" t="n">
        <f aca="false">CG52</f>
        <v>0</v>
      </c>
      <c r="CI51" s="16" t="n">
        <f aca="false">CH52</f>
        <v>0</v>
      </c>
      <c r="CJ51" s="16" t="n">
        <f aca="false">CI52</f>
        <v>0</v>
      </c>
      <c r="CK51" s="16" t="n">
        <f aca="false">CJ52</f>
        <v>0</v>
      </c>
      <c r="CL51" s="16" t="n">
        <f aca="false">CK52</f>
        <v>0</v>
      </c>
      <c r="CM51" s="16" t="n">
        <f aca="false">CL52</f>
        <v>0</v>
      </c>
      <c r="CN51" s="16" t="n">
        <f aca="false">CM52</f>
        <v>0</v>
      </c>
      <c r="CO51" s="16" t="n">
        <f aca="false">CN52</f>
        <v>0</v>
      </c>
      <c r="CP51" s="16" t="n">
        <f aca="false">CO52</f>
        <v>0</v>
      </c>
      <c r="CQ51" s="16" t="n">
        <f aca="false">CP52</f>
        <v>0</v>
      </c>
      <c r="CR51" s="16" t="n">
        <f aca="false">CQ52</f>
        <v>0</v>
      </c>
      <c r="CS51" s="16" t="n">
        <f aca="false">CR52</f>
        <v>0</v>
      </c>
      <c r="CT51" s="16" t="n">
        <f aca="false">CS52</f>
        <v>0</v>
      </c>
      <c r="CU51" s="16" t="n">
        <f aca="false">CT52</f>
        <v>0</v>
      </c>
      <c r="CV51" s="16" t="n">
        <f aca="false">CU52</f>
        <v>0</v>
      </c>
      <c r="CW51" s="16" t="n">
        <f aca="false">CV52</f>
        <v>0</v>
      </c>
      <c r="CX51" s="16" t="n">
        <f aca="false">CW52</f>
        <v>0</v>
      </c>
    </row>
    <row r="52" customFormat="false" ht="15" hidden="false" customHeight="false" outlineLevel="0" collapsed="false">
      <c r="A52" s="1" t="n">
        <f aca="false">A51+1</f>
        <v>49</v>
      </c>
      <c r="B52" s="16" t="n">
        <f aca="false">B51</f>
        <v>0</v>
      </c>
      <c r="C52" s="16" t="n">
        <f aca="false">B53</f>
        <v>0</v>
      </c>
      <c r="D52" s="16" t="n">
        <f aca="false">C53</f>
        <v>0</v>
      </c>
      <c r="E52" s="16" t="n">
        <f aca="false">D53</f>
        <v>0</v>
      </c>
      <c r="F52" s="16" t="n">
        <f aca="false">E53</f>
        <v>0</v>
      </c>
      <c r="G52" s="16" t="n">
        <f aca="false">F53</f>
        <v>0</v>
      </c>
      <c r="H52" s="16" t="n">
        <f aca="false">G53</f>
        <v>0</v>
      </c>
      <c r="I52" s="16" t="n">
        <f aca="false">H53</f>
        <v>0</v>
      </c>
      <c r="J52" s="16" t="n">
        <f aca="false">I53</f>
        <v>0</v>
      </c>
      <c r="K52" s="16" t="n">
        <f aca="false">J53</f>
        <v>0</v>
      </c>
      <c r="L52" s="16" t="n">
        <f aca="false">K53</f>
        <v>0</v>
      </c>
      <c r="M52" s="16" t="n">
        <f aca="false">L53</f>
        <v>0</v>
      </c>
      <c r="N52" s="16" t="n">
        <f aca="false">M53</f>
        <v>0</v>
      </c>
      <c r="O52" s="16" t="n">
        <f aca="false">N53</f>
        <v>0</v>
      </c>
      <c r="P52" s="16" t="n">
        <f aca="false">O53</f>
        <v>0</v>
      </c>
      <c r="Q52" s="16" t="n">
        <f aca="false">P53</f>
        <v>0</v>
      </c>
      <c r="R52" s="16" t="n">
        <f aca="false">Q53</f>
        <v>0</v>
      </c>
      <c r="S52" s="16" t="n">
        <f aca="false">R53</f>
        <v>0</v>
      </c>
      <c r="T52" s="16" t="n">
        <f aca="false">S53</f>
        <v>0</v>
      </c>
      <c r="U52" s="16" t="n">
        <f aca="false">T53</f>
        <v>0</v>
      </c>
      <c r="V52" s="16" t="n">
        <f aca="false">U53</f>
        <v>0</v>
      </c>
      <c r="W52" s="16" t="n">
        <f aca="false">V53</f>
        <v>0</v>
      </c>
      <c r="X52" s="16" t="n">
        <f aca="false">W53</f>
        <v>0</v>
      </c>
      <c r="Y52" s="16" t="n">
        <f aca="false">X53</f>
        <v>0</v>
      </c>
      <c r="Z52" s="16" t="n">
        <f aca="false">Y53</f>
        <v>0</v>
      </c>
      <c r="AA52" s="16" t="n">
        <f aca="false">Z53</f>
        <v>0</v>
      </c>
      <c r="AB52" s="16" t="n">
        <f aca="false">AA53</f>
        <v>0</v>
      </c>
      <c r="AC52" s="16" t="n">
        <f aca="false">AB53</f>
        <v>0</v>
      </c>
      <c r="AD52" s="16" t="n">
        <f aca="false">AC53</f>
        <v>0</v>
      </c>
      <c r="AE52" s="16" t="n">
        <f aca="false">AD53</f>
        <v>0</v>
      </c>
      <c r="AF52" s="16" t="n">
        <f aca="false">AE53</f>
        <v>0</v>
      </c>
      <c r="AG52" s="16" t="n">
        <f aca="false">AF53</f>
        <v>0</v>
      </c>
      <c r="AH52" s="16" t="n">
        <f aca="false">AG53</f>
        <v>0</v>
      </c>
      <c r="AI52" s="16" t="n">
        <f aca="false">AH53</f>
        <v>0</v>
      </c>
      <c r="AJ52" s="16" t="n">
        <f aca="false">AI53</f>
        <v>0</v>
      </c>
      <c r="AK52" s="16" t="n">
        <f aca="false">AJ53</f>
        <v>0</v>
      </c>
      <c r="AL52" s="16" t="n">
        <f aca="false">AK53</f>
        <v>0</v>
      </c>
      <c r="AM52" s="16" t="n">
        <f aca="false">AL53</f>
        <v>0</v>
      </c>
      <c r="AN52" s="16" t="n">
        <f aca="false">AM53</f>
        <v>0</v>
      </c>
      <c r="AO52" s="16" t="n">
        <f aca="false">AN53</f>
        <v>0</v>
      </c>
      <c r="AP52" s="16" t="n">
        <f aca="false">AO53</f>
        <v>0</v>
      </c>
      <c r="AQ52" s="16" t="n">
        <f aca="false">AP53</f>
        <v>0</v>
      </c>
      <c r="AR52" s="16" t="n">
        <f aca="false">AQ53</f>
        <v>0</v>
      </c>
      <c r="AS52" s="16" t="n">
        <f aca="false">AR53</f>
        <v>0</v>
      </c>
      <c r="AT52" s="16" t="n">
        <f aca="false">AS53</f>
        <v>0</v>
      </c>
      <c r="AU52" s="16" t="n">
        <f aca="false">AT53</f>
        <v>0</v>
      </c>
      <c r="AV52" s="16" t="n">
        <f aca="false">AU53</f>
        <v>0</v>
      </c>
      <c r="AW52" s="16" t="n">
        <f aca="false">AV53</f>
        <v>0</v>
      </c>
      <c r="AX52" s="16" t="n">
        <f aca="false">AW53</f>
        <v>0</v>
      </c>
      <c r="AY52" s="16" t="n">
        <f aca="false">AX53</f>
        <v>0</v>
      </c>
      <c r="AZ52" s="16" t="n">
        <f aca="false">AY53</f>
        <v>0</v>
      </c>
      <c r="BA52" s="16" t="n">
        <f aca="false">AZ53</f>
        <v>0</v>
      </c>
      <c r="BB52" s="16" t="n">
        <f aca="false">BA53</f>
        <v>0</v>
      </c>
      <c r="BC52" s="16" t="n">
        <f aca="false">BB53</f>
        <v>0</v>
      </c>
      <c r="BD52" s="16" t="n">
        <f aca="false">BC53</f>
        <v>0</v>
      </c>
      <c r="BE52" s="16" t="n">
        <f aca="false">BD53</f>
        <v>0</v>
      </c>
      <c r="BF52" s="16" t="n">
        <f aca="false">BE53</f>
        <v>0</v>
      </c>
      <c r="BG52" s="16" t="n">
        <f aca="false">BF53</f>
        <v>0</v>
      </c>
      <c r="BH52" s="16" t="n">
        <f aca="false">BG53</f>
        <v>0</v>
      </c>
      <c r="BI52" s="16" t="n">
        <f aca="false">BH53</f>
        <v>0</v>
      </c>
      <c r="BJ52" s="16" t="n">
        <f aca="false">BI53</f>
        <v>0</v>
      </c>
      <c r="BK52" s="16" t="n">
        <f aca="false">BJ53</f>
        <v>0</v>
      </c>
      <c r="BL52" s="16" t="n">
        <f aca="false">BK53</f>
        <v>0</v>
      </c>
      <c r="BM52" s="16" t="n">
        <f aca="false">BL53</f>
        <v>0</v>
      </c>
      <c r="BN52" s="16" t="n">
        <f aca="false">BM53</f>
        <v>0</v>
      </c>
      <c r="BO52" s="16" t="n">
        <f aca="false">BN53</f>
        <v>0</v>
      </c>
      <c r="BP52" s="16" t="n">
        <f aca="false">BO53</f>
        <v>0</v>
      </c>
      <c r="BQ52" s="16" t="n">
        <f aca="false">BP53</f>
        <v>0</v>
      </c>
      <c r="BR52" s="16" t="n">
        <f aca="false">BQ53</f>
        <v>0</v>
      </c>
      <c r="BS52" s="16" t="n">
        <f aca="false">BR53</f>
        <v>0</v>
      </c>
      <c r="BT52" s="16" t="n">
        <f aca="false">BS53</f>
        <v>0</v>
      </c>
      <c r="BU52" s="16" t="n">
        <f aca="false">BT53</f>
        <v>0</v>
      </c>
      <c r="BV52" s="16" t="n">
        <f aca="false">BU53</f>
        <v>0</v>
      </c>
      <c r="BW52" s="16" t="n">
        <f aca="false">BV53</f>
        <v>0</v>
      </c>
      <c r="BX52" s="16" t="n">
        <f aca="false">BW53</f>
        <v>0</v>
      </c>
      <c r="BY52" s="16" t="n">
        <f aca="false">BX53</f>
        <v>0</v>
      </c>
      <c r="BZ52" s="16" t="n">
        <f aca="false">BY53</f>
        <v>0</v>
      </c>
      <c r="CA52" s="16" t="n">
        <f aca="false">BZ53</f>
        <v>0</v>
      </c>
      <c r="CB52" s="16" t="n">
        <f aca="false">CA53</f>
        <v>0</v>
      </c>
      <c r="CC52" s="16" t="n">
        <f aca="false">CB53</f>
        <v>0</v>
      </c>
      <c r="CD52" s="16" t="n">
        <f aca="false">CC53</f>
        <v>0</v>
      </c>
      <c r="CE52" s="16" t="n">
        <f aca="false">CD53</f>
        <v>0</v>
      </c>
      <c r="CF52" s="16" t="n">
        <f aca="false">CE53</f>
        <v>0</v>
      </c>
      <c r="CG52" s="16" t="n">
        <f aca="false">CF53</f>
        <v>0</v>
      </c>
      <c r="CH52" s="16" t="n">
        <f aca="false">CG53</f>
        <v>0</v>
      </c>
      <c r="CI52" s="16" t="n">
        <f aca="false">CH53</f>
        <v>0</v>
      </c>
      <c r="CJ52" s="16" t="n">
        <f aca="false">CI53</f>
        <v>0</v>
      </c>
      <c r="CK52" s="16" t="n">
        <f aca="false">CJ53</f>
        <v>0</v>
      </c>
      <c r="CL52" s="16" t="n">
        <f aca="false">CK53</f>
        <v>0</v>
      </c>
      <c r="CM52" s="16" t="n">
        <f aca="false">CL53</f>
        <v>0</v>
      </c>
      <c r="CN52" s="16" t="n">
        <f aca="false">CM53</f>
        <v>0</v>
      </c>
      <c r="CO52" s="16" t="n">
        <f aca="false">CN53</f>
        <v>0</v>
      </c>
      <c r="CP52" s="16" t="n">
        <f aca="false">CO53</f>
        <v>0</v>
      </c>
      <c r="CQ52" s="16" t="n">
        <f aca="false">CP53</f>
        <v>0</v>
      </c>
      <c r="CR52" s="16" t="n">
        <f aca="false">CQ53</f>
        <v>0</v>
      </c>
      <c r="CS52" s="16" t="n">
        <f aca="false">CR53</f>
        <v>0</v>
      </c>
      <c r="CT52" s="16" t="n">
        <f aca="false">CS53</f>
        <v>0</v>
      </c>
      <c r="CU52" s="16" t="n">
        <f aca="false">CT53</f>
        <v>0</v>
      </c>
      <c r="CV52" s="16" t="n">
        <f aca="false">CU53</f>
        <v>0</v>
      </c>
      <c r="CW52" s="16" t="n">
        <f aca="false">CV53</f>
        <v>0</v>
      </c>
      <c r="CX52" s="16" t="n">
        <f aca="false">CW53</f>
        <v>0</v>
      </c>
    </row>
    <row r="53" customFormat="false" ht="15" hidden="false" customHeight="false" outlineLevel="0" collapsed="false">
      <c r="A53" s="1" t="n">
        <f aca="false">A52+1</f>
        <v>50</v>
      </c>
      <c r="B53" s="16" t="n">
        <f aca="false">B52</f>
        <v>0</v>
      </c>
      <c r="C53" s="16" t="n">
        <f aca="false">B54</f>
        <v>0</v>
      </c>
      <c r="D53" s="16" t="n">
        <f aca="false">C54</f>
        <v>0</v>
      </c>
      <c r="E53" s="16" t="n">
        <f aca="false">D54</f>
        <v>0</v>
      </c>
      <c r="F53" s="16" t="n">
        <f aca="false">E54</f>
        <v>0</v>
      </c>
      <c r="G53" s="16" t="n">
        <f aca="false">F54</f>
        <v>0</v>
      </c>
      <c r="H53" s="16" t="n">
        <f aca="false">G54</f>
        <v>0</v>
      </c>
      <c r="I53" s="16" t="n">
        <f aca="false">H54</f>
        <v>0</v>
      </c>
      <c r="J53" s="16" t="n">
        <f aca="false">I54</f>
        <v>0</v>
      </c>
      <c r="K53" s="16" t="n">
        <f aca="false">J54</f>
        <v>0</v>
      </c>
      <c r="L53" s="16" t="n">
        <f aca="false">K54</f>
        <v>0</v>
      </c>
      <c r="M53" s="16" t="n">
        <f aca="false">L54</f>
        <v>0</v>
      </c>
      <c r="N53" s="16" t="n">
        <f aca="false">M54</f>
        <v>0</v>
      </c>
      <c r="O53" s="16" t="n">
        <f aca="false">N54</f>
        <v>0</v>
      </c>
      <c r="P53" s="16" t="n">
        <f aca="false">O54</f>
        <v>0</v>
      </c>
      <c r="Q53" s="16" t="n">
        <f aca="false">P54</f>
        <v>0</v>
      </c>
      <c r="R53" s="16" t="n">
        <f aca="false">Q54</f>
        <v>0</v>
      </c>
      <c r="S53" s="16" t="n">
        <f aca="false">R54</f>
        <v>0</v>
      </c>
      <c r="T53" s="16" t="n">
        <f aca="false">S54</f>
        <v>0</v>
      </c>
      <c r="U53" s="16" t="n">
        <f aca="false">T54</f>
        <v>0</v>
      </c>
      <c r="V53" s="16" t="n">
        <f aca="false">U54</f>
        <v>0</v>
      </c>
      <c r="W53" s="16" t="n">
        <f aca="false">V54</f>
        <v>0</v>
      </c>
      <c r="X53" s="16" t="n">
        <f aca="false">W54</f>
        <v>0</v>
      </c>
      <c r="Y53" s="16" t="n">
        <f aca="false">X54</f>
        <v>0</v>
      </c>
      <c r="Z53" s="16" t="n">
        <f aca="false">Y54</f>
        <v>0</v>
      </c>
      <c r="AA53" s="16" t="n">
        <f aca="false">Z54</f>
        <v>0</v>
      </c>
      <c r="AB53" s="16" t="n">
        <f aca="false">AA54</f>
        <v>0</v>
      </c>
      <c r="AC53" s="16" t="n">
        <f aca="false">AB54</f>
        <v>0</v>
      </c>
      <c r="AD53" s="16" t="n">
        <f aca="false">AC54</f>
        <v>0</v>
      </c>
      <c r="AE53" s="16" t="n">
        <f aca="false">AD54</f>
        <v>0</v>
      </c>
      <c r="AF53" s="16" t="n">
        <f aca="false">AE54</f>
        <v>0</v>
      </c>
      <c r="AG53" s="16" t="n">
        <f aca="false">AF54</f>
        <v>0</v>
      </c>
      <c r="AH53" s="16" t="n">
        <f aca="false">AG54</f>
        <v>0</v>
      </c>
      <c r="AI53" s="16" t="n">
        <f aca="false">AH54</f>
        <v>0</v>
      </c>
      <c r="AJ53" s="16" t="n">
        <f aca="false">AI54</f>
        <v>0</v>
      </c>
      <c r="AK53" s="16" t="n">
        <f aca="false">AJ54</f>
        <v>0</v>
      </c>
      <c r="AL53" s="16" t="n">
        <f aca="false">AK54</f>
        <v>0</v>
      </c>
      <c r="AM53" s="16" t="n">
        <f aca="false">AL54</f>
        <v>0</v>
      </c>
      <c r="AN53" s="16" t="n">
        <f aca="false">AM54</f>
        <v>0</v>
      </c>
      <c r="AO53" s="16" t="n">
        <f aca="false">AN54</f>
        <v>0</v>
      </c>
      <c r="AP53" s="16" t="n">
        <f aca="false">AO54</f>
        <v>0</v>
      </c>
      <c r="AQ53" s="16" t="n">
        <f aca="false">AP54</f>
        <v>0</v>
      </c>
      <c r="AR53" s="16" t="n">
        <f aca="false">AQ54</f>
        <v>0</v>
      </c>
      <c r="AS53" s="16" t="n">
        <f aca="false">AR54</f>
        <v>0</v>
      </c>
      <c r="AT53" s="16" t="n">
        <f aca="false">AS54</f>
        <v>0</v>
      </c>
      <c r="AU53" s="16" t="n">
        <f aca="false">AT54</f>
        <v>0</v>
      </c>
      <c r="AV53" s="16" t="n">
        <f aca="false">AU54</f>
        <v>0</v>
      </c>
      <c r="AW53" s="16" t="n">
        <f aca="false">AV54</f>
        <v>0</v>
      </c>
      <c r="AX53" s="16" t="n">
        <f aca="false">AW54</f>
        <v>0</v>
      </c>
      <c r="AY53" s="16" t="n">
        <f aca="false">AX54</f>
        <v>0</v>
      </c>
      <c r="AZ53" s="16" t="n">
        <f aca="false">AY54</f>
        <v>0</v>
      </c>
      <c r="BA53" s="16" t="n">
        <f aca="false">AZ54</f>
        <v>0</v>
      </c>
      <c r="BB53" s="16" t="n">
        <f aca="false">BA54</f>
        <v>0</v>
      </c>
      <c r="BC53" s="16" t="n">
        <f aca="false">BB54</f>
        <v>0</v>
      </c>
      <c r="BD53" s="16" t="n">
        <f aca="false">BC54</f>
        <v>0</v>
      </c>
      <c r="BE53" s="16" t="n">
        <f aca="false">BD54</f>
        <v>0</v>
      </c>
      <c r="BF53" s="16" t="n">
        <f aca="false">BE54</f>
        <v>0</v>
      </c>
      <c r="BG53" s="16" t="n">
        <f aca="false">BF54</f>
        <v>0</v>
      </c>
      <c r="BH53" s="16" t="n">
        <f aca="false">BG54</f>
        <v>0</v>
      </c>
      <c r="BI53" s="16" t="n">
        <f aca="false">BH54</f>
        <v>0</v>
      </c>
      <c r="BJ53" s="16" t="n">
        <f aca="false">BI54</f>
        <v>0</v>
      </c>
      <c r="BK53" s="16" t="n">
        <f aca="false">BJ54</f>
        <v>0</v>
      </c>
      <c r="BL53" s="16" t="n">
        <f aca="false">BK54</f>
        <v>0</v>
      </c>
      <c r="BM53" s="16" t="n">
        <f aca="false">BL54</f>
        <v>0</v>
      </c>
      <c r="BN53" s="16" t="n">
        <f aca="false">BM54</f>
        <v>0</v>
      </c>
      <c r="BO53" s="16" t="n">
        <f aca="false">BN54</f>
        <v>0</v>
      </c>
      <c r="BP53" s="16" t="n">
        <f aca="false">BO54</f>
        <v>0</v>
      </c>
      <c r="BQ53" s="16" t="n">
        <f aca="false">BP54</f>
        <v>0</v>
      </c>
      <c r="BR53" s="16" t="n">
        <f aca="false">BQ54</f>
        <v>0</v>
      </c>
      <c r="BS53" s="16" t="n">
        <f aca="false">BR54</f>
        <v>0</v>
      </c>
      <c r="BT53" s="16" t="n">
        <f aca="false">BS54</f>
        <v>0</v>
      </c>
      <c r="BU53" s="16" t="n">
        <f aca="false">BT54</f>
        <v>0</v>
      </c>
      <c r="BV53" s="16" t="n">
        <f aca="false">BU54</f>
        <v>0</v>
      </c>
      <c r="BW53" s="16" t="n">
        <f aca="false">BV54</f>
        <v>0</v>
      </c>
      <c r="BX53" s="16" t="n">
        <f aca="false">BW54</f>
        <v>0</v>
      </c>
      <c r="BY53" s="16" t="n">
        <f aca="false">BX54</f>
        <v>0</v>
      </c>
      <c r="BZ53" s="16" t="n">
        <f aca="false">BY54</f>
        <v>0</v>
      </c>
      <c r="CA53" s="16" t="n">
        <f aca="false">BZ54</f>
        <v>0</v>
      </c>
      <c r="CB53" s="16" t="n">
        <f aca="false">CA54</f>
        <v>0</v>
      </c>
      <c r="CC53" s="16" t="n">
        <f aca="false">CB54</f>
        <v>0</v>
      </c>
      <c r="CD53" s="16" t="n">
        <f aca="false">CC54</f>
        <v>0</v>
      </c>
      <c r="CE53" s="16" t="n">
        <f aca="false">CD54</f>
        <v>0</v>
      </c>
      <c r="CF53" s="16" t="n">
        <f aca="false">CE54</f>
        <v>0</v>
      </c>
      <c r="CG53" s="16" t="n">
        <f aca="false">CF54</f>
        <v>0</v>
      </c>
      <c r="CH53" s="16" t="n">
        <f aca="false">CG54</f>
        <v>0</v>
      </c>
      <c r="CI53" s="16" t="n">
        <f aca="false">CH54</f>
        <v>0</v>
      </c>
      <c r="CJ53" s="16" t="n">
        <f aca="false">CI54</f>
        <v>0</v>
      </c>
      <c r="CK53" s="16" t="n">
        <f aca="false">CJ54</f>
        <v>0</v>
      </c>
      <c r="CL53" s="16" t="n">
        <f aca="false">CK54</f>
        <v>0</v>
      </c>
      <c r="CM53" s="16" t="n">
        <f aca="false">CL54</f>
        <v>0</v>
      </c>
      <c r="CN53" s="16" t="n">
        <f aca="false">CM54</f>
        <v>0</v>
      </c>
      <c r="CO53" s="16" t="n">
        <f aca="false">CN54</f>
        <v>0</v>
      </c>
      <c r="CP53" s="16" t="n">
        <f aca="false">CO54</f>
        <v>0</v>
      </c>
      <c r="CQ53" s="16" t="n">
        <f aca="false">CP54</f>
        <v>0</v>
      </c>
      <c r="CR53" s="16" t="n">
        <f aca="false">CQ54</f>
        <v>0</v>
      </c>
      <c r="CS53" s="16" t="n">
        <f aca="false">CR54</f>
        <v>0</v>
      </c>
      <c r="CT53" s="16" t="n">
        <f aca="false">CS54</f>
        <v>0</v>
      </c>
      <c r="CU53" s="16" t="n">
        <f aca="false">CT54</f>
        <v>0</v>
      </c>
      <c r="CV53" s="16" t="n">
        <f aca="false">CU54</f>
        <v>0</v>
      </c>
      <c r="CW53" s="16" t="n">
        <f aca="false">CV54</f>
        <v>0</v>
      </c>
      <c r="CX53" s="16" t="n">
        <f aca="false">CW54</f>
        <v>0</v>
      </c>
    </row>
    <row r="54" customFormat="false" ht="15" hidden="false" customHeight="false" outlineLevel="0" collapsed="false">
      <c r="A54" s="1" t="n">
        <f aca="false">A53+1</f>
        <v>51</v>
      </c>
      <c r="B54" s="16" t="n">
        <f aca="false">B53</f>
        <v>0</v>
      </c>
      <c r="C54" s="16" t="n">
        <f aca="false">B55</f>
        <v>0</v>
      </c>
      <c r="D54" s="16" t="n">
        <f aca="false">C55</f>
        <v>0</v>
      </c>
      <c r="E54" s="16" t="n">
        <f aca="false">D55</f>
        <v>0</v>
      </c>
      <c r="F54" s="16" t="n">
        <f aca="false">E55</f>
        <v>0</v>
      </c>
      <c r="G54" s="16" t="n">
        <f aca="false">F55</f>
        <v>0</v>
      </c>
      <c r="H54" s="16" t="n">
        <f aca="false">G55</f>
        <v>0</v>
      </c>
      <c r="I54" s="16" t="n">
        <f aca="false">H55</f>
        <v>0</v>
      </c>
      <c r="J54" s="16" t="n">
        <f aca="false">I55</f>
        <v>0</v>
      </c>
      <c r="K54" s="16" t="n">
        <f aca="false">J55</f>
        <v>0</v>
      </c>
      <c r="L54" s="16" t="n">
        <f aca="false">K55</f>
        <v>0</v>
      </c>
      <c r="M54" s="16" t="n">
        <f aca="false">L55</f>
        <v>0</v>
      </c>
      <c r="N54" s="16" t="n">
        <f aca="false">M55</f>
        <v>0</v>
      </c>
      <c r="O54" s="16" t="n">
        <f aca="false">N55</f>
        <v>0</v>
      </c>
      <c r="P54" s="16" t="n">
        <f aca="false">O55</f>
        <v>0</v>
      </c>
      <c r="Q54" s="16" t="n">
        <f aca="false">P55</f>
        <v>0</v>
      </c>
      <c r="R54" s="16" t="n">
        <f aca="false">Q55</f>
        <v>0</v>
      </c>
      <c r="S54" s="16" t="n">
        <f aca="false">R55</f>
        <v>0</v>
      </c>
      <c r="T54" s="16" t="n">
        <f aca="false">S55</f>
        <v>0</v>
      </c>
      <c r="U54" s="16" t="n">
        <f aca="false">T55</f>
        <v>0</v>
      </c>
      <c r="V54" s="16" t="n">
        <f aca="false">U55</f>
        <v>0</v>
      </c>
      <c r="W54" s="16" t="n">
        <f aca="false">V55</f>
        <v>0</v>
      </c>
      <c r="X54" s="16" t="n">
        <f aca="false">W55</f>
        <v>0</v>
      </c>
      <c r="Y54" s="16" t="n">
        <f aca="false">X55</f>
        <v>0</v>
      </c>
      <c r="Z54" s="16" t="n">
        <f aca="false">Y55</f>
        <v>0</v>
      </c>
      <c r="AA54" s="16" t="n">
        <f aca="false">Z55</f>
        <v>0</v>
      </c>
      <c r="AB54" s="16" t="n">
        <f aca="false">AA55</f>
        <v>0</v>
      </c>
      <c r="AC54" s="16" t="n">
        <f aca="false">AB55</f>
        <v>0</v>
      </c>
      <c r="AD54" s="16" t="n">
        <f aca="false">AC55</f>
        <v>0</v>
      </c>
      <c r="AE54" s="16" t="n">
        <f aca="false">AD55</f>
        <v>0</v>
      </c>
      <c r="AF54" s="16" t="n">
        <f aca="false">AE55</f>
        <v>0</v>
      </c>
      <c r="AG54" s="16" t="n">
        <f aca="false">AF55</f>
        <v>0</v>
      </c>
      <c r="AH54" s="16" t="n">
        <f aca="false">AG55</f>
        <v>0</v>
      </c>
      <c r="AI54" s="16" t="n">
        <f aca="false">AH55</f>
        <v>0</v>
      </c>
      <c r="AJ54" s="16" t="n">
        <f aca="false">AI55</f>
        <v>0</v>
      </c>
      <c r="AK54" s="16" t="n">
        <f aca="false">AJ55</f>
        <v>0</v>
      </c>
      <c r="AL54" s="16" t="n">
        <f aca="false">AK55</f>
        <v>0</v>
      </c>
      <c r="AM54" s="16" t="n">
        <f aca="false">AL55</f>
        <v>0</v>
      </c>
      <c r="AN54" s="16" t="n">
        <f aca="false">AM55</f>
        <v>0</v>
      </c>
      <c r="AO54" s="16" t="n">
        <f aca="false">AN55</f>
        <v>0</v>
      </c>
      <c r="AP54" s="16" t="n">
        <f aca="false">AO55</f>
        <v>0</v>
      </c>
      <c r="AQ54" s="16" t="n">
        <f aca="false">AP55</f>
        <v>0</v>
      </c>
      <c r="AR54" s="16" t="n">
        <f aca="false">AQ55</f>
        <v>0</v>
      </c>
      <c r="AS54" s="16" t="n">
        <f aca="false">AR55</f>
        <v>0</v>
      </c>
      <c r="AT54" s="16" t="n">
        <f aca="false">AS55</f>
        <v>0</v>
      </c>
      <c r="AU54" s="16" t="n">
        <f aca="false">AT55</f>
        <v>0</v>
      </c>
      <c r="AV54" s="16" t="n">
        <f aca="false">AU55</f>
        <v>0</v>
      </c>
      <c r="AW54" s="16" t="n">
        <f aca="false">AV55</f>
        <v>0</v>
      </c>
      <c r="AX54" s="16" t="n">
        <f aca="false">AW55</f>
        <v>0</v>
      </c>
      <c r="AY54" s="16" t="n">
        <f aca="false">AX55</f>
        <v>0</v>
      </c>
      <c r="AZ54" s="16" t="n">
        <f aca="false">AY55</f>
        <v>0</v>
      </c>
      <c r="BA54" s="16" t="n">
        <f aca="false">AZ55</f>
        <v>0</v>
      </c>
      <c r="BB54" s="16" t="n">
        <f aca="false">BA55</f>
        <v>0</v>
      </c>
      <c r="BC54" s="16" t="n">
        <f aca="false">BB55</f>
        <v>0</v>
      </c>
      <c r="BD54" s="16" t="n">
        <f aca="false">BC55</f>
        <v>0</v>
      </c>
      <c r="BE54" s="16" t="n">
        <f aca="false">BD55</f>
        <v>0</v>
      </c>
      <c r="BF54" s="16" t="n">
        <f aca="false">BE55</f>
        <v>0</v>
      </c>
      <c r="BG54" s="16" t="n">
        <f aca="false">BF55</f>
        <v>0</v>
      </c>
      <c r="BH54" s="16" t="n">
        <f aca="false">BG55</f>
        <v>0</v>
      </c>
      <c r="BI54" s="16" t="n">
        <f aca="false">BH55</f>
        <v>0</v>
      </c>
      <c r="BJ54" s="16" t="n">
        <f aca="false">BI55</f>
        <v>0</v>
      </c>
      <c r="BK54" s="16" t="n">
        <f aca="false">BJ55</f>
        <v>0</v>
      </c>
      <c r="BL54" s="16" t="n">
        <f aca="false">BK55</f>
        <v>0</v>
      </c>
      <c r="BM54" s="16" t="n">
        <f aca="false">BL55</f>
        <v>0</v>
      </c>
      <c r="BN54" s="16" t="n">
        <f aca="false">BM55</f>
        <v>0</v>
      </c>
      <c r="BO54" s="16" t="n">
        <f aca="false">BN55</f>
        <v>0</v>
      </c>
      <c r="BP54" s="16" t="n">
        <f aca="false">BO55</f>
        <v>0</v>
      </c>
      <c r="BQ54" s="16" t="n">
        <f aca="false">BP55</f>
        <v>0</v>
      </c>
      <c r="BR54" s="16" t="n">
        <f aca="false">BQ55</f>
        <v>0</v>
      </c>
      <c r="BS54" s="16" t="n">
        <f aca="false">BR55</f>
        <v>0</v>
      </c>
      <c r="BT54" s="16" t="n">
        <f aca="false">BS55</f>
        <v>0</v>
      </c>
      <c r="BU54" s="16" t="n">
        <f aca="false">BT55</f>
        <v>0</v>
      </c>
      <c r="BV54" s="16" t="n">
        <f aca="false">BU55</f>
        <v>0</v>
      </c>
      <c r="BW54" s="16" t="n">
        <f aca="false">BV55</f>
        <v>0</v>
      </c>
      <c r="BX54" s="16" t="n">
        <f aca="false">BW55</f>
        <v>0</v>
      </c>
      <c r="BY54" s="16" t="n">
        <f aca="false">BX55</f>
        <v>0</v>
      </c>
      <c r="BZ54" s="16" t="n">
        <f aca="false">BY55</f>
        <v>0</v>
      </c>
      <c r="CA54" s="16" t="n">
        <f aca="false">BZ55</f>
        <v>0</v>
      </c>
      <c r="CB54" s="16" t="n">
        <f aca="false">CA55</f>
        <v>0</v>
      </c>
      <c r="CC54" s="16" t="n">
        <f aca="false">CB55</f>
        <v>0</v>
      </c>
      <c r="CD54" s="16" t="n">
        <f aca="false">CC55</f>
        <v>0</v>
      </c>
      <c r="CE54" s="16" t="n">
        <f aca="false">CD55</f>
        <v>0</v>
      </c>
      <c r="CF54" s="16" t="n">
        <f aca="false">CE55</f>
        <v>0</v>
      </c>
      <c r="CG54" s="16" t="n">
        <f aca="false">CF55</f>
        <v>0</v>
      </c>
      <c r="CH54" s="16" t="n">
        <f aca="false">CG55</f>
        <v>0</v>
      </c>
      <c r="CI54" s="16" t="n">
        <f aca="false">CH55</f>
        <v>0</v>
      </c>
      <c r="CJ54" s="16" t="n">
        <f aca="false">CI55</f>
        <v>0</v>
      </c>
      <c r="CK54" s="16" t="n">
        <f aca="false">CJ55</f>
        <v>0</v>
      </c>
      <c r="CL54" s="16" t="n">
        <f aca="false">CK55</f>
        <v>0</v>
      </c>
      <c r="CM54" s="16" t="n">
        <f aca="false">CL55</f>
        <v>0</v>
      </c>
      <c r="CN54" s="16" t="n">
        <f aca="false">CM55</f>
        <v>0</v>
      </c>
      <c r="CO54" s="16" t="n">
        <f aca="false">CN55</f>
        <v>0</v>
      </c>
      <c r="CP54" s="16" t="n">
        <f aca="false">CO55</f>
        <v>0</v>
      </c>
      <c r="CQ54" s="16" t="n">
        <f aca="false">CP55</f>
        <v>0</v>
      </c>
      <c r="CR54" s="16" t="n">
        <f aca="false">CQ55</f>
        <v>0</v>
      </c>
      <c r="CS54" s="16" t="n">
        <f aca="false">CR55</f>
        <v>0</v>
      </c>
      <c r="CT54" s="16" t="n">
        <f aca="false">CS55</f>
        <v>0</v>
      </c>
      <c r="CU54" s="16" t="n">
        <f aca="false">CT55</f>
        <v>0</v>
      </c>
      <c r="CV54" s="16" t="n">
        <f aca="false">CU55</f>
        <v>0</v>
      </c>
      <c r="CW54" s="16" t="n">
        <f aca="false">CV55</f>
        <v>0</v>
      </c>
      <c r="CX54" s="16" t="n">
        <f aca="false">CW55</f>
        <v>0</v>
      </c>
    </row>
    <row r="55" customFormat="false" ht="15" hidden="false" customHeight="false" outlineLevel="0" collapsed="false">
      <c r="A55" s="1" t="n">
        <f aca="false">A54+1</f>
        <v>52</v>
      </c>
      <c r="B55" s="16" t="n">
        <f aca="false">B54</f>
        <v>0</v>
      </c>
      <c r="C55" s="16" t="n">
        <f aca="false">B56</f>
        <v>0</v>
      </c>
      <c r="D55" s="16" t="n">
        <f aca="false">C56</f>
        <v>0</v>
      </c>
      <c r="E55" s="16" t="n">
        <f aca="false">D56</f>
        <v>0</v>
      </c>
      <c r="F55" s="16" t="n">
        <f aca="false">E56</f>
        <v>0</v>
      </c>
      <c r="G55" s="16" t="n">
        <f aca="false">F56</f>
        <v>0</v>
      </c>
      <c r="H55" s="16" t="n">
        <f aca="false">G56</f>
        <v>0</v>
      </c>
      <c r="I55" s="16" t="n">
        <f aca="false">H56</f>
        <v>0</v>
      </c>
      <c r="J55" s="16" t="n">
        <f aca="false">I56</f>
        <v>0</v>
      </c>
      <c r="K55" s="16" t="n">
        <f aca="false">J56</f>
        <v>0</v>
      </c>
      <c r="L55" s="16" t="n">
        <f aca="false">K56</f>
        <v>0</v>
      </c>
      <c r="M55" s="16" t="n">
        <f aca="false">L56</f>
        <v>0</v>
      </c>
      <c r="N55" s="16" t="n">
        <f aca="false">M56</f>
        <v>0</v>
      </c>
      <c r="O55" s="16" t="n">
        <f aca="false">N56</f>
        <v>0</v>
      </c>
      <c r="P55" s="16" t="n">
        <f aca="false">O56</f>
        <v>0</v>
      </c>
      <c r="Q55" s="16" t="n">
        <f aca="false">P56</f>
        <v>0</v>
      </c>
      <c r="R55" s="16" t="n">
        <f aca="false">Q56</f>
        <v>0</v>
      </c>
      <c r="S55" s="16" t="n">
        <f aca="false">R56</f>
        <v>0</v>
      </c>
      <c r="T55" s="16" t="n">
        <f aca="false">S56</f>
        <v>0</v>
      </c>
      <c r="U55" s="16" t="n">
        <f aca="false">T56</f>
        <v>0</v>
      </c>
      <c r="V55" s="16" t="n">
        <f aca="false">U56</f>
        <v>0</v>
      </c>
      <c r="W55" s="16" t="n">
        <f aca="false">V56</f>
        <v>0</v>
      </c>
      <c r="X55" s="16" t="n">
        <f aca="false">W56</f>
        <v>0</v>
      </c>
      <c r="Y55" s="16" t="n">
        <f aca="false">X56</f>
        <v>0</v>
      </c>
      <c r="Z55" s="16" t="n">
        <f aca="false">Y56</f>
        <v>0</v>
      </c>
      <c r="AA55" s="16" t="n">
        <f aca="false">Z56</f>
        <v>0</v>
      </c>
      <c r="AB55" s="16" t="n">
        <f aca="false">AA56</f>
        <v>0</v>
      </c>
      <c r="AC55" s="16" t="n">
        <f aca="false">AB56</f>
        <v>0</v>
      </c>
      <c r="AD55" s="16" t="n">
        <f aca="false">AC56</f>
        <v>0</v>
      </c>
      <c r="AE55" s="16" t="n">
        <f aca="false">AD56</f>
        <v>0</v>
      </c>
      <c r="AF55" s="16" t="n">
        <f aca="false">AE56</f>
        <v>0</v>
      </c>
      <c r="AG55" s="16" t="n">
        <f aca="false">AF56</f>
        <v>0</v>
      </c>
      <c r="AH55" s="16" t="n">
        <f aca="false">AG56</f>
        <v>0</v>
      </c>
      <c r="AI55" s="16" t="n">
        <f aca="false">AH56</f>
        <v>0</v>
      </c>
      <c r="AJ55" s="16" t="n">
        <f aca="false">AI56</f>
        <v>0</v>
      </c>
      <c r="AK55" s="16" t="n">
        <f aca="false">AJ56</f>
        <v>0</v>
      </c>
      <c r="AL55" s="16" t="n">
        <f aca="false">AK56</f>
        <v>0</v>
      </c>
      <c r="AM55" s="16" t="n">
        <f aca="false">AL56</f>
        <v>0</v>
      </c>
      <c r="AN55" s="16" t="n">
        <f aca="false">AM56</f>
        <v>0</v>
      </c>
      <c r="AO55" s="16" t="n">
        <f aca="false">AN56</f>
        <v>0</v>
      </c>
      <c r="AP55" s="16" t="n">
        <f aca="false">AO56</f>
        <v>0</v>
      </c>
      <c r="AQ55" s="16" t="n">
        <f aca="false">AP56</f>
        <v>0</v>
      </c>
      <c r="AR55" s="16" t="n">
        <f aca="false">AQ56</f>
        <v>0</v>
      </c>
      <c r="AS55" s="16" t="n">
        <f aca="false">AR56</f>
        <v>0</v>
      </c>
      <c r="AT55" s="16" t="n">
        <f aca="false">AS56</f>
        <v>0</v>
      </c>
      <c r="AU55" s="16" t="n">
        <f aca="false">AT56</f>
        <v>0</v>
      </c>
      <c r="AV55" s="16" t="n">
        <f aca="false">AU56</f>
        <v>0</v>
      </c>
      <c r="AW55" s="16" t="n">
        <f aca="false">AV56</f>
        <v>0</v>
      </c>
      <c r="AX55" s="16" t="n">
        <f aca="false">AW56</f>
        <v>0</v>
      </c>
      <c r="AY55" s="16" t="n">
        <f aca="false">AX56</f>
        <v>0</v>
      </c>
      <c r="AZ55" s="16" t="n">
        <f aca="false">AY56</f>
        <v>0</v>
      </c>
      <c r="BA55" s="16" t="n">
        <f aca="false">AZ56</f>
        <v>0</v>
      </c>
      <c r="BB55" s="16" t="n">
        <f aca="false">BA56</f>
        <v>0</v>
      </c>
      <c r="BC55" s="16" t="n">
        <f aca="false">BB56</f>
        <v>0</v>
      </c>
      <c r="BD55" s="16" t="n">
        <f aca="false">BC56</f>
        <v>0</v>
      </c>
      <c r="BE55" s="16" t="n">
        <f aca="false">BD56</f>
        <v>0</v>
      </c>
      <c r="BF55" s="16" t="n">
        <f aca="false">BE56</f>
        <v>0</v>
      </c>
      <c r="BG55" s="16" t="n">
        <f aca="false">BF56</f>
        <v>0</v>
      </c>
      <c r="BH55" s="16" t="n">
        <f aca="false">BG56</f>
        <v>0</v>
      </c>
      <c r="BI55" s="16" t="n">
        <f aca="false">BH56</f>
        <v>0</v>
      </c>
      <c r="BJ55" s="16" t="n">
        <f aca="false">BI56</f>
        <v>0</v>
      </c>
      <c r="BK55" s="16" t="n">
        <f aca="false">BJ56</f>
        <v>0</v>
      </c>
      <c r="BL55" s="16" t="n">
        <f aca="false">BK56</f>
        <v>0</v>
      </c>
      <c r="BM55" s="16" t="n">
        <f aca="false">BL56</f>
        <v>0</v>
      </c>
      <c r="BN55" s="16" t="n">
        <f aca="false">BM56</f>
        <v>0</v>
      </c>
      <c r="BO55" s="16" t="n">
        <f aca="false">BN56</f>
        <v>0</v>
      </c>
      <c r="BP55" s="16" t="n">
        <f aca="false">BO56</f>
        <v>0</v>
      </c>
      <c r="BQ55" s="16" t="n">
        <f aca="false">BP56</f>
        <v>0</v>
      </c>
      <c r="BR55" s="16" t="n">
        <f aca="false">BQ56</f>
        <v>0</v>
      </c>
      <c r="BS55" s="16" t="n">
        <f aca="false">BR56</f>
        <v>0</v>
      </c>
      <c r="BT55" s="16" t="n">
        <f aca="false">BS56</f>
        <v>0</v>
      </c>
      <c r="BU55" s="16" t="n">
        <f aca="false">BT56</f>
        <v>0</v>
      </c>
      <c r="BV55" s="16" t="n">
        <f aca="false">BU56</f>
        <v>0</v>
      </c>
      <c r="BW55" s="16" t="n">
        <f aca="false">BV56</f>
        <v>0</v>
      </c>
      <c r="BX55" s="16" t="n">
        <f aca="false">BW56</f>
        <v>0</v>
      </c>
      <c r="BY55" s="16" t="n">
        <f aca="false">BX56</f>
        <v>0</v>
      </c>
      <c r="BZ55" s="16" t="n">
        <f aca="false">BY56</f>
        <v>0</v>
      </c>
      <c r="CA55" s="16" t="n">
        <f aca="false">BZ56</f>
        <v>0</v>
      </c>
      <c r="CB55" s="16" t="n">
        <f aca="false">CA56</f>
        <v>0</v>
      </c>
      <c r="CC55" s="16" t="n">
        <f aca="false">CB56</f>
        <v>0</v>
      </c>
      <c r="CD55" s="16" t="n">
        <f aca="false">CC56</f>
        <v>0</v>
      </c>
      <c r="CE55" s="16" t="n">
        <f aca="false">CD56</f>
        <v>0</v>
      </c>
      <c r="CF55" s="16" t="n">
        <f aca="false">CE56</f>
        <v>0</v>
      </c>
      <c r="CG55" s="16" t="n">
        <f aca="false">CF56</f>
        <v>0</v>
      </c>
      <c r="CH55" s="16" t="n">
        <f aca="false">CG56</f>
        <v>0</v>
      </c>
      <c r="CI55" s="16" t="n">
        <f aca="false">CH56</f>
        <v>0</v>
      </c>
      <c r="CJ55" s="16" t="n">
        <f aca="false">CI56</f>
        <v>0</v>
      </c>
      <c r="CK55" s="16" t="n">
        <f aca="false">CJ56</f>
        <v>0</v>
      </c>
      <c r="CL55" s="16" t="n">
        <f aca="false">CK56</f>
        <v>0</v>
      </c>
      <c r="CM55" s="16" t="n">
        <f aca="false">CL56</f>
        <v>0</v>
      </c>
      <c r="CN55" s="16" t="n">
        <f aca="false">CM56</f>
        <v>0</v>
      </c>
      <c r="CO55" s="16" t="n">
        <f aca="false">CN56</f>
        <v>0</v>
      </c>
      <c r="CP55" s="16" t="n">
        <f aca="false">CO56</f>
        <v>0</v>
      </c>
      <c r="CQ55" s="16" t="n">
        <f aca="false">CP56</f>
        <v>0</v>
      </c>
      <c r="CR55" s="16" t="n">
        <f aca="false">CQ56</f>
        <v>0</v>
      </c>
      <c r="CS55" s="16" t="n">
        <f aca="false">CR56</f>
        <v>0</v>
      </c>
      <c r="CT55" s="16" t="n">
        <f aca="false">CS56</f>
        <v>0</v>
      </c>
      <c r="CU55" s="16" t="n">
        <f aca="false">CT56</f>
        <v>0</v>
      </c>
      <c r="CV55" s="16" t="n">
        <f aca="false">CU56</f>
        <v>0</v>
      </c>
      <c r="CW55" s="16" t="n">
        <f aca="false">CV56</f>
        <v>0</v>
      </c>
      <c r="CX55" s="16" t="n">
        <f aca="false">CW56</f>
        <v>0</v>
      </c>
    </row>
    <row r="56" customFormat="false" ht="15" hidden="false" customHeight="false" outlineLevel="0" collapsed="false">
      <c r="A56" s="1" t="n">
        <f aca="false">A55+1</f>
        <v>53</v>
      </c>
      <c r="B56" s="16" t="n">
        <f aca="false">B55</f>
        <v>0</v>
      </c>
      <c r="C56" s="16" t="n">
        <f aca="false">B57</f>
        <v>0</v>
      </c>
      <c r="D56" s="16" t="n">
        <f aca="false">C57</f>
        <v>0</v>
      </c>
      <c r="E56" s="16" t="n">
        <f aca="false">D57</f>
        <v>0</v>
      </c>
      <c r="F56" s="16" t="n">
        <f aca="false">E57</f>
        <v>0</v>
      </c>
      <c r="G56" s="16" t="n">
        <f aca="false">F57</f>
        <v>0</v>
      </c>
      <c r="H56" s="16" t="n">
        <f aca="false">G57</f>
        <v>0</v>
      </c>
      <c r="I56" s="16" t="n">
        <f aca="false">H57</f>
        <v>0</v>
      </c>
      <c r="J56" s="16" t="n">
        <f aca="false">I57</f>
        <v>0</v>
      </c>
      <c r="K56" s="16" t="n">
        <f aca="false">J57</f>
        <v>0</v>
      </c>
      <c r="L56" s="16" t="n">
        <f aca="false">K57</f>
        <v>0</v>
      </c>
      <c r="M56" s="16" t="n">
        <f aca="false">L57</f>
        <v>0</v>
      </c>
      <c r="N56" s="16" t="n">
        <f aca="false">M57</f>
        <v>0</v>
      </c>
      <c r="O56" s="16" t="n">
        <f aca="false">N57</f>
        <v>0</v>
      </c>
      <c r="P56" s="16" t="n">
        <f aca="false">O57</f>
        <v>0</v>
      </c>
      <c r="Q56" s="16" t="n">
        <f aca="false">P57</f>
        <v>0</v>
      </c>
      <c r="R56" s="16" t="n">
        <f aca="false">Q57</f>
        <v>0</v>
      </c>
      <c r="S56" s="16" t="n">
        <f aca="false">R57</f>
        <v>0</v>
      </c>
      <c r="T56" s="16" t="n">
        <f aca="false">S57</f>
        <v>0</v>
      </c>
      <c r="U56" s="16" t="n">
        <f aca="false">T57</f>
        <v>0</v>
      </c>
      <c r="V56" s="16" t="n">
        <f aca="false">U57</f>
        <v>0</v>
      </c>
      <c r="W56" s="16" t="n">
        <f aca="false">V57</f>
        <v>0</v>
      </c>
      <c r="X56" s="16" t="n">
        <f aca="false">W57</f>
        <v>0</v>
      </c>
      <c r="Y56" s="16" t="n">
        <f aca="false">X57</f>
        <v>0</v>
      </c>
      <c r="Z56" s="16" t="n">
        <f aca="false">Y57</f>
        <v>0</v>
      </c>
      <c r="AA56" s="16" t="n">
        <f aca="false">Z57</f>
        <v>0</v>
      </c>
      <c r="AB56" s="16" t="n">
        <f aca="false">AA57</f>
        <v>0</v>
      </c>
      <c r="AC56" s="16" t="n">
        <f aca="false">AB57</f>
        <v>0</v>
      </c>
      <c r="AD56" s="16" t="n">
        <f aca="false">AC57</f>
        <v>0</v>
      </c>
      <c r="AE56" s="16" t="n">
        <f aca="false">AD57</f>
        <v>0</v>
      </c>
      <c r="AF56" s="16" t="n">
        <f aca="false">AE57</f>
        <v>0</v>
      </c>
      <c r="AG56" s="16" t="n">
        <f aca="false">AF57</f>
        <v>0</v>
      </c>
      <c r="AH56" s="16" t="n">
        <f aca="false">AG57</f>
        <v>0</v>
      </c>
      <c r="AI56" s="16" t="n">
        <f aca="false">AH57</f>
        <v>0</v>
      </c>
      <c r="AJ56" s="16" t="n">
        <f aca="false">AI57</f>
        <v>0</v>
      </c>
      <c r="AK56" s="16" t="n">
        <f aca="false">AJ57</f>
        <v>0</v>
      </c>
      <c r="AL56" s="16" t="n">
        <f aca="false">AK57</f>
        <v>0</v>
      </c>
      <c r="AM56" s="16" t="n">
        <f aca="false">AL57</f>
        <v>0</v>
      </c>
      <c r="AN56" s="16" t="n">
        <f aca="false">AM57</f>
        <v>0</v>
      </c>
      <c r="AO56" s="16" t="n">
        <f aca="false">AN57</f>
        <v>0</v>
      </c>
      <c r="AP56" s="16" t="n">
        <f aca="false">AO57</f>
        <v>0</v>
      </c>
      <c r="AQ56" s="16" t="n">
        <f aca="false">AP57</f>
        <v>0</v>
      </c>
      <c r="AR56" s="16" t="n">
        <f aca="false">AQ57</f>
        <v>0</v>
      </c>
      <c r="AS56" s="16" t="n">
        <f aca="false">AR57</f>
        <v>0</v>
      </c>
      <c r="AT56" s="16" t="n">
        <f aca="false">AS57</f>
        <v>0</v>
      </c>
      <c r="AU56" s="16" t="n">
        <f aca="false">AT57</f>
        <v>0</v>
      </c>
      <c r="AV56" s="16" t="n">
        <f aca="false">AU57</f>
        <v>0</v>
      </c>
      <c r="AW56" s="16" t="n">
        <f aca="false">AV57</f>
        <v>0</v>
      </c>
      <c r="AX56" s="16" t="n">
        <f aca="false">AW57</f>
        <v>0</v>
      </c>
      <c r="AY56" s="16" t="n">
        <f aca="false">AX57</f>
        <v>0</v>
      </c>
      <c r="AZ56" s="16" t="n">
        <f aca="false">AY57</f>
        <v>0</v>
      </c>
      <c r="BA56" s="16" t="n">
        <f aca="false">AZ57</f>
        <v>0</v>
      </c>
      <c r="BB56" s="16" t="n">
        <f aca="false">BA57</f>
        <v>0</v>
      </c>
      <c r="BC56" s="16" t="n">
        <f aca="false">BB57</f>
        <v>0</v>
      </c>
      <c r="BD56" s="16" t="n">
        <f aca="false">BC57</f>
        <v>0</v>
      </c>
      <c r="BE56" s="16" t="n">
        <f aca="false">BD57</f>
        <v>0</v>
      </c>
      <c r="BF56" s="16" t="n">
        <f aca="false">BE57</f>
        <v>0</v>
      </c>
      <c r="BG56" s="16" t="n">
        <f aca="false">BF57</f>
        <v>0</v>
      </c>
      <c r="BH56" s="16" t="n">
        <f aca="false">BG57</f>
        <v>0</v>
      </c>
      <c r="BI56" s="16" t="n">
        <f aca="false">BH57</f>
        <v>0</v>
      </c>
      <c r="BJ56" s="16" t="n">
        <f aca="false">BI57</f>
        <v>0</v>
      </c>
      <c r="BK56" s="16" t="n">
        <f aca="false">BJ57</f>
        <v>0</v>
      </c>
      <c r="BL56" s="16" t="n">
        <f aca="false">BK57</f>
        <v>0</v>
      </c>
      <c r="BM56" s="16" t="n">
        <f aca="false">BL57</f>
        <v>0</v>
      </c>
      <c r="BN56" s="16" t="n">
        <f aca="false">BM57</f>
        <v>0</v>
      </c>
      <c r="BO56" s="16" t="n">
        <f aca="false">BN57</f>
        <v>0</v>
      </c>
      <c r="BP56" s="16" t="n">
        <f aca="false">BO57</f>
        <v>0</v>
      </c>
      <c r="BQ56" s="16" t="n">
        <f aca="false">BP57</f>
        <v>0</v>
      </c>
      <c r="BR56" s="16" t="n">
        <f aca="false">BQ57</f>
        <v>0</v>
      </c>
      <c r="BS56" s="16" t="n">
        <f aca="false">BR57</f>
        <v>0</v>
      </c>
      <c r="BT56" s="16" t="n">
        <f aca="false">BS57</f>
        <v>0</v>
      </c>
      <c r="BU56" s="16" t="n">
        <f aca="false">BT57</f>
        <v>0</v>
      </c>
      <c r="BV56" s="16" t="n">
        <f aca="false">BU57</f>
        <v>0</v>
      </c>
      <c r="BW56" s="16" t="n">
        <f aca="false">BV57</f>
        <v>0</v>
      </c>
      <c r="BX56" s="16" t="n">
        <f aca="false">BW57</f>
        <v>0</v>
      </c>
      <c r="BY56" s="16" t="n">
        <f aca="false">BX57</f>
        <v>0</v>
      </c>
      <c r="BZ56" s="16" t="n">
        <f aca="false">BY57</f>
        <v>0</v>
      </c>
      <c r="CA56" s="16" t="n">
        <f aca="false">BZ57</f>
        <v>0</v>
      </c>
      <c r="CB56" s="16" t="n">
        <f aca="false">CA57</f>
        <v>0</v>
      </c>
      <c r="CC56" s="16" t="n">
        <f aca="false">CB57</f>
        <v>0</v>
      </c>
      <c r="CD56" s="16" t="n">
        <f aca="false">CC57</f>
        <v>0</v>
      </c>
      <c r="CE56" s="16" t="n">
        <f aca="false">CD57</f>
        <v>0</v>
      </c>
      <c r="CF56" s="16" t="n">
        <f aca="false">CE57</f>
        <v>0</v>
      </c>
      <c r="CG56" s="16" t="n">
        <f aca="false">CF57</f>
        <v>0</v>
      </c>
      <c r="CH56" s="16" t="n">
        <f aca="false">CG57</f>
        <v>0</v>
      </c>
      <c r="CI56" s="16" t="n">
        <f aca="false">CH57</f>
        <v>0</v>
      </c>
      <c r="CJ56" s="16" t="n">
        <f aca="false">CI57</f>
        <v>0</v>
      </c>
      <c r="CK56" s="16" t="n">
        <f aca="false">CJ57</f>
        <v>0</v>
      </c>
      <c r="CL56" s="16" t="n">
        <f aca="false">CK57</f>
        <v>0</v>
      </c>
      <c r="CM56" s="16" t="n">
        <f aca="false">CL57</f>
        <v>0</v>
      </c>
      <c r="CN56" s="16" t="n">
        <f aca="false">CM57</f>
        <v>0</v>
      </c>
      <c r="CO56" s="16" t="n">
        <f aca="false">CN57</f>
        <v>0</v>
      </c>
      <c r="CP56" s="16" t="n">
        <f aca="false">CO57</f>
        <v>0</v>
      </c>
      <c r="CQ56" s="16" t="n">
        <f aca="false">CP57</f>
        <v>0</v>
      </c>
      <c r="CR56" s="16" t="n">
        <f aca="false">CQ57</f>
        <v>0</v>
      </c>
      <c r="CS56" s="16" t="n">
        <f aca="false">CR57</f>
        <v>0</v>
      </c>
      <c r="CT56" s="16" t="n">
        <f aca="false">CS57</f>
        <v>0</v>
      </c>
      <c r="CU56" s="16" t="n">
        <f aca="false">CT57</f>
        <v>0</v>
      </c>
      <c r="CV56" s="16" t="n">
        <f aca="false">CU57</f>
        <v>0</v>
      </c>
      <c r="CW56" s="16" t="n">
        <f aca="false">CV57</f>
        <v>0</v>
      </c>
      <c r="CX56" s="16" t="n">
        <f aca="false">CW57</f>
        <v>0</v>
      </c>
    </row>
    <row r="57" customFormat="false" ht="15" hidden="false" customHeight="false" outlineLevel="0" collapsed="false">
      <c r="A57" s="1" t="n">
        <f aca="false">A56+1</f>
        <v>54</v>
      </c>
      <c r="B57" s="16" t="n">
        <f aca="false">B56</f>
        <v>0</v>
      </c>
      <c r="C57" s="16" t="n">
        <f aca="false">B58</f>
        <v>0</v>
      </c>
      <c r="D57" s="16" t="n">
        <f aca="false">C58</f>
        <v>0</v>
      </c>
      <c r="E57" s="16" t="n">
        <f aca="false">D58</f>
        <v>0</v>
      </c>
      <c r="F57" s="16" t="n">
        <f aca="false">E58</f>
        <v>0</v>
      </c>
      <c r="G57" s="16" t="n">
        <f aca="false">F58</f>
        <v>0</v>
      </c>
      <c r="H57" s="16" t="n">
        <f aca="false">G58</f>
        <v>0</v>
      </c>
      <c r="I57" s="16" t="n">
        <f aca="false">H58</f>
        <v>0</v>
      </c>
      <c r="J57" s="16" t="n">
        <f aca="false">I58</f>
        <v>0</v>
      </c>
      <c r="K57" s="16" t="n">
        <f aca="false">J58</f>
        <v>0</v>
      </c>
      <c r="L57" s="16" t="n">
        <f aca="false">K58</f>
        <v>0</v>
      </c>
      <c r="M57" s="16" t="n">
        <f aca="false">L58</f>
        <v>0</v>
      </c>
      <c r="N57" s="16" t="n">
        <f aca="false">M58</f>
        <v>0</v>
      </c>
      <c r="O57" s="16" t="n">
        <f aca="false">N58</f>
        <v>0</v>
      </c>
      <c r="P57" s="16" t="n">
        <f aca="false">O58</f>
        <v>0</v>
      </c>
      <c r="Q57" s="16" t="n">
        <f aca="false">P58</f>
        <v>0</v>
      </c>
      <c r="R57" s="16" t="n">
        <f aca="false">Q58</f>
        <v>0</v>
      </c>
      <c r="S57" s="16" t="n">
        <f aca="false">R58</f>
        <v>0</v>
      </c>
      <c r="T57" s="16" t="n">
        <f aca="false">S58</f>
        <v>0</v>
      </c>
      <c r="U57" s="16" t="n">
        <f aca="false">T58</f>
        <v>0</v>
      </c>
      <c r="V57" s="16" t="n">
        <f aca="false">U58</f>
        <v>0</v>
      </c>
      <c r="W57" s="16" t="n">
        <f aca="false">V58</f>
        <v>0</v>
      </c>
      <c r="X57" s="16" t="n">
        <f aca="false">W58</f>
        <v>0</v>
      </c>
      <c r="Y57" s="16" t="n">
        <f aca="false">X58</f>
        <v>0</v>
      </c>
      <c r="Z57" s="16" t="n">
        <f aca="false">Y58</f>
        <v>0</v>
      </c>
      <c r="AA57" s="16" t="n">
        <f aca="false">Z58</f>
        <v>0</v>
      </c>
      <c r="AB57" s="16" t="n">
        <f aca="false">AA58</f>
        <v>0</v>
      </c>
      <c r="AC57" s="16" t="n">
        <f aca="false">AB58</f>
        <v>0</v>
      </c>
      <c r="AD57" s="16" t="n">
        <f aca="false">AC58</f>
        <v>0</v>
      </c>
      <c r="AE57" s="16" t="n">
        <f aca="false">AD58</f>
        <v>0</v>
      </c>
      <c r="AF57" s="16" t="n">
        <f aca="false">AE58</f>
        <v>0</v>
      </c>
      <c r="AG57" s="16" t="n">
        <f aca="false">AF58</f>
        <v>0</v>
      </c>
      <c r="AH57" s="16" t="n">
        <f aca="false">AG58</f>
        <v>0</v>
      </c>
      <c r="AI57" s="16" t="n">
        <f aca="false">AH58</f>
        <v>0</v>
      </c>
      <c r="AJ57" s="16" t="n">
        <f aca="false">AI58</f>
        <v>0</v>
      </c>
      <c r="AK57" s="16" t="n">
        <f aca="false">AJ58</f>
        <v>0</v>
      </c>
      <c r="AL57" s="16" t="n">
        <f aca="false">AK58</f>
        <v>0</v>
      </c>
      <c r="AM57" s="16" t="n">
        <f aca="false">AL58</f>
        <v>0</v>
      </c>
      <c r="AN57" s="16" t="n">
        <f aca="false">AM58</f>
        <v>0</v>
      </c>
      <c r="AO57" s="16" t="n">
        <f aca="false">AN58</f>
        <v>0</v>
      </c>
      <c r="AP57" s="16" t="n">
        <f aca="false">AO58</f>
        <v>0</v>
      </c>
      <c r="AQ57" s="16" t="n">
        <f aca="false">AP58</f>
        <v>0</v>
      </c>
      <c r="AR57" s="16" t="n">
        <f aca="false">AQ58</f>
        <v>0</v>
      </c>
      <c r="AS57" s="16" t="n">
        <f aca="false">AR58</f>
        <v>0</v>
      </c>
      <c r="AT57" s="16" t="n">
        <f aca="false">AS58</f>
        <v>0</v>
      </c>
      <c r="AU57" s="16" t="n">
        <f aca="false">AT58</f>
        <v>0</v>
      </c>
      <c r="AV57" s="16" t="n">
        <f aca="false">AU58</f>
        <v>0</v>
      </c>
      <c r="AW57" s="16" t="n">
        <f aca="false">AV58</f>
        <v>0</v>
      </c>
      <c r="AX57" s="16" t="n">
        <f aca="false">AW58</f>
        <v>0</v>
      </c>
      <c r="AY57" s="16" t="n">
        <f aca="false">AX58</f>
        <v>0</v>
      </c>
      <c r="AZ57" s="16" t="n">
        <f aca="false">AY58</f>
        <v>0</v>
      </c>
      <c r="BA57" s="16" t="n">
        <f aca="false">AZ58</f>
        <v>0</v>
      </c>
      <c r="BB57" s="16" t="n">
        <f aca="false">BA58</f>
        <v>0</v>
      </c>
      <c r="BC57" s="16" t="n">
        <f aca="false">BB58</f>
        <v>0</v>
      </c>
      <c r="BD57" s="16" t="n">
        <f aca="false">BC58</f>
        <v>0</v>
      </c>
      <c r="BE57" s="16" t="n">
        <f aca="false">BD58</f>
        <v>0</v>
      </c>
      <c r="BF57" s="16" t="n">
        <f aca="false">BE58</f>
        <v>0</v>
      </c>
      <c r="BG57" s="16" t="n">
        <f aca="false">BF58</f>
        <v>0</v>
      </c>
      <c r="BH57" s="16" t="n">
        <f aca="false">BG58</f>
        <v>0</v>
      </c>
      <c r="BI57" s="16" t="n">
        <f aca="false">BH58</f>
        <v>0</v>
      </c>
      <c r="BJ57" s="16" t="n">
        <f aca="false">BI58</f>
        <v>0</v>
      </c>
      <c r="BK57" s="16" t="n">
        <f aca="false">BJ58</f>
        <v>0</v>
      </c>
      <c r="BL57" s="16" t="n">
        <f aca="false">BK58</f>
        <v>0</v>
      </c>
      <c r="BM57" s="16" t="n">
        <f aca="false">BL58</f>
        <v>0</v>
      </c>
      <c r="BN57" s="16" t="n">
        <f aca="false">BM58</f>
        <v>0</v>
      </c>
      <c r="BO57" s="16" t="n">
        <f aca="false">BN58</f>
        <v>0</v>
      </c>
      <c r="BP57" s="16" t="n">
        <f aca="false">BO58</f>
        <v>0</v>
      </c>
      <c r="BQ57" s="16" t="n">
        <f aca="false">BP58</f>
        <v>0</v>
      </c>
      <c r="BR57" s="16" t="n">
        <f aca="false">BQ58</f>
        <v>0</v>
      </c>
      <c r="BS57" s="16" t="n">
        <f aca="false">BR58</f>
        <v>0</v>
      </c>
      <c r="BT57" s="16" t="n">
        <f aca="false">BS58</f>
        <v>0</v>
      </c>
      <c r="BU57" s="16" t="n">
        <f aca="false">BT58</f>
        <v>0</v>
      </c>
      <c r="BV57" s="16" t="n">
        <f aca="false">BU58</f>
        <v>0</v>
      </c>
      <c r="BW57" s="16" t="n">
        <f aca="false">BV58</f>
        <v>0</v>
      </c>
      <c r="BX57" s="16" t="n">
        <f aca="false">BW58</f>
        <v>0</v>
      </c>
      <c r="BY57" s="16" t="n">
        <f aca="false">BX58</f>
        <v>0</v>
      </c>
      <c r="BZ57" s="16" t="n">
        <f aca="false">BY58</f>
        <v>0</v>
      </c>
      <c r="CA57" s="16" t="n">
        <f aca="false">BZ58</f>
        <v>0</v>
      </c>
      <c r="CB57" s="16" t="n">
        <f aca="false">CA58</f>
        <v>0</v>
      </c>
      <c r="CC57" s="16" t="n">
        <f aca="false">CB58</f>
        <v>0</v>
      </c>
      <c r="CD57" s="16" t="n">
        <f aca="false">CC58</f>
        <v>0</v>
      </c>
      <c r="CE57" s="16" t="n">
        <f aca="false">CD58</f>
        <v>0</v>
      </c>
      <c r="CF57" s="16" t="n">
        <f aca="false">CE58</f>
        <v>0</v>
      </c>
      <c r="CG57" s="16" t="n">
        <f aca="false">CF58</f>
        <v>0</v>
      </c>
      <c r="CH57" s="16" t="n">
        <f aca="false">CG58</f>
        <v>0</v>
      </c>
      <c r="CI57" s="16" t="n">
        <f aca="false">CH58</f>
        <v>0</v>
      </c>
      <c r="CJ57" s="16" t="n">
        <f aca="false">CI58</f>
        <v>0</v>
      </c>
      <c r="CK57" s="16" t="n">
        <f aca="false">CJ58</f>
        <v>0</v>
      </c>
      <c r="CL57" s="16" t="n">
        <f aca="false">CK58</f>
        <v>0</v>
      </c>
      <c r="CM57" s="16" t="n">
        <f aca="false">CL58</f>
        <v>0</v>
      </c>
      <c r="CN57" s="16" t="n">
        <f aca="false">CM58</f>
        <v>0</v>
      </c>
      <c r="CO57" s="16" t="n">
        <f aca="false">CN58</f>
        <v>0</v>
      </c>
      <c r="CP57" s="16" t="n">
        <f aca="false">CO58</f>
        <v>0</v>
      </c>
      <c r="CQ57" s="16" t="n">
        <f aca="false">CP58</f>
        <v>0</v>
      </c>
      <c r="CR57" s="16" t="n">
        <f aca="false">CQ58</f>
        <v>0</v>
      </c>
      <c r="CS57" s="16" t="n">
        <f aca="false">CR58</f>
        <v>0</v>
      </c>
      <c r="CT57" s="16" t="n">
        <f aca="false">CS58</f>
        <v>0</v>
      </c>
      <c r="CU57" s="16" t="n">
        <f aca="false">CT58</f>
        <v>0</v>
      </c>
      <c r="CV57" s="16" t="n">
        <f aca="false">CU58</f>
        <v>0</v>
      </c>
      <c r="CW57" s="16" t="n">
        <f aca="false">CV58</f>
        <v>0</v>
      </c>
      <c r="CX57" s="16" t="n">
        <f aca="false">CW58</f>
        <v>0</v>
      </c>
    </row>
    <row r="58" customFormat="false" ht="15" hidden="false" customHeight="false" outlineLevel="0" collapsed="false">
      <c r="A58" s="1" t="n">
        <f aca="false">A57+1</f>
        <v>55</v>
      </c>
      <c r="B58" s="16" t="n">
        <f aca="false">B57</f>
        <v>0</v>
      </c>
      <c r="C58" s="16" t="n">
        <f aca="false">B59</f>
        <v>0</v>
      </c>
      <c r="D58" s="16" t="n">
        <f aca="false">C59</f>
        <v>0</v>
      </c>
      <c r="E58" s="16" t="n">
        <f aca="false">D59</f>
        <v>0</v>
      </c>
      <c r="F58" s="16" t="n">
        <f aca="false">E59</f>
        <v>0</v>
      </c>
      <c r="G58" s="16" t="n">
        <f aca="false">F59</f>
        <v>0</v>
      </c>
      <c r="H58" s="16" t="n">
        <f aca="false">G59</f>
        <v>0</v>
      </c>
      <c r="I58" s="16" t="n">
        <f aca="false">H59</f>
        <v>0</v>
      </c>
      <c r="J58" s="16" t="n">
        <f aca="false">I59</f>
        <v>0</v>
      </c>
      <c r="K58" s="16" t="n">
        <f aca="false">J59</f>
        <v>0</v>
      </c>
      <c r="L58" s="16" t="n">
        <f aca="false">K59</f>
        <v>0</v>
      </c>
      <c r="M58" s="16" t="n">
        <f aca="false">L59</f>
        <v>0</v>
      </c>
      <c r="N58" s="16" t="n">
        <f aca="false">M59</f>
        <v>0</v>
      </c>
      <c r="O58" s="16" t="n">
        <f aca="false">N59</f>
        <v>0</v>
      </c>
      <c r="P58" s="16" t="n">
        <f aca="false">O59</f>
        <v>0</v>
      </c>
      <c r="Q58" s="16" t="n">
        <f aca="false">P59</f>
        <v>0</v>
      </c>
      <c r="R58" s="16" t="n">
        <f aca="false">Q59</f>
        <v>0</v>
      </c>
      <c r="S58" s="16" t="n">
        <f aca="false">R59</f>
        <v>0</v>
      </c>
      <c r="T58" s="16" t="n">
        <f aca="false">S59</f>
        <v>0</v>
      </c>
      <c r="U58" s="16" t="n">
        <f aca="false">T59</f>
        <v>0</v>
      </c>
      <c r="V58" s="16" t="n">
        <f aca="false">U59</f>
        <v>0</v>
      </c>
      <c r="W58" s="16" t="n">
        <f aca="false">V59</f>
        <v>0</v>
      </c>
      <c r="X58" s="16" t="n">
        <f aca="false">W59</f>
        <v>0</v>
      </c>
      <c r="Y58" s="16" t="n">
        <f aca="false">X59</f>
        <v>0</v>
      </c>
      <c r="Z58" s="16" t="n">
        <f aca="false">Y59</f>
        <v>0</v>
      </c>
      <c r="AA58" s="16" t="n">
        <f aca="false">Z59</f>
        <v>0</v>
      </c>
      <c r="AB58" s="16" t="n">
        <f aca="false">AA59</f>
        <v>0</v>
      </c>
      <c r="AC58" s="16" t="n">
        <f aca="false">AB59</f>
        <v>0</v>
      </c>
      <c r="AD58" s="16" t="n">
        <f aca="false">AC59</f>
        <v>0</v>
      </c>
      <c r="AE58" s="16" t="n">
        <f aca="false">AD59</f>
        <v>0</v>
      </c>
      <c r="AF58" s="16" t="n">
        <f aca="false">AE59</f>
        <v>0</v>
      </c>
      <c r="AG58" s="16" t="n">
        <f aca="false">AF59</f>
        <v>0</v>
      </c>
      <c r="AH58" s="16" t="n">
        <f aca="false">AG59</f>
        <v>0</v>
      </c>
      <c r="AI58" s="16" t="n">
        <f aca="false">AH59</f>
        <v>0</v>
      </c>
      <c r="AJ58" s="16" t="n">
        <f aca="false">AI59</f>
        <v>0</v>
      </c>
      <c r="AK58" s="16" t="n">
        <f aca="false">AJ59</f>
        <v>0</v>
      </c>
      <c r="AL58" s="16" t="n">
        <f aca="false">AK59</f>
        <v>0</v>
      </c>
      <c r="AM58" s="16" t="n">
        <f aca="false">AL59</f>
        <v>0</v>
      </c>
      <c r="AN58" s="16" t="n">
        <f aca="false">AM59</f>
        <v>0</v>
      </c>
      <c r="AO58" s="16" t="n">
        <f aca="false">AN59</f>
        <v>0</v>
      </c>
      <c r="AP58" s="16" t="n">
        <f aca="false">AO59</f>
        <v>0</v>
      </c>
      <c r="AQ58" s="16" t="n">
        <f aca="false">AP59</f>
        <v>0</v>
      </c>
      <c r="AR58" s="16" t="n">
        <f aca="false">AQ59</f>
        <v>0</v>
      </c>
      <c r="AS58" s="16" t="n">
        <f aca="false">AR59</f>
        <v>0</v>
      </c>
      <c r="AT58" s="16" t="n">
        <f aca="false">AS59</f>
        <v>0</v>
      </c>
      <c r="AU58" s="16" t="n">
        <f aca="false">AT59</f>
        <v>0</v>
      </c>
      <c r="AV58" s="16" t="n">
        <f aca="false">AU59</f>
        <v>0</v>
      </c>
      <c r="AW58" s="16" t="n">
        <f aca="false">AV59</f>
        <v>0</v>
      </c>
      <c r="AX58" s="16" t="n">
        <f aca="false">AW59</f>
        <v>0</v>
      </c>
      <c r="AY58" s="16" t="n">
        <f aca="false">AX59</f>
        <v>0</v>
      </c>
      <c r="AZ58" s="16" t="n">
        <f aca="false">AY59</f>
        <v>0</v>
      </c>
      <c r="BA58" s="16" t="n">
        <f aca="false">AZ59</f>
        <v>0</v>
      </c>
      <c r="BB58" s="16" t="n">
        <f aca="false">BA59</f>
        <v>0</v>
      </c>
      <c r="BC58" s="16" t="n">
        <f aca="false">BB59</f>
        <v>0</v>
      </c>
      <c r="BD58" s="16" t="n">
        <f aca="false">BC59</f>
        <v>0</v>
      </c>
      <c r="BE58" s="16" t="n">
        <f aca="false">BD59</f>
        <v>0</v>
      </c>
      <c r="BF58" s="16" t="n">
        <f aca="false">BE59</f>
        <v>0</v>
      </c>
      <c r="BG58" s="16" t="n">
        <f aca="false">BF59</f>
        <v>0</v>
      </c>
      <c r="BH58" s="16" t="n">
        <f aca="false">BG59</f>
        <v>0</v>
      </c>
      <c r="BI58" s="16" t="n">
        <f aca="false">BH59</f>
        <v>0</v>
      </c>
      <c r="BJ58" s="16" t="n">
        <f aca="false">BI59</f>
        <v>0</v>
      </c>
      <c r="BK58" s="16" t="n">
        <f aca="false">BJ59</f>
        <v>0</v>
      </c>
      <c r="BL58" s="16" t="n">
        <f aca="false">BK59</f>
        <v>0</v>
      </c>
      <c r="BM58" s="16" t="n">
        <f aca="false">BL59</f>
        <v>0</v>
      </c>
      <c r="BN58" s="16" t="n">
        <f aca="false">BM59</f>
        <v>0</v>
      </c>
      <c r="BO58" s="16" t="n">
        <f aca="false">BN59</f>
        <v>0</v>
      </c>
      <c r="BP58" s="16" t="n">
        <f aca="false">BO59</f>
        <v>0</v>
      </c>
      <c r="BQ58" s="16" t="n">
        <f aca="false">BP59</f>
        <v>0</v>
      </c>
      <c r="BR58" s="16" t="n">
        <f aca="false">BQ59</f>
        <v>0</v>
      </c>
      <c r="BS58" s="16" t="n">
        <f aca="false">BR59</f>
        <v>0</v>
      </c>
      <c r="BT58" s="16" t="n">
        <f aca="false">BS59</f>
        <v>0</v>
      </c>
      <c r="BU58" s="16" t="n">
        <f aca="false">BT59</f>
        <v>0</v>
      </c>
      <c r="BV58" s="16" t="n">
        <f aca="false">BU59</f>
        <v>0</v>
      </c>
      <c r="BW58" s="16" t="n">
        <f aca="false">BV59</f>
        <v>0</v>
      </c>
      <c r="BX58" s="16" t="n">
        <f aca="false">BW59</f>
        <v>0</v>
      </c>
      <c r="BY58" s="16" t="n">
        <f aca="false">BX59</f>
        <v>0</v>
      </c>
      <c r="BZ58" s="16" t="n">
        <f aca="false">BY59</f>
        <v>0</v>
      </c>
      <c r="CA58" s="16" t="n">
        <f aca="false">BZ59</f>
        <v>0</v>
      </c>
      <c r="CB58" s="16" t="n">
        <f aca="false">CA59</f>
        <v>0</v>
      </c>
      <c r="CC58" s="16" t="n">
        <f aca="false">CB59</f>
        <v>0</v>
      </c>
      <c r="CD58" s="16" t="n">
        <f aca="false">CC59</f>
        <v>0</v>
      </c>
      <c r="CE58" s="16" t="n">
        <f aca="false">CD59</f>
        <v>0</v>
      </c>
      <c r="CF58" s="16" t="n">
        <f aca="false">CE59</f>
        <v>0</v>
      </c>
      <c r="CG58" s="16" t="n">
        <f aca="false">CF59</f>
        <v>0</v>
      </c>
      <c r="CH58" s="16" t="n">
        <f aca="false">CG59</f>
        <v>0</v>
      </c>
      <c r="CI58" s="16" t="n">
        <f aca="false">CH59</f>
        <v>0</v>
      </c>
      <c r="CJ58" s="16" t="n">
        <f aca="false">CI59</f>
        <v>0</v>
      </c>
      <c r="CK58" s="16" t="n">
        <f aca="false">CJ59</f>
        <v>0</v>
      </c>
      <c r="CL58" s="16" t="n">
        <f aca="false">CK59</f>
        <v>0</v>
      </c>
      <c r="CM58" s="16" t="n">
        <f aca="false">CL59</f>
        <v>0</v>
      </c>
      <c r="CN58" s="16" t="n">
        <f aca="false">CM59</f>
        <v>0</v>
      </c>
      <c r="CO58" s="16" t="n">
        <f aca="false">CN59</f>
        <v>0</v>
      </c>
      <c r="CP58" s="16" t="n">
        <f aca="false">CO59</f>
        <v>0</v>
      </c>
      <c r="CQ58" s="16" t="n">
        <f aca="false">CP59</f>
        <v>0</v>
      </c>
      <c r="CR58" s="16" t="n">
        <f aca="false">CQ59</f>
        <v>0</v>
      </c>
      <c r="CS58" s="16" t="n">
        <f aca="false">CR59</f>
        <v>0</v>
      </c>
      <c r="CT58" s="16" t="n">
        <f aca="false">CS59</f>
        <v>0</v>
      </c>
      <c r="CU58" s="16" t="n">
        <f aca="false">CT59</f>
        <v>0</v>
      </c>
      <c r="CV58" s="16" t="n">
        <f aca="false">CU59</f>
        <v>0</v>
      </c>
      <c r="CW58" s="16" t="n">
        <f aca="false">CV59</f>
        <v>0</v>
      </c>
      <c r="CX58" s="16" t="n">
        <f aca="false">CW59</f>
        <v>0</v>
      </c>
    </row>
    <row r="59" customFormat="false" ht="15" hidden="false" customHeight="false" outlineLevel="0" collapsed="false">
      <c r="A59" s="1" t="n">
        <f aca="false">A58+1</f>
        <v>56</v>
      </c>
      <c r="B59" s="16" t="n">
        <f aca="false">B58</f>
        <v>0</v>
      </c>
      <c r="C59" s="16" t="n">
        <f aca="false">B60</f>
        <v>0</v>
      </c>
      <c r="D59" s="16" t="n">
        <f aca="false">C60</f>
        <v>0</v>
      </c>
      <c r="E59" s="16" t="n">
        <f aca="false">D60</f>
        <v>0</v>
      </c>
      <c r="F59" s="16" t="n">
        <f aca="false">E60</f>
        <v>0</v>
      </c>
      <c r="G59" s="16" t="n">
        <f aca="false">F60</f>
        <v>0</v>
      </c>
      <c r="H59" s="16" t="n">
        <f aca="false">G60</f>
        <v>0</v>
      </c>
      <c r="I59" s="16" t="n">
        <f aca="false">H60</f>
        <v>0</v>
      </c>
      <c r="J59" s="16" t="n">
        <f aca="false">I60</f>
        <v>0</v>
      </c>
      <c r="K59" s="16" t="n">
        <f aca="false">J60</f>
        <v>0</v>
      </c>
      <c r="L59" s="16" t="n">
        <f aca="false">K60</f>
        <v>0</v>
      </c>
      <c r="M59" s="16" t="n">
        <f aca="false">L60</f>
        <v>0</v>
      </c>
      <c r="N59" s="16" t="n">
        <f aca="false">M60</f>
        <v>0</v>
      </c>
      <c r="O59" s="16" t="n">
        <f aca="false">N60</f>
        <v>0</v>
      </c>
      <c r="P59" s="16" t="n">
        <f aca="false">O60</f>
        <v>0</v>
      </c>
      <c r="Q59" s="16" t="n">
        <f aca="false">P60</f>
        <v>0</v>
      </c>
      <c r="R59" s="16" t="n">
        <f aca="false">Q60</f>
        <v>0</v>
      </c>
      <c r="S59" s="16" t="n">
        <f aca="false">R60</f>
        <v>0</v>
      </c>
      <c r="T59" s="16" t="n">
        <f aca="false">S60</f>
        <v>0</v>
      </c>
      <c r="U59" s="16" t="n">
        <f aca="false">T60</f>
        <v>0</v>
      </c>
      <c r="V59" s="16" t="n">
        <f aca="false">U60</f>
        <v>0</v>
      </c>
      <c r="W59" s="16" t="n">
        <f aca="false">V60</f>
        <v>0</v>
      </c>
      <c r="X59" s="16" t="n">
        <f aca="false">W60</f>
        <v>0</v>
      </c>
      <c r="Y59" s="16" t="n">
        <f aca="false">X60</f>
        <v>0</v>
      </c>
      <c r="Z59" s="16" t="n">
        <f aca="false">Y60</f>
        <v>0</v>
      </c>
      <c r="AA59" s="16" t="n">
        <f aca="false">Z60</f>
        <v>0</v>
      </c>
      <c r="AB59" s="16" t="n">
        <f aca="false">AA60</f>
        <v>0</v>
      </c>
      <c r="AC59" s="16" t="n">
        <f aca="false">AB60</f>
        <v>0</v>
      </c>
      <c r="AD59" s="16" t="n">
        <f aca="false">AC60</f>
        <v>0</v>
      </c>
      <c r="AE59" s="16" t="n">
        <f aca="false">AD60</f>
        <v>0</v>
      </c>
      <c r="AF59" s="16" t="n">
        <f aca="false">AE60</f>
        <v>0</v>
      </c>
      <c r="AG59" s="16" t="n">
        <f aca="false">AF60</f>
        <v>0</v>
      </c>
      <c r="AH59" s="16" t="n">
        <f aca="false">AG60</f>
        <v>0</v>
      </c>
      <c r="AI59" s="16" t="n">
        <f aca="false">AH60</f>
        <v>0</v>
      </c>
      <c r="AJ59" s="16" t="n">
        <f aca="false">AI60</f>
        <v>0</v>
      </c>
      <c r="AK59" s="16" t="n">
        <f aca="false">AJ60</f>
        <v>0</v>
      </c>
      <c r="AL59" s="16" t="n">
        <f aca="false">AK60</f>
        <v>0</v>
      </c>
      <c r="AM59" s="16" t="n">
        <f aca="false">AL60</f>
        <v>0</v>
      </c>
      <c r="AN59" s="16" t="n">
        <f aca="false">AM60</f>
        <v>0</v>
      </c>
      <c r="AO59" s="16" t="n">
        <f aca="false">AN60</f>
        <v>0</v>
      </c>
      <c r="AP59" s="16" t="n">
        <f aca="false">AO60</f>
        <v>0</v>
      </c>
      <c r="AQ59" s="16" t="n">
        <f aca="false">AP60</f>
        <v>0</v>
      </c>
      <c r="AR59" s="16" t="n">
        <f aca="false">AQ60</f>
        <v>0</v>
      </c>
      <c r="AS59" s="16" t="n">
        <f aca="false">AR60</f>
        <v>0</v>
      </c>
      <c r="AT59" s="16" t="n">
        <f aca="false">AS60</f>
        <v>0</v>
      </c>
      <c r="AU59" s="16" t="n">
        <f aca="false">AT60</f>
        <v>0</v>
      </c>
      <c r="AV59" s="16" t="n">
        <f aca="false">AU60</f>
        <v>0</v>
      </c>
      <c r="AW59" s="16" t="n">
        <f aca="false">AV60</f>
        <v>0</v>
      </c>
      <c r="AX59" s="16" t="n">
        <f aca="false">AW60</f>
        <v>0</v>
      </c>
      <c r="AY59" s="16" t="n">
        <f aca="false">AX60</f>
        <v>0</v>
      </c>
      <c r="AZ59" s="16" t="n">
        <f aca="false">AY60</f>
        <v>0</v>
      </c>
      <c r="BA59" s="16" t="n">
        <f aca="false">AZ60</f>
        <v>0</v>
      </c>
      <c r="BB59" s="16" t="n">
        <f aca="false">BA60</f>
        <v>0</v>
      </c>
      <c r="BC59" s="16" t="n">
        <f aca="false">BB60</f>
        <v>0</v>
      </c>
      <c r="BD59" s="16" t="n">
        <f aca="false">BC60</f>
        <v>0</v>
      </c>
      <c r="BE59" s="16" t="n">
        <f aca="false">BD60</f>
        <v>0</v>
      </c>
      <c r="BF59" s="16" t="n">
        <f aca="false">BE60</f>
        <v>0</v>
      </c>
      <c r="BG59" s="16" t="n">
        <f aca="false">BF60</f>
        <v>0</v>
      </c>
      <c r="BH59" s="16" t="n">
        <f aca="false">BG60</f>
        <v>0</v>
      </c>
      <c r="BI59" s="16" t="n">
        <f aca="false">BH60</f>
        <v>0</v>
      </c>
      <c r="BJ59" s="16" t="n">
        <f aca="false">BI60</f>
        <v>0</v>
      </c>
      <c r="BK59" s="16" t="n">
        <f aca="false">BJ60</f>
        <v>0</v>
      </c>
      <c r="BL59" s="16" t="n">
        <f aca="false">BK60</f>
        <v>0</v>
      </c>
      <c r="BM59" s="16" t="n">
        <f aca="false">BL60</f>
        <v>0</v>
      </c>
      <c r="BN59" s="16" t="n">
        <f aca="false">BM60</f>
        <v>0</v>
      </c>
      <c r="BO59" s="16" t="n">
        <f aca="false">BN60</f>
        <v>0</v>
      </c>
      <c r="BP59" s="16" t="n">
        <f aca="false">BO60</f>
        <v>0</v>
      </c>
      <c r="BQ59" s="16" t="n">
        <f aca="false">BP60</f>
        <v>0</v>
      </c>
      <c r="BR59" s="16" t="n">
        <f aca="false">BQ60</f>
        <v>0</v>
      </c>
      <c r="BS59" s="16" t="n">
        <f aca="false">BR60</f>
        <v>0</v>
      </c>
      <c r="BT59" s="16" t="n">
        <f aca="false">BS60</f>
        <v>0</v>
      </c>
      <c r="BU59" s="16" t="n">
        <f aca="false">BT60</f>
        <v>0</v>
      </c>
      <c r="BV59" s="16" t="n">
        <f aca="false">BU60</f>
        <v>0</v>
      </c>
      <c r="BW59" s="16" t="n">
        <f aca="false">BV60</f>
        <v>0</v>
      </c>
      <c r="BX59" s="16" t="n">
        <f aca="false">BW60</f>
        <v>0</v>
      </c>
      <c r="BY59" s="16" t="n">
        <f aca="false">BX60</f>
        <v>0</v>
      </c>
      <c r="BZ59" s="16" t="n">
        <f aca="false">BY60</f>
        <v>0</v>
      </c>
      <c r="CA59" s="16" t="n">
        <f aca="false">BZ60</f>
        <v>0</v>
      </c>
      <c r="CB59" s="16" t="n">
        <f aca="false">CA60</f>
        <v>0</v>
      </c>
      <c r="CC59" s="16" t="n">
        <f aca="false">CB60</f>
        <v>0</v>
      </c>
      <c r="CD59" s="16" t="n">
        <f aca="false">CC60</f>
        <v>0</v>
      </c>
      <c r="CE59" s="16" t="n">
        <f aca="false">CD60</f>
        <v>0</v>
      </c>
      <c r="CF59" s="16" t="n">
        <f aca="false">CE60</f>
        <v>0</v>
      </c>
      <c r="CG59" s="16" t="n">
        <f aca="false">CF60</f>
        <v>0</v>
      </c>
      <c r="CH59" s="16" t="n">
        <f aca="false">CG60</f>
        <v>0</v>
      </c>
      <c r="CI59" s="16" t="n">
        <f aca="false">CH60</f>
        <v>0</v>
      </c>
      <c r="CJ59" s="16" t="n">
        <f aca="false">CI60</f>
        <v>0</v>
      </c>
      <c r="CK59" s="16" t="n">
        <f aca="false">CJ60</f>
        <v>0</v>
      </c>
      <c r="CL59" s="16" t="n">
        <f aca="false">CK60</f>
        <v>0</v>
      </c>
      <c r="CM59" s="16" t="n">
        <f aca="false">CL60</f>
        <v>0</v>
      </c>
      <c r="CN59" s="16" t="n">
        <f aca="false">CM60</f>
        <v>0</v>
      </c>
      <c r="CO59" s="16" t="n">
        <f aca="false">CN60</f>
        <v>0</v>
      </c>
      <c r="CP59" s="16" t="n">
        <f aca="false">CO60</f>
        <v>0</v>
      </c>
      <c r="CQ59" s="16" t="n">
        <f aca="false">CP60</f>
        <v>0</v>
      </c>
      <c r="CR59" s="16" t="n">
        <f aca="false">CQ60</f>
        <v>0</v>
      </c>
      <c r="CS59" s="16" t="n">
        <f aca="false">CR60</f>
        <v>0</v>
      </c>
      <c r="CT59" s="16" t="n">
        <f aca="false">CS60</f>
        <v>0</v>
      </c>
      <c r="CU59" s="16" t="n">
        <f aca="false">CT60</f>
        <v>0</v>
      </c>
      <c r="CV59" s="16" t="n">
        <f aca="false">CU60</f>
        <v>0</v>
      </c>
      <c r="CW59" s="16" t="n">
        <f aca="false">CV60</f>
        <v>0</v>
      </c>
      <c r="CX59" s="16" t="n">
        <f aca="false">CW60</f>
        <v>0</v>
      </c>
    </row>
    <row r="60" customFormat="false" ht="15" hidden="false" customHeight="false" outlineLevel="0" collapsed="false">
      <c r="A60" s="1" t="n">
        <f aca="false">A59+1</f>
        <v>57</v>
      </c>
      <c r="B60" s="16" t="n">
        <f aca="false">B59</f>
        <v>0</v>
      </c>
      <c r="C60" s="16" t="n">
        <f aca="false">B61</f>
        <v>0</v>
      </c>
      <c r="D60" s="16" t="n">
        <f aca="false">C61</f>
        <v>0</v>
      </c>
      <c r="E60" s="16" t="n">
        <f aca="false">D61</f>
        <v>0</v>
      </c>
      <c r="F60" s="16" t="n">
        <f aca="false">E61</f>
        <v>0</v>
      </c>
      <c r="G60" s="16" t="n">
        <f aca="false">F61</f>
        <v>0</v>
      </c>
      <c r="H60" s="16" t="n">
        <f aca="false">G61</f>
        <v>0</v>
      </c>
      <c r="I60" s="16" t="n">
        <f aca="false">H61</f>
        <v>0</v>
      </c>
      <c r="J60" s="16" t="n">
        <f aca="false">I61</f>
        <v>0</v>
      </c>
      <c r="K60" s="16" t="n">
        <f aca="false">J61</f>
        <v>0</v>
      </c>
      <c r="L60" s="16" t="n">
        <f aca="false">K61</f>
        <v>0</v>
      </c>
      <c r="M60" s="16" t="n">
        <f aca="false">L61</f>
        <v>0</v>
      </c>
      <c r="N60" s="16" t="n">
        <f aca="false">M61</f>
        <v>0</v>
      </c>
      <c r="O60" s="16" t="n">
        <f aca="false">N61</f>
        <v>0</v>
      </c>
      <c r="P60" s="16" t="n">
        <f aca="false">O61</f>
        <v>0</v>
      </c>
      <c r="Q60" s="16" t="n">
        <f aca="false">P61</f>
        <v>0</v>
      </c>
      <c r="R60" s="16" t="n">
        <f aca="false">Q61</f>
        <v>0</v>
      </c>
      <c r="S60" s="16" t="n">
        <f aca="false">R61</f>
        <v>0</v>
      </c>
      <c r="T60" s="16" t="n">
        <f aca="false">S61</f>
        <v>0</v>
      </c>
      <c r="U60" s="16" t="n">
        <f aca="false">T61</f>
        <v>0</v>
      </c>
      <c r="V60" s="16" t="n">
        <f aca="false">U61</f>
        <v>0</v>
      </c>
      <c r="W60" s="16" t="n">
        <f aca="false">V61</f>
        <v>0</v>
      </c>
      <c r="X60" s="16" t="n">
        <f aca="false">W61</f>
        <v>0</v>
      </c>
      <c r="Y60" s="16" t="n">
        <f aca="false">X61</f>
        <v>0</v>
      </c>
      <c r="Z60" s="16" t="n">
        <f aca="false">Y61</f>
        <v>0</v>
      </c>
      <c r="AA60" s="16" t="n">
        <f aca="false">Z61</f>
        <v>0</v>
      </c>
      <c r="AB60" s="16" t="n">
        <f aca="false">AA61</f>
        <v>0</v>
      </c>
      <c r="AC60" s="16" t="n">
        <f aca="false">AB61</f>
        <v>0</v>
      </c>
      <c r="AD60" s="16" t="n">
        <f aca="false">AC61</f>
        <v>0</v>
      </c>
      <c r="AE60" s="16" t="n">
        <f aca="false">AD61</f>
        <v>0</v>
      </c>
      <c r="AF60" s="16" t="n">
        <f aca="false">AE61</f>
        <v>0</v>
      </c>
      <c r="AG60" s="16" t="n">
        <f aca="false">AF61</f>
        <v>0</v>
      </c>
      <c r="AH60" s="16" t="n">
        <f aca="false">AG61</f>
        <v>0</v>
      </c>
      <c r="AI60" s="16" t="n">
        <f aca="false">AH61</f>
        <v>0</v>
      </c>
      <c r="AJ60" s="16" t="n">
        <f aca="false">AI61</f>
        <v>0</v>
      </c>
      <c r="AK60" s="16" t="n">
        <f aca="false">AJ61</f>
        <v>0</v>
      </c>
      <c r="AL60" s="16" t="n">
        <f aca="false">AK61</f>
        <v>0</v>
      </c>
      <c r="AM60" s="16" t="n">
        <f aca="false">AL61</f>
        <v>0</v>
      </c>
      <c r="AN60" s="16" t="n">
        <f aca="false">AM61</f>
        <v>0</v>
      </c>
      <c r="AO60" s="16" t="n">
        <f aca="false">AN61</f>
        <v>0</v>
      </c>
      <c r="AP60" s="16" t="n">
        <f aca="false">AO61</f>
        <v>0</v>
      </c>
      <c r="AQ60" s="16" t="n">
        <f aca="false">AP61</f>
        <v>0</v>
      </c>
      <c r="AR60" s="16" t="n">
        <f aca="false">AQ61</f>
        <v>0</v>
      </c>
      <c r="AS60" s="16" t="n">
        <f aca="false">AR61</f>
        <v>0</v>
      </c>
      <c r="AT60" s="16" t="n">
        <f aca="false">AS61</f>
        <v>0</v>
      </c>
      <c r="AU60" s="16" t="n">
        <f aca="false">AT61</f>
        <v>0</v>
      </c>
      <c r="AV60" s="16" t="n">
        <f aca="false">AU61</f>
        <v>0</v>
      </c>
      <c r="AW60" s="16" t="n">
        <f aca="false">AV61</f>
        <v>0</v>
      </c>
      <c r="AX60" s="16" t="n">
        <f aca="false">AW61</f>
        <v>0</v>
      </c>
      <c r="AY60" s="16" t="n">
        <f aca="false">AX61</f>
        <v>0</v>
      </c>
      <c r="AZ60" s="16" t="n">
        <f aca="false">AY61</f>
        <v>0</v>
      </c>
      <c r="BA60" s="16" t="n">
        <f aca="false">AZ61</f>
        <v>0</v>
      </c>
      <c r="BB60" s="16" t="n">
        <f aca="false">BA61</f>
        <v>0</v>
      </c>
      <c r="BC60" s="16" t="n">
        <f aca="false">BB61</f>
        <v>0</v>
      </c>
      <c r="BD60" s="16" t="n">
        <f aca="false">BC61</f>
        <v>0</v>
      </c>
      <c r="BE60" s="16" t="n">
        <f aca="false">BD61</f>
        <v>0</v>
      </c>
      <c r="BF60" s="16" t="n">
        <f aca="false">BE61</f>
        <v>0</v>
      </c>
      <c r="BG60" s="16" t="n">
        <f aca="false">BF61</f>
        <v>0</v>
      </c>
      <c r="BH60" s="16" t="n">
        <f aca="false">BG61</f>
        <v>0</v>
      </c>
      <c r="BI60" s="16" t="n">
        <f aca="false">BH61</f>
        <v>0</v>
      </c>
      <c r="BJ60" s="16" t="n">
        <f aca="false">BI61</f>
        <v>0</v>
      </c>
      <c r="BK60" s="16" t="n">
        <f aca="false">BJ61</f>
        <v>0</v>
      </c>
      <c r="BL60" s="16" t="n">
        <f aca="false">BK61</f>
        <v>0</v>
      </c>
      <c r="BM60" s="16" t="n">
        <f aca="false">BL61</f>
        <v>0</v>
      </c>
      <c r="BN60" s="16" t="n">
        <f aca="false">BM61</f>
        <v>0</v>
      </c>
      <c r="BO60" s="16" t="n">
        <f aca="false">BN61</f>
        <v>0</v>
      </c>
      <c r="BP60" s="16" t="n">
        <f aca="false">BO61</f>
        <v>0</v>
      </c>
      <c r="BQ60" s="16" t="n">
        <f aca="false">BP61</f>
        <v>0</v>
      </c>
      <c r="BR60" s="16" t="n">
        <f aca="false">BQ61</f>
        <v>0</v>
      </c>
      <c r="BS60" s="16" t="n">
        <f aca="false">BR61</f>
        <v>0</v>
      </c>
      <c r="BT60" s="16" t="n">
        <f aca="false">BS61</f>
        <v>0</v>
      </c>
      <c r="BU60" s="16" t="n">
        <f aca="false">BT61</f>
        <v>0</v>
      </c>
      <c r="BV60" s="16" t="n">
        <f aca="false">BU61</f>
        <v>0</v>
      </c>
      <c r="BW60" s="16" t="n">
        <f aca="false">BV61</f>
        <v>0</v>
      </c>
      <c r="BX60" s="16" t="n">
        <f aca="false">BW61</f>
        <v>0</v>
      </c>
      <c r="BY60" s="16" t="n">
        <f aca="false">BX61</f>
        <v>0</v>
      </c>
      <c r="BZ60" s="16" t="n">
        <f aca="false">BY61</f>
        <v>0</v>
      </c>
      <c r="CA60" s="16" t="n">
        <f aca="false">BZ61</f>
        <v>0</v>
      </c>
      <c r="CB60" s="16" t="n">
        <f aca="false">CA61</f>
        <v>0</v>
      </c>
      <c r="CC60" s="16" t="n">
        <f aca="false">CB61</f>
        <v>0</v>
      </c>
      <c r="CD60" s="16" t="n">
        <f aca="false">CC61</f>
        <v>0</v>
      </c>
      <c r="CE60" s="16" t="n">
        <f aca="false">CD61</f>
        <v>0</v>
      </c>
      <c r="CF60" s="16" t="n">
        <f aca="false">CE61</f>
        <v>0</v>
      </c>
      <c r="CG60" s="16" t="n">
        <f aca="false">CF61</f>
        <v>0</v>
      </c>
      <c r="CH60" s="16" t="n">
        <f aca="false">CG61</f>
        <v>0</v>
      </c>
      <c r="CI60" s="16" t="n">
        <f aca="false">CH61</f>
        <v>0</v>
      </c>
      <c r="CJ60" s="16" t="n">
        <f aca="false">CI61</f>
        <v>0</v>
      </c>
      <c r="CK60" s="16" t="n">
        <f aca="false">CJ61</f>
        <v>0</v>
      </c>
      <c r="CL60" s="16" t="n">
        <f aca="false">CK61</f>
        <v>0</v>
      </c>
      <c r="CM60" s="16" t="n">
        <f aca="false">CL61</f>
        <v>0</v>
      </c>
      <c r="CN60" s="16" t="n">
        <f aca="false">CM61</f>
        <v>0</v>
      </c>
      <c r="CO60" s="16" t="n">
        <f aca="false">CN61</f>
        <v>0</v>
      </c>
      <c r="CP60" s="16" t="n">
        <f aca="false">CO61</f>
        <v>0</v>
      </c>
      <c r="CQ60" s="16" t="n">
        <f aca="false">CP61</f>
        <v>0</v>
      </c>
      <c r="CR60" s="16" t="n">
        <f aca="false">CQ61</f>
        <v>0</v>
      </c>
      <c r="CS60" s="16" t="n">
        <f aca="false">CR61</f>
        <v>0</v>
      </c>
      <c r="CT60" s="16" t="n">
        <f aca="false">CS61</f>
        <v>0</v>
      </c>
      <c r="CU60" s="16" t="n">
        <f aca="false">CT61</f>
        <v>0</v>
      </c>
      <c r="CV60" s="16" t="n">
        <f aca="false">CU61</f>
        <v>0</v>
      </c>
      <c r="CW60" s="16" t="n">
        <f aca="false">CV61</f>
        <v>0</v>
      </c>
      <c r="CX60" s="16" t="n">
        <f aca="false">CW61</f>
        <v>0</v>
      </c>
    </row>
    <row r="61" customFormat="false" ht="15" hidden="false" customHeight="false" outlineLevel="0" collapsed="false">
      <c r="A61" s="1" t="n">
        <f aca="false">A60+1</f>
        <v>58</v>
      </c>
      <c r="B61" s="16" t="n">
        <f aca="false">B60</f>
        <v>0</v>
      </c>
      <c r="C61" s="16" t="n">
        <f aca="false">B62</f>
        <v>0</v>
      </c>
      <c r="D61" s="16" t="n">
        <f aca="false">C62</f>
        <v>0</v>
      </c>
      <c r="E61" s="16" t="n">
        <f aca="false">D62</f>
        <v>0</v>
      </c>
      <c r="F61" s="16" t="n">
        <f aca="false">E62</f>
        <v>0</v>
      </c>
      <c r="G61" s="16" t="n">
        <f aca="false">F62</f>
        <v>0</v>
      </c>
      <c r="H61" s="16" t="n">
        <f aca="false">G62</f>
        <v>0</v>
      </c>
      <c r="I61" s="16" t="n">
        <f aca="false">H62</f>
        <v>0</v>
      </c>
      <c r="J61" s="16" t="n">
        <f aca="false">I62</f>
        <v>0</v>
      </c>
      <c r="K61" s="16" t="n">
        <f aca="false">J62</f>
        <v>0</v>
      </c>
      <c r="L61" s="16" t="n">
        <f aca="false">K62</f>
        <v>0</v>
      </c>
      <c r="M61" s="16" t="n">
        <f aca="false">L62</f>
        <v>0</v>
      </c>
      <c r="N61" s="16" t="n">
        <f aca="false">M62</f>
        <v>0</v>
      </c>
      <c r="O61" s="16" t="n">
        <f aca="false">N62</f>
        <v>0</v>
      </c>
      <c r="P61" s="16" t="n">
        <f aca="false">O62</f>
        <v>0</v>
      </c>
      <c r="Q61" s="16" t="n">
        <f aca="false">P62</f>
        <v>0</v>
      </c>
      <c r="R61" s="16" t="n">
        <f aca="false">Q62</f>
        <v>0</v>
      </c>
      <c r="S61" s="16" t="n">
        <f aca="false">R62</f>
        <v>0</v>
      </c>
      <c r="T61" s="16" t="n">
        <f aca="false">S62</f>
        <v>0</v>
      </c>
      <c r="U61" s="16" t="n">
        <f aca="false">T62</f>
        <v>0</v>
      </c>
      <c r="V61" s="16" t="n">
        <f aca="false">U62</f>
        <v>0</v>
      </c>
      <c r="W61" s="16" t="n">
        <f aca="false">V62</f>
        <v>0</v>
      </c>
      <c r="X61" s="16" t="n">
        <f aca="false">W62</f>
        <v>0</v>
      </c>
      <c r="Y61" s="16" t="n">
        <f aca="false">X62</f>
        <v>0</v>
      </c>
      <c r="Z61" s="16" t="n">
        <f aca="false">Y62</f>
        <v>0</v>
      </c>
      <c r="AA61" s="16" t="n">
        <f aca="false">Z62</f>
        <v>0</v>
      </c>
      <c r="AB61" s="16" t="n">
        <f aca="false">AA62</f>
        <v>0</v>
      </c>
      <c r="AC61" s="16" t="n">
        <f aca="false">AB62</f>
        <v>0</v>
      </c>
      <c r="AD61" s="16" t="n">
        <f aca="false">AC62</f>
        <v>0</v>
      </c>
      <c r="AE61" s="16" t="n">
        <f aca="false">AD62</f>
        <v>0</v>
      </c>
      <c r="AF61" s="16" t="n">
        <f aca="false">AE62</f>
        <v>0</v>
      </c>
      <c r="AG61" s="16" t="n">
        <f aca="false">AF62</f>
        <v>0</v>
      </c>
      <c r="AH61" s="16" t="n">
        <f aca="false">AG62</f>
        <v>0</v>
      </c>
      <c r="AI61" s="16" t="n">
        <f aca="false">AH62</f>
        <v>0</v>
      </c>
      <c r="AJ61" s="16" t="n">
        <f aca="false">AI62</f>
        <v>0</v>
      </c>
      <c r="AK61" s="16" t="n">
        <f aca="false">AJ62</f>
        <v>0</v>
      </c>
      <c r="AL61" s="16" t="n">
        <f aca="false">AK62</f>
        <v>0</v>
      </c>
      <c r="AM61" s="16" t="n">
        <f aca="false">AL62</f>
        <v>0</v>
      </c>
      <c r="AN61" s="16" t="n">
        <f aca="false">AM62</f>
        <v>0</v>
      </c>
      <c r="AO61" s="16" t="n">
        <f aca="false">AN62</f>
        <v>0</v>
      </c>
      <c r="AP61" s="16" t="n">
        <f aca="false">AO62</f>
        <v>0</v>
      </c>
      <c r="AQ61" s="16" t="n">
        <f aca="false">AP62</f>
        <v>0</v>
      </c>
      <c r="AR61" s="16" t="n">
        <f aca="false">AQ62</f>
        <v>0</v>
      </c>
      <c r="AS61" s="16" t="n">
        <f aca="false">AR62</f>
        <v>0</v>
      </c>
      <c r="AT61" s="16" t="n">
        <f aca="false">AS62</f>
        <v>0</v>
      </c>
      <c r="AU61" s="16" t="n">
        <f aca="false">AT62</f>
        <v>0</v>
      </c>
      <c r="AV61" s="16" t="n">
        <f aca="false">AU62</f>
        <v>0</v>
      </c>
      <c r="AW61" s="16" t="n">
        <f aca="false">AV62</f>
        <v>0</v>
      </c>
      <c r="AX61" s="16" t="n">
        <f aca="false">AW62</f>
        <v>0</v>
      </c>
      <c r="AY61" s="16" t="n">
        <f aca="false">AX62</f>
        <v>0</v>
      </c>
      <c r="AZ61" s="16" t="n">
        <f aca="false">AY62</f>
        <v>0</v>
      </c>
      <c r="BA61" s="16" t="n">
        <f aca="false">AZ62</f>
        <v>0</v>
      </c>
      <c r="BB61" s="16" t="n">
        <f aca="false">BA62</f>
        <v>0</v>
      </c>
      <c r="BC61" s="16" t="n">
        <f aca="false">BB62</f>
        <v>0</v>
      </c>
      <c r="BD61" s="16" t="n">
        <f aca="false">BC62</f>
        <v>0</v>
      </c>
      <c r="BE61" s="16" t="n">
        <f aca="false">BD62</f>
        <v>0</v>
      </c>
      <c r="BF61" s="16" t="n">
        <f aca="false">BE62</f>
        <v>0</v>
      </c>
      <c r="BG61" s="16" t="n">
        <f aca="false">BF62</f>
        <v>0</v>
      </c>
      <c r="BH61" s="16" t="n">
        <f aca="false">BG62</f>
        <v>0</v>
      </c>
      <c r="BI61" s="16" t="n">
        <f aca="false">BH62</f>
        <v>0</v>
      </c>
      <c r="BJ61" s="16" t="n">
        <f aca="false">BI62</f>
        <v>0</v>
      </c>
      <c r="BK61" s="16" t="n">
        <f aca="false">BJ62</f>
        <v>0</v>
      </c>
      <c r="BL61" s="16" t="n">
        <f aca="false">BK62</f>
        <v>0</v>
      </c>
      <c r="BM61" s="16" t="n">
        <f aca="false">BL62</f>
        <v>0</v>
      </c>
      <c r="BN61" s="16" t="n">
        <f aca="false">BM62</f>
        <v>0</v>
      </c>
      <c r="BO61" s="16" t="n">
        <f aca="false">BN62</f>
        <v>0</v>
      </c>
      <c r="BP61" s="16" t="n">
        <f aca="false">BO62</f>
        <v>0</v>
      </c>
      <c r="BQ61" s="16" t="n">
        <f aca="false">BP62</f>
        <v>0</v>
      </c>
      <c r="BR61" s="16" t="n">
        <f aca="false">BQ62</f>
        <v>0</v>
      </c>
      <c r="BS61" s="16" t="n">
        <f aca="false">BR62</f>
        <v>0</v>
      </c>
      <c r="BT61" s="16" t="n">
        <f aca="false">BS62</f>
        <v>0</v>
      </c>
      <c r="BU61" s="16" t="n">
        <f aca="false">BT62</f>
        <v>0</v>
      </c>
      <c r="BV61" s="16" t="n">
        <f aca="false">BU62</f>
        <v>0</v>
      </c>
      <c r="BW61" s="16" t="n">
        <f aca="false">BV62</f>
        <v>0</v>
      </c>
      <c r="BX61" s="16" t="n">
        <f aca="false">BW62</f>
        <v>0</v>
      </c>
      <c r="BY61" s="16" t="n">
        <f aca="false">BX62</f>
        <v>0</v>
      </c>
      <c r="BZ61" s="16" t="n">
        <f aca="false">BY62</f>
        <v>0</v>
      </c>
      <c r="CA61" s="16" t="n">
        <f aca="false">BZ62</f>
        <v>0</v>
      </c>
      <c r="CB61" s="16" t="n">
        <f aca="false">CA62</f>
        <v>0</v>
      </c>
      <c r="CC61" s="16" t="n">
        <f aca="false">CB62</f>
        <v>0</v>
      </c>
      <c r="CD61" s="16" t="n">
        <f aca="false">CC62</f>
        <v>0</v>
      </c>
      <c r="CE61" s="16" t="n">
        <f aca="false">CD62</f>
        <v>0</v>
      </c>
      <c r="CF61" s="16" t="n">
        <f aca="false">CE62</f>
        <v>0</v>
      </c>
      <c r="CG61" s="16" t="n">
        <f aca="false">CF62</f>
        <v>0</v>
      </c>
      <c r="CH61" s="16" t="n">
        <f aca="false">CG62</f>
        <v>0</v>
      </c>
      <c r="CI61" s="16" t="n">
        <f aca="false">CH62</f>
        <v>0</v>
      </c>
      <c r="CJ61" s="16" t="n">
        <f aca="false">CI62</f>
        <v>0</v>
      </c>
      <c r="CK61" s="16" t="n">
        <f aca="false">CJ62</f>
        <v>0</v>
      </c>
      <c r="CL61" s="16" t="n">
        <f aca="false">CK62</f>
        <v>0</v>
      </c>
      <c r="CM61" s="16" t="n">
        <f aca="false">CL62</f>
        <v>0</v>
      </c>
      <c r="CN61" s="16" t="n">
        <f aca="false">CM62</f>
        <v>0</v>
      </c>
      <c r="CO61" s="16" t="n">
        <f aca="false">CN62</f>
        <v>0</v>
      </c>
      <c r="CP61" s="16" t="n">
        <f aca="false">CO62</f>
        <v>0</v>
      </c>
      <c r="CQ61" s="16" t="n">
        <f aca="false">CP62</f>
        <v>0</v>
      </c>
      <c r="CR61" s="16" t="n">
        <f aca="false">CQ62</f>
        <v>0</v>
      </c>
      <c r="CS61" s="16" t="n">
        <f aca="false">CR62</f>
        <v>0</v>
      </c>
      <c r="CT61" s="16" t="n">
        <f aca="false">CS62</f>
        <v>0</v>
      </c>
      <c r="CU61" s="16" t="n">
        <f aca="false">CT62</f>
        <v>0</v>
      </c>
      <c r="CV61" s="16" t="n">
        <f aca="false">CU62</f>
        <v>0</v>
      </c>
      <c r="CW61" s="16" t="n">
        <f aca="false">CV62</f>
        <v>0</v>
      </c>
      <c r="CX61" s="16" t="n">
        <f aca="false">CW62</f>
        <v>0</v>
      </c>
    </row>
    <row r="62" customFormat="false" ht="15" hidden="false" customHeight="false" outlineLevel="0" collapsed="false">
      <c r="A62" s="1" t="n">
        <f aca="false">A61+1</f>
        <v>59</v>
      </c>
      <c r="B62" s="16" t="n">
        <f aca="false">B61</f>
        <v>0</v>
      </c>
      <c r="C62" s="16" t="n">
        <f aca="false">B63</f>
        <v>0</v>
      </c>
      <c r="D62" s="16" t="n">
        <f aca="false">C63</f>
        <v>0</v>
      </c>
      <c r="E62" s="16" t="n">
        <f aca="false">D63</f>
        <v>0</v>
      </c>
      <c r="F62" s="16" t="n">
        <f aca="false">E63</f>
        <v>0</v>
      </c>
      <c r="G62" s="16" t="n">
        <f aca="false">F63</f>
        <v>0</v>
      </c>
      <c r="H62" s="16" t="n">
        <f aca="false">G63</f>
        <v>0</v>
      </c>
      <c r="I62" s="16" t="n">
        <f aca="false">H63</f>
        <v>0</v>
      </c>
      <c r="J62" s="16" t="n">
        <f aca="false">I63</f>
        <v>0</v>
      </c>
      <c r="K62" s="16" t="n">
        <f aca="false">J63</f>
        <v>0</v>
      </c>
      <c r="L62" s="16" t="n">
        <f aca="false">K63</f>
        <v>0</v>
      </c>
      <c r="M62" s="16" t="n">
        <f aca="false">L63</f>
        <v>0</v>
      </c>
      <c r="N62" s="16" t="n">
        <f aca="false">M63</f>
        <v>0</v>
      </c>
      <c r="O62" s="16" t="n">
        <f aca="false">N63</f>
        <v>0</v>
      </c>
      <c r="P62" s="16" t="n">
        <f aca="false">O63</f>
        <v>0</v>
      </c>
      <c r="Q62" s="16" t="n">
        <f aca="false">P63</f>
        <v>0</v>
      </c>
      <c r="R62" s="16" t="n">
        <f aca="false">Q63</f>
        <v>0</v>
      </c>
      <c r="S62" s="16" t="n">
        <f aca="false">R63</f>
        <v>0</v>
      </c>
      <c r="T62" s="16" t="n">
        <f aca="false">S63</f>
        <v>0</v>
      </c>
      <c r="U62" s="16" t="n">
        <f aca="false">T63</f>
        <v>0</v>
      </c>
      <c r="V62" s="16" t="n">
        <f aca="false">U63</f>
        <v>0</v>
      </c>
      <c r="W62" s="16" t="n">
        <f aca="false">V63</f>
        <v>0</v>
      </c>
      <c r="X62" s="16" t="n">
        <f aca="false">W63</f>
        <v>0</v>
      </c>
      <c r="Y62" s="16" t="n">
        <f aca="false">X63</f>
        <v>0</v>
      </c>
      <c r="Z62" s="16" t="n">
        <f aca="false">Y63</f>
        <v>0</v>
      </c>
      <c r="AA62" s="16" t="n">
        <f aca="false">Z63</f>
        <v>0</v>
      </c>
      <c r="AB62" s="16" t="n">
        <f aca="false">AA63</f>
        <v>0</v>
      </c>
      <c r="AC62" s="16" t="n">
        <f aca="false">AB63</f>
        <v>0</v>
      </c>
      <c r="AD62" s="16" t="n">
        <f aca="false">AC63</f>
        <v>0</v>
      </c>
      <c r="AE62" s="16" t="n">
        <f aca="false">AD63</f>
        <v>0</v>
      </c>
      <c r="AF62" s="16" t="n">
        <f aca="false">AE63</f>
        <v>0</v>
      </c>
      <c r="AG62" s="16" t="n">
        <f aca="false">AF63</f>
        <v>0</v>
      </c>
      <c r="AH62" s="16" t="n">
        <f aca="false">AG63</f>
        <v>0</v>
      </c>
      <c r="AI62" s="16" t="n">
        <f aca="false">AH63</f>
        <v>0</v>
      </c>
      <c r="AJ62" s="16" t="n">
        <f aca="false">AI63</f>
        <v>0</v>
      </c>
      <c r="AK62" s="16" t="n">
        <f aca="false">AJ63</f>
        <v>0</v>
      </c>
      <c r="AL62" s="16" t="n">
        <f aca="false">AK63</f>
        <v>0</v>
      </c>
      <c r="AM62" s="16" t="n">
        <f aca="false">AL63</f>
        <v>0</v>
      </c>
      <c r="AN62" s="16" t="n">
        <f aca="false">AM63</f>
        <v>0</v>
      </c>
      <c r="AO62" s="16" t="n">
        <f aca="false">AN63</f>
        <v>0</v>
      </c>
      <c r="AP62" s="16" t="n">
        <f aca="false">AO63</f>
        <v>0</v>
      </c>
      <c r="AQ62" s="16" t="n">
        <f aca="false">AP63</f>
        <v>0</v>
      </c>
      <c r="AR62" s="16" t="n">
        <f aca="false">AQ63</f>
        <v>0</v>
      </c>
      <c r="AS62" s="16" t="n">
        <f aca="false">AR63</f>
        <v>0</v>
      </c>
      <c r="AT62" s="16" t="n">
        <f aca="false">AS63</f>
        <v>0</v>
      </c>
      <c r="AU62" s="16" t="n">
        <f aca="false">AT63</f>
        <v>0</v>
      </c>
      <c r="AV62" s="16" t="n">
        <f aca="false">AU63</f>
        <v>0</v>
      </c>
      <c r="AW62" s="16" t="n">
        <f aca="false">AV63</f>
        <v>0</v>
      </c>
      <c r="AX62" s="16" t="n">
        <f aca="false">AW63</f>
        <v>0</v>
      </c>
      <c r="AY62" s="16" t="n">
        <f aca="false">AX63</f>
        <v>0</v>
      </c>
      <c r="AZ62" s="16" t="n">
        <f aca="false">AY63</f>
        <v>0</v>
      </c>
      <c r="BA62" s="16" t="n">
        <f aca="false">AZ63</f>
        <v>0</v>
      </c>
      <c r="BB62" s="16" t="n">
        <f aca="false">BA63</f>
        <v>0</v>
      </c>
      <c r="BC62" s="16" t="n">
        <f aca="false">BB63</f>
        <v>0</v>
      </c>
      <c r="BD62" s="16" t="n">
        <f aca="false">BC63</f>
        <v>0</v>
      </c>
      <c r="BE62" s="16" t="n">
        <f aca="false">BD63</f>
        <v>0</v>
      </c>
      <c r="BF62" s="16" t="n">
        <f aca="false">BE63</f>
        <v>0</v>
      </c>
      <c r="BG62" s="16" t="n">
        <f aca="false">BF63</f>
        <v>0</v>
      </c>
      <c r="BH62" s="16" t="n">
        <f aca="false">BG63</f>
        <v>0</v>
      </c>
      <c r="BI62" s="16" t="n">
        <f aca="false">BH63</f>
        <v>0</v>
      </c>
      <c r="BJ62" s="16" t="n">
        <f aca="false">BI63</f>
        <v>0</v>
      </c>
      <c r="BK62" s="16" t="n">
        <f aca="false">BJ63</f>
        <v>0</v>
      </c>
      <c r="BL62" s="16" t="n">
        <f aca="false">BK63</f>
        <v>0</v>
      </c>
      <c r="BM62" s="16" t="n">
        <f aca="false">BL63</f>
        <v>0</v>
      </c>
      <c r="BN62" s="16" t="n">
        <f aca="false">BM63</f>
        <v>0</v>
      </c>
      <c r="BO62" s="16" t="n">
        <f aca="false">BN63</f>
        <v>0</v>
      </c>
      <c r="BP62" s="16" t="n">
        <f aca="false">BO63</f>
        <v>0</v>
      </c>
      <c r="BQ62" s="16" t="n">
        <f aca="false">BP63</f>
        <v>0</v>
      </c>
      <c r="BR62" s="16" t="n">
        <f aca="false">BQ63</f>
        <v>0</v>
      </c>
      <c r="BS62" s="16" t="n">
        <f aca="false">BR63</f>
        <v>0</v>
      </c>
      <c r="BT62" s="16" t="n">
        <f aca="false">BS63</f>
        <v>0</v>
      </c>
      <c r="BU62" s="16" t="n">
        <f aca="false">BT63</f>
        <v>0</v>
      </c>
      <c r="BV62" s="16" t="n">
        <f aca="false">BU63</f>
        <v>0</v>
      </c>
      <c r="BW62" s="16" t="n">
        <f aca="false">BV63</f>
        <v>0</v>
      </c>
      <c r="BX62" s="16" t="n">
        <f aca="false">BW63</f>
        <v>0</v>
      </c>
      <c r="BY62" s="16" t="n">
        <f aca="false">BX63</f>
        <v>0</v>
      </c>
      <c r="BZ62" s="16" t="n">
        <f aca="false">BY63</f>
        <v>0</v>
      </c>
      <c r="CA62" s="16" t="n">
        <f aca="false">BZ63</f>
        <v>0</v>
      </c>
      <c r="CB62" s="16" t="n">
        <f aca="false">CA63</f>
        <v>0</v>
      </c>
      <c r="CC62" s="16" t="n">
        <f aca="false">CB63</f>
        <v>0</v>
      </c>
      <c r="CD62" s="16" t="n">
        <f aca="false">CC63</f>
        <v>0</v>
      </c>
      <c r="CE62" s="16" t="n">
        <f aca="false">CD63</f>
        <v>0</v>
      </c>
      <c r="CF62" s="16" t="n">
        <f aca="false">CE63</f>
        <v>0</v>
      </c>
      <c r="CG62" s="16" t="n">
        <f aca="false">CF63</f>
        <v>0</v>
      </c>
      <c r="CH62" s="16" t="n">
        <f aca="false">CG63</f>
        <v>0</v>
      </c>
      <c r="CI62" s="16" t="n">
        <f aca="false">CH63</f>
        <v>0</v>
      </c>
      <c r="CJ62" s="16" t="n">
        <f aca="false">CI63</f>
        <v>0</v>
      </c>
      <c r="CK62" s="16" t="n">
        <f aca="false">CJ63</f>
        <v>0</v>
      </c>
      <c r="CL62" s="16" t="n">
        <f aca="false">CK63</f>
        <v>0</v>
      </c>
      <c r="CM62" s="16" t="n">
        <f aca="false">CL63</f>
        <v>0</v>
      </c>
      <c r="CN62" s="16" t="n">
        <f aca="false">CM63</f>
        <v>0</v>
      </c>
      <c r="CO62" s="16" t="n">
        <f aca="false">CN63</f>
        <v>0</v>
      </c>
      <c r="CP62" s="16" t="n">
        <f aca="false">CO63</f>
        <v>0</v>
      </c>
      <c r="CQ62" s="16" t="n">
        <f aca="false">CP63</f>
        <v>0</v>
      </c>
      <c r="CR62" s="16" t="n">
        <f aca="false">CQ63</f>
        <v>0</v>
      </c>
      <c r="CS62" s="16" t="n">
        <f aca="false">CR63</f>
        <v>0</v>
      </c>
      <c r="CT62" s="16" t="n">
        <f aca="false">CS63</f>
        <v>0</v>
      </c>
      <c r="CU62" s="16" t="n">
        <f aca="false">CT63</f>
        <v>0</v>
      </c>
      <c r="CV62" s="16" t="n">
        <f aca="false">CU63</f>
        <v>0</v>
      </c>
      <c r="CW62" s="16" t="n">
        <f aca="false">CV63</f>
        <v>0</v>
      </c>
      <c r="CX62" s="16" t="n">
        <f aca="false">CW63</f>
        <v>0</v>
      </c>
    </row>
    <row r="63" customFormat="false" ht="15" hidden="false" customHeight="false" outlineLevel="0" collapsed="false">
      <c r="A63" s="1" t="n">
        <f aca="false">A62+1</f>
        <v>60</v>
      </c>
      <c r="B63" s="16" t="n">
        <f aca="false">B62</f>
        <v>0</v>
      </c>
      <c r="C63" s="16" t="n">
        <f aca="false">B64</f>
        <v>0</v>
      </c>
      <c r="D63" s="16" t="n">
        <f aca="false">C64</f>
        <v>0</v>
      </c>
      <c r="E63" s="16" t="n">
        <f aca="false">D64</f>
        <v>0</v>
      </c>
      <c r="F63" s="16" t="n">
        <f aca="false">E64</f>
        <v>0</v>
      </c>
      <c r="G63" s="16" t="n">
        <f aca="false">F64</f>
        <v>0</v>
      </c>
      <c r="H63" s="16" t="n">
        <f aca="false">G64</f>
        <v>0</v>
      </c>
      <c r="I63" s="16" t="n">
        <f aca="false">H64</f>
        <v>0</v>
      </c>
      <c r="J63" s="16" t="n">
        <f aca="false">I64</f>
        <v>0</v>
      </c>
      <c r="K63" s="16" t="n">
        <f aca="false">J64</f>
        <v>0</v>
      </c>
      <c r="L63" s="16" t="n">
        <f aca="false">K64</f>
        <v>0</v>
      </c>
      <c r="M63" s="16" t="n">
        <f aca="false">L64</f>
        <v>0</v>
      </c>
      <c r="N63" s="16" t="n">
        <f aca="false">M64</f>
        <v>0</v>
      </c>
      <c r="O63" s="16" t="n">
        <f aca="false">N64</f>
        <v>0</v>
      </c>
      <c r="P63" s="16" t="n">
        <f aca="false">O64</f>
        <v>0</v>
      </c>
      <c r="Q63" s="16" t="n">
        <f aca="false">P64</f>
        <v>0</v>
      </c>
      <c r="R63" s="16" t="n">
        <f aca="false">Q64</f>
        <v>0</v>
      </c>
      <c r="S63" s="16" t="n">
        <f aca="false">R64</f>
        <v>0</v>
      </c>
      <c r="T63" s="16" t="n">
        <f aca="false">S64</f>
        <v>0</v>
      </c>
      <c r="U63" s="16" t="n">
        <f aca="false">T64</f>
        <v>0</v>
      </c>
      <c r="V63" s="16" t="n">
        <f aca="false">U64</f>
        <v>0</v>
      </c>
      <c r="W63" s="16" t="n">
        <f aca="false">V64</f>
        <v>0</v>
      </c>
      <c r="X63" s="16" t="n">
        <f aca="false">W64</f>
        <v>0</v>
      </c>
      <c r="Y63" s="16" t="n">
        <f aca="false">X64</f>
        <v>0</v>
      </c>
      <c r="Z63" s="16" t="n">
        <f aca="false">Y64</f>
        <v>0</v>
      </c>
      <c r="AA63" s="16" t="n">
        <f aca="false">Z64</f>
        <v>0</v>
      </c>
      <c r="AB63" s="16" t="n">
        <f aca="false">AA64</f>
        <v>0</v>
      </c>
      <c r="AC63" s="16" t="n">
        <f aca="false">AB64</f>
        <v>0</v>
      </c>
      <c r="AD63" s="16" t="n">
        <f aca="false">AC64</f>
        <v>0</v>
      </c>
      <c r="AE63" s="16" t="n">
        <f aca="false">AD64</f>
        <v>0</v>
      </c>
      <c r="AF63" s="16" t="n">
        <f aca="false">AE64</f>
        <v>0</v>
      </c>
      <c r="AG63" s="16" t="n">
        <f aca="false">AF64</f>
        <v>0</v>
      </c>
      <c r="AH63" s="16" t="n">
        <f aca="false">AG64</f>
        <v>0</v>
      </c>
      <c r="AI63" s="16" t="n">
        <f aca="false">AH64</f>
        <v>0</v>
      </c>
      <c r="AJ63" s="16" t="n">
        <f aca="false">AI64</f>
        <v>0</v>
      </c>
      <c r="AK63" s="16" t="n">
        <f aca="false">AJ64</f>
        <v>0</v>
      </c>
      <c r="AL63" s="16" t="n">
        <f aca="false">AK64</f>
        <v>0</v>
      </c>
      <c r="AM63" s="16" t="n">
        <f aca="false">AL64</f>
        <v>0</v>
      </c>
      <c r="AN63" s="16" t="n">
        <f aca="false">AM64</f>
        <v>0</v>
      </c>
      <c r="AO63" s="16" t="n">
        <f aca="false">AN64</f>
        <v>0</v>
      </c>
      <c r="AP63" s="16" t="n">
        <f aca="false">AO64</f>
        <v>0</v>
      </c>
      <c r="AQ63" s="16" t="n">
        <f aca="false">AP64</f>
        <v>0</v>
      </c>
      <c r="AR63" s="16" t="n">
        <f aca="false">AQ64</f>
        <v>0</v>
      </c>
      <c r="AS63" s="16" t="n">
        <f aca="false">AR64</f>
        <v>0</v>
      </c>
      <c r="AT63" s="16" t="n">
        <f aca="false">AS64</f>
        <v>0</v>
      </c>
      <c r="AU63" s="16" t="n">
        <f aca="false">AT64</f>
        <v>0</v>
      </c>
      <c r="AV63" s="16" t="n">
        <f aca="false">AU64</f>
        <v>0</v>
      </c>
      <c r="AW63" s="16" t="n">
        <f aca="false">AV64</f>
        <v>0</v>
      </c>
      <c r="AX63" s="16" t="n">
        <f aca="false">AW64</f>
        <v>0</v>
      </c>
      <c r="AY63" s="16" t="n">
        <f aca="false">AX64</f>
        <v>0</v>
      </c>
      <c r="AZ63" s="16" t="n">
        <f aca="false">AY64</f>
        <v>0</v>
      </c>
      <c r="BA63" s="16" t="n">
        <f aca="false">AZ64</f>
        <v>0</v>
      </c>
      <c r="BB63" s="16" t="n">
        <f aca="false">BA64</f>
        <v>0</v>
      </c>
      <c r="BC63" s="16" t="n">
        <f aca="false">BB64</f>
        <v>0</v>
      </c>
      <c r="BD63" s="16" t="n">
        <f aca="false">BC64</f>
        <v>0</v>
      </c>
      <c r="BE63" s="16" t="n">
        <f aca="false">BD64</f>
        <v>0</v>
      </c>
      <c r="BF63" s="16" t="n">
        <f aca="false">BE64</f>
        <v>0</v>
      </c>
      <c r="BG63" s="16" t="n">
        <f aca="false">BF64</f>
        <v>0</v>
      </c>
      <c r="BH63" s="16" t="n">
        <f aca="false">BG64</f>
        <v>0</v>
      </c>
      <c r="BI63" s="16" t="n">
        <f aca="false">BH64</f>
        <v>0</v>
      </c>
      <c r="BJ63" s="16" t="n">
        <f aca="false">BI64</f>
        <v>0</v>
      </c>
      <c r="BK63" s="16" t="n">
        <f aca="false">BJ64</f>
        <v>0</v>
      </c>
      <c r="BL63" s="16" t="n">
        <f aca="false">BK64</f>
        <v>0</v>
      </c>
      <c r="BM63" s="16" t="n">
        <f aca="false">BL64</f>
        <v>0</v>
      </c>
      <c r="BN63" s="16" t="n">
        <f aca="false">BM64</f>
        <v>0</v>
      </c>
      <c r="BO63" s="16" t="n">
        <f aca="false">BN64</f>
        <v>0</v>
      </c>
      <c r="BP63" s="16" t="n">
        <f aca="false">BO64</f>
        <v>0</v>
      </c>
      <c r="BQ63" s="16" t="n">
        <f aca="false">BP64</f>
        <v>0</v>
      </c>
      <c r="BR63" s="16" t="n">
        <f aca="false">BQ64</f>
        <v>0</v>
      </c>
      <c r="BS63" s="16" t="n">
        <f aca="false">BR64</f>
        <v>0</v>
      </c>
      <c r="BT63" s="16" t="n">
        <f aca="false">BS64</f>
        <v>0</v>
      </c>
      <c r="BU63" s="16" t="n">
        <f aca="false">BT64</f>
        <v>0</v>
      </c>
      <c r="BV63" s="16" t="n">
        <f aca="false">BU64</f>
        <v>0</v>
      </c>
      <c r="BW63" s="16" t="n">
        <f aca="false">BV64</f>
        <v>0</v>
      </c>
      <c r="BX63" s="16" t="n">
        <f aca="false">BW64</f>
        <v>0</v>
      </c>
      <c r="BY63" s="16" t="n">
        <f aca="false">BX64</f>
        <v>0</v>
      </c>
      <c r="BZ63" s="16" t="n">
        <f aca="false">BY64</f>
        <v>0</v>
      </c>
      <c r="CA63" s="16" t="n">
        <f aca="false">BZ64</f>
        <v>0</v>
      </c>
      <c r="CB63" s="16" t="n">
        <f aca="false">CA64</f>
        <v>0</v>
      </c>
      <c r="CC63" s="16" t="n">
        <f aca="false">CB64</f>
        <v>0</v>
      </c>
      <c r="CD63" s="16" t="n">
        <f aca="false">CC64</f>
        <v>0</v>
      </c>
      <c r="CE63" s="16" t="n">
        <f aca="false">CD64</f>
        <v>0</v>
      </c>
      <c r="CF63" s="16" t="n">
        <f aca="false">CE64</f>
        <v>0</v>
      </c>
      <c r="CG63" s="16" t="n">
        <f aca="false">CF64</f>
        <v>0</v>
      </c>
      <c r="CH63" s="16" t="n">
        <f aca="false">CG64</f>
        <v>0</v>
      </c>
      <c r="CI63" s="16" t="n">
        <f aca="false">CH64</f>
        <v>0</v>
      </c>
      <c r="CJ63" s="16" t="n">
        <f aca="false">CI64</f>
        <v>0</v>
      </c>
      <c r="CK63" s="16" t="n">
        <f aca="false">CJ64</f>
        <v>0</v>
      </c>
      <c r="CL63" s="16" t="n">
        <f aca="false">CK64</f>
        <v>0</v>
      </c>
      <c r="CM63" s="16" t="n">
        <f aca="false">CL64</f>
        <v>0</v>
      </c>
      <c r="CN63" s="16" t="n">
        <f aca="false">CM64</f>
        <v>0</v>
      </c>
      <c r="CO63" s="16" t="n">
        <f aca="false">CN64</f>
        <v>0</v>
      </c>
      <c r="CP63" s="16" t="n">
        <f aca="false">CO64</f>
        <v>0</v>
      </c>
      <c r="CQ63" s="16" t="n">
        <f aca="false">CP64</f>
        <v>0</v>
      </c>
      <c r="CR63" s="16" t="n">
        <f aca="false">CQ64</f>
        <v>0</v>
      </c>
      <c r="CS63" s="16" t="n">
        <f aca="false">CR64</f>
        <v>0</v>
      </c>
      <c r="CT63" s="16" t="n">
        <f aca="false">CS64</f>
        <v>0</v>
      </c>
      <c r="CU63" s="16" t="n">
        <f aca="false">CT64</f>
        <v>0</v>
      </c>
      <c r="CV63" s="16" t="n">
        <f aca="false">CU64</f>
        <v>0</v>
      </c>
      <c r="CW63" s="16" t="n">
        <f aca="false">CV64</f>
        <v>0</v>
      </c>
      <c r="CX63" s="16" t="n">
        <f aca="false">CW64</f>
        <v>0</v>
      </c>
    </row>
    <row r="64" customFormat="false" ht="15" hidden="false" customHeight="false" outlineLevel="0" collapsed="false">
      <c r="A64" s="1" t="n">
        <f aca="false">A63+1</f>
        <v>61</v>
      </c>
      <c r="B64" s="16" t="n">
        <f aca="false">B63</f>
        <v>0</v>
      </c>
      <c r="C64" s="16" t="n">
        <f aca="false">B65</f>
        <v>0</v>
      </c>
      <c r="D64" s="16" t="n">
        <f aca="false">C65</f>
        <v>0</v>
      </c>
      <c r="E64" s="16" t="n">
        <f aca="false">D65</f>
        <v>0</v>
      </c>
      <c r="F64" s="16" t="n">
        <f aca="false">E65</f>
        <v>0</v>
      </c>
      <c r="G64" s="16" t="n">
        <f aca="false">F65</f>
        <v>0</v>
      </c>
      <c r="H64" s="16" t="n">
        <f aca="false">G65</f>
        <v>0</v>
      </c>
      <c r="I64" s="16" t="n">
        <f aca="false">H65</f>
        <v>0</v>
      </c>
      <c r="J64" s="16" t="n">
        <f aca="false">I65</f>
        <v>0</v>
      </c>
      <c r="K64" s="16" t="n">
        <f aca="false">J65</f>
        <v>0</v>
      </c>
      <c r="L64" s="16" t="n">
        <f aca="false">K65</f>
        <v>0</v>
      </c>
      <c r="M64" s="16" t="n">
        <f aca="false">L65</f>
        <v>0</v>
      </c>
      <c r="N64" s="16" t="n">
        <f aca="false">M65</f>
        <v>0</v>
      </c>
      <c r="O64" s="16" t="n">
        <f aca="false">N65</f>
        <v>0</v>
      </c>
      <c r="P64" s="16" t="n">
        <f aca="false">O65</f>
        <v>0</v>
      </c>
      <c r="Q64" s="16" t="n">
        <f aca="false">P65</f>
        <v>0</v>
      </c>
      <c r="R64" s="16" t="n">
        <f aca="false">Q65</f>
        <v>0</v>
      </c>
      <c r="S64" s="16" t="n">
        <f aca="false">R65</f>
        <v>0</v>
      </c>
      <c r="T64" s="16" t="n">
        <f aca="false">S65</f>
        <v>0</v>
      </c>
      <c r="U64" s="16" t="n">
        <f aca="false">T65</f>
        <v>0</v>
      </c>
      <c r="V64" s="16" t="n">
        <f aca="false">U65</f>
        <v>0</v>
      </c>
      <c r="W64" s="16" t="n">
        <f aca="false">V65</f>
        <v>0</v>
      </c>
      <c r="X64" s="16" t="n">
        <f aca="false">W65</f>
        <v>0</v>
      </c>
      <c r="Y64" s="16" t="n">
        <f aca="false">X65</f>
        <v>0</v>
      </c>
      <c r="Z64" s="16" t="n">
        <f aca="false">Y65</f>
        <v>0</v>
      </c>
      <c r="AA64" s="16" t="n">
        <f aca="false">Z65</f>
        <v>0</v>
      </c>
      <c r="AB64" s="16" t="n">
        <f aca="false">AA65</f>
        <v>0</v>
      </c>
      <c r="AC64" s="16" t="n">
        <f aca="false">AB65</f>
        <v>0</v>
      </c>
      <c r="AD64" s="16" t="n">
        <f aca="false">AC65</f>
        <v>0</v>
      </c>
      <c r="AE64" s="16" t="n">
        <f aca="false">AD65</f>
        <v>0</v>
      </c>
      <c r="AF64" s="16" t="n">
        <f aca="false">AE65</f>
        <v>0</v>
      </c>
      <c r="AG64" s="16" t="n">
        <f aca="false">AF65</f>
        <v>0</v>
      </c>
      <c r="AH64" s="16" t="n">
        <f aca="false">AG65</f>
        <v>0</v>
      </c>
      <c r="AI64" s="16" t="n">
        <f aca="false">AH65</f>
        <v>0</v>
      </c>
      <c r="AJ64" s="16" t="n">
        <f aca="false">AI65</f>
        <v>0</v>
      </c>
      <c r="AK64" s="16" t="n">
        <f aca="false">AJ65</f>
        <v>0</v>
      </c>
      <c r="AL64" s="16" t="n">
        <f aca="false">AK65</f>
        <v>0</v>
      </c>
      <c r="AM64" s="16" t="n">
        <f aca="false">AL65</f>
        <v>0</v>
      </c>
      <c r="AN64" s="16" t="n">
        <f aca="false">AM65</f>
        <v>0</v>
      </c>
      <c r="AO64" s="16" t="n">
        <f aca="false">AN65</f>
        <v>0</v>
      </c>
      <c r="AP64" s="16" t="n">
        <f aca="false">AO65</f>
        <v>0</v>
      </c>
      <c r="AQ64" s="16" t="n">
        <f aca="false">AP65</f>
        <v>0</v>
      </c>
      <c r="AR64" s="16" t="n">
        <f aca="false">AQ65</f>
        <v>0</v>
      </c>
      <c r="AS64" s="16" t="n">
        <f aca="false">AR65</f>
        <v>0</v>
      </c>
      <c r="AT64" s="16" t="n">
        <f aca="false">AS65</f>
        <v>0</v>
      </c>
      <c r="AU64" s="16" t="n">
        <f aca="false">AT65</f>
        <v>0</v>
      </c>
      <c r="AV64" s="16" t="n">
        <f aca="false">AU65</f>
        <v>0</v>
      </c>
      <c r="AW64" s="16" t="n">
        <f aca="false">AV65</f>
        <v>0</v>
      </c>
      <c r="AX64" s="16" t="n">
        <f aca="false">AW65</f>
        <v>0</v>
      </c>
      <c r="AY64" s="16" t="n">
        <f aca="false">AX65</f>
        <v>0</v>
      </c>
      <c r="AZ64" s="16" t="n">
        <f aca="false">AY65</f>
        <v>0</v>
      </c>
      <c r="BA64" s="16" t="n">
        <f aca="false">AZ65</f>
        <v>0</v>
      </c>
      <c r="BB64" s="16" t="n">
        <f aca="false">BA65</f>
        <v>0</v>
      </c>
      <c r="BC64" s="16" t="n">
        <f aca="false">BB65</f>
        <v>0</v>
      </c>
      <c r="BD64" s="16" t="n">
        <f aca="false">BC65</f>
        <v>0</v>
      </c>
      <c r="BE64" s="16" t="n">
        <f aca="false">BD65</f>
        <v>0</v>
      </c>
      <c r="BF64" s="16" t="n">
        <f aca="false">BE65</f>
        <v>0</v>
      </c>
      <c r="BG64" s="16" t="n">
        <f aca="false">BF65</f>
        <v>0</v>
      </c>
      <c r="BH64" s="16" t="n">
        <f aca="false">BG65</f>
        <v>0</v>
      </c>
      <c r="BI64" s="16" t="n">
        <f aca="false">BH65</f>
        <v>0</v>
      </c>
      <c r="BJ64" s="16" t="n">
        <f aca="false">BI65</f>
        <v>0</v>
      </c>
      <c r="BK64" s="16" t="n">
        <f aca="false">BJ65</f>
        <v>0</v>
      </c>
      <c r="BL64" s="16" t="n">
        <f aca="false">BK65</f>
        <v>0</v>
      </c>
      <c r="BM64" s="16" t="n">
        <f aca="false">BL65</f>
        <v>0</v>
      </c>
      <c r="BN64" s="16" t="n">
        <f aca="false">BM65</f>
        <v>0</v>
      </c>
      <c r="BO64" s="16" t="n">
        <f aca="false">BN65</f>
        <v>0</v>
      </c>
      <c r="BP64" s="16" t="n">
        <f aca="false">BO65</f>
        <v>0</v>
      </c>
      <c r="BQ64" s="16" t="n">
        <f aca="false">BP65</f>
        <v>0</v>
      </c>
      <c r="BR64" s="16" t="n">
        <f aca="false">BQ65</f>
        <v>0</v>
      </c>
      <c r="BS64" s="16" t="n">
        <f aca="false">BR65</f>
        <v>0</v>
      </c>
      <c r="BT64" s="16" t="n">
        <f aca="false">BS65</f>
        <v>0</v>
      </c>
      <c r="BU64" s="16" t="n">
        <f aca="false">BT65</f>
        <v>0</v>
      </c>
      <c r="BV64" s="16" t="n">
        <f aca="false">BU65</f>
        <v>0</v>
      </c>
      <c r="BW64" s="16" t="n">
        <f aca="false">BV65</f>
        <v>0</v>
      </c>
      <c r="BX64" s="16" t="n">
        <f aca="false">BW65</f>
        <v>0</v>
      </c>
      <c r="BY64" s="16" t="n">
        <f aca="false">BX65</f>
        <v>0</v>
      </c>
      <c r="BZ64" s="16" t="n">
        <f aca="false">BY65</f>
        <v>0</v>
      </c>
      <c r="CA64" s="16" t="n">
        <f aca="false">BZ65</f>
        <v>0</v>
      </c>
      <c r="CB64" s="16" t="n">
        <f aca="false">CA65</f>
        <v>0</v>
      </c>
      <c r="CC64" s="16" t="n">
        <f aca="false">CB65</f>
        <v>0</v>
      </c>
      <c r="CD64" s="16" t="n">
        <f aca="false">CC65</f>
        <v>0</v>
      </c>
      <c r="CE64" s="16" t="n">
        <f aca="false">CD65</f>
        <v>0</v>
      </c>
      <c r="CF64" s="16" t="n">
        <f aca="false">CE65</f>
        <v>0</v>
      </c>
      <c r="CG64" s="16" t="n">
        <f aca="false">CF65</f>
        <v>0</v>
      </c>
      <c r="CH64" s="16" t="n">
        <f aca="false">CG65</f>
        <v>0</v>
      </c>
      <c r="CI64" s="16" t="n">
        <f aca="false">CH65</f>
        <v>0</v>
      </c>
      <c r="CJ64" s="16" t="n">
        <f aca="false">CI65</f>
        <v>0</v>
      </c>
      <c r="CK64" s="16" t="n">
        <f aca="false">CJ65</f>
        <v>0</v>
      </c>
      <c r="CL64" s="16" t="n">
        <f aca="false">CK65</f>
        <v>0</v>
      </c>
      <c r="CM64" s="16" t="n">
        <f aca="false">CL65</f>
        <v>0</v>
      </c>
      <c r="CN64" s="16" t="n">
        <f aca="false">CM65</f>
        <v>0</v>
      </c>
      <c r="CO64" s="16" t="n">
        <f aca="false">CN65</f>
        <v>0</v>
      </c>
      <c r="CP64" s="16" t="n">
        <f aca="false">CO65</f>
        <v>0</v>
      </c>
      <c r="CQ64" s="16" t="n">
        <f aca="false">CP65</f>
        <v>0</v>
      </c>
      <c r="CR64" s="16" t="n">
        <f aca="false">CQ65</f>
        <v>0</v>
      </c>
      <c r="CS64" s="16" t="n">
        <f aca="false">CR65</f>
        <v>0</v>
      </c>
      <c r="CT64" s="16" t="n">
        <f aca="false">CS65</f>
        <v>0</v>
      </c>
      <c r="CU64" s="16" t="n">
        <f aca="false">CT65</f>
        <v>0</v>
      </c>
      <c r="CV64" s="16" t="n">
        <f aca="false">CU65</f>
        <v>0</v>
      </c>
      <c r="CW64" s="16" t="n">
        <f aca="false">CV65</f>
        <v>0</v>
      </c>
      <c r="CX64" s="16" t="n">
        <f aca="false">CW65</f>
        <v>0</v>
      </c>
    </row>
    <row r="65" customFormat="false" ht="15" hidden="false" customHeight="false" outlineLevel="0" collapsed="false">
      <c r="A65" s="1" t="n">
        <f aca="false">A64+1</f>
        <v>62</v>
      </c>
      <c r="B65" s="16" t="n">
        <f aca="false">B64</f>
        <v>0</v>
      </c>
      <c r="C65" s="16" t="n">
        <f aca="false">B66</f>
        <v>0</v>
      </c>
      <c r="D65" s="16" t="n">
        <f aca="false">C66</f>
        <v>0</v>
      </c>
      <c r="E65" s="16" t="n">
        <f aca="false">D66</f>
        <v>0</v>
      </c>
      <c r="F65" s="16" t="n">
        <f aca="false">E66</f>
        <v>0</v>
      </c>
      <c r="G65" s="16" t="n">
        <f aca="false">F66</f>
        <v>0</v>
      </c>
      <c r="H65" s="16" t="n">
        <f aca="false">G66</f>
        <v>0</v>
      </c>
      <c r="I65" s="16" t="n">
        <f aca="false">H66</f>
        <v>0</v>
      </c>
      <c r="J65" s="16" t="n">
        <f aca="false">I66</f>
        <v>0</v>
      </c>
      <c r="K65" s="16" t="n">
        <f aca="false">J66</f>
        <v>0</v>
      </c>
      <c r="L65" s="16" t="n">
        <f aca="false">K66</f>
        <v>0</v>
      </c>
      <c r="M65" s="16" t="n">
        <f aca="false">L66</f>
        <v>0</v>
      </c>
      <c r="N65" s="16" t="n">
        <f aca="false">M66</f>
        <v>0</v>
      </c>
      <c r="O65" s="16" t="n">
        <f aca="false">N66</f>
        <v>0</v>
      </c>
      <c r="P65" s="16" t="n">
        <f aca="false">O66</f>
        <v>0</v>
      </c>
      <c r="Q65" s="16" t="n">
        <f aca="false">P66</f>
        <v>0</v>
      </c>
      <c r="R65" s="16" t="n">
        <f aca="false">Q66</f>
        <v>0</v>
      </c>
      <c r="S65" s="16" t="n">
        <f aca="false">R66</f>
        <v>0</v>
      </c>
      <c r="T65" s="16" t="n">
        <f aca="false">S66</f>
        <v>0</v>
      </c>
      <c r="U65" s="16" t="n">
        <f aca="false">T66</f>
        <v>0</v>
      </c>
      <c r="V65" s="16" t="n">
        <f aca="false">U66</f>
        <v>0</v>
      </c>
      <c r="W65" s="16" t="n">
        <f aca="false">V66</f>
        <v>0</v>
      </c>
      <c r="X65" s="16" t="n">
        <f aca="false">W66</f>
        <v>0</v>
      </c>
      <c r="Y65" s="16" t="n">
        <f aca="false">X66</f>
        <v>0</v>
      </c>
      <c r="Z65" s="16" t="n">
        <f aca="false">Y66</f>
        <v>0</v>
      </c>
      <c r="AA65" s="16" t="n">
        <f aca="false">Z66</f>
        <v>0</v>
      </c>
      <c r="AB65" s="16" t="n">
        <f aca="false">AA66</f>
        <v>0</v>
      </c>
      <c r="AC65" s="16" t="n">
        <f aca="false">AB66</f>
        <v>0</v>
      </c>
      <c r="AD65" s="16" t="n">
        <f aca="false">AC66</f>
        <v>0</v>
      </c>
      <c r="AE65" s="16" t="n">
        <f aca="false">AD66</f>
        <v>0</v>
      </c>
      <c r="AF65" s="16" t="n">
        <f aca="false">AE66</f>
        <v>0</v>
      </c>
      <c r="AG65" s="16" t="n">
        <f aca="false">AF66</f>
        <v>0</v>
      </c>
      <c r="AH65" s="16" t="n">
        <f aca="false">AG66</f>
        <v>0</v>
      </c>
      <c r="AI65" s="16" t="n">
        <f aca="false">AH66</f>
        <v>0</v>
      </c>
      <c r="AJ65" s="16" t="n">
        <f aca="false">AI66</f>
        <v>0</v>
      </c>
      <c r="AK65" s="16" t="n">
        <f aca="false">AJ66</f>
        <v>0</v>
      </c>
      <c r="AL65" s="16" t="n">
        <f aca="false">AK66</f>
        <v>0</v>
      </c>
      <c r="AM65" s="16" t="n">
        <f aca="false">AL66</f>
        <v>0</v>
      </c>
      <c r="AN65" s="16" t="n">
        <f aca="false">AM66</f>
        <v>0</v>
      </c>
      <c r="AO65" s="16" t="n">
        <f aca="false">AN66</f>
        <v>0</v>
      </c>
      <c r="AP65" s="16" t="n">
        <f aca="false">AO66</f>
        <v>0</v>
      </c>
      <c r="AQ65" s="16" t="n">
        <f aca="false">AP66</f>
        <v>0</v>
      </c>
      <c r="AR65" s="16" t="n">
        <f aca="false">AQ66</f>
        <v>0</v>
      </c>
      <c r="AS65" s="16" t="n">
        <f aca="false">AR66</f>
        <v>0</v>
      </c>
      <c r="AT65" s="16" t="n">
        <f aca="false">AS66</f>
        <v>0</v>
      </c>
      <c r="AU65" s="16" t="n">
        <f aca="false">AT66</f>
        <v>0</v>
      </c>
      <c r="AV65" s="16" t="n">
        <f aca="false">AU66</f>
        <v>0</v>
      </c>
      <c r="AW65" s="16" t="n">
        <f aca="false">AV66</f>
        <v>0</v>
      </c>
      <c r="AX65" s="16" t="n">
        <f aca="false">AW66</f>
        <v>0</v>
      </c>
      <c r="AY65" s="16" t="n">
        <f aca="false">AX66</f>
        <v>0</v>
      </c>
      <c r="AZ65" s="16" t="n">
        <f aca="false">AY66</f>
        <v>0</v>
      </c>
      <c r="BA65" s="16" t="n">
        <f aca="false">AZ66</f>
        <v>0</v>
      </c>
      <c r="BB65" s="16" t="n">
        <f aca="false">BA66</f>
        <v>0</v>
      </c>
      <c r="BC65" s="16" t="n">
        <f aca="false">BB66</f>
        <v>0</v>
      </c>
      <c r="BD65" s="16" t="n">
        <f aca="false">BC66</f>
        <v>0</v>
      </c>
      <c r="BE65" s="16" t="n">
        <f aca="false">BD66</f>
        <v>0</v>
      </c>
      <c r="BF65" s="16" t="n">
        <f aca="false">BE66</f>
        <v>0</v>
      </c>
      <c r="BG65" s="16" t="n">
        <f aca="false">BF66</f>
        <v>0</v>
      </c>
      <c r="BH65" s="16" t="n">
        <f aca="false">BG66</f>
        <v>0</v>
      </c>
      <c r="BI65" s="16" t="n">
        <f aca="false">BH66</f>
        <v>0</v>
      </c>
      <c r="BJ65" s="16" t="n">
        <f aca="false">BI66</f>
        <v>0</v>
      </c>
      <c r="BK65" s="16" t="n">
        <f aca="false">BJ66</f>
        <v>0</v>
      </c>
      <c r="BL65" s="16" t="n">
        <f aca="false">BK66</f>
        <v>0</v>
      </c>
      <c r="BM65" s="16" t="n">
        <f aca="false">BL66</f>
        <v>0</v>
      </c>
      <c r="BN65" s="16" t="n">
        <f aca="false">BM66</f>
        <v>0</v>
      </c>
      <c r="BO65" s="16" t="n">
        <f aca="false">BN66</f>
        <v>0</v>
      </c>
      <c r="BP65" s="16" t="n">
        <f aca="false">BO66</f>
        <v>0</v>
      </c>
      <c r="BQ65" s="16" t="n">
        <f aca="false">BP66</f>
        <v>0</v>
      </c>
      <c r="BR65" s="16" t="n">
        <f aca="false">BQ66</f>
        <v>0</v>
      </c>
      <c r="BS65" s="16" t="n">
        <f aca="false">BR66</f>
        <v>0</v>
      </c>
      <c r="BT65" s="16" t="n">
        <f aca="false">BS66</f>
        <v>0</v>
      </c>
      <c r="BU65" s="16" t="n">
        <f aca="false">BT66</f>
        <v>0</v>
      </c>
      <c r="BV65" s="16" t="n">
        <f aca="false">BU66</f>
        <v>0</v>
      </c>
      <c r="BW65" s="16" t="n">
        <f aca="false">BV66</f>
        <v>0</v>
      </c>
      <c r="BX65" s="16" t="n">
        <f aca="false">BW66</f>
        <v>0</v>
      </c>
      <c r="BY65" s="16" t="n">
        <f aca="false">BX66</f>
        <v>0</v>
      </c>
      <c r="BZ65" s="16" t="n">
        <f aca="false">BY66</f>
        <v>0</v>
      </c>
      <c r="CA65" s="16" t="n">
        <f aca="false">BZ66</f>
        <v>0</v>
      </c>
      <c r="CB65" s="16" t="n">
        <f aca="false">CA66</f>
        <v>0</v>
      </c>
      <c r="CC65" s="16" t="n">
        <f aca="false">CB66</f>
        <v>0</v>
      </c>
      <c r="CD65" s="16" t="n">
        <f aca="false">CC66</f>
        <v>0</v>
      </c>
      <c r="CE65" s="16" t="n">
        <f aca="false">CD66</f>
        <v>0</v>
      </c>
      <c r="CF65" s="16" t="n">
        <f aca="false">CE66</f>
        <v>0</v>
      </c>
      <c r="CG65" s="16" t="n">
        <f aca="false">CF66</f>
        <v>0</v>
      </c>
      <c r="CH65" s="16" t="n">
        <f aca="false">CG66</f>
        <v>0</v>
      </c>
      <c r="CI65" s="16" t="n">
        <f aca="false">CH66</f>
        <v>0</v>
      </c>
      <c r="CJ65" s="16" t="n">
        <f aca="false">CI66</f>
        <v>0</v>
      </c>
      <c r="CK65" s="16" t="n">
        <f aca="false">CJ66</f>
        <v>0</v>
      </c>
      <c r="CL65" s="16" t="n">
        <f aca="false">CK66</f>
        <v>0</v>
      </c>
      <c r="CM65" s="16" t="n">
        <f aca="false">CL66</f>
        <v>0</v>
      </c>
      <c r="CN65" s="16" t="n">
        <f aca="false">CM66</f>
        <v>0</v>
      </c>
      <c r="CO65" s="16" t="n">
        <f aca="false">CN66</f>
        <v>0</v>
      </c>
      <c r="CP65" s="16" t="n">
        <f aca="false">CO66</f>
        <v>0</v>
      </c>
      <c r="CQ65" s="16" t="n">
        <f aca="false">CP66</f>
        <v>0</v>
      </c>
      <c r="CR65" s="16" t="n">
        <f aca="false">CQ66</f>
        <v>0</v>
      </c>
      <c r="CS65" s="16" t="n">
        <f aca="false">CR66</f>
        <v>0</v>
      </c>
      <c r="CT65" s="16" t="n">
        <f aca="false">CS66</f>
        <v>0</v>
      </c>
      <c r="CU65" s="16" t="n">
        <f aca="false">CT66</f>
        <v>0</v>
      </c>
      <c r="CV65" s="16" t="n">
        <f aca="false">CU66</f>
        <v>0</v>
      </c>
      <c r="CW65" s="16" t="n">
        <f aca="false">CV66</f>
        <v>0</v>
      </c>
      <c r="CX65" s="16" t="n">
        <f aca="false">CW66</f>
        <v>0</v>
      </c>
    </row>
    <row r="66" customFormat="false" ht="15" hidden="false" customHeight="false" outlineLevel="0" collapsed="false">
      <c r="A66" s="1" t="n">
        <f aca="false">A65+1</f>
        <v>63</v>
      </c>
      <c r="B66" s="16" t="n">
        <f aca="false">B65</f>
        <v>0</v>
      </c>
      <c r="C66" s="16" t="n">
        <f aca="false">B67</f>
        <v>0</v>
      </c>
      <c r="D66" s="16" t="n">
        <f aca="false">C67</f>
        <v>0</v>
      </c>
      <c r="E66" s="16" t="n">
        <f aca="false">D67</f>
        <v>0</v>
      </c>
      <c r="F66" s="16" t="n">
        <f aca="false">E67</f>
        <v>0</v>
      </c>
      <c r="G66" s="16" t="n">
        <f aca="false">F67</f>
        <v>0</v>
      </c>
      <c r="H66" s="16" t="n">
        <f aca="false">G67</f>
        <v>0</v>
      </c>
      <c r="I66" s="16" t="n">
        <f aca="false">H67</f>
        <v>0</v>
      </c>
      <c r="J66" s="16" t="n">
        <f aca="false">I67</f>
        <v>0</v>
      </c>
      <c r="K66" s="16" t="n">
        <f aca="false">J67</f>
        <v>0</v>
      </c>
      <c r="L66" s="16" t="n">
        <f aca="false">K67</f>
        <v>0</v>
      </c>
      <c r="M66" s="16" t="n">
        <f aca="false">L67</f>
        <v>0</v>
      </c>
      <c r="N66" s="16" t="n">
        <f aca="false">M67</f>
        <v>0</v>
      </c>
      <c r="O66" s="16" t="n">
        <f aca="false">N67</f>
        <v>0</v>
      </c>
      <c r="P66" s="16" t="n">
        <f aca="false">O67</f>
        <v>0</v>
      </c>
      <c r="Q66" s="16" t="n">
        <f aca="false">P67</f>
        <v>0</v>
      </c>
      <c r="R66" s="16" t="n">
        <f aca="false">Q67</f>
        <v>0</v>
      </c>
      <c r="S66" s="16" t="n">
        <f aca="false">R67</f>
        <v>0</v>
      </c>
      <c r="T66" s="16" t="n">
        <f aca="false">S67</f>
        <v>0</v>
      </c>
      <c r="U66" s="16" t="n">
        <f aca="false">T67</f>
        <v>0</v>
      </c>
      <c r="V66" s="16" t="n">
        <f aca="false">U67</f>
        <v>0</v>
      </c>
      <c r="W66" s="16" t="n">
        <f aca="false">V67</f>
        <v>0</v>
      </c>
      <c r="X66" s="16" t="n">
        <f aca="false">W67</f>
        <v>0</v>
      </c>
      <c r="Y66" s="16" t="n">
        <f aca="false">X67</f>
        <v>0</v>
      </c>
      <c r="Z66" s="16" t="n">
        <f aca="false">Y67</f>
        <v>0</v>
      </c>
      <c r="AA66" s="16" t="n">
        <f aca="false">Z67</f>
        <v>0</v>
      </c>
      <c r="AB66" s="16" t="n">
        <f aca="false">AA67</f>
        <v>0</v>
      </c>
      <c r="AC66" s="16" t="n">
        <f aca="false">AB67</f>
        <v>0</v>
      </c>
      <c r="AD66" s="16" t="n">
        <f aca="false">AC67</f>
        <v>0</v>
      </c>
      <c r="AE66" s="16" t="n">
        <f aca="false">AD67</f>
        <v>0</v>
      </c>
      <c r="AF66" s="16" t="n">
        <f aca="false">AE67</f>
        <v>0</v>
      </c>
      <c r="AG66" s="16" t="n">
        <f aca="false">AF67</f>
        <v>0</v>
      </c>
      <c r="AH66" s="16" t="n">
        <f aca="false">AG67</f>
        <v>0</v>
      </c>
      <c r="AI66" s="16" t="n">
        <f aca="false">AH67</f>
        <v>0</v>
      </c>
      <c r="AJ66" s="16" t="n">
        <f aca="false">AI67</f>
        <v>0</v>
      </c>
      <c r="AK66" s="16" t="n">
        <f aca="false">AJ67</f>
        <v>0</v>
      </c>
      <c r="AL66" s="16" t="n">
        <f aca="false">AK67</f>
        <v>0</v>
      </c>
      <c r="AM66" s="16" t="n">
        <f aca="false">AL67</f>
        <v>0</v>
      </c>
      <c r="AN66" s="16" t="n">
        <f aca="false">AM67</f>
        <v>0</v>
      </c>
      <c r="AO66" s="16" t="n">
        <f aca="false">AN67</f>
        <v>0</v>
      </c>
      <c r="AP66" s="16" t="n">
        <f aca="false">AO67</f>
        <v>0</v>
      </c>
      <c r="AQ66" s="16" t="n">
        <f aca="false">AP67</f>
        <v>0</v>
      </c>
      <c r="AR66" s="16" t="n">
        <f aca="false">AQ67</f>
        <v>0</v>
      </c>
      <c r="AS66" s="16" t="n">
        <f aca="false">AR67</f>
        <v>0</v>
      </c>
      <c r="AT66" s="16" t="n">
        <f aca="false">AS67</f>
        <v>0</v>
      </c>
      <c r="AU66" s="16" t="n">
        <f aca="false">AT67</f>
        <v>0</v>
      </c>
      <c r="AV66" s="16" t="n">
        <f aca="false">AU67</f>
        <v>0</v>
      </c>
      <c r="AW66" s="16" t="n">
        <f aca="false">AV67</f>
        <v>0</v>
      </c>
      <c r="AX66" s="16" t="n">
        <f aca="false">AW67</f>
        <v>0</v>
      </c>
      <c r="AY66" s="16" t="n">
        <f aca="false">AX67</f>
        <v>0</v>
      </c>
      <c r="AZ66" s="16" t="n">
        <f aca="false">AY67</f>
        <v>0</v>
      </c>
      <c r="BA66" s="16" t="n">
        <f aca="false">AZ67</f>
        <v>0</v>
      </c>
      <c r="BB66" s="16" t="n">
        <f aca="false">BA67</f>
        <v>0</v>
      </c>
      <c r="BC66" s="16" t="n">
        <f aca="false">BB67</f>
        <v>0</v>
      </c>
      <c r="BD66" s="16" t="n">
        <f aca="false">BC67</f>
        <v>0</v>
      </c>
      <c r="BE66" s="16" t="n">
        <f aca="false">BD67</f>
        <v>0</v>
      </c>
      <c r="BF66" s="16" t="n">
        <f aca="false">BE67</f>
        <v>0</v>
      </c>
      <c r="BG66" s="16" t="n">
        <f aca="false">BF67</f>
        <v>0</v>
      </c>
      <c r="BH66" s="16" t="n">
        <f aca="false">BG67</f>
        <v>0</v>
      </c>
      <c r="BI66" s="16" t="n">
        <f aca="false">BH67</f>
        <v>0</v>
      </c>
      <c r="BJ66" s="16" t="n">
        <f aca="false">BI67</f>
        <v>0</v>
      </c>
      <c r="BK66" s="16" t="n">
        <f aca="false">BJ67</f>
        <v>0</v>
      </c>
      <c r="BL66" s="16" t="n">
        <f aca="false">BK67</f>
        <v>0</v>
      </c>
      <c r="BM66" s="16" t="n">
        <f aca="false">BL67</f>
        <v>0</v>
      </c>
      <c r="BN66" s="16" t="n">
        <f aca="false">BM67</f>
        <v>0</v>
      </c>
      <c r="BO66" s="16" t="n">
        <f aca="false">BN67</f>
        <v>0</v>
      </c>
      <c r="BP66" s="16" t="n">
        <f aca="false">BO67</f>
        <v>0</v>
      </c>
      <c r="BQ66" s="16" t="n">
        <f aca="false">BP67</f>
        <v>0</v>
      </c>
      <c r="BR66" s="16" t="n">
        <f aca="false">BQ67</f>
        <v>0</v>
      </c>
      <c r="BS66" s="16" t="n">
        <f aca="false">BR67</f>
        <v>0</v>
      </c>
      <c r="BT66" s="16" t="n">
        <f aca="false">BS67</f>
        <v>0</v>
      </c>
      <c r="BU66" s="16" t="n">
        <f aca="false">BT67</f>
        <v>0</v>
      </c>
      <c r="BV66" s="16" t="n">
        <f aca="false">BU67</f>
        <v>0</v>
      </c>
      <c r="BW66" s="16" t="n">
        <f aca="false">BV67</f>
        <v>0</v>
      </c>
      <c r="BX66" s="16" t="n">
        <f aca="false">BW67</f>
        <v>0</v>
      </c>
      <c r="BY66" s="16" t="n">
        <f aca="false">BX67</f>
        <v>0</v>
      </c>
      <c r="BZ66" s="16" t="n">
        <f aca="false">BY67</f>
        <v>0</v>
      </c>
      <c r="CA66" s="16" t="n">
        <f aca="false">BZ67</f>
        <v>0</v>
      </c>
      <c r="CB66" s="16" t="n">
        <f aca="false">CA67</f>
        <v>0</v>
      </c>
      <c r="CC66" s="16" t="n">
        <f aca="false">CB67</f>
        <v>0</v>
      </c>
      <c r="CD66" s="16" t="n">
        <f aca="false">CC67</f>
        <v>0</v>
      </c>
      <c r="CE66" s="16" t="n">
        <f aca="false">CD67</f>
        <v>0</v>
      </c>
      <c r="CF66" s="16" t="n">
        <f aca="false">CE67</f>
        <v>0</v>
      </c>
      <c r="CG66" s="16" t="n">
        <f aca="false">CF67</f>
        <v>0</v>
      </c>
      <c r="CH66" s="16" t="n">
        <f aca="false">CG67</f>
        <v>0</v>
      </c>
      <c r="CI66" s="16" t="n">
        <f aca="false">CH67</f>
        <v>0</v>
      </c>
      <c r="CJ66" s="16" t="n">
        <f aca="false">CI67</f>
        <v>0</v>
      </c>
      <c r="CK66" s="16" t="n">
        <f aca="false">CJ67</f>
        <v>0</v>
      </c>
      <c r="CL66" s="16" t="n">
        <f aca="false">CK67</f>
        <v>0</v>
      </c>
      <c r="CM66" s="16" t="n">
        <f aca="false">CL67</f>
        <v>0</v>
      </c>
      <c r="CN66" s="16" t="n">
        <f aca="false">CM67</f>
        <v>0</v>
      </c>
      <c r="CO66" s="16" t="n">
        <f aca="false">CN67</f>
        <v>0</v>
      </c>
      <c r="CP66" s="16" t="n">
        <f aca="false">CO67</f>
        <v>0</v>
      </c>
      <c r="CQ66" s="16" t="n">
        <f aca="false">CP67</f>
        <v>0</v>
      </c>
      <c r="CR66" s="16" t="n">
        <f aca="false">CQ67</f>
        <v>0</v>
      </c>
      <c r="CS66" s="16" t="n">
        <f aca="false">CR67</f>
        <v>0</v>
      </c>
      <c r="CT66" s="16" t="n">
        <f aca="false">CS67</f>
        <v>0</v>
      </c>
      <c r="CU66" s="16" t="n">
        <f aca="false">CT67</f>
        <v>0</v>
      </c>
      <c r="CV66" s="16" t="n">
        <f aca="false">CU67</f>
        <v>0</v>
      </c>
      <c r="CW66" s="16" t="n">
        <f aca="false">CV67</f>
        <v>0</v>
      </c>
      <c r="CX66" s="16" t="n">
        <f aca="false">CW67</f>
        <v>0</v>
      </c>
    </row>
    <row r="67" customFormat="false" ht="15" hidden="false" customHeight="false" outlineLevel="0" collapsed="false">
      <c r="A67" s="1" t="n">
        <f aca="false">A66+1</f>
        <v>64</v>
      </c>
      <c r="B67" s="16" t="n">
        <f aca="false">B66</f>
        <v>0</v>
      </c>
      <c r="C67" s="16" t="n">
        <f aca="false">B68</f>
        <v>0</v>
      </c>
      <c r="D67" s="16" t="n">
        <f aca="false">C68</f>
        <v>0</v>
      </c>
      <c r="E67" s="16" t="n">
        <f aca="false">D68</f>
        <v>0</v>
      </c>
      <c r="F67" s="16" t="n">
        <f aca="false">E68</f>
        <v>0</v>
      </c>
      <c r="G67" s="16" t="n">
        <f aca="false">F68</f>
        <v>0</v>
      </c>
      <c r="H67" s="16" t="n">
        <f aca="false">G68</f>
        <v>0</v>
      </c>
      <c r="I67" s="16" t="n">
        <f aca="false">H68</f>
        <v>0</v>
      </c>
      <c r="J67" s="16" t="n">
        <f aca="false">I68</f>
        <v>0</v>
      </c>
      <c r="K67" s="16" t="n">
        <f aca="false">J68</f>
        <v>0</v>
      </c>
      <c r="L67" s="16" t="n">
        <f aca="false">K68</f>
        <v>0</v>
      </c>
      <c r="M67" s="16" t="n">
        <f aca="false">L68</f>
        <v>0</v>
      </c>
      <c r="N67" s="16" t="n">
        <f aca="false">M68</f>
        <v>0</v>
      </c>
      <c r="O67" s="16" t="n">
        <f aca="false">N68</f>
        <v>0</v>
      </c>
      <c r="P67" s="16" t="n">
        <f aca="false">O68</f>
        <v>0</v>
      </c>
      <c r="Q67" s="16" t="n">
        <f aca="false">P68</f>
        <v>0</v>
      </c>
      <c r="R67" s="16" t="n">
        <f aca="false">Q68</f>
        <v>0</v>
      </c>
      <c r="S67" s="16" t="n">
        <f aca="false">R68</f>
        <v>0</v>
      </c>
      <c r="T67" s="16" t="n">
        <f aca="false">S68</f>
        <v>0</v>
      </c>
      <c r="U67" s="16" t="n">
        <f aca="false">T68</f>
        <v>0</v>
      </c>
      <c r="V67" s="16" t="n">
        <f aca="false">U68</f>
        <v>0</v>
      </c>
      <c r="W67" s="16" t="n">
        <f aca="false">V68</f>
        <v>0</v>
      </c>
      <c r="X67" s="16" t="n">
        <f aca="false">W68</f>
        <v>0</v>
      </c>
      <c r="Y67" s="16" t="n">
        <f aca="false">X68</f>
        <v>0</v>
      </c>
      <c r="Z67" s="16" t="n">
        <f aca="false">Y68</f>
        <v>0</v>
      </c>
      <c r="AA67" s="16" t="n">
        <f aca="false">Z68</f>
        <v>0</v>
      </c>
      <c r="AB67" s="16" t="n">
        <f aca="false">AA68</f>
        <v>0</v>
      </c>
      <c r="AC67" s="16" t="n">
        <f aca="false">AB68</f>
        <v>0</v>
      </c>
      <c r="AD67" s="16" t="n">
        <f aca="false">AC68</f>
        <v>0</v>
      </c>
      <c r="AE67" s="16" t="n">
        <f aca="false">AD68</f>
        <v>0</v>
      </c>
      <c r="AF67" s="16" t="n">
        <f aca="false">AE68</f>
        <v>0</v>
      </c>
      <c r="AG67" s="16" t="n">
        <f aca="false">AF68</f>
        <v>0</v>
      </c>
      <c r="AH67" s="16" t="n">
        <f aca="false">AG68</f>
        <v>0</v>
      </c>
      <c r="AI67" s="16" t="n">
        <f aca="false">AH68</f>
        <v>0</v>
      </c>
      <c r="AJ67" s="16" t="n">
        <f aca="false">AI68</f>
        <v>0</v>
      </c>
      <c r="AK67" s="16" t="n">
        <f aca="false">AJ68</f>
        <v>0</v>
      </c>
      <c r="AL67" s="16" t="n">
        <f aca="false">AK68</f>
        <v>0</v>
      </c>
      <c r="AM67" s="16" t="n">
        <f aca="false">AL68</f>
        <v>0</v>
      </c>
      <c r="AN67" s="16" t="n">
        <f aca="false">AM68</f>
        <v>0</v>
      </c>
      <c r="AO67" s="16" t="n">
        <f aca="false">AN68</f>
        <v>0</v>
      </c>
      <c r="AP67" s="16" t="n">
        <f aca="false">AO68</f>
        <v>0</v>
      </c>
      <c r="AQ67" s="16" t="n">
        <f aca="false">AP68</f>
        <v>0</v>
      </c>
      <c r="AR67" s="16" t="n">
        <f aca="false">AQ68</f>
        <v>0</v>
      </c>
      <c r="AS67" s="16" t="n">
        <f aca="false">AR68</f>
        <v>0</v>
      </c>
      <c r="AT67" s="16" t="n">
        <f aca="false">AS68</f>
        <v>0</v>
      </c>
      <c r="AU67" s="16" t="n">
        <f aca="false">AT68</f>
        <v>0</v>
      </c>
      <c r="AV67" s="16" t="n">
        <f aca="false">AU68</f>
        <v>0</v>
      </c>
      <c r="AW67" s="16" t="n">
        <f aca="false">AV68</f>
        <v>0</v>
      </c>
      <c r="AX67" s="16" t="n">
        <f aca="false">AW68</f>
        <v>0</v>
      </c>
      <c r="AY67" s="16" t="n">
        <f aca="false">AX68</f>
        <v>0</v>
      </c>
      <c r="AZ67" s="16" t="n">
        <f aca="false">AY68</f>
        <v>0</v>
      </c>
      <c r="BA67" s="16" t="n">
        <f aca="false">AZ68</f>
        <v>0</v>
      </c>
      <c r="BB67" s="16" t="n">
        <f aca="false">BA68</f>
        <v>0</v>
      </c>
      <c r="BC67" s="16" t="n">
        <f aca="false">BB68</f>
        <v>0</v>
      </c>
      <c r="BD67" s="16" t="n">
        <f aca="false">BC68</f>
        <v>0</v>
      </c>
      <c r="BE67" s="16" t="n">
        <f aca="false">BD68</f>
        <v>0</v>
      </c>
      <c r="BF67" s="16" t="n">
        <f aca="false">BE68</f>
        <v>0</v>
      </c>
      <c r="BG67" s="16" t="n">
        <f aca="false">BF68</f>
        <v>0</v>
      </c>
      <c r="BH67" s="16" t="n">
        <f aca="false">BG68</f>
        <v>0</v>
      </c>
      <c r="BI67" s="16" t="n">
        <f aca="false">BH68</f>
        <v>0</v>
      </c>
      <c r="BJ67" s="16" t="n">
        <f aca="false">BI68</f>
        <v>0</v>
      </c>
      <c r="BK67" s="16" t="n">
        <f aca="false">BJ68</f>
        <v>0</v>
      </c>
      <c r="BL67" s="16" t="n">
        <f aca="false">BK68</f>
        <v>0</v>
      </c>
      <c r="BM67" s="16" t="n">
        <f aca="false">BL68</f>
        <v>0</v>
      </c>
      <c r="BN67" s="16" t="n">
        <f aca="false">BM68</f>
        <v>0</v>
      </c>
      <c r="BO67" s="16" t="n">
        <f aca="false">BN68</f>
        <v>0</v>
      </c>
      <c r="BP67" s="16" t="n">
        <f aca="false">BO68</f>
        <v>0</v>
      </c>
      <c r="BQ67" s="16" t="n">
        <f aca="false">BP68</f>
        <v>0</v>
      </c>
      <c r="BR67" s="16" t="n">
        <f aca="false">BQ68</f>
        <v>0</v>
      </c>
      <c r="BS67" s="16" t="n">
        <f aca="false">BR68</f>
        <v>0</v>
      </c>
      <c r="BT67" s="16" t="n">
        <f aca="false">BS68</f>
        <v>0</v>
      </c>
      <c r="BU67" s="16" t="n">
        <f aca="false">BT68</f>
        <v>0</v>
      </c>
      <c r="BV67" s="16" t="n">
        <f aca="false">BU68</f>
        <v>0</v>
      </c>
      <c r="BW67" s="16" t="n">
        <f aca="false">BV68</f>
        <v>0</v>
      </c>
      <c r="BX67" s="16" t="n">
        <f aca="false">BW68</f>
        <v>0</v>
      </c>
      <c r="BY67" s="16" t="n">
        <f aca="false">BX68</f>
        <v>0</v>
      </c>
      <c r="BZ67" s="16" t="n">
        <f aca="false">BY68</f>
        <v>0</v>
      </c>
      <c r="CA67" s="16" t="n">
        <f aca="false">BZ68</f>
        <v>0</v>
      </c>
      <c r="CB67" s="16" t="n">
        <f aca="false">CA68</f>
        <v>0</v>
      </c>
      <c r="CC67" s="16" t="n">
        <f aca="false">CB68</f>
        <v>0</v>
      </c>
      <c r="CD67" s="16" t="n">
        <f aca="false">CC68</f>
        <v>0</v>
      </c>
      <c r="CE67" s="16" t="n">
        <f aca="false">CD68</f>
        <v>0</v>
      </c>
      <c r="CF67" s="16" t="n">
        <f aca="false">CE68</f>
        <v>0</v>
      </c>
      <c r="CG67" s="16" t="n">
        <f aca="false">CF68</f>
        <v>0</v>
      </c>
      <c r="CH67" s="16" t="n">
        <f aca="false">CG68</f>
        <v>0</v>
      </c>
      <c r="CI67" s="16" t="n">
        <f aca="false">CH68</f>
        <v>0</v>
      </c>
      <c r="CJ67" s="16" t="n">
        <f aca="false">CI68</f>
        <v>0</v>
      </c>
      <c r="CK67" s="16" t="n">
        <f aca="false">CJ68</f>
        <v>0</v>
      </c>
      <c r="CL67" s="16" t="n">
        <f aca="false">CK68</f>
        <v>0</v>
      </c>
      <c r="CM67" s="16" t="n">
        <f aca="false">CL68</f>
        <v>0</v>
      </c>
      <c r="CN67" s="16" t="n">
        <f aca="false">CM68</f>
        <v>0</v>
      </c>
      <c r="CO67" s="16" t="n">
        <f aca="false">CN68</f>
        <v>0</v>
      </c>
      <c r="CP67" s="16" t="n">
        <f aca="false">CO68</f>
        <v>0</v>
      </c>
      <c r="CQ67" s="16" t="n">
        <f aca="false">CP68</f>
        <v>0</v>
      </c>
      <c r="CR67" s="16" t="n">
        <f aca="false">CQ68</f>
        <v>0</v>
      </c>
      <c r="CS67" s="16" t="n">
        <f aca="false">CR68</f>
        <v>0</v>
      </c>
      <c r="CT67" s="16" t="n">
        <f aca="false">CS68</f>
        <v>0</v>
      </c>
      <c r="CU67" s="16" t="n">
        <f aca="false">CT68</f>
        <v>0</v>
      </c>
      <c r="CV67" s="16" t="n">
        <f aca="false">CU68</f>
        <v>0</v>
      </c>
      <c r="CW67" s="16" t="n">
        <f aca="false">CV68</f>
        <v>0</v>
      </c>
      <c r="CX67" s="16" t="n">
        <f aca="false">CW68</f>
        <v>0</v>
      </c>
    </row>
    <row r="68" customFormat="false" ht="15" hidden="false" customHeight="false" outlineLevel="0" collapsed="false">
      <c r="A68" s="1" t="n">
        <f aca="false">A67+1</f>
        <v>65</v>
      </c>
      <c r="B68" s="16" t="n">
        <f aca="false">B67</f>
        <v>0</v>
      </c>
      <c r="C68" s="16" t="n">
        <f aca="false">B69</f>
        <v>0</v>
      </c>
      <c r="D68" s="16" t="n">
        <f aca="false">C69</f>
        <v>0</v>
      </c>
      <c r="E68" s="16" t="n">
        <f aca="false">D69</f>
        <v>0</v>
      </c>
      <c r="F68" s="16" t="n">
        <f aca="false">E69</f>
        <v>0</v>
      </c>
      <c r="G68" s="16" t="n">
        <f aca="false">F69</f>
        <v>0</v>
      </c>
      <c r="H68" s="16" t="n">
        <f aca="false">G69</f>
        <v>0</v>
      </c>
      <c r="I68" s="16" t="n">
        <f aca="false">H69</f>
        <v>0</v>
      </c>
      <c r="J68" s="16" t="n">
        <f aca="false">I69</f>
        <v>0</v>
      </c>
      <c r="K68" s="16" t="n">
        <f aca="false">J69</f>
        <v>0</v>
      </c>
      <c r="L68" s="16" t="n">
        <f aca="false">K69</f>
        <v>0</v>
      </c>
      <c r="M68" s="16" t="n">
        <f aca="false">L69</f>
        <v>0</v>
      </c>
      <c r="N68" s="16" t="n">
        <f aca="false">M69</f>
        <v>0</v>
      </c>
      <c r="O68" s="16" t="n">
        <f aca="false">N69</f>
        <v>0</v>
      </c>
      <c r="P68" s="16" t="n">
        <f aca="false">O69</f>
        <v>0</v>
      </c>
      <c r="Q68" s="16" t="n">
        <f aca="false">P69</f>
        <v>0</v>
      </c>
      <c r="R68" s="16" t="n">
        <f aca="false">Q69</f>
        <v>0</v>
      </c>
      <c r="S68" s="16" t="n">
        <f aca="false">R69</f>
        <v>0</v>
      </c>
      <c r="T68" s="16" t="n">
        <f aca="false">S69</f>
        <v>0</v>
      </c>
      <c r="U68" s="16" t="n">
        <f aca="false">T69</f>
        <v>0</v>
      </c>
      <c r="V68" s="16" t="n">
        <f aca="false">U69</f>
        <v>0</v>
      </c>
      <c r="W68" s="16" t="n">
        <f aca="false">V69</f>
        <v>0</v>
      </c>
      <c r="X68" s="16" t="n">
        <f aca="false">W69</f>
        <v>0</v>
      </c>
      <c r="Y68" s="16" t="n">
        <f aca="false">X69</f>
        <v>0</v>
      </c>
      <c r="Z68" s="16" t="n">
        <f aca="false">Y69</f>
        <v>0</v>
      </c>
      <c r="AA68" s="16" t="n">
        <f aca="false">Z69</f>
        <v>0</v>
      </c>
      <c r="AB68" s="16" t="n">
        <f aca="false">AA69</f>
        <v>0</v>
      </c>
      <c r="AC68" s="16" t="n">
        <f aca="false">AB69</f>
        <v>0</v>
      </c>
      <c r="AD68" s="16" t="n">
        <f aca="false">AC69</f>
        <v>0</v>
      </c>
      <c r="AE68" s="16" t="n">
        <f aca="false">AD69</f>
        <v>0</v>
      </c>
      <c r="AF68" s="16" t="n">
        <f aca="false">AE69</f>
        <v>0</v>
      </c>
      <c r="AG68" s="16" t="n">
        <f aca="false">AF69</f>
        <v>0</v>
      </c>
      <c r="AH68" s="16" t="n">
        <f aca="false">AG69</f>
        <v>0</v>
      </c>
      <c r="AI68" s="16" t="n">
        <f aca="false">AH69</f>
        <v>0</v>
      </c>
      <c r="AJ68" s="16" t="n">
        <f aca="false">AI69</f>
        <v>0</v>
      </c>
      <c r="AK68" s="16" t="n">
        <f aca="false">AJ69</f>
        <v>0</v>
      </c>
      <c r="AL68" s="16" t="n">
        <f aca="false">AK69</f>
        <v>0</v>
      </c>
      <c r="AM68" s="16" t="n">
        <f aca="false">AL69</f>
        <v>0</v>
      </c>
      <c r="AN68" s="16" t="n">
        <f aca="false">AM69</f>
        <v>0</v>
      </c>
      <c r="AO68" s="16" t="n">
        <f aca="false">AN69</f>
        <v>0</v>
      </c>
      <c r="AP68" s="16" t="n">
        <f aca="false">AO69</f>
        <v>0</v>
      </c>
      <c r="AQ68" s="16" t="n">
        <f aca="false">AP69</f>
        <v>0</v>
      </c>
      <c r="AR68" s="16" t="n">
        <f aca="false">AQ69</f>
        <v>0</v>
      </c>
      <c r="AS68" s="16" t="n">
        <f aca="false">AR69</f>
        <v>0</v>
      </c>
      <c r="AT68" s="16" t="n">
        <f aca="false">AS69</f>
        <v>0</v>
      </c>
      <c r="AU68" s="16" t="n">
        <f aca="false">AT69</f>
        <v>0</v>
      </c>
      <c r="AV68" s="16" t="n">
        <f aca="false">AU69</f>
        <v>0</v>
      </c>
      <c r="AW68" s="16" t="n">
        <f aca="false">AV69</f>
        <v>0</v>
      </c>
      <c r="AX68" s="16" t="n">
        <f aca="false">AW69</f>
        <v>0</v>
      </c>
      <c r="AY68" s="16" t="n">
        <f aca="false">AX69</f>
        <v>0</v>
      </c>
      <c r="AZ68" s="16" t="n">
        <f aca="false">AY69</f>
        <v>0</v>
      </c>
      <c r="BA68" s="16" t="n">
        <f aca="false">AZ69</f>
        <v>0</v>
      </c>
      <c r="BB68" s="16" t="n">
        <f aca="false">BA69</f>
        <v>0</v>
      </c>
      <c r="BC68" s="16" t="n">
        <f aca="false">BB69</f>
        <v>0</v>
      </c>
      <c r="BD68" s="16" t="n">
        <f aca="false">BC69</f>
        <v>0</v>
      </c>
      <c r="BE68" s="16" t="n">
        <f aca="false">BD69</f>
        <v>0</v>
      </c>
      <c r="BF68" s="16" t="n">
        <f aca="false">BE69</f>
        <v>0</v>
      </c>
      <c r="BG68" s="16" t="n">
        <f aca="false">BF69</f>
        <v>0</v>
      </c>
      <c r="BH68" s="16" t="n">
        <f aca="false">BG69</f>
        <v>0</v>
      </c>
      <c r="BI68" s="16" t="n">
        <f aca="false">BH69</f>
        <v>0</v>
      </c>
      <c r="BJ68" s="16" t="n">
        <f aca="false">BI69</f>
        <v>0</v>
      </c>
      <c r="BK68" s="16" t="n">
        <f aca="false">BJ69</f>
        <v>0</v>
      </c>
      <c r="BL68" s="16" t="n">
        <f aca="false">BK69</f>
        <v>0</v>
      </c>
      <c r="BM68" s="16" t="n">
        <f aca="false">BL69</f>
        <v>0</v>
      </c>
      <c r="BN68" s="16" t="n">
        <f aca="false">BM69</f>
        <v>0</v>
      </c>
      <c r="BO68" s="16" t="n">
        <f aca="false">BN69</f>
        <v>0</v>
      </c>
      <c r="BP68" s="16" t="n">
        <f aca="false">BO69</f>
        <v>0</v>
      </c>
      <c r="BQ68" s="16" t="n">
        <f aca="false">BP69</f>
        <v>0</v>
      </c>
      <c r="BR68" s="16" t="n">
        <f aca="false">BQ69</f>
        <v>0</v>
      </c>
      <c r="BS68" s="16" t="n">
        <f aca="false">BR69</f>
        <v>0</v>
      </c>
      <c r="BT68" s="16" t="n">
        <f aca="false">BS69</f>
        <v>0</v>
      </c>
      <c r="BU68" s="16" t="n">
        <f aca="false">BT69</f>
        <v>0</v>
      </c>
      <c r="BV68" s="16" t="n">
        <f aca="false">BU69</f>
        <v>0</v>
      </c>
      <c r="BW68" s="16" t="n">
        <f aca="false">BV69</f>
        <v>0</v>
      </c>
      <c r="BX68" s="16" t="n">
        <f aca="false">BW69</f>
        <v>0</v>
      </c>
      <c r="BY68" s="16" t="n">
        <f aca="false">BX69</f>
        <v>0</v>
      </c>
      <c r="BZ68" s="16" t="n">
        <f aca="false">BY69</f>
        <v>0</v>
      </c>
      <c r="CA68" s="16" t="n">
        <f aca="false">BZ69</f>
        <v>0</v>
      </c>
      <c r="CB68" s="16" t="n">
        <f aca="false">CA69</f>
        <v>0</v>
      </c>
      <c r="CC68" s="16" t="n">
        <f aca="false">CB69</f>
        <v>0</v>
      </c>
      <c r="CD68" s="16" t="n">
        <f aca="false">CC69</f>
        <v>0</v>
      </c>
      <c r="CE68" s="16" t="n">
        <f aca="false">CD69</f>
        <v>0</v>
      </c>
      <c r="CF68" s="16" t="n">
        <f aca="false">CE69</f>
        <v>0</v>
      </c>
      <c r="CG68" s="16" t="n">
        <f aca="false">CF69</f>
        <v>0</v>
      </c>
      <c r="CH68" s="16" t="n">
        <f aca="false">CG69</f>
        <v>0</v>
      </c>
      <c r="CI68" s="16" t="n">
        <f aca="false">CH69</f>
        <v>0</v>
      </c>
      <c r="CJ68" s="16" t="n">
        <f aca="false">CI69</f>
        <v>0</v>
      </c>
      <c r="CK68" s="16" t="n">
        <f aca="false">CJ69</f>
        <v>0</v>
      </c>
      <c r="CL68" s="16" t="n">
        <f aca="false">CK69</f>
        <v>0</v>
      </c>
      <c r="CM68" s="16" t="n">
        <f aca="false">CL69</f>
        <v>0</v>
      </c>
      <c r="CN68" s="16" t="n">
        <f aca="false">CM69</f>
        <v>0</v>
      </c>
      <c r="CO68" s="16" t="n">
        <f aca="false">CN69</f>
        <v>0</v>
      </c>
      <c r="CP68" s="16" t="n">
        <f aca="false">CO69</f>
        <v>0</v>
      </c>
      <c r="CQ68" s="16" t="n">
        <f aca="false">CP69</f>
        <v>0</v>
      </c>
      <c r="CR68" s="16" t="n">
        <f aca="false">CQ69</f>
        <v>0</v>
      </c>
      <c r="CS68" s="16" t="n">
        <f aca="false">CR69</f>
        <v>0</v>
      </c>
      <c r="CT68" s="16" t="n">
        <f aca="false">CS69</f>
        <v>0</v>
      </c>
      <c r="CU68" s="16" t="n">
        <f aca="false">CT69</f>
        <v>0</v>
      </c>
      <c r="CV68" s="16" t="n">
        <f aca="false">CU69</f>
        <v>0</v>
      </c>
      <c r="CW68" s="16" t="n">
        <f aca="false">CV69</f>
        <v>0</v>
      </c>
      <c r="CX68" s="16" t="n">
        <f aca="false">CW69</f>
        <v>0</v>
      </c>
    </row>
    <row r="69" customFormat="false" ht="15" hidden="false" customHeight="false" outlineLevel="0" collapsed="false">
      <c r="A69" s="1" t="n">
        <f aca="false">A68+1</f>
        <v>66</v>
      </c>
      <c r="B69" s="16" t="n">
        <f aca="false">B68</f>
        <v>0</v>
      </c>
      <c r="C69" s="16" t="n">
        <f aca="false">B70</f>
        <v>0</v>
      </c>
      <c r="D69" s="16" t="n">
        <f aca="false">C70</f>
        <v>0</v>
      </c>
      <c r="E69" s="16" t="n">
        <f aca="false">D70</f>
        <v>0</v>
      </c>
      <c r="F69" s="16" t="n">
        <f aca="false">E70</f>
        <v>0</v>
      </c>
      <c r="G69" s="16" t="n">
        <f aca="false">F70</f>
        <v>0</v>
      </c>
      <c r="H69" s="16" t="n">
        <f aca="false">G70</f>
        <v>0</v>
      </c>
      <c r="I69" s="16" t="n">
        <f aca="false">H70</f>
        <v>0</v>
      </c>
      <c r="J69" s="16" t="n">
        <f aca="false">I70</f>
        <v>0</v>
      </c>
      <c r="K69" s="16" t="n">
        <f aca="false">J70</f>
        <v>0</v>
      </c>
      <c r="L69" s="16" t="n">
        <f aca="false">K70</f>
        <v>0</v>
      </c>
      <c r="M69" s="16" t="n">
        <f aca="false">L70</f>
        <v>0</v>
      </c>
      <c r="N69" s="16" t="n">
        <f aca="false">M70</f>
        <v>0</v>
      </c>
      <c r="O69" s="16" t="n">
        <f aca="false">N70</f>
        <v>0</v>
      </c>
      <c r="P69" s="16" t="n">
        <f aca="false">O70</f>
        <v>0</v>
      </c>
      <c r="Q69" s="16" t="n">
        <f aca="false">P70</f>
        <v>0</v>
      </c>
      <c r="R69" s="16" t="n">
        <f aca="false">Q70</f>
        <v>0</v>
      </c>
      <c r="S69" s="16" t="n">
        <f aca="false">R70</f>
        <v>0</v>
      </c>
      <c r="T69" s="16" t="n">
        <f aca="false">S70</f>
        <v>0</v>
      </c>
      <c r="U69" s="16" t="n">
        <f aca="false">T70</f>
        <v>0</v>
      </c>
      <c r="V69" s="16" t="n">
        <f aca="false">U70</f>
        <v>0</v>
      </c>
      <c r="W69" s="16" t="n">
        <f aca="false">V70</f>
        <v>0</v>
      </c>
      <c r="X69" s="16" t="n">
        <f aca="false">W70</f>
        <v>0</v>
      </c>
      <c r="Y69" s="16" t="n">
        <f aca="false">X70</f>
        <v>0</v>
      </c>
      <c r="Z69" s="16" t="n">
        <f aca="false">Y70</f>
        <v>0</v>
      </c>
      <c r="AA69" s="16" t="n">
        <f aca="false">Z70</f>
        <v>0</v>
      </c>
      <c r="AB69" s="16" t="n">
        <f aca="false">AA70</f>
        <v>0</v>
      </c>
      <c r="AC69" s="16" t="n">
        <f aca="false">AB70</f>
        <v>0</v>
      </c>
      <c r="AD69" s="16" t="n">
        <f aca="false">AC70</f>
        <v>0</v>
      </c>
      <c r="AE69" s="16" t="n">
        <f aca="false">AD70</f>
        <v>0</v>
      </c>
      <c r="AF69" s="16" t="n">
        <f aca="false">AE70</f>
        <v>0</v>
      </c>
      <c r="AG69" s="16" t="n">
        <f aca="false">AF70</f>
        <v>0</v>
      </c>
      <c r="AH69" s="16" t="n">
        <f aca="false">AG70</f>
        <v>0</v>
      </c>
      <c r="AI69" s="16" t="n">
        <f aca="false">AH70</f>
        <v>0</v>
      </c>
      <c r="AJ69" s="16" t="n">
        <f aca="false">AI70</f>
        <v>0</v>
      </c>
      <c r="AK69" s="16" t="n">
        <f aca="false">AJ70</f>
        <v>0</v>
      </c>
      <c r="AL69" s="16" t="n">
        <f aca="false">AK70</f>
        <v>0</v>
      </c>
      <c r="AM69" s="16" t="n">
        <f aca="false">AL70</f>
        <v>0</v>
      </c>
      <c r="AN69" s="16" t="n">
        <f aca="false">AM70</f>
        <v>0</v>
      </c>
      <c r="AO69" s="16" t="n">
        <f aca="false">AN70</f>
        <v>0</v>
      </c>
      <c r="AP69" s="16" t="n">
        <f aca="false">AO70</f>
        <v>0</v>
      </c>
      <c r="AQ69" s="16" t="n">
        <f aca="false">AP70</f>
        <v>0</v>
      </c>
      <c r="AR69" s="16" t="n">
        <f aca="false">AQ70</f>
        <v>0</v>
      </c>
      <c r="AS69" s="16" t="n">
        <f aca="false">AR70</f>
        <v>0</v>
      </c>
      <c r="AT69" s="16" t="n">
        <f aca="false">AS70</f>
        <v>0</v>
      </c>
      <c r="AU69" s="16" t="n">
        <f aca="false">AT70</f>
        <v>0</v>
      </c>
      <c r="AV69" s="16" t="n">
        <f aca="false">AU70</f>
        <v>0</v>
      </c>
      <c r="AW69" s="16" t="n">
        <f aca="false">AV70</f>
        <v>0</v>
      </c>
      <c r="AX69" s="16" t="n">
        <f aca="false">AW70</f>
        <v>0</v>
      </c>
      <c r="AY69" s="16" t="n">
        <f aca="false">AX70</f>
        <v>0</v>
      </c>
      <c r="AZ69" s="16" t="n">
        <f aca="false">AY70</f>
        <v>0</v>
      </c>
      <c r="BA69" s="16" t="n">
        <f aca="false">AZ70</f>
        <v>0</v>
      </c>
      <c r="BB69" s="16" t="n">
        <f aca="false">BA70</f>
        <v>0</v>
      </c>
      <c r="BC69" s="16" t="n">
        <f aca="false">BB70</f>
        <v>0</v>
      </c>
      <c r="BD69" s="16" t="n">
        <f aca="false">BC70</f>
        <v>0</v>
      </c>
      <c r="BE69" s="16" t="n">
        <f aca="false">BD70</f>
        <v>0</v>
      </c>
      <c r="BF69" s="16" t="n">
        <f aca="false">BE70</f>
        <v>0</v>
      </c>
      <c r="BG69" s="16" t="n">
        <f aca="false">BF70</f>
        <v>0</v>
      </c>
      <c r="BH69" s="16" t="n">
        <f aca="false">BG70</f>
        <v>0</v>
      </c>
      <c r="BI69" s="16" t="n">
        <f aca="false">BH70</f>
        <v>0</v>
      </c>
      <c r="BJ69" s="16" t="n">
        <f aca="false">BI70</f>
        <v>0</v>
      </c>
      <c r="BK69" s="16" t="n">
        <f aca="false">BJ70</f>
        <v>0</v>
      </c>
      <c r="BL69" s="16" t="n">
        <f aca="false">BK70</f>
        <v>0</v>
      </c>
      <c r="BM69" s="16" t="n">
        <f aca="false">BL70</f>
        <v>0</v>
      </c>
      <c r="BN69" s="16" t="n">
        <f aca="false">BM70</f>
        <v>0</v>
      </c>
      <c r="BO69" s="16" t="n">
        <f aca="false">BN70</f>
        <v>0</v>
      </c>
      <c r="BP69" s="16" t="n">
        <f aca="false">BO70</f>
        <v>0</v>
      </c>
      <c r="BQ69" s="16" t="n">
        <f aca="false">BP70</f>
        <v>0</v>
      </c>
      <c r="BR69" s="16" t="n">
        <f aca="false">BQ70</f>
        <v>0</v>
      </c>
      <c r="BS69" s="16" t="n">
        <f aca="false">BR70</f>
        <v>0</v>
      </c>
      <c r="BT69" s="16" t="n">
        <f aca="false">BS70</f>
        <v>0</v>
      </c>
      <c r="BU69" s="16" t="n">
        <f aca="false">BT70</f>
        <v>0</v>
      </c>
      <c r="BV69" s="16" t="n">
        <f aca="false">BU70</f>
        <v>0</v>
      </c>
      <c r="BW69" s="16" t="n">
        <f aca="false">BV70</f>
        <v>0</v>
      </c>
      <c r="BX69" s="16" t="n">
        <f aca="false">BW70</f>
        <v>0</v>
      </c>
      <c r="BY69" s="16" t="n">
        <f aca="false">BX70</f>
        <v>0</v>
      </c>
      <c r="BZ69" s="16" t="n">
        <f aca="false">BY70</f>
        <v>0</v>
      </c>
      <c r="CA69" s="16" t="n">
        <f aca="false">BZ70</f>
        <v>0</v>
      </c>
      <c r="CB69" s="16" t="n">
        <f aca="false">CA70</f>
        <v>0</v>
      </c>
      <c r="CC69" s="16" t="n">
        <f aca="false">CB70</f>
        <v>0</v>
      </c>
      <c r="CD69" s="16" t="n">
        <f aca="false">CC70</f>
        <v>0</v>
      </c>
      <c r="CE69" s="16" t="n">
        <f aca="false">CD70</f>
        <v>0</v>
      </c>
      <c r="CF69" s="16" t="n">
        <f aca="false">CE70</f>
        <v>0</v>
      </c>
      <c r="CG69" s="16" t="n">
        <f aca="false">CF70</f>
        <v>0</v>
      </c>
      <c r="CH69" s="16" t="n">
        <f aca="false">CG70</f>
        <v>0</v>
      </c>
      <c r="CI69" s="16" t="n">
        <f aca="false">CH70</f>
        <v>0</v>
      </c>
      <c r="CJ69" s="16" t="n">
        <f aca="false">CI70</f>
        <v>0</v>
      </c>
      <c r="CK69" s="16" t="n">
        <f aca="false">CJ70</f>
        <v>0</v>
      </c>
      <c r="CL69" s="16" t="n">
        <f aca="false">CK70</f>
        <v>0</v>
      </c>
      <c r="CM69" s="16" t="n">
        <f aca="false">CL70</f>
        <v>0</v>
      </c>
      <c r="CN69" s="16" t="n">
        <f aca="false">CM70</f>
        <v>0</v>
      </c>
      <c r="CO69" s="16" t="n">
        <f aca="false">CN70</f>
        <v>0</v>
      </c>
      <c r="CP69" s="16" t="n">
        <f aca="false">CO70</f>
        <v>0</v>
      </c>
      <c r="CQ69" s="16" t="n">
        <f aca="false">CP70</f>
        <v>0</v>
      </c>
      <c r="CR69" s="16" t="n">
        <f aca="false">CQ70</f>
        <v>0</v>
      </c>
      <c r="CS69" s="16" t="n">
        <f aca="false">CR70</f>
        <v>0</v>
      </c>
      <c r="CT69" s="16" t="n">
        <f aca="false">CS70</f>
        <v>0</v>
      </c>
      <c r="CU69" s="16" t="n">
        <f aca="false">CT70</f>
        <v>0</v>
      </c>
      <c r="CV69" s="16" t="n">
        <f aca="false">CU70</f>
        <v>0</v>
      </c>
      <c r="CW69" s="16" t="n">
        <f aca="false">CV70</f>
        <v>0</v>
      </c>
      <c r="CX69" s="16" t="n">
        <f aca="false">CW70</f>
        <v>0</v>
      </c>
    </row>
    <row r="70" customFormat="false" ht="15" hidden="false" customHeight="false" outlineLevel="0" collapsed="false">
      <c r="A70" s="1" t="n">
        <f aca="false">A69+1</f>
        <v>67</v>
      </c>
      <c r="B70" s="16" t="n">
        <f aca="false">B69</f>
        <v>0</v>
      </c>
      <c r="C70" s="16" t="n">
        <f aca="false">B71</f>
        <v>0</v>
      </c>
      <c r="D70" s="16" t="n">
        <f aca="false">C71</f>
        <v>0</v>
      </c>
      <c r="E70" s="16" t="n">
        <f aca="false">D71</f>
        <v>0</v>
      </c>
      <c r="F70" s="16" t="n">
        <f aca="false">E71</f>
        <v>0</v>
      </c>
      <c r="G70" s="16" t="n">
        <f aca="false">F71</f>
        <v>0</v>
      </c>
      <c r="H70" s="16" t="n">
        <f aca="false">G71</f>
        <v>0</v>
      </c>
      <c r="I70" s="16" t="n">
        <f aca="false">H71</f>
        <v>0</v>
      </c>
      <c r="J70" s="16" t="n">
        <f aca="false">I71</f>
        <v>0</v>
      </c>
      <c r="K70" s="16" t="n">
        <f aca="false">J71</f>
        <v>0</v>
      </c>
      <c r="L70" s="16" t="n">
        <f aca="false">K71</f>
        <v>0</v>
      </c>
      <c r="M70" s="16" t="n">
        <f aca="false">L71</f>
        <v>0</v>
      </c>
      <c r="N70" s="16" t="n">
        <f aca="false">M71</f>
        <v>0</v>
      </c>
      <c r="O70" s="16" t="n">
        <f aca="false">N71</f>
        <v>0</v>
      </c>
      <c r="P70" s="16" t="n">
        <f aca="false">O71</f>
        <v>0</v>
      </c>
      <c r="Q70" s="16" t="n">
        <f aca="false">P71</f>
        <v>0</v>
      </c>
      <c r="R70" s="16" t="n">
        <f aca="false">Q71</f>
        <v>0</v>
      </c>
      <c r="S70" s="16" t="n">
        <f aca="false">R71</f>
        <v>0</v>
      </c>
      <c r="T70" s="16" t="n">
        <f aca="false">S71</f>
        <v>0</v>
      </c>
      <c r="U70" s="16" t="n">
        <f aca="false">T71</f>
        <v>0</v>
      </c>
      <c r="V70" s="16" t="n">
        <f aca="false">U71</f>
        <v>0</v>
      </c>
      <c r="W70" s="16" t="n">
        <f aca="false">V71</f>
        <v>0</v>
      </c>
      <c r="X70" s="16" t="n">
        <f aca="false">W71</f>
        <v>0</v>
      </c>
      <c r="Y70" s="16" t="n">
        <f aca="false">X71</f>
        <v>0</v>
      </c>
      <c r="Z70" s="16" t="n">
        <f aca="false">Y71</f>
        <v>0</v>
      </c>
      <c r="AA70" s="16" t="n">
        <f aca="false">Z71</f>
        <v>0</v>
      </c>
      <c r="AB70" s="16" t="n">
        <f aca="false">AA71</f>
        <v>0</v>
      </c>
      <c r="AC70" s="16" t="n">
        <f aca="false">AB71</f>
        <v>0</v>
      </c>
      <c r="AD70" s="16" t="n">
        <f aca="false">AC71</f>
        <v>0</v>
      </c>
      <c r="AE70" s="16" t="n">
        <f aca="false">AD71</f>
        <v>0</v>
      </c>
      <c r="AF70" s="16" t="n">
        <f aca="false">AE71</f>
        <v>0</v>
      </c>
      <c r="AG70" s="16" t="n">
        <f aca="false">AF71</f>
        <v>0</v>
      </c>
      <c r="AH70" s="16" t="n">
        <f aca="false">AG71</f>
        <v>0</v>
      </c>
      <c r="AI70" s="16" t="n">
        <f aca="false">AH71</f>
        <v>0</v>
      </c>
      <c r="AJ70" s="16" t="n">
        <f aca="false">AI71</f>
        <v>0</v>
      </c>
      <c r="AK70" s="16" t="n">
        <f aca="false">AJ71</f>
        <v>0</v>
      </c>
      <c r="AL70" s="16" t="n">
        <f aca="false">AK71</f>
        <v>0</v>
      </c>
      <c r="AM70" s="16" t="n">
        <f aca="false">AL71</f>
        <v>0</v>
      </c>
      <c r="AN70" s="16" t="n">
        <f aca="false">AM71</f>
        <v>0</v>
      </c>
      <c r="AO70" s="16" t="n">
        <f aca="false">AN71</f>
        <v>0</v>
      </c>
      <c r="AP70" s="16" t="n">
        <f aca="false">AO71</f>
        <v>0</v>
      </c>
      <c r="AQ70" s="16" t="n">
        <f aca="false">AP71</f>
        <v>0</v>
      </c>
      <c r="AR70" s="16" t="n">
        <f aca="false">AQ71</f>
        <v>0</v>
      </c>
      <c r="AS70" s="16" t="n">
        <f aca="false">AR71</f>
        <v>0</v>
      </c>
      <c r="AT70" s="16" t="n">
        <f aca="false">AS71</f>
        <v>0</v>
      </c>
      <c r="AU70" s="16" t="n">
        <f aca="false">AT71</f>
        <v>0</v>
      </c>
      <c r="AV70" s="16" t="n">
        <f aca="false">AU71</f>
        <v>0</v>
      </c>
      <c r="AW70" s="16" t="n">
        <f aca="false">AV71</f>
        <v>0</v>
      </c>
      <c r="AX70" s="16" t="n">
        <f aca="false">AW71</f>
        <v>0</v>
      </c>
      <c r="AY70" s="16" t="n">
        <f aca="false">AX71</f>
        <v>0</v>
      </c>
      <c r="AZ70" s="16" t="n">
        <f aca="false">AY71</f>
        <v>0</v>
      </c>
      <c r="BA70" s="16" t="n">
        <f aca="false">AZ71</f>
        <v>0</v>
      </c>
      <c r="BB70" s="16" t="n">
        <f aca="false">BA71</f>
        <v>0</v>
      </c>
      <c r="BC70" s="16" t="n">
        <f aca="false">BB71</f>
        <v>0</v>
      </c>
      <c r="BD70" s="16" t="n">
        <f aca="false">BC71</f>
        <v>0</v>
      </c>
      <c r="BE70" s="16" t="n">
        <f aca="false">BD71</f>
        <v>0</v>
      </c>
      <c r="BF70" s="16" t="n">
        <f aca="false">BE71</f>
        <v>0</v>
      </c>
      <c r="BG70" s="16" t="n">
        <f aca="false">BF71</f>
        <v>0</v>
      </c>
      <c r="BH70" s="16" t="n">
        <f aca="false">BG71</f>
        <v>0</v>
      </c>
      <c r="BI70" s="16" t="n">
        <f aca="false">BH71</f>
        <v>0</v>
      </c>
      <c r="BJ70" s="16" t="n">
        <f aca="false">BI71</f>
        <v>0</v>
      </c>
      <c r="BK70" s="16" t="n">
        <f aca="false">BJ71</f>
        <v>0</v>
      </c>
      <c r="BL70" s="16" t="n">
        <f aca="false">BK71</f>
        <v>0</v>
      </c>
      <c r="BM70" s="16" t="n">
        <f aca="false">BL71</f>
        <v>0</v>
      </c>
      <c r="BN70" s="16" t="n">
        <f aca="false">BM71</f>
        <v>0</v>
      </c>
      <c r="BO70" s="16" t="n">
        <f aca="false">BN71</f>
        <v>0</v>
      </c>
      <c r="BP70" s="16" t="n">
        <f aca="false">BO71</f>
        <v>0</v>
      </c>
      <c r="BQ70" s="16" t="n">
        <f aca="false">BP71</f>
        <v>0</v>
      </c>
      <c r="BR70" s="16" t="n">
        <f aca="false">BQ71</f>
        <v>0</v>
      </c>
      <c r="BS70" s="16" t="n">
        <f aca="false">BR71</f>
        <v>0</v>
      </c>
      <c r="BT70" s="16" t="n">
        <f aca="false">BS71</f>
        <v>0</v>
      </c>
      <c r="BU70" s="16" t="n">
        <f aca="false">BT71</f>
        <v>0</v>
      </c>
      <c r="BV70" s="16" t="n">
        <f aca="false">BU71</f>
        <v>0</v>
      </c>
      <c r="BW70" s="16" t="n">
        <f aca="false">BV71</f>
        <v>0</v>
      </c>
      <c r="BX70" s="16" t="n">
        <f aca="false">BW71</f>
        <v>0</v>
      </c>
      <c r="BY70" s="16" t="n">
        <f aca="false">BX71</f>
        <v>0</v>
      </c>
      <c r="BZ70" s="16" t="n">
        <f aca="false">BY71</f>
        <v>0</v>
      </c>
      <c r="CA70" s="16" t="n">
        <f aca="false">BZ71</f>
        <v>0</v>
      </c>
      <c r="CB70" s="16" t="n">
        <f aca="false">CA71</f>
        <v>0</v>
      </c>
      <c r="CC70" s="16" t="n">
        <f aca="false">CB71</f>
        <v>0</v>
      </c>
      <c r="CD70" s="16" t="n">
        <f aca="false">CC71</f>
        <v>0</v>
      </c>
      <c r="CE70" s="16" t="n">
        <f aca="false">CD71</f>
        <v>0</v>
      </c>
      <c r="CF70" s="16" t="n">
        <f aca="false">CE71</f>
        <v>0</v>
      </c>
      <c r="CG70" s="16" t="n">
        <f aca="false">CF71</f>
        <v>0</v>
      </c>
      <c r="CH70" s="16" t="n">
        <f aca="false">CG71</f>
        <v>0</v>
      </c>
      <c r="CI70" s="16" t="n">
        <f aca="false">CH71</f>
        <v>0</v>
      </c>
      <c r="CJ70" s="16" t="n">
        <f aca="false">CI71</f>
        <v>0</v>
      </c>
      <c r="CK70" s="16" t="n">
        <f aca="false">CJ71</f>
        <v>0</v>
      </c>
      <c r="CL70" s="16" t="n">
        <f aca="false">CK71</f>
        <v>0</v>
      </c>
      <c r="CM70" s="16" t="n">
        <f aca="false">CL71</f>
        <v>0</v>
      </c>
      <c r="CN70" s="16" t="n">
        <f aca="false">CM71</f>
        <v>0</v>
      </c>
      <c r="CO70" s="16" t="n">
        <f aca="false">CN71</f>
        <v>0</v>
      </c>
      <c r="CP70" s="16" t="n">
        <f aca="false">CO71</f>
        <v>0</v>
      </c>
      <c r="CQ70" s="16" t="n">
        <f aca="false">CP71</f>
        <v>0</v>
      </c>
      <c r="CR70" s="16" t="n">
        <f aca="false">CQ71</f>
        <v>0</v>
      </c>
      <c r="CS70" s="16" t="n">
        <f aca="false">CR71</f>
        <v>0</v>
      </c>
      <c r="CT70" s="16" t="n">
        <f aca="false">CS71</f>
        <v>0</v>
      </c>
      <c r="CU70" s="16" t="n">
        <f aca="false">CT71</f>
        <v>0</v>
      </c>
      <c r="CV70" s="16" t="n">
        <f aca="false">CU71</f>
        <v>0</v>
      </c>
      <c r="CW70" s="16" t="n">
        <f aca="false">CV71</f>
        <v>0</v>
      </c>
      <c r="CX70" s="16" t="n">
        <f aca="false">CW71</f>
        <v>0</v>
      </c>
    </row>
    <row r="71" customFormat="false" ht="15" hidden="false" customHeight="false" outlineLevel="0" collapsed="false">
      <c r="A71" s="1" t="n">
        <f aca="false">A70+1</f>
        <v>68</v>
      </c>
      <c r="B71" s="16" t="n">
        <f aca="false">B70</f>
        <v>0</v>
      </c>
      <c r="C71" s="16" t="n">
        <f aca="false">B72</f>
        <v>0</v>
      </c>
      <c r="D71" s="16" t="n">
        <f aca="false">C72</f>
        <v>0</v>
      </c>
      <c r="E71" s="16" t="n">
        <f aca="false">D72</f>
        <v>0</v>
      </c>
      <c r="F71" s="16" t="n">
        <f aca="false">E72</f>
        <v>0</v>
      </c>
      <c r="G71" s="16" t="n">
        <f aca="false">F72</f>
        <v>0</v>
      </c>
      <c r="H71" s="16" t="n">
        <f aca="false">G72</f>
        <v>0</v>
      </c>
      <c r="I71" s="16" t="n">
        <f aca="false">H72</f>
        <v>0</v>
      </c>
      <c r="J71" s="16" t="n">
        <f aca="false">I72</f>
        <v>0</v>
      </c>
      <c r="K71" s="16" t="n">
        <f aca="false">J72</f>
        <v>0</v>
      </c>
      <c r="L71" s="16" t="n">
        <f aca="false">K72</f>
        <v>0</v>
      </c>
      <c r="M71" s="16" t="n">
        <f aca="false">L72</f>
        <v>0</v>
      </c>
      <c r="N71" s="16" t="n">
        <f aca="false">M72</f>
        <v>0</v>
      </c>
      <c r="O71" s="16" t="n">
        <f aca="false">N72</f>
        <v>0</v>
      </c>
      <c r="P71" s="16" t="n">
        <f aca="false">O72</f>
        <v>0</v>
      </c>
      <c r="Q71" s="16" t="n">
        <f aca="false">P72</f>
        <v>0</v>
      </c>
      <c r="R71" s="16" t="n">
        <f aca="false">Q72</f>
        <v>0</v>
      </c>
      <c r="S71" s="16" t="n">
        <f aca="false">R72</f>
        <v>0</v>
      </c>
      <c r="T71" s="16" t="n">
        <f aca="false">S72</f>
        <v>0</v>
      </c>
      <c r="U71" s="16" t="n">
        <f aca="false">T72</f>
        <v>0</v>
      </c>
      <c r="V71" s="16" t="n">
        <f aca="false">U72</f>
        <v>0</v>
      </c>
      <c r="W71" s="16" t="n">
        <f aca="false">V72</f>
        <v>0</v>
      </c>
      <c r="X71" s="16" t="n">
        <f aca="false">W72</f>
        <v>0</v>
      </c>
      <c r="Y71" s="16" t="n">
        <f aca="false">X72</f>
        <v>0</v>
      </c>
      <c r="Z71" s="16" t="n">
        <f aca="false">Y72</f>
        <v>0</v>
      </c>
      <c r="AA71" s="16" t="n">
        <f aca="false">Z72</f>
        <v>0</v>
      </c>
      <c r="AB71" s="16" t="n">
        <f aca="false">AA72</f>
        <v>0</v>
      </c>
      <c r="AC71" s="16" t="n">
        <f aca="false">AB72</f>
        <v>0</v>
      </c>
      <c r="AD71" s="16" t="n">
        <f aca="false">AC72</f>
        <v>0</v>
      </c>
      <c r="AE71" s="16" t="n">
        <f aca="false">AD72</f>
        <v>0</v>
      </c>
      <c r="AF71" s="16" t="n">
        <f aca="false">AE72</f>
        <v>0</v>
      </c>
      <c r="AG71" s="16" t="n">
        <f aca="false">AF72</f>
        <v>0</v>
      </c>
      <c r="AH71" s="16" t="n">
        <f aca="false">AG72</f>
        <v>0</v>
      </c>
      <c r="AI71" s="16" t="n">
        <f aca="false">AH72</f>
        <v>0</v>
      </c>
      <c r="AJ71" s="16" t="n">
        <f aca="false">AI72</f>
        <v>0</v>
      </c>
      <c r="AK71" s="16" t="n">
        <f aca="false">AJ72</f>
        <v>0</v>
      </c>
      <c r="AL71" s="16" t="n">
        <f aca="false">AK72</f>
        <v>0</v>
      </c>
      <c r="AM71" s="16" t="n">
        <f aca="false">AL72</f>
        <v>0</v>
      </c>
      <c r="AN71" s="16" t="n">
        <f aca="false">AM72</f>
        <v>0</v>
      </c>
      <c r="AO71" s="16" t="n">
        <f aca="false">AN72</f>
        <v>0</v>
      </c>
      <c r="AP71" s="16" t="n">
        <f aca="false">AO72</f>
        <v>0</v>
      </c>
      <c r="AQ71" s="16" t="n">
        <f aca="false">AP72</f>
        <v>0</v>
      </c>
      <c r="AR71" s="16" t="n">
        <f aca="false">AQ72</f>
        <v>0</v>
      </c>
      <c r="AS71" s="16" t="n">
        <f aca="false">AR72</f>
        <v>0</v>
      </c>
      <c r="AT71" s="16" t="n">
        <f aca="false">AS72</f>
        <v>0</v>
      </c>
      <c r="AU71" s="16" t="n">
        <f aca="false">AT72</f>
        <v>0</v>
      </c>
      <c r="AV71" s="16" t="n">
        <f aca="false">AU72</f>
        <v>0</v>
      </c>
      <c r="AW71" s="16" t="n">
        <f aca="false">AV72</f>
        <v>0</v>
      </c>
      <c r="AX71" s="16" t="n">
        <f aca="false">AW72</f>
        <v>0</v>
      </c>
      <c r="AY71" s="16" t="n">
        <f aca="false">AX72</f>
        <v>0</v>
      </c>
      <c r="AZ71" s="16" t="n">
        <f aca="false">AY72</f>
        <v>0</v>
      </c>
      <c r="BA71" s="16" t="n">
        <f aca="false">AZ72</f>
        <v>0</v>
      </c>
      <c r="BB71" s="16" t="n">
        <f aca="false">BA72</f>
        <v>0</v>
      </c>
      <c r="BC71" s="16" t="n">
        <f aca="false">BB72</f>
        <v>0</v>
      </c>
      <c r="BD71" s="16" t="n">
        <f aca="false">BC72</f>
        <v>0</v>
      </c>
      <c r="BE71" s="16" t="n">
        <f aca="false">BD72</f>
        <v>0</v>
      </c>
      <c r="BF71" s="16" t="n">
        <f aca="false">BE72</f>
        <v>0</v>
      </c>
      <c r="BG71" s="16" t="n">
        <f aca="false">BF72</f>
        <v>0</v>
      </c>
      <c r="BH71" s="16" t="n">
        <f aca="false">BG72</f>
        <v>0</v>
      </c>
      <c r="BI71" s="16" t="n">
        <f aca="false">BH72</f>
        <v>0</v>
      </c>
      <c r="BJ71" s="16" t="n">
        <f aca="false">BI72</f>
        <v>0</v>
      </c>
      <c r="BK71" s="16" t="n">
        <f aca="false">BJ72</f>
        <v>0</v>
      </c>
      <c r="BL71" s="16" t="n">
        <f aca="false">BK72</f>
        <v>0</v>
      </c>
      <c r="BM71" s="16" t="n">
        <f aca="false">BL72</f>
        <v>0</v>
      </c>
      <c r="BN71" s="16" t="n">
        <f aca="false">BM72</f>
        <v>0</v>
      </c>
      <c r="BO71" s="16" t="n">
        <f aca="false">BN72</f>
        <v>0</v>
      </c>
      <c r="BP71" s="16" t="n">
        <f aca="false">BO72</f>
        <v>0</v>
      </c>
      <c r="BQ71" s="16" t="n">
        <f aca="false">BP72</f>
        <v>0</v>
      </c>
      <c r="BR71" s="16" t="n">
        <f aca="false">BQ72</f>
        <v>0</v>
      </c>
      <c r="BS71" s="16" t="n">
        <f aca="false">BR72</f>
        <v>0</v>
      </c>
      <c r="BT71" s="16" t="n">
        <f aca="false">BS72</f>
        <v>0</v>
      </c>
      <c r="BU71" s="16" t="n">
        <f aca="false">BT72</f>
        <v>0</v>
      </c>
      <c r="BV71" s="16" t="n">
        <f aca="false">BU72</f>
        <v>0</v>
      </c>
      <c r="BW71" s="16" t="n">
        <f aca="false">BV72</f>
        <v>0</v>
      </c>
      <c r="BX71" s="16" t="n">
        <f aca="false">BW72</f>
        <v>0</v>
      </c>
      <c r="BY71" s="16" t="n">
        <f aca="false">BX72</f>
        <v>0</v>
      </c>
      <c r="BZ71" s="16" t="n">
        <f aca="false">BY72</f>
        <v>0</v>
      </c>
      <c r="CA71" s="16" t="n">
        <f aca="false">BZ72</f>
        <v>0</v>
      </c>
      <c r="CB71" s="16" t="n">
        <f aca="false">CA72</f>
        <v>0</v>
      </c>
      <c r="CC71" s="16" t="n">
        <f aca="false">CB72</f>
        <v>0</v>
      </c>
      <c r="CD71" s="16" t="n">
        <f aca="false">CC72</f>
        <v>0</v>
      </c>
      <c r="CE71" s="16" t="n">
        <f aca="false">CD72</f>
        <v>0</v>
      </c>
      <c r="CF71" s="16" t="n">
        <f aca="false">CE72</f>
        <v>0</v>
      </c>
      <c r="CG71" s="16" t="n">
        <f aca="false">CF72</f>
        <v>0</v>
      </c>
      <c r="CH71" s="16" t="n">
        <f aca="false">CG72</f>
        <v>0</v>
      </c>
      <c r="CI71" s="16" t="n">
        <f aca="false">CH72</f>
        <v>0</v>
      </c>
      <c r="CJ71" s="16" t="n">
        <f aca="false">CI72</f>
        <v>0</v>
      </c>
      <c r="CK71" s="16" t="n">
        <f aca="false">CJ72</f>
        <v>0</v>
      </c>
      <c r="CL71" s="16" t="n">
        <f aca="false">CK72</f>
        <v>0</v>
      </c>
      <c r="CM71" s="16" t="n">
        <f aca="false">CL72</f>
        <v>0</v>
      </c>
      <c r="CN71" s="16" t="n">
        <f aca="false">CM72</f>
        <v>0</v>
      </c>
      <c r="CO71" s="16" t="n">
        <f aca="false">CN72</f>
        <v>0</v>
      </c>
      <c r="CP71" s="16" t="n">
        <f aca="false">CO72</f>
        <v>0</v>
      </c>
      <c r="CQ71" s="16" t="n">
        <f aca="false">CP72</f>
        <v>0</v>
      </c>
      <c r="CR71" s="16" t="n">
        <f aca="false">CQ72</f>
        <v>0</v>
      </c>
      <c r="CS71" s="16" t="n">
        <f aca="false">CR72</f>
        <v>0</v>
      </c>
      <c r="CT71" s="16" t="n">
        <f aca="false">CS72</f>
        <v>0</v>
      </c>
      <c r="CU71" s="16" t="n">
        <f aca="false">CT72</f>
        <v>0</v>
      </c>
      <c r="CV71" s="16" t="n">
        <f aca="false">CU72</f>
        <v>0</v>
      </c>
      <c r="CW71" s="16" t="n">
        <f aca="false">CV72</f>
        <v>0</v>
      </c>
      <c r="CX71" s="16" t="n">
        <f aca="false">CW72</f>
        <v>0</v>
      </c>
    </row>
    <row r="72" customFormat="false" ht="15" hidden="false" customHeight="false" outlineLevel="0" collapsed="false">
      <c r="A72" s="1" t="n">
        <f aca="false">A71+1</f>
        <v>69</v>
      </c>
      <c r="B72" s="16" t="n">
        <f aca="false">B71</f>
        <v>0</v>
      </c>
      <c r="C72" s="16" t="n">
        <f aca="false">B73</f>
        <v>0</v>
      </c>
      <c r="D72" s="16" t="n">
        <f aca="false">C73</f>
        <v>0</v>
      </c>
      <c r="E72" s="16" t="n">
        <f aca="false">D73</f>
        <v>0</v>
      </c>
      <c r="F72" s="16" t="n">
        <f aca="false">E73</f>
        <v>0</v>
      </c>
      <c r="G72" s="16" t="n">
        <f aca="false">F73</f>
        <v>0</v>
      </c>
      <c r="H72" s="16" t="n">
        <f aca="false">G73</f>
        <v>0</v>
      </c>
      <c r="I72" s="16" t="n">
        <f aca="false">H73</f>
        <v>0</v>
      </c>
      <c r="J72" s="16" t="n">
        <f aca="false">I73</f>
        <v>0</v>
      </c>
      <c r="K72" s="16" t="n">
        <f aca="false">J73</f>
        <v>0</v>
      </c>
      <c r="L72" s="16" t="n">
        <f aca="false">K73</f>
        <v>0</v>
      </c>
      <c r="M72" s="16" t="n">
        <f aca="false">L73</f>
        <v>0</v>
      </c>
      <c r="N72" s="16" t="n">
        <f aca="false">M73</f>
        <v>0</v>
      </c>
      <c r="O72" s="16" t="n">
        <f aca="false">N73</f>
        <v>0</v>
      </c>
      <c r="P72" s="16" t="n">
        <f aca="false">O73</f>
        <v>0</v>
      </c>
      <c r="Q72" s="16" t="n">
        <f aca="false">P73</f>
        <v>0</v>
      </c>
      <c r="R72" s="16" t="n">
        <f aca="false">Q73</f>
        <v>0</v>
      </c>
      <c r="S72" s="16" t="n">
        <f aca="false">R73</f>
        <v>0</v>
      </c>
      <c r="T72" s="16" t="n">
        <f aca="false">S73</f>
        <v>0</v>
      </c>
      <c r="U72" s="16" t="n">
        <f aca="false">T73</f>
        <v>0</v>
      </c>
      <c r="V72" s="16" t="n">
        <f aca="false">U73</f>
        <v>0</v>
      </c>
      <c r="W72" s="16" t="n">
        <f aca="false">V73</f>
        <v>0</v>
      </c>
      <c r="X72" s="16" t="n">
        <f aca="false">W73</f>
        <v>0</v>
      </c>
      <c r="Y72" s="16" t="n">
        <f aca="false">X73</f>
        <v>0</v>
      </c>
      <c r="Z72" s="16" t="n">
        <f aca="false">Y73</f>
        <v>0</v>
      </c>
      <c r="AA72" s="16" t="n">
        <f aca="false">Z73</f>
        <v>0</v>
      </c>
      <c r="AB72" s="16" t="n">
        <f aca="false">AA73</f>
        <v>0</v>
      </c>
      <c r="AC72" s="16" t="n">
        <f aca="false">AB73</f>
        <v>0</v>
      </c>
      <c r="AD72" s="16" t="n">
        <f aca="false">AC73</f>
        <v>0</v>
      </c>
      <c r="AE72" s="16" t="n">
        <f aca="false">AD73</f>
        <v>0</v>
      </c>
      <c r="AF72" s="16" t="n">
        <f aca="false">AE73</f>
        <v>0</v>
      </c>
      <c r="AG72" s="16" t="n">
        <f aca="false">AF73</f>
        <v>0</v>
      </c>
      <c r="AH72" s="16" t="n">
        <f aca="false">AG73</f>
        <v>0</v>
      </c>
      <c r="AI72" s="16" t="n">
        <f aca="false">AH73</f>
        <v>0</v>
      </c>
      <c r="AJ72" s="16" t="n">
        <f aca="false">AI73</f>
        <v>0</v>
      </c>
      <c r="AK72" s="16" t="n">
        <f aca="false">AJ73</f>
        <v>0</v>
      </c>
      <c r="AL72" s="16" t="n">
        <f aca="false">AK73</f>
        <v>0</v>
      </c>
      <c r="AM72" s="16" t="n">
        <f aca="false">AL73</f>
        <v>0</v>
      </c>
      <c r="AN72" s="16" t="n">
        <f aca="false">AM73</f>
        <v>0</v>
      </c>
      <c r="AO72" s="16" t="n">
        <f aca="false">AN73</f>
        <v>0</v>
      </c>
      <c r="AP72" s="16" t="n">
        <f aca="false">AO73</f>
        <v>0</v>
      </c>
      <c r="AQ72" s="16" t="n">
        <f aca="false">AP73</f>
        <v>0</v>
      </c>
      <c r="AR72" s="16" t="n">
        <f aca="false">AQ73</f>
        <v>0</v>
      </c>
      <c r="AS72" s="16" t="n">
        <f aca="false">AR73</f>
        <v>0</v>
      </c>
      <c r="AT72" s="16" t="n">
        <f aca="false">AS73</f>
        <v>0</v>
      </c>
      <c r="AU72" s="16" t="n">
        <f aca="false">AT73</f>
        <v>0</v>
      </c>
      <c r="AV72" s="16" t="n">
        <f aca="false">AU73</f>
        <v>0</v>
      </c>
      <c r="AW72" s="16" t="n">
        <f aca="false">AV73</f>
        <v>0</v>
      </c>
      <c r="AX72" s="16" t="n">
        <f aca="false">AW73</f>
        <v>0</v>
      </c>
      <c r="AY72" s="16" t="n">
        <f aca="false">AX73</f>
        <v>0</v>
      </c>
      <c r="AZ72" s="16" t="n">
        <f aca="false">AY73</f>
        <v>0</v>
      </c>
      <c r="BA72" s="16" t="n">
        <f aca="false">AZ73</f>
        <v>0</v>
      </c>
      <c r="BB72" s="16" t="n">
        <f aca="false">BA73</f>
        <v>0</v>
      </c>
      <c r="BC72" s="16" t="n">
        <f aca="false">BB73</f>
        <v>0</v>
      </c>
      <c r="BD72" s="16" t="n">
        <f aca="false">BC73</f>
        <v>0</v>
      </c>
      <c r="BE72" s="16" t="n">
        <f aca="false">BD73</f>
        <v>0</v>
      </c>
      <c r="BF72" s="16" t="n">
        <f aca="false">BE73</f>
        <v>0</v>
      </c>
      <c r="BG72" s="16" t="n">
        <f aca="false">BF73</f>
        <v>0</v>
      </c>
      <c r="BH72" s="16" t="n">
        <f aca="false">BG73</f>
        <v>0</v>
      </c>
      <c r="BI72" s="16" t="n">
        <f aca="false">BH73</f>
        <v>0</v>
      </c>
      <c r="BJ72" s="16" t="n">
        <f aca="false">BI73</f>
        <v>0</v>
      </c>
      <c r="BK72" s="16" t="n">
        <f aca="false">BJ73</f>
        <v>0</v>
      </c>
      <c r="BL72" s="16" t="n">
        <f aca="false">BK73</f>
        <v>0</v>
      </c>
      <c r="BM72" s="16" t="n">
        <f aca="false">BL73</f>
        <v>0</v>
      </c>
      <c r="BN72" s="16" t="n">
        <f aca="false">BM73</f>
        <v>0</v>
      </c>
      <c r="BO72" s="16" t="n">
        <f aca="false">BN73</f>
        <v>0</v>
      </c>
      <c r="BP72" s="16" t="n">
        <f aca="false">BO73</f>
        <v>0</v>
      </c>
      <c r="BQ72" s="16" t="n">
        <f aca="false">BP73</f>
        <v>0</v>
      </c>
      <c r="BR72" s="16" t="n">
        <f aca="false">BQ73</f>
        <v>0</v>
      </c>
      <c r="BS72" s="16" t="n">
        <f aca="false">BR73</f>
        <v>0</v>
      </c>
      <c r="BT72" s="16" t="n">
        <f aca="false">BS73</f>
        <v>0</v>
      </c>
      <c r="BU72" s="16" t="n">
        <f aca="false">BT73</f>
        <v>0</v>
      </c>
      <c r="BV72" s="16" t="n">
        <f aca="false">BU73</f>
        <v>0</v>
      </c>
      <c r="BW72" s="16" t="n">
        <f aca="false">BV73</f>
        <v>0</v>
      </c>
      <c r="BX72" s="16" t="n">
        <f aca="false">BW73</f>
        <v>0</v>
      </c>
      <c r="BY72" s="16" t="n">
        <f aca="false">BX73</f>
        <v>0</v>
      </c>
      <c r="BZ72" s="16" t="n">
        <f aca="false">BY73</f>
        <v>0</v>
      </c>
      <c r="CA72" s="16" t="n">
        <f aca="false">BZ73</f>
        <v>0</v>
      </c>
      <c r="CB72" s="16" t="n">
        <f aca="false">CA73</f>
        <v>0</v>
      </c>
      <c r="CC72" s="16" t="n">
        <f aca="false">CB73</f>
        <v>0</v>
      </c>
      <c r="CD72" s="16" t="n">
        <f aca="false">CC73</f>
        <v>0</v>
      </c>
      <c r="CE72" s="16" t="n">
        <f aca="false">CD73</f>
        <v>0</v>
      </c>
      <c r="CF72" s="16" t="n">
        <f aca="false">CE73</f>
        <v>0</v>
      </c>
      <c r="CG72" s="16" t="n">
        <f aca="false">CF73</f>
        <v>0</v>
      </c>
      <c r="CH72" s="16" t="n">
        <f aca="false">CG73</f>
        <v>0</v>
      </c>
      <c r="CI72" s="16" t="n">
        <f aca="false">CH73</f>
        <v>0</v>
      </c>
      <c r="CJ72" s="16" t="n">
        <f aca="false">CI73</f>
        <v>0</v>
      </c>
      <c r="CK72" s="16" t="n">
        <f aca="false">CJ73</f>
        <v>0</v>
      </c>
      <c r="CL72" s="16" t="n">
        <f aca="false">CK73</f>
        <v>0</v>
      </c>
      <c r="CM72" s="16" t="n">
        <f aca="false">CL73</f>
        <v>0</v>
      </c>
      <c r="CN72" s="16" t="n">
        <f aca="false">CM73</f>
        <v>0</v>
      </c>
      <c r="CO72" s="16" t="n">
        <f aca="false">CN73</f>
        <v>0</v>
      </c>
      <c r="CP72" s="16" t="n">
        <f aca="false">CO73</f>
        <v>0</v>
      </c>
      <c r="CQ72" s="16" t="n">
        <f aca="false">CP73</f>
        <v>0</v>
      </c>
      <c r="CR72" s="16" t="n">
        <f aca="false">CQ73</f>
        <v>0</v>
      </c>
      <c r="CS72" s="16" t="n">
        <f aca="false">CR73</f>
        <v>0</v>
      </c>
      <c r="CT72" s="16" t="n">
        <f aca="false">CS73</f>
        <v>0</v>
      </c>
      <c r="CU72" s="16" t="n">
        <f aca="false">CT73</f>
        <v>0</v>
      </c>
      <c r="CV72" s="16" t="n">
        <f aca="false">CU73</f>
        <v>0</v>
      </c>
      <c r="CW72" s="16" t="n">
        <f aca="false">CV73</f>
        <v>0</v>
      </c>
      <c r="CX72" s="16" t="n">
        <f aca="false">CW73</f>
        <v>0</v>
      </c>
    </row>
    <row r="73" customFormat="false" ht="15" hidden="false" customHeight="false" outlineLevel="0" collapsed="false">
      <c r="A73" s="1" t="n">
        <f aca="false">A72+1</f>
        <v>70</v>
      </c>
      <c r="B73" s="16" t="n">
        <f aca="false">B72</f>
        <v>0</v>
      </c>
      <c r="C73" s="16" t="n">
        <f aca="false">B74</f>
        <v>0</v>
      </c>
      <c r="D73" s="16" t="n">
        <f aca="false">C74</f>
        <v>0</v>
      </c>
      <c r="E73" s="16" t="n">
        <f aca="false">D74</f>
        <v>0</v>
      </c>
      <c r="F73" s="16" t="n">
        <f aca="false">E74</f>
        <v>0</v>
      </c>
      <c r="G73" s="16" t="n">
        <f aca="false">F74</f>
        <v>0</v>
      </c>
      <c r="H73" s="16" t="n">
        <f aca="false">G74</f>
        <v>0</v>
      </c>
      <c r="I73" s="16" t="n">
        <f aca="false">H74</f>
        <v>0</v>
      </c>
      <c r="J73" s="16" t="n">
        <f aca="false">I74</f>
        <v>0</v>
      </c>
      <c r="K73" s="16" t="n">
        <f aca="false">J74</f>
        <v>0</v>
      </c>
      <c r="L73" s="16" t="n">
        <f aca="false">K74</f>
        <v>0</v>
      </c>
      <c r="M73" s="16" t="n">
        <f aca="false">L74</f>
        <v>0</v>
      </c>
      <c r="N73" s="16" t="n">
        <f aca="false">M74</f>
        <v>0</v>
      </c>
      <c r="O73" s="16" t="n">
        <f aca="false">N74</f>
        <v>0</v>
      </c>
      <c r="P73" s="16" t="n">
        <f aca="false">O74</f>
        <v>0</v>
      </c>
      <c r="Q73" s="16" t="n">
        <f aca="false">P74</f>
        <v>0</v>
      </c>
      <c r="R73" s="16" t="n">
        <f aca="false">Q74</f>
        <v>0</v>
      </c>
      <c r="S73" s="16" t="n">
        <f aca="false">R74</f>
        <v>0</v>
      </c>
      <c r="T73" s="16" t="n">
        <f aca="false">S74</f>
        <v>0</v>
      </c>
      <c r="U73" s="16" t="n">
        <f aca="false">T74</f>
        <v>0</v>
      </c>
      <c r="V73" s="16" t="n">
        <f aca="false">U74</f>
        <v>0</v>
      </c>
      <c r="W73" s="16" t="n">
        <f aca="false">V74</f>
        <v>0</v>
      </c>
      <c r="X73" s="16" t="n">
        <f aca="false">W74</f>
        <v>0</v>
      </c>
      <c r="Y73" s="16" t="n">
        <f aca="false">X74</f>
        <v>0</v>
      </c>
      <c r="Z73" s="16" t="n">
        <f aca="false">Y74</f>
        <v>0</v>
      </c>
      <c r="AA73" s="16" t="n">
        <f aca="false">Z74</f>
        <v>0</v>
      </c>
      <c r="AB73" s="16" t="n">
        <f aca="false">AA74</f>
        <v>0</v>
      </c>
      <c r="AC73" s="16" t="n">
        <f aca="false">AB74</f>
        <v>0</v>
      </c>
      <c r="AD73" s="16" t="n">
        <f aca="false">AC74</f>
        <v>0</v>
      </c>
      <c r="AE73" s="16" t="n">
        <f aca="false">AD74</f>
        <v>0</v>
      </c>
      <c r="AF73" s="16" t="n">
        <f aca="false">AE74</f>
        <v>0</v>
      </c>
      <c r="AG73" s="16" t="n">
        <f aca="false">AF74</f>
        <v>0</v>
      </c>
      <c r="AH73" s="16" t="n">
        <f aca="false">AG74</f>
        <v>0</v>
      </c>
      <c r="AI73" s="16" t="n">
        <f aca="false">AH74</f>
        <v>0</v>
      </c>
      <c r="AJ73" s="16" t="n">
        <f aca="false">AI74</f>
        <v>0</v>
      </c>
      <c r="AK73" s="16" t="n">
        <f aca="false">AJ74</f>
        <v>0</v>
      </c>
      <c r="AL73" s="16" t="n">
        <f aca="false">AK74</f>
        <v>0</v>
      </c>
      <c r="AM73" s="16" t="n">
        <f aca="false">AL74</f>
        <v>0</v>
      </c>
      <c r="AN73" s="16" t="n">
        <f aca="false">AM74</f>
        <v>0</v>
      </c>
      <c r="AO73" s="16" t="n">
        <f aca="false">AN74</f>
        <v>0</v>
      </c>
      <c r="AP73" s="16" t="n">
        <f aca="false">AO74</f>
        <v>0</v>
      </c>
      <c r="AQ73" s="16" t="n">
        <f aca="false">AP74</f>
        <v>0</v>
      </c>
      <c r="AR73" s="16" t="n">
        <f aca="false">AQ74</f>
        <v>0</v>
      </c>
      <c r="AS73" s="16" t="n">
        <f aca="false">AR74</f>
        <v>0</v>
      </c>
      <c r="AT73" s="16" t="n">
        <f aca="false">AS74</f>
        <v>0</v>
      </c>
      <c r="AU73" s="16" t="n">
        <f aca="false">AT74</f>
        <v>0</v>
      </c>
      <c r="AV73" s="16" t="n">
        <f aca="false">AU74</f>
        <v>0</v>
      </c>
      <c r="AW73" s="16" t="n">
        <f aca="false">AV74</f>
        <v>0</v>
      </c>
      <c r="AX73" s="16" t="n">
        <f aca="false">AW74</f>
        <v>0</v>
      </c>
      <c r="AY73" s="16" t="n">
        <f aca="false">AX74</f>
        <v>0</v>
      </c>
      <c r="AZ73" s="16" t="n">
        <f aca="false">AY74</f>
        <v>0</v>
      </c>
      <c r="BA73" s="16" t="n">
        <f aca="false">AZ74</f>
        <v>0</v>
      </c>
      <c r="BB73" s="16" t="n">
        <f aca="false">BA74</f>
        <v>0</v>
      </c>
      <c r="BC73" s="16" t="n">
        <f aca="false">BB74</f>
        <v>0</v>
      </c>
      <c r="BD73" s="16" t="n">
        <f aca="false">BC74</f>
        <v>0</v>
      </c>
      <c r="BE73" s="16" t="n">
        <f aca="false">BD74</f>
        <v>0</v>
      </c>
      <c r="BF73" s="16" t="n">
        <f aca="false">BE74</f>
        <v>0</v>
      </c>
      <c r="BG73" s="16" t="n">
        <f aca="false">BF74</f>
        <v>0</v>
      </c>
      <c r="BH73" s="16" t="n">
        <f aca="false">BG74</f>
        <v>0</v>
      </c>
      <c r="BI73" s="16" t="n">
        <f aca="false">BH74</f>
        <v>0</v>
      </c>
      <c r="BJ73" s="16" t="n">
        <f aca="false">BI74</f>
        <v>0</v>
      </c>
      <c r="BK73" s="16" t="n">
        <f aca="false">BJ74</f>
        <v>0</v>
      </c>
      <c r="BL73" s="16" t="n">
        <f aca="false">BK74</f>
        <v>0</v>
      </c>
      <c r="BM73" s="16" t="n">
        <f aca="false">BL74</f>
        <v>0</v>
      </c>
      <c r="BN73" s="16" t="n">
        <f aca="false">BM74</f>
        <v>0</v>
      </c>
      <c r="BO73" s="16" t="n">
        <f aca="false">BN74</f>
        <v>0</v>
      </c>
      <c r="BP73" s="16" t="n">
        <f aca="false">BO74</f>
        <v>0</v>
      </c>
      <c r="BQ73" s="16" t="n">
        <f aca="false">BP74</f>
        <v>0</v>
      </c>
      <c r="BR73" s="16" t="n">
        <f aca="false">BQ74</f>
        <v>0</v>
      </c>
      <c r="BS73" s="16" t="n">
        <f aca="false">BR74</f>
        <v>0</v>
      </c>
      <c r="BT73" s="16" t="n">
        <f aca="false">BS74</f>
        <v>0</v>
      </c>
      <c r="BU73" s="16" t="n">
        <f aca="false">BT74</f>
        <v>0</v>
      </c>
      <c r="BV73" s="16" t="n">
        <f aca="false">BU74</f>
        <v>0</v>
      </c>
      <c r="BW73" s="16" t="n">
        <f aca="false">BV74</f>
        <v>0</v>
      </c>
      <c r="BX73" s="16" t="n">
        <f aca="false">BW74</f>
        <v>0</v>
      </c>
      <c r="BY73" s="16" t="n">
        <f aca="false">BX74</f>
        <v>0</v>
      </c>
      <c r="BZ73" s="16" t="n">
        <f aca="false">BY74</f>
        <v>0</v>
      </c>
      <c r="CA73" s="16" t="n">
        <f aca="false">BZ74</f>
        <v>0</v>
      </c>
      <c r="CB73" s="16" t="n">
        <f aca="false">CA74</f>
        <v>0</v>
      </c>
      <c r="CC73" s="16" t="n">
        <f aca="false">CB74</f>
        <v>0</v>
      </c>
      <c r="CD73" s="16" t="n">
        <f aca="false">CC74</f>
        <v>0</v>
      </c>
      <c r="CE73" s="16" t="n">
        <f aca="false">CD74</f>
        <v>0</v>
      </c>
      <c r="CF73" s="16" t="n">
        <f aca="false">CE74</f>
        <v>0</v>
      </c>
      <c r="CG73" s="16" t="n">
        <f aca="false">CF74</f>
        <v>0</v>
      </c>
      <c r="CH73" s="16" t="n">
        <f aca="false">CG74</f>
        <v>0</v>
      </c>
      <c r="CI73" s="16" t="n">
        <f aca="false">CH74</f>
        <v>0</v>
      </c>
      <c r="CJ73" s="16" t="n">
        <f aca="false">CI74</f>
        <v>0</v>
      </c>
      <c r="CK73" s="16" t="n">
        <f aca="false">CJ74</f>
        <v>0</v>
      </c>
      <c r="CL73" s="16" t="n">
        <f aca="false">CK74</f>
        <v>0</v>
      </c>
      <c r="CM73" s="16" t="n">
        <f aca="false">CL74</f>
        <v>0</v>
      </c>
      <c r="CN73" s="16" t="n">
        <f aca="false">CM74</f>
        <v>0</v>
      </c>
      <c r="CO73" s="16" t="n">
        <f aca="false">CN74</f>
        <v>0</v>
      </c>
      <c r="CP73" s="16" t="n">
        <f aca="false">CO74</f>
        <v>0</v>
      </c>
      <c r="CQ73" s="16" t="n">
        <f aca="false">CP74</f>
        <v>0</v>
      </c>
      <c r="CR73" s="16" t="n">
        <f aca="false">CQ74</f>
        <v>0</v>
      </c>
      <c r="CS73" s="16" t="n">
        <f aca="false">CR74</f>
        <v>0</v>
      </c>
      <c r="CT73" s="16" t="n">
        <f aca="false">CS74</f>
        <v>0</v>
      </c>
      <c r="CU73" s="16" t="n">
        <f aca="false">CT74</f>
        <v>0</v>
      </c>
      <c r="CV73" s="16" t="n">
        <f aca="false">CU74</f>
        <v>0</v>
      </c>
      <c r="CW73" s="16" t="n">
        <f aca="false">CV74</f>
        <v>0</v>
      </c>
      <c r="CX73" s="16" t="n">
        <f aca="false">CW74</f>
        <v>0</v>
      </c>
    </row>
    <row r="74" customFormat="false" ht="15" hidden="false" customHeight="false" outlineLevel="0" collapsed="false">
      <c r="A74" s="1" t="n">
        <f aca="false">A73+1</f>
        <v>71</v>
      </c>
      <c r="B74" s="16" t="n">
        <f aca="false">B73</f>
        <v>0</v>
      </c>
      <c r="C74" s="16" t="n">
        <f aca="false">B75</f>
        <v>0</v>
      </c>
      <c r="D74" s="16" t="n">
        <f aca="false">C75</f>
        <v>0</v>
      </c>
      <c r="E74" s="16" t="n">
        <f aca="false">D75</f>
        <v>0</v>
      </c>
      <c r="F74" s="16" t="n">
        <f aca="false">E75</f>
        <v>0</v>
      </c>
      <c r="G74" s="16" t="n">
        <f aca="false">F75</f>
        <v>0</v>
      </c>
      <c r="H74" s="16" t="n">
        <f aca="false">G75</f>
        <v>0</v>
      </c>
      <c r="I74" s="16" t="n">
        <f aca="false">H75</f>
        <v>0</v>
      </c>
      <c r="J74" s="16" t="n">
        <f aca="false">I75</f>
        <v>0</v>
      </c>
      <c r="K74" s="16" t="n">
        <f aca="false">J75</f>
        <v>0</v>
      </c>
      <c r="L74" s="16" t="n">
        <f aca="false">K75</f>
        <v>0</v>
      </c>
      <c r="M74" s="16" t="n">
        <f aca="false">L75</f>
        <v>0</v>
      </c>
      <c r="N74" s="16" t="n">
        <f aca="false">M75</f>
        <v>0</v>
      </c>
      <c r="O74" s="16" t="n">
        <f aca="false">N75</f>
        <v>0</v>
      </c>
      <c r="P74" s="16" t="n">
        <f aca="false">O75</f>
        <v>0</v>
      </c>
      <c r="Q74" s="16" t="n">
        <f aca="false">P75</f>
        <v>0</v>
      </c>
      <c r="R74" s="16" t="n">
        <f aca="false">Q75</f>
        <v>0</v>
      </c>
      <c r="S74" s="16" t="n">
        <f aca="false">R75</f>
        <v>0</v>
      </c>
      <c r="T74" s="16" t="n">
        <f aca="false">S75</f>
        <v>0</v>
      </c>
      <c r="U74" s="16" t="n">
        <f aca="false">T75</f>
        <v>0</v>
      </c>
      <c r="V74" s="16" t="n">
        <f aca="false">U75</f>
        <v>0</v>
      </c>
      <c r="W74" s="16" t="n">
        <f aca="false">V75</f>
        <v>0</v>
      </c>
      <c r="X74" s="16" t="n">
        <f aca="false">W75</f>
        <v>0</v>
      </c>
      <c r="Y74" s="16" t="n">
        <f aca="false">X75</f>
        <v>0</v>
      </c>
      <c r="Z74" s="16" t="n">
        <f aca="false">Y75</f>
        <v>0</v>
      </c>
      <c r="AA74" s="16" t="n">
        <f aca="false">Z75</f>
        <v>0</v>
      </c>
      <c r="AB74" s="16" t="n">
        <f aca="false">AA75</f>
        <v>0</v>
      </c>
      <c r="AC74" s="16" t="n">
        <f aca="false">AB75</f>
        <v>0</v>
      </c>
      <c r="AD74" s="16" t="n">
        <f aca="false">AC75</f>
        <v>0</v>
      </c>
      <c r="AE74" s="16" t="n">
        <f aca="false">AD75</f>
        <v>0</v>
      </c>
      <c r="AF74" s="16" t="n">
        <f aca="false">AE75</f>
        <v>0</v>
      </c>
      <c r="AG74" s="16" t="n">
        <f aca="false">AF75</f>
        <v>0</v>
      </c>
      <c r="AH74" s="16" t="n">
        <f aca="false">AG75</f>
        <v>0</v>
      </c>
      <c r="AI74" s="16" t="n">
        <f aca="false">AH75</f>
        <v>0</v>
      </c>
      <c r="AJ74" s="16" t="n">
        <f aca="false">AI75</f>
        <v>0</v>
      </c>
      <c r="AK74" s="16" t="n">
        <f aca="false">AJ75</f>
        <v>0</v>
      </c>
      <c r="AL74" s="16" t="n">
        <f aca="false">AK75</f>
        <v>0</v>
      </c>
      <c r="AM74" s="16" t="n">
        <f aca="false">AL75</f>
        <v>0</v>
      </c>
      <c r="AN74" s="16" t="n">
        <f aca="false">AM75</f>
        <v>0</v>
      </c>
      <c r="AO74" s="16" t="n">
        <f aca="false">AN75</f>
        <v>0</v>
      </c>
      <c r="AP74" s="16" t="n">
        <f aca="false">AO75</f>
        <v>0</v>
      </c>
      <c r="AQ74" s="16" t="n">
        <f aca="false">AP75</f>
        <v>0</v>
      </c>
      <c r="AR74" s="16" t="n">
        <f aca="false">AQ75</f>
        <v>0</v>
      </c>
      <c r="AS74" s="16" t="n">
        <f aca="false">AR75</f>
        <v>0</v>
      </c>
      <c r="AT74" s="16" t="n">
        <f aca="false">AS75</f>
        <v>0</v>
      </c>
      <c r="AU74" s="16" t="n">
        <f aca="false">AT75</f>
        <v>0</v>
      </c>
      <c r="AV74" s="16" t="n">
        <f aca="false">AU75</f>
        <v>0</v>
      </c>
      <c r="AW74" s="16" t="n">
        <f aca="false">AV75</f>
        <v>0</v>
      </c>
      <c r="AX74" s="16" t="n">
        <f aca="false">AW75</f>
        <v>0</v>
      </c>
      <c r="AY74" s="16" t="n">
        <f aca="false">AX75</f>
        <v>0</v>
      </c>
      <c r="AZ74" s="16" t="n">
        <f aca="false">AY75</f>
        <v>0</v>
      </c>
      <c r="BA74" s="16" t="n">
        <f aca="false">AZ75</f>
        <v>0</v>
      </c>
      <c r="BB74" s="16" t="n">
        <f aca="false">BA75</f>
        <v>0</v>
      </c>
      <c r="BC74" s="16" t="n">
        <f aca="false">BB75</f>
        <v>0</v>
      </c>
      <c r="BD74" s="16" t="n">
        <f aca="false">BC75</f>
        <v>0</v>
      </c>
      <c r="BE74" s="16" t="n">
        <f aca="false">BD75</f>
        <v>0</v>
      </c>
      <c r="BF74" s="16" t="n">
        <f aca="false">BE75</f>
        <v>0</v>
      </c>
      <c r="BG74" s="16" t="n">
        <f aca="false">BF75</f>
        <v>0</v>
      </c>
      <c r="BH74" s="16" t="n">
        <f aca="false">BG75</f>
        <v>0</v>
      </c>
      <c r="BI74" s="16" t="n">
        <f aca="false">BH75</f>
        <v>0</v>
      </c>
      <c r="BJ74" s="16" t="n">
        <f aca="false">BI75</f>
        <v>0</v>
      </c>
      <c r="BK74" s="16" t="n">
        <f aca="false">BJ75</f>
        <v>0</v>
      </c>
      <c r="BL74" s="16" t="n">
        <f aca="false">BK75</f>
        <v>0</v>
      </c>
      <c r="BM74" s="16" t="n">
        <f aca="false">BL75</f>
        <v>0</v>
      </c>
      <c r="BN74" s="16" t="n">
        <f aca="false">BM75</f>
        <v>0</v>
      </c>
      <c r="BO74" s="16" t="n">
        <f aca="false">BN75</f>
        <v>0</v>
      </c>
      <c r="BP74" s="16" t="n">
        <f aca="false">BO75</f>
        <v>0</v>
      </c>
      <c r="BQ74" s="16" t="n">
        <f aca="false">BP75</f>
        <v>0</v>
      </c>
      <c r="BR74" s="16" t="n">
        <f aca="false">BQ75</f>
        <v>0</v>
      </c>
      <c r="BS74" s="16" t="n">
        <f aca="false">BR75</f>
        <v>0</v>
      </c>
      <c r="BT74" s="16" t="n">
        <f aca="false">BS75</f>
        <v>0</v>
      </c>
      <c r="BU74" s="16" t="n">
        <f aca="false">BT75</f>
        <v>0</v>
      </c>
      <c r="BV74" s="16" t="n">
        <f aca="false">BU75</f>
        <v>0</v>
      </c>
      <c r="BW74" s="16" t="n">
        <f aca="false">BV75</f>
        <v>0</v>
      </c>
      <c r="BX74" s="16" t="n">
        <f aca="false">BW75</f>
        <v>0</v>
      </c>
      <c r="BY74" s="16" t="n">
        <f aca="false">BX75</f>
        <v>0</v>
      </c>
      <c r="BZ74" s="16" t="n">
        <f aca="false">BY75</f>
        <v>0</v>
      </c>
      <c r="CA74" s="16" t="n">
        <f aca="false">BZ75</f>
        <v>0</v>
      </c>
      <c r="CB74" s="16" t="n">
        <f aca="false">CA75</f>
        <v>0</v>
      </c>
      <c r="CC74" s="16" t="n">
        <f aca="false">CB75</f>
        <v>0</v>
      </c>
      <c r="CD74" s="16" t="n">
        <f aca="false">CC75</f>
        <v>0</v>
      </c>
      <c r="CE74" s="16" t="n">
        <f aca="false">CD75</f>
        <v>0</v>
      </c>
      <c r="CF74" s="16" t="n">
        <f aca="false">CE75</f>
        <v>0</v>
      </c>
      <c r="CG74" s="16" t="n">
        <f aca="false">CF75</f>
        <v>0</v>
      </c>
      <c r="CH74" s="16" t="n">
        <f aca="false">CG75</f>
        <v>0</v>
      </c>
      <c r="CI74" s="16" t="n">
        <f aca="false">CH75</f>
        <v>0</v>
      </c>
      <c r="CJ74" s="16" t="n">
        <f aca="false">CI75</f>
        <v>0</v>
      </c>
      <c r="CK74" s="16" t="n">
        <f aca="false">CJ75</f>
        <v>0</v>
      </c>
      <c r="CL74" s="16" t="n">
        <f aca="false">CK75</f>
        <v>0</v>
      </c>
      <c r="CM74" s="16" t="n">
        <f aca="false">CL75</f>
        <v>0</v>
      </c>
      <c r="CN74" s="16" t="n">
        <f aca="false">CM75</f>
        <v>0</v>
      </c>
      <c r="CO74" s="16" t="n">
        <f aca="false">CN75</f>
        <v>0</v>
      </c>
      <c r="CP74" s="16" t="n">
        <f aca="false">CO75</f>
        <v>0</v>
      </c>
      <c r="CQ74" s="16" t="n">
        <f aca="false">CP75</f>
        <v>0</v>
      </c>
      <c r="CR74" s="16" t="n">
        <f aca="false">CQ75</f>
        <v>0</v>
      </c>
      <c r="CS74" s="16" t="n">
        <f aca="false">CR75</f>
        <v>0</v>
      </c>
      <c r="CT74" s="16" t="n">
        <f aca="false">CS75</f>
        <v>0</v>
      </c>
      <c r="CU74" s="16" t="n">
        <f aca="false">CT75</f>
        <v>0</v>
      </c>
      <c r="CV74" s="16" t="n">
        <f aca="false">CU75</f>
        <v>0</v>
      </c>
      <c r="CW74" s="16" t="n">
        <f aca="false">CV75</f>
        <v>0</v>
      </c>
      <c r="CX74" s="16" t="n">
        <f aca="false">CW75</f>
        <v>0</v>
      </c>
    </row>
    <row r="75" customFormat="false" ht="15" hidden="false" customHeight="false" outlineLevel="0" collapsed="false">
      <c r="A75" s="1" t="n">
        <f aca="false">A74+1</f>
        <v>72</v>
      </c>
      <c r="B75" s="16" t="n">
        <f aca="false">B74</f>
        <v>0</v>
      </c>
      <c r="C75" s="16" t="n">
        <f aca="false">B76</f>
        <v>0</v>
      </c>
      <c r="D75" s="16" t="n">
        <f aca="false">C76</f>
        <v>0</v>
      </c>
      <c r="E75" s="16" t="n">
        <f aca="false">D76</f>
        <v>0</v>
      </c>
      <c r="F75" s="16" t="n">
        <f aca="false">E76</f>
        <v>0</v>
      </c>
      <c r="G75" s="16" t="n">
        <f aca="false">F76</f>
        <v>0</v>
      </c>
      <c r="H75" s="16" t="n">
        <f aca="false">G76</f>
        <v>0</v>
      </c>
      <c r="I75" s="16" t="n">
        <f aca="false">H76</f>
        <v>0</v>
      </c>
      <c r="J75" s="16" t="n">
        <f aca="false">I76</f>
        <v>0</v>
      </c>
      <c r="K75" s="16" t="n">
        <f aca="false">J76</f>
        <v>0</v>
      </c>
      <c r="L75" s="16" t="n">
        <f aca="false">K76</f>
        <v>0</v>
      </c>
      <c r="M75" s="16" t="n">
        <f aca="false">L76</f>
        <v>0</v>
      </c>
      <c r="N75" s="16" t="n">
        <f aca="false">M76</f>
        <v>0</v>
      </c>
      <c r="O75" s="16" t="n">
        <f aca="false">N76</f>
        <v>0</v>
      </c>
      <c r="P75" s="16" t="n">
        <f aca="false">O76</f>
        <v>0</v>
      </c>
      <c r="Q75" s="16" t="n">
        <f aca="false">P76</f>
        <v>0</v>
      </c>
      <c r="R75" s="16" t="n">
        <f aca="false">Q76</f>
        <v>0</v>
      </c>
      <c r="S75" s="16" t="n">
        <f aca="false">R76</f>
        <v>0</v>
      </c>
      <c r="T75" s="16" t="n">
        <f aca="false">S76</f>
        <v>0</v>
      </c>
      <c r="U75" s="16" t="n">
        <f aca="false">T76</f>
        <v>0</v>
      </c>
      <c r="V75" s="16" t="n">
        <f aca="false">U76</f>
        <v>0</v>
      </c>
      <c r="W75" s="16" t="n">
        <f aca="false">V76</f>
        <v>0</v>
      </c>
      <c r="X75" s="16" t="n">
        <f aca="false">W76</f>
        <v>0</v>
      </c>
      <c r="Y75" s="16" t="n">
        <f aca="false">X76</f>
        <v>0</v>
      </c>
      <c r="Z75" s="16" t="n">
        <f aca="false">Y76</f>
        <v>0</v>
      </c>
      <c r="AA75" s="16" t="n">
        <f aca="false">Z76</f>
        <v>0</v>
      </c>
      <c r="AB75" s="16" t="n">
        <f aca="false">AA76</f>
        <v>0</v>
      </c>
      <c r="AC75" s="16" t="n">
        <f aca="false">AB76</f>
        <v>0</v>
      </c>
      <c r="AD75" s="16" t="n">
        <f aca="false">AC76</f>
        <v>0</v>
      </c>
      <c r="AE75" s="16" t="n">
        <f aca="false">AD76</f>
        <v>0</v>
      </c>
      <c r="AF75" s="16" t="n">
        <f aca="false">AE76</f>
        <v>0</v>
      </c>
      <c r="AG75" s="16" t="n">
        <f aca="false">AF76</f>
        <v>0</v>
      </c>
      <c r="AH75" s="16" t="n">
        <f aca="false">AG76</f>
        <v>0</v>
      </c>
      <c r="AI75" s="16" t="n">
        <f aca="false">AH76</f>
        <v>0</v>
      </c>
      <c r="AJ75" s="16" t="n">
        <f aca="false">AI76</f>
        <v>0</v>
      </c>
      <c r="AK75" s="16" t="n">
        <f aca="false">AJ76</f>
        <v>0</v>
      </c>
      <c r="AL75" s="16" t="n">
        <f aca="false">AK76</f>
        <v>0</v>
      </c>
      <c r="AM75" s="16" t="n">
        <f aca="false">AL76</f>
        <v>0</v>
      </c>
      <c r="AN75" s="16" t="n">
        <f aca="false">AM76</f>
        <v>0</v>
      </c>
      <c r="AO75" s="16" t="n">
        <f aca="false">AN76</f>
        <v>0</v>
      </c>
      <c r="AP75" s="16" t="n">
        <f aca="false">AO76</f>
        <v>0</v>
      </c>
      <c r="AQ75" s="16" t="n">
        <f aca="false">AP76</f>
        <v>0</v>
      </c>
      <c r="AR75" s="16" t="n">
        <f aca="false">AQ76</f>
        <v>0</v>
      </c>
      <c r="AS75" s="16" t="n">
        <f aca="false">AR76</f>
        <v>0</v>
      </c>
      <c r="AT75" s="16" t="n">
        <f aca="false">AS76</f>
        <v>0</v>
      </c>
      <c r="AU75" s="16" t="n">
        <f aca="false">AT76</f>
        <v>0</v>
      </c>
      <c r="AV75" s="16" t="n">
        <f aca="false">AU76</f>
        <v>0</v>
      </c>
      <c r="AW75" s="16" t="n">
        <f aca="false">AV76</f>
        <v>0</v>
      </c>
      <c r="AX75" s="16" t="n">
        <f aca="false">AW76</f>
        <v>0</v>
      </c>
      <c r="AY75" s="16" t="n">
        <f aca="false">AX76</f>
        <v>0</v>
      </c>
      <c r="AZ75" s="16" t="n">
        <f aca="false">AY76</f>
        <v>0</v>
      </c>
      <c r="BA75" s="16" t="n">
        <f aca="false">AZ76</f>
        <v>0</v>
      </c>
      <c r="BB75" s="16" t="n">
        <f aca="false">BA76</f>
        <v>0</v>
      </c>
      <c r="BC75" s="16" t="n">
        <f aca="false">BB76</f>
        <v>0</v>
      </c>
      <c r="BD75" s="16" t="n">
        <f aca="false">BC76</f>
        <v>0</v>
      </c>
      <c r="BE75" s="16" t="n">
        <f aca="false">BD76</f>
        <v>0</v>
      </c>
      <c r="BF75" s="16" t="n">
        <f aca="false">BE76</f>
        <v>0</v>
      </c>
      <c r="BG75" s="16" t="n">
        <f aca="false">BF76</f>
        <v>0</v>
      </c>
      <c r="BH75" s="16" t="n">
        <f aca="false">BG76</f>
        <v>0</v>
      </c>
      <c r="BI75" s="16" t="n">
        <f aca="false">BH76</f>
        <v>0</v>
      </c>
      <c r="BJ75" s="16" t="n">
        <f aca="false">BI76</f>
        <v>0</v>
      </c>
      <c r="BK75" s="16" t="n">
        <f aca="false">BJ76</f>
        <v>0</v>
      </c>
      <c r="BL75" s="16" t="n">
        <f aca="false">BK76</f>
        <v>0</v>
      </c>
      <c r="BM75" s="16" t="n">
        <f aca="false">BL76</f>
        <v>0</v>
      </c>
      <c r="BN75" s="16" t="n">
        <f aca="false">BM76</f>
        <v>0</v>
      </c>
      <c r="BO75" s="16" t="n">
        <f aca="false">BN76</f>
        <v>0</v>
      </c>
      <c r="BP75" s="16" t="n">
        <f aca="false">BO76</f>
        <v>0</v>
      </c>
      <c r="BQ75" s="16" t="n">
        <f aca="false">BP76</f>
        <v>0</v>
      </c>
      <c r="BR75" s="16" t="n">
        <f aca="false">BQ76</f>
        <v>0</v>
      </c>
      <c r="BS75" s="16" t="n">
        <f aca="false">BR76</f>
        <v>0</v>
      </c>
      <c r="BT75" s="16" t="n">
        <f aca="false">BS76</f>
        <v>0</v>
      </c>
      <c r="BU75" s="16" t="n">
        <f aca="false">BT76</f>
        <v>0</v>
      </c>
      <c r="BV75" s="16" t="n">
        <f aca="false">BU76</f>
        <v>0</v>
      </c>
      <c r="BW75" s="16" t="n">
        <f aca="false">BV76</f>
        <v>0</v>
      </c>
      <c r="BX75" s="16" t="n">
        <f aca="false">BW76</f>
        <v>0</v>
      </c>
      <c r="BY75" s="16" t="n">
        <f aca="false">BX76</f>
        <v>0</v>
      </c>
      <c r="BZ75" s="16" t="n">
        <f aca="false">BY76</f>
        <v>0</v>
      </c>
      <c r="CA75" s="16" t="n">
        <f aca="false">BZ76</f>
        <v>0</v>
      </c>
      <c r="CB75" s="16" t="n">
        <f aca="false">CA76</f>
        <v>0</v>
      </c>
      <c r="CC75" s="16" t="n">
        <f aca="false">CB76</f>
        <v>0</v>
      </c>
      <c r="CD75" s="16" t="n">
        <f aca="false">CC76</f>
        <v>0</v>
      </c>
      <c r="CE75" s="16" t="n">
        <f aca="false">CD76</f>
        <v>0</v>
      </c>
      <c r="CF75" s="16" t="n">
        <f aca="false">CE76</f>
        <v>0</v>
      </c>
      <c r="CG75" s="16" t="n">
        <f aca="false">CF76</f>
        <v>0</v>
      </c>
      <c r="CH75" s="16" t="n">
        <f aca="false">CG76</f>
        <v>0</v>
      </c>
      <c r="CI75" s="16" t="n">
        <f aca="false">CH76</f>
        <v>0</v>
      </c>
      <c r="CJ75" s="16" t="n">
        <f aca="false">CI76</f>
        <v>0</v>
      </c>
      <c r="CK75" s="16" t="n">
        <f aca="false">CJ76</f>
        <v>0</v>
      </c>
      <c r="CL75" s="16" t="n">
        <f aca="false">CK76</f>
        <v>0</v>
      </c>
      <c r="CM75" s="16" t="n">
        <f aca="false">CL76</f>
        <v>0</v>
      </c>
      <c r="CN75" s="16" t="n">
        <f aca="false">CM76</f>
        <v>0</v>
      </c>
      <c r="CO75" s="16" t="n">
        <f aca="false">CN76</f>
        <v>0</v>
      </c>
      <c r="CP75" s="16" t="n">
        <f aca="false">CO76</f>
        <v>0</v>
      </c>
      <c r="CQ75" s="16" t="n">
        <f aca="false">CP76</f>
        <v>0</v>
      </c>
      <c r="CR75" s="16" t="n">
        <f aca="false">CQ76</f>
        <v>0</v>
      </c>
      <c r="CS75" s="16" t="n">
        <f aca="false">CR76</f>
        <v>0</v>
      </c>
      <c r="CT75" s="16" t="n">
        <f aca="false">CS76</f>
        <v>0</v>
      </c>
      <c r="CU75" s="16" t="n">
        <f aca="false">CT76</f>
        <v>0</v>
      </c>
      <c r="CV75" s="16" t="n">
        <f aca="false">CU76</f>
        <v>0</v>
      </c>
      <c r="CW75" s="16" t="n">
        <f aca="false">CV76</f>
        <v>0</v>
      </c>
      <c r="CX75" s="16" t="n">
        <f aca="false">CW76</f>
        <v>0</v>
      </c>
    </row>
    <row r="76" customFormat="false" ht="15" hidden="false" customHeight="false" outlineLevel="0" collapsed="false">
      <c r="A76" s="1" t="n">
        <f aca="false">A75+1</f>
        <v>73</v>
      </c>
      <c r="B76" s="16" t="n">
        <f aca="false">B75</f>
        <v>0</v>
      </c>
      <c r="C76" s="16" t="n">
        <f aca="false">B77</f>
        <v>0</v>
      </c>
      <c r="D76" s="16" t="n">
        <f aca="false">C77</f>
        <v>0</v>
      </c>
      <c r="E76" s="16" t="n">
        <f aca="false">D77</f>
        <v>0</v>
      </c>
      <c r="F76" s="16" t="n">
        <f aca="false">E77</f>
        <v>0</v>
      </c>
      <c r="G76" s="16" t="n">
        <f aca="false">F77</f>
        <v>0</v>
      </c>
      <c r="H76" s="16" t="n">
        <f aca="false">G77</f>
        <v>0</v>
      </c>
      <c r="I76" s="16" t="n">
        <f aca="false">H77</f>
        <v>0</v>
      </c>
      <c r="J76" s="16" t="n">
        <f aca="false">I77</f>
        <v>0</v>
      </c>
      <c r="K76" s="16" t="n">
        <f aca="false">J77</f>
        <v>0</v>
      </c>
      <c r="L76" s="16" t="n">
        <f aca="false">K77</f>
        <v>0</v>
      </c>
      <c r="M76" s="16" t="n">
        <f aca="false">L77</f>
        <v>0</v>
      </c>
      <c r="N76" s="16" t="n">
        <f aca="false">M77</f>
        <v>0</v>
      </c>
      <c r="O76" s="16" t="n">
        <f aca="false">N77</f>
        <v>0</v>
      </c>
      <c r="P76" s="16" t="n">
        <f aca="false">O77</f>
        <v>0</v>
      </c>
      <c r="Q76" s="16" t="n">
        <f aca="false">P77</f>
        <v>0</v>
      </c>
      <c r="R76" s="16" t="n">
        <f aca="false">Q77</f>
        <v>0</v>
      </c>
      <c r="S76" s="16" t="n">
        <f aca="false">R77</f>
        <v>0</v>
      </c>
      <c r="T76" s="16" t="n">
        <f aca="false">S77</f>
        <v>0</v>
      </c>
      <c r="U76" s="16" t="n">
        <f aca="false">T77</f>
        <v>0</v>
      </c>
      <c r="V76" s="16" t="n">
        <f aca="false">U77</f>
        <v>0</v>
      </c>
      <c r="W76" s="16" t="n">
        <f aca="false">V77</f>
        <v>0</v>
      </c>
      <c r="X76" s="16" t="n">
        <f aca="false">W77</f>
        <v>0</v>
      </c>
      <c r="Y76" s="16" t="n">
        <f aca="false">X77</f>
        <v>0</v>
      </c>
      <c r="Z76" s="16" t="n">
        <f aca="false">Y77</f>
        <v>0</v>
      </c>
      <c r="AA76" s="16" t="n">
        <f aca="false">Z77</f>
        <v>0</v>
      </c>
      <c r="AB76" s="16" t="n">
        <f aca="false">AA77</f>
        <v>0</v>
      </c>
      <c r="AC76" s="16" t="n">
        <f aca="false">AB77</f>
        <v>0</v>
      </c>
      <c r="AD76" s="16" t="n">
        <f aca="false">AC77</f>
        <v>0</v>
      </c>
      <c r="AE76" s="16" t="n">
        <f aca="false">AD77</f>
        <v>0</v>
      </c>
      <c r="AF76" s="16" t="n">
        <f aca="false">AE77</f>
        <v>0</v>
      </c>
      <c r="AG76" s="16" t="n">
        <f aca="false">AF77</f>
        <v>0</v>
      </c>
      <c r="AH76" s="16" t="n">
        <f aca="false">AG77</f>
        <v>0</v>
      </c>
      <c r="AI76" s="16" t="n">
        <f aca="false">AH77</f>
        <v>0</v>
      </c>
      <c r="AJ76" s="16" t="n">
        <f aca="false">AI77</f>
        <v>0</v>
      </c>
      <c r="AK76" s="16" t="n">
        <f aca="false">AJ77</f>
        <v>0</v>
      </c>
      <c r="AL76" s="16" t="n">
        <f aca="false">AK77</f>
        <v>0</v>
      </c>
      <c r="AM76" s="16" t="n">
        <f aca="false">AL77</f>
        <v>0</v>
      </c>
      <c r="AN76" s="16" t="n">
        <f aca="false">AM77</f>
        <v>0</v>
      </c>
      <c r="AO76" s="16" t="n">
        <f aca="false">AN77</f>
        <v>0</v>
      </c>
      <c r="AP76" s="16" t="n">
        <f aca="false">AO77</f>
        <v>0</v>
      </c>
      <c r="AQ76" s="16" t="n">
        <f aca="false">AP77</f>
        <v>0</v>
      </c>
      <c r="AR76" s="16" t="n">
        <f aca="false">AQ77</f>
        <v>0</v>
      </c>
      <c r="AS76" s="16" t="n">
        <f aca="false">AR77</f>
        <v>0</v>
      </c>
      <c r="AT76" s="16" t="n">
        <f aca="false">AS77</f>
        <v>0</v>
      </c>
      <c r="AU76" s="16" t="n">
        <f aca="false">AT77</f>
        <v>0</v>
      </c>
      <c r="AV76" s="16" t="n">
        <f aca="false">AU77</f>
        <v>0</v>
      </c>
      <c r="AW76" s="16" t="n">
        <f aca="false">AV77</f>
        <v>0</v>
      </c>
      <c r="AX76" s="16" t="n">
        <f aca="false">AW77</f>
        <v>0</v>
      </c>
      <c r="AY76" s="16" t="n">
        <f aca="false">AX77</f>
        <v>0</v>
      </c>
      <c r="AZ76" s="16" t="n">
        <f aca="false">AY77</f>
        <v>0</v>
      </c>
      <c r="BA76" s="16" t="n">
        <f aca="false">AZ77</f>
        <v>0</v>
      </c>
      <c r="BB76" s="16" t="n">
        <f aca="false">BA77</f>
        <v>0</v>
      </c>
      <c r="BC76" s="16" t="n">
        <f aca="false">BB77</f>
        <v>0</v>
      </c>
      <c r="BD76" s="16" t="n">
        <f aca="false">BC77</f>
        <v>0</v>
      </c>
      <c r="BE76" s="16" t="n">
        <f aca="false">BD77</f>
        <v>0</v>
      </c>
      <c r="BF76" s="16" t="n">
        <f aca="false">BE77</f>
        <v>0</v>
      </c>
      <c r="BG76" s="16" t="n">
        <f aca="false">BF77</f>
        <v>0</v>
      </c>
      <c r="BH76" s="16" t="n">
        <f aca="false">BG77</f>
        <v>0</v>
      </c>
      <c r="BI76" s="16" t="n">
        <f aca="false">BH77</f>
        <v>0</v>
      </c>
      <c r="BJ76" s="16" t="n">
        <f aca="false">BI77</f>
        <v>0</v>
      </c>
      <c r="BK76" s="16" t="n">
        <f aca="false">BJ77</f>
        <v>0</v>
      </c>
      <c r="BL76" s="16" t="n">
        <f aca="false">BK77</f>
        <v>0</v>
      </c>
      <c r="BM76" s="16" t="n">
        <f aca="false">BL77</f>
        <v>0</v>
      </c>
      <c r="BN76" s="16" t="n">
        <f aca="false">BM77</f>
        <v>0</v>
      </c>
      <c r="BO76" s="16" t="n">
        <f aca="false">BN77</f>
        <v>0</v>
      </c>
      <c r="BP76" s="16" t="n">
        <f aca="false">BO77</f>
        <v>0</v>
      </c>
      <c r="BQ76" s="16" t="n">
        <f aca="false">BP77</f>
        <v>0</v>
      </c>
      <c r="BR76" s="16" t="n">
        <f aca="false">BQ77</f>
        <v>0</v>
      </c>
      <c r="BS76" s="16" t="n">
        <f aca="false">BR77</f>
        <v>0</v>
      </c>
      <c r="BT76" s="16" t="n">
        <f aca="false">BS77</f>
        <v>0</v>
      </c>
      <c r="BU76" s="16" t="n">
        <f aca="false">BT77</f>
        <v>0</v>
      </c>
      <c r="BV76" s="16" t="n">
        <f aca="false">BU77</f>
        <v>0</v>
      </c>
      <c r="BW76" s="16" t="n">
        <f aca="false">BV77</f>
        <v>0</v>
      </c>
      <c r="BX76" s="16" t="n">
        <f aca="false">BW77</f>
        <v>0</v>
      </c>
      <c r="BY76" s="16" t="n">
        <f aca="false">BX77</f>
        <v>0</v>
      </c>
      <c r="BZ76" s="16" t="n">
        <f aca="false">BY77</f>
        <v>0</v>
      </c>
      <c r="CA76" s="16" t="n">
        <f aca="false">BZ77</f>
        <v>0</v>
      </c>
      <c r="CB76" s="16" t="n">
        <f aca="false">CA77</f>
        <v>0</v>
      </c>
      <c r="CC76" s="16" t="n">
        <f aca="false">CB77</f>
        <v>0</v>
      </c>
      <c r="CD76" s="16" t="n">
        <f aca="false">CC77</f>
        <v>0</v>
      </c>
      <c r="CE76" s="16" t="n">
        <f aca="false">CD77</f>
        <v>0</v>
      </c>
      <c r="CF76" s="16" t="n">
        <f aca="false">CE77</f>
        <v>0</v>
      </c>
      <c r="CG76" s="16" t="n">
        <f aca="false">CF77</f>
        <v>0</v>
      </c>
      <c r="CH76" s="16" t="n">
        <f aca="false">CG77</f>
        <v>0</v>
      </c>
      <c r="CI76" s="16" t="n">
        <f aca="false">CH77</f>
        <v>0</v>
      </c>
      <c r="CJ76" s="16" t="n">
        <f aca="false">CI77</f>
        <v>0</v>
      </c>
      <c r="CK76" s="16" t="n">
        <f aca="false">CJ77</f>
        <v>0</v>
      </c>
      <c r="CL76" s="16" t="n">
        <f aca="false">CK77</f>
        <v>0</v>
      </c>
      <c r="CM76" s="16" t="n">
        <f aca="false">CL77</f>
        <v>0</v>
      </c>
      <c r="CN76" s="16" t="n">
        <f aca="false">CM77</f>
        <v>0</v>
      </c>
      <c r="CO76" s="16" t="n">
        <f aca="false">CN77</f>
        <v>0</v>
      </c>
      <c r="CP76" s="16" t="n">
        <f aca="false">CO77</f>
        <v>0</v>
      </c>
      <c r="CQ76" s="16" t="n">
        <f aca="false">CP77</f>
        <v>0</v>
      </c>
      <c r="CR76" s="16" t="n">
        <f aca="false">CQ77</f>
        <v>0</v>
      </c>
      <c r="CS76" s="16" t="n">
        <f aca="false">CR77</f>
        <v>0</v>
      </c>
      <c r="CT76" s="16" t="n">
        <f aca="false">CS77</f>
        <v>0</v>
      </c>
      <c r="CU76" s="16" t="n">
        <f aca="false">CT77</f>
        <v>0</v>
      </c>
      <c r="CV76" s="16" t="n">
        <f aca="false">CU77</f>
        <v>0</v>
      </c>
      <c r="CW76" s="16" t="n">
        <f aca="false">CV77</f>
        <v>0</v>
      </c>
      <c r="CX76" s="16" t="n">
        <f aca="false">CW77</f>
        <v>0</v>
      </c>
    </row>
    <row r="77" customFormat="false" ht="15" hidden="false" customHeight="false" outlineLevel="0" collapsed="false">
      <c r="A77" s="1" t="n">
        <f aca="false">A76+1</f>
        <v>74</v>
      </c>
      <c r="B77" s="16" t="n">
        <f aca="false">B76</f>
        <v>0</v>
      </c>
      <c r="C77" s="16" t="n">
        <f aca="false">B78</f>
        <v>0</v>
      </c>
      <c r="D77" s="16" t="n">
        <f aca="false">C78</f>
        <v>0</v>
      </c>
      <c r="E77" s="16" t="n">
        <f aca="false">D78</f>
        <v>0</v>
      </c>
      <c r="F77" s="16" t="n">
        <f aca="false">E78</f>
        <v>0</v>
      </c>
      <c r="G77" s="16" t="n">
        <f aca="false">F78</f>
        <v>0</v>
      </c>
      <c r="H77" s="16" t="n">
        <f aca="false">G78</f>
        <v>0</v>
      </c>
      <c r="I77" s="16" t="n">
        <f aca="false">H78</f>
        <v>0</v>
      </c>
      <c r="J77" s="16" t="n">
        <f aca="false">I78</f>
        <v>0</v>
      </c>
      <c r="K77" s="16" t="n">
        <f aca="false">J78</f>
        <v>0</v>
      </c>
      <c r="L77" s="16" t="n">
        <f aca="false">K78</f>
        <v>0</v>
      </c>
      <c r="M77" s="16" t="n">
        <f aca="false">L78</f>
        <v>0</v>
      </c>
      <c r="N77" s="16" t="n">
        <f aca="false">M78</f>
        <v>0</v>
      </c>
      <c r="O77" s="16" t="n">
        <f aca="false">N78</f>
        <v>0</v>
      </c>
      <c r="P77" s="16" t="n">
        <f aca="false">O78</f>
        <v>0</v>
      </c>
      <c r="Q77" s="16" t="n">
        <f aca="false">P78</f>
        <v>0</v>
      </c>
      <c r="R77" s="16" t="n">
        <f aca="false">Q78</f>
        <v>0</v>
      </c>
      <c r="S77" s="16" t="n">
        <f aca="false">R78</f>
        <v>0</v>
      </c>
      <c r="T77" s="16" t="n">
        <f aca="false">S78</f>
        <v>0</v>
      </c>
      <c r="U77" s="16" t="n">
        <f aca="false">T78</f>
        <v>0</v>
      </c>
      <c r="V77" s="16" t="n">
        <f aca="false">U78</f>
        <v>0</v>
      </c>
      <c r="W77" s="16" t="n">
        <f aca="false">V78</f>
        <v>0</v>
      </c>
      <c r="X77" s="16" t="n">
        <f aca="false">W78</f>
        <v>0</v>
      </c>
      <c r="Y77" s="16" t="n">
        <f aca="false">X78</f>
        <v>0</v>
      </c>
      <c r="Z77" s="16" t="n">
        <f aca="false">Y78</f>
        <v>0</v>
      </c>
      <c r="AA77" s="16" t="n">
        <f aca="false">Z78</f>
        <v>0</v>
      </c>
      <c r="AB77" s="16" t="n">
        <f aca="false">AA78</f>
        <v>0</v>
      </c>
      <c r="AC77" s="16" t="n">
        <f aca="false">AB78</f>
        <v>0</v>
      </c>
      <c r="AD77" s="16" t="n">
        <f aca="false">AC78</f>
        <v>0</v>
      </c>
      <c r="AE77" s="16" t="n">
        <f aca="false">AD78</f>
        <v>0</v>
      </c>
      <c r="AF77" s="16" t="n">
        <f aca="false">AE78</f>
        <v>0</v>
      </c>
      <c r="AG77" s="16" t="n">
        <f aca="false">AF78</f>
        <v>0</v>
      </c>
      <c r="AH77" s="16" t="n">
        <f aca="false">AG78</f>
        <v>0</v>
      </c>
      <c r="AI77" s="16" t="n">
        <f aca="false">AH78</f>
        <v>0</v>
      </c>
      <c r="AJ77" s="16" t="n">
        <f aca="false">AI78</f>
        <v>0</v>
      </c>
      <c r="AK77" s="16" t="n">
        <f aca="false">AJ78</f>
        <v>0</v>
      </c>
      <c r="AL77" s="16" t="n">
        <f aca="false">AK78</f>
        <v>0</v>
      </c>
      <c r="AM77" s="16" t="n">
        <f aca="false">AL78</f>
        <v>0</v>
      </c>
      <c r="AN77" s="16" t="n">
        <f aca="false">AM78</f>
        <v>0</v>
      </c>
      <c r="AO77" s="16" t="n">
        <f aca="false">AN78</f>
        <v>0</v>
      </c>
      <c r="AP77" s="16" t="n">
        <f aca="false">AO78</f>
        <v>0</v>
      </c>
      <c r="AQ77" s="16" t="n">
        <f aca="false">AP78</f>
        <v>0</v>
      </c>
      <c r="AR77" s="16" t="n">
        <f aca="false">AQ78</f>
        <v>0</v>
      </c>
      <c r="AS77" s="16" t="n">
        <f aca="false">AR78</f>
        <v>0</v>
      </c>
      <c r="AT77" s="16" t="n">
        <f aca="false">AS78</f>
        <v>0</v>
      </c>
      <c r="AU77" s="16" t="n">
        <f aca="false">AT78</f>
        <v>0</v>
      </c>
      <c r="AV77" s="16" t="n">
        <f aca="false">AU78</f>
        <v>0</v>
      </c>
      <c r="AW77" s="16" t="n">
        <f aca="false">AV78</f>
        <v>0</v>
      </c>
      <c r="AX77" s="16" t="n">
        <f aca="false">AW78</f>
        <v>0</v>
      </c>
      <c r="AY77" s="16" t="n">
        <f aca="false">AX78</f>
        <v>0</v>
      </c>
      <c r="AZ77" s="16" t="n">
        <f aca="false">AY78</f>
        <v>0</v>
      </c>
      <c r="BA77" s="16" t="n">
        <f aca="false">AZ78</f>
        <v>0</v>
      </c>
      <c r="BB77" s="16" t="n">
        <f aca="false">BA78</f>
        <v>0</v>
      </c>
      <c r="BC77" s="16" t="n">
        <f aca="false">BB78</f>
        <v>0</v>
      </c>
      <c r="BD77" s="16" t="n">
        <f aca="false">BC78</f>
        <v>0</v>
      </c>
      <c r="BE77" s="16" t="n">
        <f aca="false">BD78</f>
        <v>0</v>
      </c>
      <c r="BF77" s="16" t="n">
        <f aca="false">BE78</f>
        <v>0</v>
      </c>
      <c r="BG77" s="16" t="n">
        <f aca="false">BF78</f>
        <v>0</v>
      </c>
      <c r="BH77" s="16" t="n">
        <f aca="false">BG78</f>
        <v>0</v>
      </c>
      <c r="BI77" s="16" t="n">
        <f aca="false">BH78</f>
        <v>0</v>
      </c>
      <c r="BJ77" s="16" t="n">
        <f aca="false">BI78</f>
        <v>0</v>
      </c>
      <c r="BK77" s="16" t="n">
        <f aca="false">BJ78</f>
        <v>0</v>
      </c>
      <c r="BL77" s="16" t="n">
        <f aca="false">BK78</f>
        <v>0</v>
      </c>
      <c r="BM77" s="16" t="n">
        <f aca="false">BL78</f>
        <v>0</v>
      </c>
      <c r="BN77" s="16" t="n">
        <f aca="false">BM78</f>
        <v>0</v>
      </c>
      <c r="BO77" s="16" t="n">
        <f aca="false">BN78</f>
        <v>0</v>
      </c>
      <c r="BP77" s="16" t="n">
        <f aca="false">BO78</f>
        <v>0</v>
      </c>
      <c r="BQ77" s="16" t="n">
        <f aca="false">BP78</f>
        <v>0</v>
      </c>
      <c r="BR77" s="16" t="n">
        <f aca="false">BQ78</f>
        <v>0</v>
      </c>
      <c r="BS77" s="16" t="n">
        <f aca="false">BR78</f>
        <v>0</v>
      </c>
      <c r="BT77" s="16" t="n">
        <f aca="false">BS78</f>
        <v>0</v>
      </c>
      <c r="BU77" s="16" t="n">
        <f aca="false">BT78</f>
        <v>0</v>
      </c>
      <c r="BV77" s="16" t="n">
        <f aca="false">BU78</f>
        <v>0</v>
      </c>
      <c r="BW77" s="16" t="n">
        <f aca="false">BV78</f>
        <v>0</v>
      </c>
      <c r="BX77" s="16" t="n">
        <f aca="false">BW78</f>
        <v>0</v>
      </c>
      <c r="BY77" s="16" t="n">
        <f aca="false">BX78</f>
        <v>0</v>
      </c>
      <c r="BZ77" s="16" t="n">
        <f aca="false">BY78</f>
        <v>0</v>
      </c>
      <c r="CA77" s="16" t="n">
        <f aca="false">BZ78</f>
        <v>0</v>
      </c>
      <c r="CB77" s="16" t="n">
        <f aca="false">CA78</f>
        <v>0</v>
      </c>
      <c r="CC77" s="16" t="n">
        <f aca="false">CB78</f>
        <v>0</v>
      </c>
      <c r="CD77" s="16" t="n">
        <f aca="false">CC78</f>
        <v>0</v>
      </c>
      <c r="CE77" s="16" t="n">
        <f aca="false">CD78</f>
        <v>0</v>
      </c>
      <c r="CF77" s="16" t="n">
        <f aca="false">CE78</f>
        <v>0</v>
      </c>
      <c r="CG77" s="16" t="n">
        <f aca="false">CF78</f>
        <v>0</v>
      </c>
      <c r="CH77" s="16" t="n">
        <f aca="false">CG78</f>
        <v>0</v>
      </c>
      <c r="CI77" s="16" t="n">
        <f aca="false">CH78</f>
        <v>0</v>
      </c>
      <c r="CJ77" s="16" t="n">
        <f aca="false">CI78</f>
        <v>0</v>
      </c>
      <c r="CK77" s="16" t="n">
        <f aca="false">CJ78</f>
        <v>0</v>
      </c>
      <c r="CL77" s="16" t="n">
        <f aca="false">CK78</f>
        <v>0</v>
      </c>
      <c r="CM77" s="16" t="n">
        <f aca="false">CL78</f>
        <v>0</v>
      </c>
      <c r="CN77" s="16" t="n">
        <f aca="false">CM78</f>
        <v>0</v>
      </c>
      <c r="CO77" s="16" t="n">
        <f aca="false">CN78</f>
        <v>0</v>
      </c>
      <c r="CP77" s="16" t="n">
        <f aca="false">CO78</f>
        <v>0</v>
      </c>
      <c r="CQ77" s="16" t="n">
        <f aca="false">CP78</f>
        <v>0</v>
      </c>
      <c r="CR77" s="16" t="n">
        <f aca="false">CQ78</f>
        <v>0</v>
      </c>
      <c r="CS77" s="16" t="n">
        <f aca="false">CR78</f>
        <v>0</v>
      </c>
      <c r="CT77" s="16" t="n">
        <f aca="false">CS78</f>
        <v>0</v>
      </c>
      <c r="CU77" s="16" t="n">
        <f aca="false">CT78</f>
        <v>0</v>
      </c>
      <c r="CV77" s="16" t="n">
        <f aca="false">CU78</f>
        <v>0</v>
      </c>
      <c r="CW77" s="16" t="n">
        <f aca="false">CV78</f>
        <v>0</v>
      </c>
      <c r="CX77" s="16" t="n">
        <f aca="false">CW78</f>
        <v>0</v>
      </c>
    </row>
    <row r="78" customFormat="false" ht="15" hidden="false" customHeight="false" outlineLevel="0" collapsed="false">
      <c r="A78" s="1" t="n">
        <f aca="false">A77+1</f>
        <v>75</v>
      </c>
      <c r="B78" s="16" t="n">
        <f aca="false">B77</f>
        <v>0</v>
      </c>
      <c r="C78" s="16" t="n">
        <f aca="false">B79</f>
        <v>0</v>
      </c>
      <c r="D78" s="16" t="n">
        <f aca="false">C79</f>
        <v>0</v>
      </c>
      <c r="E78" s="16" t="n">
        <f aca="false">D79</f>
        <v>0</v>
      </c>
      <c r="F78" s="16" t="n">
        <f aca="false">E79</f>
        <v>0</v>
      </c>
      <c r="G78" s="16" t="n">
        <f aca="false">F79</f>
        <v>0</v>
      </c>
      <c r="H78" s="16" t="n">
        <f aca="false">G79</f>
        <v>0</v>
      </c>
      <c r="I78" s="16" t="n">
        <f aca="false">H79</f>
        <v>0</v>
      </c>
      <c r="J78" s="16" t="n">
        <f aca="false">I79</f>
        <v>0</v>
      </c>
      <c r="K78" s="16" t="n">
        <f aca="false">J79</f>
        <v>0</v>
      </c>
      <c r="L78" s="16" t="n">
        <f aca="false">K79</f>
        <v>0</v>
      </c>
      <c r="M78" s="16" t="n">
        <f aca="false">L79</f>
        <v>0</v>
      </c>
      <c r="N78" s="16" t="n">
        <f aca="false">M79</f>
        <v>0</v>
      </c>
      <c r="O78" s="16" t="n">
        <f aca="false">N79</f>
        <v>0</v>
      </c>
      <c r="P78" s="16" t="n">
        <f aca="false">O79</f>
        <v>0</v>
      </c>
      <c r="Q78" s="16" t="n">
        <f aca="false">P79</f>
        <v>0</v>
      </c>
      <c r="R78" s="16" t="n">
        <f aca="false">Q79</f>
        <v>0</v>
      </c>
      <c r="S78" s="16" t="n">
        <f aca="false">R79</f>
        <v>0</v>
      </c>
      <c r="T78" s="16" t="n">
        <f aca="false">S79</f>
        <v>0</v>
      </c>
      <c r="U78" s="16" t="n">
        <f aca="false">T79</f>
        <v>0</v>
      </c>
      <c r="V78" s="16" t="n">
        <f aca="false">U79</f>
        <v>0</v>
      </c>
      <c r="W78" s="16" t="n">
        <f aca="false">V79</f>
        <v>0</v>
      </c>
      <c r="X78" s="16" t="n">
        <f aca="false">W79</f>
        <v>0</v>
      </c>
      <c r="Y78" s="16" t="n">
        <f aca="false">X79</f>
        <v>0</v>
      </c>
      <c r="Z78" s="16" t="n">
        <f aca="false">Y79</f>
        <v>0</v>
      </c>
      <c r="AA78" s="16" t="n">
        <f aca="false">Z79</f>
        <v>0</v>
      </c>
      <c r="AB78" s="16" t="n">
        <f aca="false">AA79</f>
        <v>0</v>
      </c>
      <c r="AC78" s="16" t="n">
        <f aca="false">AB79</f>
        <v>0</v>
      </c>
      <c r="AD78" s="16" t="n">
        <f aca="false">AC79</f>
        <v>0</v>
      </c>
      <c r="AE78" s="16" t="n">
        <f aca="false">AD79</f>
        <v>0</v>
      </c>
      <c r="AF78" s="16" t="n">
        <f aca="false">AE79</f>
        <v>0</v>
      </c>
      <c r="AG78" s="16" t="n">
        <f aca="false">AF79</f>
        <v>0</v>
      </c>
      <c r="AH78" s="16" t="n">
        <f aca="false">AG79</f>
        <v>0</v>
      </c>
      <c r="AI78" s="16" t="n">
        <f aca="false">AH79</f>
        <v>0</v>
      </c>
      <c r="AJ78" s="16" t="n">
        <f aca="false">AI79</f>
        <v>0</v>
      </c>
      <c r="AK78" s="16" t="n">
        <f aca="false">AJ79</f>
        <v>0</v>
      </c>
      <c r="AL78" s="16" t="n">
        <f aca="false">AK79</f>
        <v>0</v>
      </c>
      <c r="AM78" s="16" t="n">
        <f aca="false">AL79</f>
        <v>0</v>
      </c>
      <c r="AN78" s="16" t="n">
        <f aca="false">AM79</f>
        <v>0</v>
      </c>
      <c r="AO78" s="16" t="n">
        <f aca="false">AN79</f>
        <v>0</v>
      </c>
      <c r="AP78" s="16" t="n">
        <f aca="false">AO79</f>
        <v>0</v>
      </c>
      <c r="AQ78" s="16" t="n">
        <f aca="false">AP79</f>
        <v>0</v>
      </c>
      <c r="AR78" s="16" t="n">
        <f aca="false">AQ79</f>
        <v>0</v>
      </c>
      <c r="AS78" s="16" t="n">
        <f aca="false">AR79</f>
        <v>0</v>
      </c>
      <c r="AT78" s="16" t="n">
        <f aca="false">AS79</f>
        <v>0</v>
      </c>
      <c r="AU78" s="16" t="n">
        <f aca="false">AT79</f>
        <v>0</v>
      </c>
      <c r="AV78" s="16" t="n">
        <f aca="false">AU79</f>
        <v>0</v>
      </c>
      <c r="AW78" s="16" t="n">
        <f aca="false">AV79</f>
        <v>0</v>
      </c>
      <c r="AX78" s="16" t="n">
        <f aca="false">AW79</f>
        <v>0</v>
      </c>
      <c r="AY78" s="16" t="n">
        <f aca="false">AX79</f>
        <v>0</v>
      </c>
      <c r="AZ78" s="16" t="n">
        <f aca="false">AY79</f>
        <v>0</v>
      </c>
      <c r="BA78" s="16" t="n">
        <f aca="false">AZ79</f>
        <v>0</v>
      </c>
      <c r="BB78" s="16" t="n">
        <f aca="false">BA79</f>
        <v>0</v>
      </c>
      <c r="BC78" s="16" t="n">
        <f aca="false">BB79</f>
        <v>0</v>
      </c>
      <c r="BD78" s="16" t="n">
        <f aca="false">BC79</f>
        <v>0</v>
      </c>
      <c r="BE78" s="16" t="n">
        <f aca="false">BD79</f>
        <v>0</v>
      </c>
      <c r="BF78" s="16" t="n">
        <f aca="false">BE79</f>
        <v>0</v>
      </c>
      <c r="BG78" s="16" t="n">
        <f aca="false">BF79</f>
        <v>0</v>
      </c>
      <c r="BH78" s="16" t="n">
        <f aca="false">BG79</f>
        <v>0</v>
      </c>
      <c r="BI78" s="16" t="n">
        <f aca="false">BH79</f>
        <v>0</v>
      </c>
      <c r="BJ78" s="16" t="n">
        <f aca="false">BI79</f>
        <v>0</v>
      </c>
      <c r="BK78" s="16" t="n">
        <f aca="false">BJ79</f>
        <v>0</v>
      </c>
      <c r="BL78" s="16" t="n">
        <f aca="false">BK79</f>
        <v>0</v>
      </c>
      <c r="BM78" s="16" t="n">
        <f aca="false">BL79</f>
        <v>0</v>
      </c>
      <c r="BN78" s="16" t="n">
        <f aca="false">BM79</f>
        <v>0</v>
      </c>
      <c r="BO78" s="16" t="n">
        <f aca="false">BN79</f>
        <v>0</v>
      </c>
      <c r="BP78" s="16" t="n">
        <f aca="false">BO79</f>
        <v>0</v>
      </c>
      <c r="BQ78" s="16" t="n">
        <f aca="false">BP79</f>
        <v>0</v>
      </c>
      <c r="BR78" s="16" t="n">
        <f aca="false">BQ79</f>
        <v>0</v>
      </c>
      <c r="BS78" s="16" t="n">
        <f aca="false">BR79</f>
        <v>0</v>
      </c>
      <c r="BT78" s="16" t="n">
        <f aca="false">BS79</f>
        <v>0</v>
      </c>
      <c r="BU78" s="16" t="n">
        <f aca="false">BT79</f>
        <v>0</v>
      </c>
      <c r="BV78" s="16" t="n">
        <f aca="false">BU79</f>
        <v>0</v>
      </c>
      <c r="BW78" s="16" t="n">
        <f aca="false">BV79</f>
        <v>0</v>
      </c>
      <c r="BX78" s="16" t="n">
        <f aca="false">BW79</f>
        <v>0</v>
      </c>
      <c r="BY78" s="16" t="n">
        <f aca="false">BX79</f>
        <v>0</v>
      </c>
      <c r="BZ78" s="16" t="n">
        <f aca="false">BY79</f>
        <v>0</v>
      </c>
      <c r="CA78" s="16" t="n">
        <f aca="false">BZ79</f>
        <v>0</v>
      </c>
      <c r="CB78" s="16" t="n">
        <f aca="false">CA79</f>
        <v>0</v>
      </c>
      <c r="CC78" s="16" t="n">
        <f aca="false">CB79</f>
        <v>0</v>
      </c>
      <c r="CD78" s="16" t="n">
        <f aca="false">CC79</f>
        <v>0</v>
      </c>
      <c r="CE78" s="16" t="n">
        <f aca="false">CD79</f>
        <v>0</v>
      </c>
      <c r="CF78" s="16" t="n">
        <f aca="false">CE79</f>
        <v>0</v>
      </c>
      <c r="CG78" s="16" t="n">
        <f aca="false">CF79</f>
        <v>0</v>
      </c>
      <c r="CH78" s="16" t="n">
        <f aca="false">CG79</f>
        <v>0</v>
      </c>
      <c r="CI78" s="16" t="n">
        <f aca="false">CH79</f>
        <v>0</v>
      </c>
      <c r="CJ78" s="16" t="n">
        <f aca="false">CI79</f>
        <v>0</v>
      </c>
      <c r="CK78" s="16" t="n">
        <f aca="false">CJ79</f>
        <v>0</v>
      </c>
      <c r="CL78" s="16" t="n">
        <f aca="false">CK79</f>
        <v>0</v>
      </c>
      <c r="CM78" s="16" t="n">
        <f aca="false">CL79</f>
        <v>0</v>
      </c>
      <c r="CN78" s="16" t="n">
        <f aca="false">CM79</f>
        <v>0</v>
      </c>
      <c r="CO78" s="16" t="n">
        <f aca="false">CN79</f>
        <v>0</v>
      </c>
      <c r="CP78" s="16" t="n">
        <f aca="false">CO79</f>
        <v>0</v>
      </c>
      <c r="CQ78" s="16" t="n">
        <f aca="false">CP79</f>
        <v>0</v>
      </c>
      <c r="CR78" s="16" t="n">
        <f aca="false">CQ79</f>
        <v>0</v>
      </c>
      <c r="CS78" s="16" t="n">
        <f aca="false">CR79</f>
        <v>0</v>
      </c>
      <c r="CT78" s="16" t="n">
        <f aca="false">CS79</f>
        <v>0</v>
      </c>
      <c r="CU78" s="16" t="n">
        <f aca="false">CT79</f>
        <v>0</v>
      </c>
      <c r="CV78" s="16" t="n">
        <f aca="false">CU79</f>
        <v>0</v>
      </c>
      <c r="CW78" s="16" t="n">
        <f aca="false">CV79</f>
        <v>0</v>
      </c>
      <c r="CX78" s="16" t="n">
        <f aca="false">CW79</f>
        <v>0</v>
      </c>
    </row>
    <row r="79" customFormat="false" ht="15" hidden="false" customHeight="false" outlineLevel="0" collapsed="false">
      <c r="A79" s="1" t="n">
        <f aca="false">A78+1</f>
        <v>76</v>
      </c>
      <c r="B79" s="16" t="n">
        <f aca="false">B78</f>
        <v>0</v>
      </c>
      <c r="C79" s="16" t="n">
        <f aca="false">B80</f>
        <v>0</v>
      </c>
      <c r="D79" s="16" t="n">
        <f aca="false">C80</f>
        <v>0</v>
      </c>
      <c r="E79" s="16" t="n">
        <f aca="false">D80</f>
        <v>0</v>
      </c>
      <c r="F79" s="16" t="n">
        <f aca="false">E80</f>
        <v>0</v>
      </c>
      <c r="G79" s="16" t="n">
        <f aca="false">F80</f>
        <v>0</v>
      </c>
      <c r="H79" s="16" t="n">
        <f aca="false">G80</f>
        <v>0</v>
      </c>
      <c r="I79" s="16" t="n">
        <f aca="false">H80</f>
        <v>0</v>
      </c>
      <c r="J79" s="16" t="n">
        <f aca="false">I80</f>
        <v>0</v>
      </c>
      <c r="K79" s="16" t="n">
        <f aca="false">J80</f>
        <v>0</v>
      </c>
      <c r="L79" s="16" t="n">
        <f aca="false">K80</f>
        <v>0</v>
      </c>
      <c r="M79" s="16" t="n">
        <f aca="false">L80</f>
        <v>0</v>
      </c>
      <c r="N79" s="16" t="n">
        <f aca="false">M80</f>
        <v>0</v>
      </c>
      <c r="O79" s="16" t="n">
        <f aca="false">N80</f>
        <v>0</v>
      </c>
      <c r="P79" s="16" t="n">
        <f aca="false">O80</f>
        <v>0</v>
      </c>
      <c r="Q79" s="16" t="n">
        <f aca="false">P80</f>
        <v>0</v>
      </c>
      <c r="R79" s="16" t="n">
        <f aca="false">Q80</f>
        <v>0</v>
      </c>
      <c r="S79" s="16" t="n">
        <f aca="false">R80</f>
        <v>0</v>
      </c>
      <c r="T79" s="16" t="n">
        <f aca="false">S80</f>
        <v>0</v>
      </c>
      <c r="U79" s="16" t="n">
        <f aca="false">T80</f>
        <v>0</v>
      </c>
      <c r="V79" s="16" t="n">
        <f aca="false">U80</f>
        <v>0</v>
      </c>
      <c r="W79" s="16" t="n">
        <f aca="false">V80</f>
        <v>0</v>
      </c>
      <c r="X79" s="16" t="n">
        <f aca="false">W80</f>
        <v>0</v>
      </c>
      <c r="Y79" s="16" t="n">
        <f aca="false">X80</f>
        <v>0</v>
      </c>
      <c r="Z79" s="16" t="n">
        <f aca="false">Y80</f>
        <v>0</v>
      </c>
      <c r="AA79" s="16" t="n">
        <f aca="false">Z80</f>
        <v>0</v>
      </c>
      <c r="AB79" s="16" t="n">
        <f aca="false">AA80</f>
        <v>0</v>
      </c>
      <c r="AC79" s="16" t="n">
        <f aca="false">AB80</f>
        <v>0</v>
      </c>
      <c r="AD79" s="16" t="n">
        <f aca="false">AC80</f>
        <v>0</v>
      </c>
      <c r="AE79" s="16" t="n">
        <f aca="false">AD80</f>
        <v>0</v>
      </c>
      <c r="AF79" s="16" t="n">
        <f aca="false">AE80</f>
        <v>0</v>
      </c>
      <c r="AG79" s="16" t="n">
        <f aca="false">AF80</f>
        <v>0</v>
      </c>
      <c r="AH79" s="16" t="n">
        <f aca="false">AG80</f>
        <v>0</v>
      </c>
      <c r="AI79" s="16" t="n">
        <f aca="false">AH80</f>
        <v>0</v>
      </c>
      <c r="AJ79" s="16" t="n">
        <f aca="false">AI80</f>
        <v>0</v>
      </c>
      <c r="AK79" s="16" t="n">
        <f aca="false">AJ80</f>
        <v>0</v>
      </c>
      <c r="AL79" s="16" t="n">
        <f aca="false">AK80</f>
        <v>0</v>
      </c>
      <c r="AM79" s="16" t="n">
        <f aca="false">AL80</f>
        <v>0</v>
      </c>
      <c r="AN79" s="16" t="n">
        <f aca="false">AM80</f>
        <v>0</v>
      </c>
      <c r="AO79" s="16" t="n">
        <f aca="false">AN80</f>
        <v>0</v>
      </c>
      <c r="AP79" s="16" t="n">
        <f aca="false">AO80</f>
        <v>0</v>
      </c>
      <c r="AQ79" s="16" t="n">
        <f aca="false">AP80</f>
        <v>0</v>
      </c>
      <c r="AR79" s="16" t="n">
        <f aca="false">AQ80</f>
        <v>0</v>
      </c>
      <c r="AS79" s="16" t="n">
        <f aca="false">AR80</f>
        <v>0</v>
      </c>
      <c r="AT79" s="16" t="n">
        <f aca="false">AS80</f>
        <v>0</v>
      </c>
      <c r="AU79" s="16" t="n">
        <f aca="false">AT80</f>
        <v>0</v>
      </c>
      <c r="AV79" s="16" t="n">
        <f aca="false">AU80</f>
        <v>0</v>
      </c>
      <c r="AW79" s="16" t="n">
        <f aca="false">AV80</f>
        <v>0</v>
      </c>
      <c r="AX79" s="16" t="n">
        <f aca="false">AW80</f>
        <v>0</v>
      </c>
      <c r="AY79" s="16" t="n">
        <f aca="false">AX80</f>
        <v>0</v>
      </c>
      <c r="AZ79" s="16" t="n">
        <f aca="false">AY80</f>
        <v>0</v>
      </c>
      <c r="BA79" s="16" t="n">
        <f aca="false">AZ80</f>
        <v>0</v>
      </c>
      <c r="BB79" s="16" t="n">
        <f aca="false">BA80</f>
        <v>0</v>
      </c>
      <c r="BC79" s="16" t="n">
        <f aca="false">BB80</f>
        <v>0</v>
      </c>
      <c r="BD79" s="16" t="n">
        <f aca="false">BC80</f>
        <v>0</v>
      </c>
      <c r="BE79" s="16" t="n">
        <f aca="false">BD80</f>
        <v>0</v>
      </c>
      <c r="BF79" s="16" t="n">
        <f aca="false">BE80</f>
        <v>0</v>
      </c>
      <c r="BG79" s="16" t="n">
        <f aca="false">BF80</f>
        <v>0</v>
      </c>
      <c r="BH79" s="16" t="n">
        <f aca="false">BG80</f>
        <v>0</v>
      </c>
      <c r="BI79" s="16" t="n">
        <f aca="false">BH80</f>
        <v>0</v>
      </c>
      <c r="BJ79" s="16" t="n">
        <f aca="false">BI80</f>
        <v>0</v>
      </c>
      <c r="BK79" s="16" t="n">
        <f aca="false">BJ80</f>
        <v>0</v>
      </c>
      <c r="BL79" s="16" t="n">
        <f aca="false">BK80</f>
        <v>0</v>
      </c>
      <c r="BM79" s="16" t="n">
        <f aca="false">BL80</f>
        <v>0</v>
      </c>
      <c r="BN79" s="16" t="n">
        <f aca="false">BM80</f>
        <v>0</v>
      </c>
      <c r="BO79" s="16" t="n">
        <f aca="false">BN80</f>
        <v>0</v>
      </c>
      <c r="BP79" s="16" t="n">
        <f aca="false">BO80</f>
        <v>0</v>
      </c>
      <c r="BQ79" s="16" t="n">
        <f aca="false">BP80</f>
        <v>0</v>
      </c>
      <c r="BR79" s="16" t="n">
        <f aca="false">BQ80</f>
        <v>0</v>
      </c>
      <c r="BS79" s="16" t="n">
        <f aca="false">BR80</f>
        <v>0</v>
      </c>
      <c r="BT79" s="16" t="n">
        <f aca="false">BS80</f>
        <v>0</v>
      </c>
      <c r="BU79" s="16" t="n">
        <f aca="false">BT80</f>
        <v>0</v>
      </c>
      <c r="BV79" s="16" t="n">
        <f aca="false">BU80</f>
        <v>0</v>
      </c>
      <c r="BW79" s="16" t="n">
        <f aca="false">BV80</f>
        <v>0</v>
      </c>
      <c r="BX79" s="16" t="n">
        <f aca="false">BW80</f>
        <v>0</v>
      </c>
      <c r="BY79" s="16" t="n">
        <f aca="false">BX80</f>
        <v>0</v>
      </c>
      <c r="BZ79" s="16" t="n">
        <f aca="false">BY80</f>
        <v>0</v>
      </c>
      <c r="CA79" s="16" t="n">
        <f aca="false">BZ80</f>
        <v>0</v>
      </c>
      <c r="CB79" s="16" t="n">
        <f aca="false">CA80</f>
        <v>0</v>
      </c>
      <c r="CC79" s="16" t="n">
        <f aca="false">CB80</f>
        <v>0</v>
      </c>
      <c r="CD79" s="16" t="n">
        <f aca="false">CC80</f>
        <v>0</v>
      </c>
      <c r="CE79" s="16" t="n">
        <f aca="false">CD80</f>
        <v>0</v>
      </c>
      <c r="CF79" s="16" t="n">
        <f aca="false">CE80</f>
        <v>0</v>
      </c>
      <c r="CG79" s="16" t="n">
        <f aca="false">CF80</f>
        <v>0</v>
      </c>
      <c r="CH79" s="16" t="n">
        <f aca="false">CG80</f>
        <v>0</v>
      </c>
      <c r="CI79" s="16" t="n">
        <f aca="false">CH80</f>
        <v>0</v>
      </c>
      <c r="CJ79" s="16" t="n">
        <f aca="false">CI80</f>
        <v>0</v>
      </c>
      <c r="CK79" s="16" t="n">
        <f aca="false">CJ80</f>
        <v>0</v>
      </c>
      <c r="CL79" s="16" t="n">
        <f aca="false">CK80</f>
        <v>0</v>
      </c>
      <c r="CM79" s="16" t="n">
        <f aca="false">CL80</f>
        <v>0</v>
      </c>
      <c r="CN79" s="16" t="n">
        <f aca="false">CM80</f>
        <v>0</v>
      </c>
      <c r="CO79" s="16" t="n">
        <f aca="false">CN80</f>
        <v>0</v>
      </c>
      <c r="CP79" s="16" t="n">
        <f aca="false">CO80</f>
        <v>0</v>
      </c>
      <c r="CQ79" s="16" t="n">
        <f aca="false">CP80</f>
        <v>0</v>
      </c>
      <c r="CR79" s="16" t="n">
        <f aca="false">CQ80</f>
        <v>0</v>
      </c>
      <c r="CS79" s="16" t="n">
        <f aca="false">CR80</f>
        <v>0</v>
      </c>
      <c r="CT79" s="16" t="n">
        <f aca="false">CS80</f>
        <v>0</v>
      </c>
      <c r="CU79" s="16" t="n">
        <f aca="false">CT80</f>
        <v>0</v>
      </c>
      <c r="CV79" s="16" t="n">
        <f aca="false">CU80</f>
        <v>0</v>
      </c>
      <c r="CW79" s="16" t="n">
        <f aca="false">CV80</f>
        <v>0</v>
      </c>
      <c r="CX79" s="16" t="n">
        <f aca="false">CW80</f>
        <v>0</v>
      </c>
    </row>
    <row r="80" customFormat="false" ht="15" hidden="false" customHeight="false" outlineLevel="0" collapsed="false">
      <c r="A80" s="1" t="n">
        <f aca="false">A79+1</f>
        <v>77</v>
      </c>
      <c r="B80" s="16" t="n">
        <f aca="false">B79</f>
        <v>0</v>
      </c>
      <c r="C80" s="16" t="n">
        <f aca="false">B81</f>
        <v>0</v>
      </c>
      <c r="D80" s="16" t="n">
        <f aca="false">C81</f>
        <v>0</v>
      </c>
      <c r="E80" s="16" t="n">
        <f aca="false">D81</f>
        <v>0</v>
      </c>
      <c r="F80" s="16" t="n">
        <f aca="false">E81</f>
        <v>0</v>
      </c>
      <c r="G80" s="16" t="n">
        <f aca="false">F81</f>
        <v>0</v>
      </c>
      <c r="H80" s="16" t="n">
        <f aca="false">G81</f>
        <v>0</v>
      </c>
      <c r="I80" s="16" t="n">
        <f aca="false">H81</f>
        <v>0</v>
      </c>
      <c r="J80" s="16" t="n">
        <f aca="false">I81</f>
        <v>0</v>
      </c>
      <c r="K80" s="16" t="n">
        <f aca="false">J81</f>
        <v>0</v>
      </c>
      <c r="L80" s="16" t="n">
        <f aca="false">K81</f>
        <v>0</v>
      </c>
      <c r="M80" s="16" t="n">
        <f aca="false">L81</f>
        <v>0</v>
      </c>
      <c r="N80" s="16" t="n">
        <f aca="false">M81</f>
        <v>0</v>
      </c>
      <c r="O80" s="16" t="n">
        <f aca="false">N81</f>
        <v>0</v>
      </c>
      <c r="P80" s="16" t="n">
        <f aca="false">O81</f>
        <v>0</v>
      </c>
      <c r="Q80" s="16" t="n">
        <f aca="false">P81</f>
        <v>0</v>
      </c>
      <c r="R80" s="16" t="n">
        <f aca="false">Q81</f>
        <v>0</v>
      </c>
      <c r="S80" s="16" t="n">
        <f aca="false">R81</f>
        <v>0</v>
      </c>
      <c r="T80" s="16" t="n">
        <f aca="false">S81</f>
        <v>0</v>
      </c>
      <c r="U80" s="16" t="n">
        <f aca="false">T81</f>
        <v>0</v>
      </c>
      <c r="V80" s="16" t="n">
        <f aca="false">U81</f>
        <v>0</v>
      </c>
      <c r="W80" s="16" t="n">
        <f aca="false">V81</f>
        <v>0</v>
      </c>
      <c r="X80" s="16" t="n">
        <f aca="false">W81</f>
        <v>0</v>
      </c>
      <c r="Y80" s="16" t="n">
        <f aca="false">X81</f>
        <v>0</v>
      </c>
      <c r="Z80" s="16" t="n">
        <f aca="false">Y81</f>
        <v>0</v>
      </c>
      <c r="AA80" s="16" t="n">
        <f aca="false">Z81</f>
        <v>0</v>
      </c>
      <c r="AB80" s="16" t="n">
        <f aca="false">AA81</f>
        <v>0</v>
      </c>
      <c r="AC80" s="16" t="n">
        <f aca="false">AB81</f>
        <v>0</v>
      </c>
      <c r="AD80" s="16" t="n">
        <f aca="false">AC81</f>
        <v>0</v>
      </c>
      <c r="AE80" s="16" t="n">
        <f aca="false">AD81</f>
        <v>0</v>
      </c>
      <c r="AF80" s="16" t="n">
        <f aca="false">AE81</f>
        <v>0</v>
      </c>
      <c r="AG80" s="16" t="n">
        <f aca="false">AF81</f>
        <v>0</v>
      </c>
      <c r="AH80" s="16" t="n">
        <f aca="false">AG81</f>
        <v>0</v>
      </c>
      <c r="AI80" s="16" t="n">
        <f aca="false">AH81</f>
        <v>0</v>
      </c>
      <c r="AJ80" s="16" t="n">
        <f aca="false">AI81</f>
        <v>0</v>
      </c>
      <c r="AK80" s="16" t="n">
        <f aca="false">AJ81</f>
        <v>0</v>
      </c>
      <c r="AL80" s="16" t="n">
        <f aca="false">AK81</f>
        <v>0</v>
      </c>
      <c r="AM80" s="16" t="n">
        <f aca="false">AL81</f>
        <v>0</v>
      </c>
      <c r="AN80" s="16" t="n">
        <f aca="false">AM81</f>
        <v>0</v>
      </c>
      <c r="AO80" s="16" t="n">
        <f aca="false">AN81</f>
        <v>0</v>
      </c>
      <c r="AP80" s="16" t="n">
        <f aca="false">AO81</f>
        <v>0</v>
      </c>
      <c r="AQ80" s="16" t="n">
        <f aca="false">AP81</f>
        <v>0</v>
      </c>
      <c r="AR80" s="16" t="n">
        <f aca="false">AQ81</f>
        <v>0</v>
      </c>
      <c r="AS80" s="16" t="n">
        <f aca="false">AR81</f>
        <v>0</v>
      </c>
      <c r="AT80" s="16" t="n">
        <f aca="false">AS81</f>
        <v>0</v>
      </c>
      <c r="AU80" s="16" t="n">
        <f aca="false">AT81</f>
        <v>0</v>
      </c>
      <c r="AV80" s="16" t="n">
        <f aca="false">AU81</f>
        <v>0</v>
      </c>
      <c r="AW80" s="16" t="n">
        <f aca="false">AV81</f>
        <v>0</v>
      </c>
      <c r="AX80" s="16" t="n">
        <f aca="false">AW81</f>
        <v>0</v>
      </c>
      <c r="AY80" s="16" t="n">
        <f aca="false">AX81</f>
        <v>0</v>
      </c>
      <c r="AZ80" s="16" t="n">
        <f aca="false">AY81</f>
        <v>0</v>
      </c>
      <c r="BA80" s="16" t="n">
        <f aca="false">AZ81</f>
        <v>0</v>
      </c>
      <c r="BB80" s="16" t="n">
        <f aca="false">BA81</f>
        <v>0</v>
      </c>
      <c r="BC80" s="16" t="n">
        <f aca="false">BB81</f>
        <v>0</v>
      </c>
      <c r="BD80" s="16" t="n">
        <f aca="false">BC81</f>
        <v>0</v>
      </c>
      <c r="BE80" s="16" t="n">
        <f aca="false">BD81</f>
        <v>0</v>
      </c>
      <c r="BF80" s="16" t="n">
        <f aca="false">BE81</f>
        <v>0</v>
      </c>
      <c r="BG80" s="16" t="n">
        <f aca="false">BF81</f>
        <v>0</v>
      </c>
      <c r="BH80" s="16" t="n">
        <f aca="false">BG81</f>
        <v>0</v>
      </c>
      <c r="BI80" s="16" t="n">
        <f aca="false">BH81</f>
        <v>0</v>
      </c>
      <c r="BJ80" s="16" t="n">
        <f aca="false">BI81</f>
        <v>0</v>
      </c>
      <c r="BK80" s="16" t="n">
        <f aca="false">BJ81</f>
        <v>0</v>
      </c>
      <c r="BL80" s="16" t="n">
        <f aca="false">BK81</f>
        <v>0</v>
      </c>
      <c r="BM80" s="16" t="n">
        <f aca="false">BL81</f>
        <v>0</v>
      </c>
      <c r="BN80" s="16" t="n">
        <f aca="false">BM81</f>
        <v>0</v>
      </c>
      <c r="BO80" s="16" t="n">
        <f aca="false">BN81</f>
        <v>0</v>
      </c>
      <c r="BP80" s="16" t="n">
        <f aca="false">BO81</f>
        <v>0</v>
      </c>
      <c r="BQ80" s="16" t="n">
        <f aca="false">BP81</f>
        <v>0</v>
      </c>
      <c r="BR80" s="16" t="n">
        <f aca="false">BQ81</f>
        <v>0</v>
      </c>
      <c r="BS80" s="16" t="n">
        <f aca="false">BR81</f>
        <v>0</v>
      </c>
      <c r="BT80" s="16" t="n">
        <f aca="false">BS81</f>
        <v>0</v>
      </c>
      <c r="BU80" s="16" t="n">
        <f aca="false">BT81</f>
        <v>0</v>
      </c>
      <c r="BV80" s="16" t="n">
        <f aca="false">BU81</f>
        <v>0</v>
      </c>
      <c r="BW80" s="16" t="n">
        <f aca="false">BV81</f>
        <v>0</v>
      </c>
      <c r="BX80" s="16" t="n">
        <f aca="false">BW81</f>
        <v>0</v>
      </c>
      <c r="BY80" s="16" t="n">
        <f aca="false">BX81</f>
        <v>0</v>
      </c>
      <c r="BZ80" s="16" t="n">
        <f aca="false">BY81</f>
        <v>0</v>
      </c>
      <c r="CA80" s="16" t="n">
        <f aca="false">BZ81</f>
        <v>0</v>
      </c>
      <c r="CB80" s="16" t="n">
        <f aca="false">CA81</f>
        <v>0</v>
      </c>
      <c r="CC80" s="16" t="n">
        <f aca="false">CB81</f>
        <v>0</v>
      </c>
      <c r="CD80" s="16" t="n">
        <f aca="false">CC81</f>
        <v>0</v>
      </c>
      <c r="CE80" s="16" t="n">
        <f aca="false">CD81</f>
        <v>0</v>
      </c>
      <c r="CF80" s="16" t="n">
        <f aca="false">CE81</f>
        <v>0</v>
      </c>
      <c r="CG80" s="16" t="n">
        <f aca="false">CF81</f>
        <v>0</v>
      </c>
      <c r="CH80" s="16" t="n">
        <f aca="false">CG81</f>
        <v>0</v>
      </c>
      <c r="CI80" s="16" t="n">
        <f aca="false">CH81</f>
        <v>0</v>
      </c>
      <c r="CJ80" s="16" t="n">
        <f aca="false">CI81</f>
        <v>0</v>
      </c>
      <c r="CK80" s="16" t="n">
        <f aca="false">CJ81</f>
        <v>0</v>
      </c>
      <c r="CL80" s="16" t="n">
        <f aca="false">CK81</f>
        <v>0</v>
      </c>
      <c r="CM80" s="16" t="n">
        <f aca="false">CL81</f>
        <v>0</v>
      </c>
      <c r="CN80" s="16" t="n">
        <f aca="false">CM81</f>
        <v>0</v>
      </c>
      <c r="CO80" s="16" t="n">
        <f aca="false">CN81</f>
        <v>0</v>
      </c>
      <c r="CP80" s="16" t="n">
        <f aca="false">CO81</f>
        <v>0</v>
      </c>
      <c r="CQ80" s="16" t="n">
        <f aca="false">CP81</f>
        <v>0</v>
      </c>
      <c r="CR80" s="16" t="n">
        <f aca="false">CQ81</f>
        <v>0</v>
      </c>
      <c r="CS80" s="16" t="n">
        <f aca="false">CR81</f>
        <v>0</v>
      </c>
      <c r="CT80" s="16" t="n">
        <f aca="false">CS81</f>
        <v>0</v>
      </c>
      <c r="CU80" s="16" t="n">
        <f aca="false">CT81</f>
        <v>0</v>
      </c>
      <c r="CV80" s="16" t="n">
        <f aca="false">CU81</f>
        <v>0</v>
      </c>
      <c r="CW80" s="16" t="n">
        <f aca="false">CV81</f>
        <v>0</v>
      </c>
      <c r="CX80" s="16" t="n">
        <f aca="false">CW81</f>
        <v>0</v>
      </c>
    </row>
    <row r="81" customFormat="false" ht="15" hidden="false" customHeight="false" outlineLevel="0" collapsed="false">
      <c r="A81" s="1" t="n">
        <f aca="false">A80+1</f>
        <v>78</v>
      </c>
      <c r="B81" s="16" t="n">
        <f aca="false">B80</f>
        <v>0</v>
      </c>
      <c r="C81" s="16" t="n">
        <f aca="false">B82</f>
        <v>0</v>
      </c>
      <c r="D81" s="16" t="n">
        <f aca="false">C82</f>
        <v>0</v>
      </c>
      <c r="E81" s="16" t="n">
        <f aca="false">D82</f>
        <v>0</v>
      </c>
      <c r="F81" s="16" t="n">
        <f aca="false">E82</f>
        <v>0</v>
      </c>
      <c r="G81" s="16" t="n">
        <f aca="false">F82</f>
        <v>0</v>
      </c>
      <c r="H81" s="16" t="n">
        <f aca="false">G82</f>
        <v>0</v>
      </c>
      <c r="I81" s="16" t="n">
        <f aca="false">H82</f>
        <v>0</v>
      </c>
      <c r="J81" s="16" t="n">
        <f aca="false">I82</f>
        <v>0</v>
      </c>
      <c r="K81" s="16" t="n">
        <f aca="false">J82</f>
        <v>0</v>
      </c>
      <c r="L81" s="16" t="n">
        <f aca="false">K82</f>
        <v>0</v>
      </c>
      <c r="M81" s="16" t="n">
        <f aca="false">L82</f>
        <v>0</v>
      </c>
      <c r="N81" s="16" t="n">
        <f aca="false">M82</f>
        <v>0</v>
      </c>
      <c r="O81" s="16" t="n">
        <f aca="false">N82</f>
        <v>0</v>
      </c>
      <c r="P81" s="16" t="n">
        <f aca="false">O82</f>
        <v>0</v>
      </c>
      <c r="Q81" s="16" t="n">
        <f aca="false">P82</f>
        <v>0</v>
      </c>
      <c r="R81" s="16" t="n">
        <f aca="false">Q82</f>
        <v>0</v>
      </c>
      <c r="S81" s="16" t="n">
        <f aca="false">R82</f>
        <v>0</v>
      </c>
      <c r="T81" s="16" t="n">
        <f aca="false">S82</f>
        <v>0</v>
      </c>
      <c r="U81" s="16" t="n">
        <f aca="false">T82</f>
        <v>0</v>
      </c>
      <c r="V81" s="16" t="n">
        <f aca="false">U82</f>
        <v>0</v>
      </c>
      <c r="W81" s="16" t="n">
        <f aca="false">V82</f>
        <v>0</v>
      </c>
      <c r="X81" s="16" t="n">
        <f aca="false">W82</f>
        <v>0</v>
      </c>
      <c r="Y81" s="16" t="n">
        <f aca="false">X82</f>
        <v>0</v>
      </c>
      <c r="Z81" s="16" t="n">
        <f aca="false">Y82</f>
        <v>0</v>
      </c>
      <c r="AA81" s="16" t="n">
        <f aca="false">Z82</f>
        <v>0</v>
      </c>
      <c r="AB81" s="16" t="n">
        <f aca="false">AA82</f>
        <v>0</v>
      </c>
      <c r="AC81" s="16" t="n">
        <f aca="false">AB82</f>
        <v>0</v>
      </c>
      <c r="AD81" s="16" t="n">
        <f aca="false">AC82</f>
        <v>0</v>
      </c>
      <c r="AE81" s="16" t="n">
        <f aca="false">AD82</f>
        <v>0</v>
      </c>
      <c r="AF81" s="16" t="n">
        <f aca="false">AE82</f>
        <v>0</v>
      </c>
      <c r="AG81" s="16" t="n">
        <f aca="false">AF82</f>
        <v>0</v>
      </c>
      <c r="AH81" s="16" t="n">
        <f aca="false">AG82</f>
        <v>0</v>
      </c>
      <c r="AI81" s="16" t="n">
        <f aca="false">AH82</f>
        <v>0</v>
      </c>
      <c r="AJ81" s="16" t="n">
        <f aca="false">AI82</f>
        <v>0</v>
      </c>
      <c r="AK81" s="16" t="n">
        <f aca="false">AJ82</f>
        <v>0</v>
      </c>
      <c r="AL81" s="16" t="n">
        <f aca="false">AK82</f>
        <v>0</v>
      </c>
      <c r="AM81" s="16" t="n">
        <f aca="false">AL82</f>
        <v>0</v>
      </c>
      <c r="AN81" s="16" t="n">
        <f aca="false">AM82</f>
        <v>0</v>
      </c>
      <c r="AO81" s="16" t="n">
        <f aca="false">AN82</f>
        <v>0</v>
      </c>
      <c r="AP81" s="16" t="n">
        <f aca="false">AO82</f>
        <v>0</v>
      </c>
      <c r="AQ81" s="16" t="n">
        <f aca="false">AP82</f>
        <v>0</v>
      </c>
      <c r="AR81" s="16" t="n">
        <f aca="false">AQ82</f>
        <v>0</v>
      </c>
      <c r="AS81" s="16" t="n">
        <f aca="false">AR82</f>
        <v>0</v>
      </c>
      <c r="AT81" s="16" t="n">
        <f aca="false">AS82</f>
        <v>0</v>
      </c>
      <c r="AU81" s="16" t="n">
        <f aca="false">AT82</f>
        <v>0</v>
      </c>
      <c r="AV81" s="16" t="n">
        <f aca="false">AU82</f>
        <v>0</v>
      </c>
      <c r="AW81" s="16" t="n">
        <f aca="false">AV82</f>
        <v>0</v>
      </c>
      <c r="AX81" s="16" t="n">
        <f aca="false">AW82</f>
        <v>0</v>
      </c>
      <c r="AY81" s="16" t="n">
        <f aca="false">AX82</f>
        <v>0</v>
      </c>
      <c r="AZ81" s="16" t="n">
        <f aca="false">AY82</f>
        <v>0</v>
      </c>
      <c r="BA81" s="16" t="n">
        <f aca="false">AZ82</f>
        <v>0</v>
      </c>
      <c r="BB81" s="16" t="n">
        <f aca="false">BA82</f>
        <v>0</v>
      </c>
      <c r="BC81" s="16" t="n">
        <f aca="false">BB82</f>
        <v>0</v>
      </c>
      <c r="BD81" s="16" t="n">
        <f aca="false">BC82</f>
        <v>0</v>
      </c>
      <c r="BE81" s="16" t="n">
        <f aca="false">BD82</f>
        <v>0</v>
      </c>
      <c r="BF81" s="16" t="n">
        <f aca="false">BE82</f>
        <v>0</v>
      </c>
      <c r="BG81" s="16" t="n">
        <f aca="false">BF82</f>
        <v>0</v>
      </c>
      <c r="BH81" s="16" t="n">
        <f aca="false">BG82</f>
        <v>0</v>
      </c>
      <c r="BI81" s="16" t="n">
        <f aca="false">BH82</f>
        <v>0</v>
      </c>
      <c r="BJ81" s="16" t="n">
        <f aca="false">BI82</f>
        <v>0</v>
      </c>
      <c r="BK81" s="16" t="n">
        <f aca="false">BJ82</f>
        <v>0</v>
      </c>
      <c r="BL81" s="16" t="n">
        <f aca="false">BK82</f>
        <v>0</v>
      </c>
      <c r="BM81" s="16" t="n">
        <f aca="false">BL82</f>
        <v>0</v>
      </c>
      <c r="BN81" s="16" t="n">
        <f aca="false">BM82</f>
        <v>0</v>
      </c>
      <c r="BO81" s="16" t="n">
        <f aca="false">BN82</f>
        <v>0</v>
      </c>
      <c r="BP81" s="16" t="n">
        <f aca="false">BO82</f>
        <v>0</v>
      </c>
      <c r="BQ81" s="16" t="n">
        <f aca="false">BP82</f>
        <v>0</v>
      </c>
      <c r="BR81" s="16" t="n">
        <f aca="false">BQ82</f>
        <v>0</v>
      </c>
      <c r="BS81" s="16" t="n">
        <f aca="false">BR82</f>
        <v>0</v>
      </c>
      <c r="BT81" s="16" t="n">
        <f aca="false">BS82</f>
        <v>0</v>
      </c>
      <c r="BU81" s="16" t="n">
        <f aca="false">BT82</f>
        <v>0</v>
      </c>
      <c r="BV81" s="16" t="n">
        <f aca="false">BU82</f>
        <v>0</v>
      </c>
      <c r="BW81" s="16" t="n">
        <f aca="false">BV82</f>
        <v>0</v>
      </c>
      <c r="BX81" s="16" t="n">
        <f aca="false">BW82</f>
        <v>0</v>
      </c>
      <c r="BY81" s="16" t="n">
        <f aca="false">BX82</f>
        <v>0</v>
      </c>
      <c r="BZ81" s="16" t="n">
        <f aca="false">BY82</f>
        <v>0</v>
      </c>
      <c r="CA81" s="16" t="n">
        <f aca="false">BZ82</f>
        <v>0</v>
      </c>
      <c r="CB81" s="16" t="n">
        <f aca="false">CA82</f>
        <v>0</v>
      </c>
      <c r="CC81" s="16" t="n">
        <f aca="false">CB82</f>
        <v>0</v>
      </c>
      <c r="CD81" s="16" t="n">
        <f aca="false">CC82</f>
        <v>0</v>
      </c>
      <c r="CE81" s="16" t="n">
        <f aca="false">CD82</f>
        <v>0</v>
      </c>
      <c r="CF81" s="16" t="n">
        <f aca="false">CE82</f>
        <v>0</v>
      </c>
      <c r="CG81" s="16" t="n">
        <f aca="false">CF82</f>
        <v>0</v>
      </c>
      <c r="CH81" s="16" t="n">
        <f aca="false">CG82</f>
        <v>0</v>
      </c>
      <c r="CI81" s="16" t="n">
        <f aca="false">CH82</f>
        <v>0</v>
      </c>
      <c r="CJ81" s="16" t="n">
        <f aca="false">CI82</f>
        <v>0</v>
      </c>
      <c r="CK81" s="16" t="n">
        <f aca="false">CJ82</f>
        <v>0</v>
      </c>
      <c r="CL81" s="16" t="n">
        <f aca="false">CK82</f>
        <v>0</v>
      </c>
      <c r="CM81" s="16" t="n">
        <f aca="false">CL82</f>
        <v>0</v>
      </c>
      <c r="CN81" s="16" t="n">
        <f aca="false">CM82</f>
        <v>0</v>
      </c>
      <c r="CO81" s="16" t="n">
        <f aca="false">CN82</f>
        <v>0</v>
      </c>
      <c r="CP81" s="16" t="n">
        <f aca="false">CO82</f>
        <v>0</v>
      </c>
      <c r="CQ81" s="16" t="n">
        <f aca="false">CP82</f>
        <v>0</v>
      </c>
      <c r="CR81" s="16" t="n">
        <f aca="false">CQ82</f>
        <v>0</v>
      </c>
      <c r="CS81" s="16" t="n">
        <f aca="false">CR82</f>
        <v>0</v>
      </c>
      <c r="CT81" s="16" t="n">
        <f aca="false">CS82</f>
        <v>0</v>
      </c>
      <c r="CU81" s="16" t="n">
        <f aca="false">CT82</f>
        <v>0</v>
      </c>
      <c r="CV81" s="16" t="n">
        <f aca="false">CU82</f>
        <v>0</v>
      </c>
      <c r="CW81" s="16" t="n">
        <f aca="false">CV82</f>
        <v>0</v>
      </c>
      <c r="CX81" s="16" t="n">
        <f aca="false">CW82</f>
        <v>0</v>
      </c>
    </row>
    <row r="82" customFormat="false" ht="15" hidden="false" customHeight="false" outlineLevel="0" collapsed="false">
      <c r="A82" s="1" t="n">
        <f aca="false">A81+1</f>
        <v>79</v>
      </c>
      <c r="B82" s="16" t="n">
        <f aca="false">B81</f>
        <v>0</v>
      </c>
      <c r="C82" s="16" t="n">
        <f aca="false">B83</f>
        <v>0</v>
      </c>
      <c r="D82" s="16" t="n">
        <f aca="false">C83</f>
        <v>0</v>
      </c>
      <c r="E82" s="16" t="n">
        <f aca="false">D83</f>
        <v>0</v>
      </c>
      <c r="F82" s="16" t="n">
        <f aca="false">E83</f>
        <v>0</v>
      </c>
      <c r="G82" s="16" t="n">
        <f aca="false">F83</f>
        <v>0</v>
      </c>
      <c r="H82" s="16" t="n">
        <f aca="false">G83</f>
        <v>0</v>
      </c>
      <c r="I82" s="16" t="n">
        <f aca="false">H83</f>
        <v>0</v>
      </c>
      <c r="J82" s="16" t="n">
        <f aca="false">I83</f>
        <v>0</v>
      </c>
      <c r="K82" s="16" t="n">
        <f aca="false">J83</f>
        <v>0</v>
      </c>
      <c r="L82" s="16" t="n">
        <f aca="false">K83</f>
        <v>0</v>
      </c>
      <c r="M82" s="16" t="n">
        <f aca="false">L83</f>
        <v>0</v>
      </c>
      <c r="N82" s="16" t="n">
        <f aca="false">M83</f>
        <v>0</v>
      </c>
      <c r="O82" s="16" t="n">
        <f aca="false">N83</f>
        <v>0</v>
      </c>
      <c r="P82" s="16" t="n">
        <f aca="false">O83</f>
        <v>0</v>
      </c>
      <c r="Q82" s="16" t="n">
        <f aca="false">P83</f>
        <v>0</v>
      </c>
      <c r="R82" s="16" t="n">
        <f aca="false">Q83</f>
        <v>0</v>
      </c>
      <c r="S82" s="16" t="n">
        <f aca="false">R83</f>
        <v>0</v>
      </c>
      <c r="T82" s="16" t="n">
        <f aca="false">S83</f>
        <v>0</v>
      </c>
      <c r="U82" s="16" t="n">
        <f aca="false">T83</f>
        <v>0</v>
      </c>
      <c r="V82" s="16" t="n">
        <f aca="false">U83</f>
        <v>0</v>
      </c>
      <c r="W82" s="16" t="n">
        <f aca="false">V83</f>
        <v>0</v>
      </c>
      <c r="X82" s="16" t="n">
        <f aca="false">W83</f>
        <v>0</v>
      </c>
      <c r="Y82" s="16" t="n">
        <f aca="false">X83</f>
        <v>0</v>
      </c>
      <c r="Z82" s="16" t="n">
        <f aca="false">Y83</f>
        <v>0</v>
      </c>
      <c r="AA82" s="16" t="n">
        <f aca="false">Z83</f>
        <v>0</v>
      </c>
      <c r="AB82" s="16" t="n">
        <f aca="false">AA83</f>
        <v>0</v>
      </c>
      <c r="AC82" s="16" t="n">
        <f aca="false">AB83</f>
        <v>0</v>
      </c>
      <c r="AD82" s="16" t="n">
        <f aca="false">AC83</f>
        <v>0</v>
      </c>
      <c r="AE82" s="16" t="n">
        <f aca="false">AD83</f>
        <v>0</v>
      </c>
      <c r="AF82" s="16" t="n">
        <f aca="false">AE83</f>
        <v>0</v>
      </c>
      <c r="AG82" s="16" t="n">
        <f aca="false">AF83</f>
        <v>0</v>
      </c>
      <c r="AH82" s="16" t="n">
        <f aca="false">AG83</f>
        <v>0</v>
      </c>
      <c r="AI82" s="16" t="n">
        <f aca="false">AH83</f>
        <v>0</v>
      </c>
      <c r="AJ82" s="16" t="n">
        <f aca="false">AI83</f>
        <v>0</v>
      </c>
      <c r="AK82" s="16" t="n">
        <f aca="false">AJ83</f>
        <v>0</v>
      </c>
      <c r="AL82" s="16" t="n">
        <f aca="false">AK83</f>
        <v>0</v>
      </c>
      <c r="AM82" s="16" t="n">
        <f aca="false">AL83</f>
        <v>0</v>
      </c>
      <c r="AN82" s="16" t="n">
        <f aca="false">AM83</f>
        <v>0</v>
      </c>
      <c r="AO82" s="16" t="n">
        <f aca="false">AN83</f>
        <v>0</v>
      </c>
      <c r="AP82" s="16" t="n">
        <f aca="false">AO83</f>
        <v>0</v>
      </c>
      <c r="AQ82" s="16" t="n">
        <f aca="false">AP83</f>
        <v>0</v>
      </c>
      <c r="AR82" s="16" t="n">
        <f aca="false">AQ83</f>
        <v>0</v>
      </c>
      <c r="AS82" s="16" t="n">
        <f aca="false">AR83</f>
        <v>0</v>
      </c>
      <c r="AT82" s="16" t="n">
        <f aca="false">AS83</f>
        <v>0</v>
      </c>
      <c r="AU82" s="16" t="n">
        <f aca="false">AT83</f>
        <v>0</v>
      </c>
      <c r="AV82" s="16" t="n">
        <f aca="false">AU83</f>
        <v>0</v>
      </c>
      <c r="AW82" s="16" t="n">
        <f aca="false">AV83</f>
        <v>0</v>
      </c>
      <c r="AX82" s="16" t="n">
        <f aca="false">AW83</f>
        <v>0</v>
      </c>
      <c r="AY82" s="16" t="n">
        <f aca="false">AX83</f>
        <v>0</v>
      </c>
      <c r="AZ82" s="16" t="n">
        <f aca="false">AY83</f>
        <v>0</v>
      </c>
      <c r="BA82" s="16" t="n">
        <f aca="false">AZ83</f>
        <v>0</v>
      </c>
      <c r="BB82" s="16" t="n">
        <f aca="false">BA83</f>
        <v>0</v>
      </c>
      <c r="BC82" s="16" t="n">
        <f aca="false">BB83</f>
        <v>0</v>
      </c>
      <c r="BD82" s="16" t="n">
        <f aca="false">BC83</f>
        <v>0</v>
      </c>
      <c r="BE82" s="16" t="n">
        <f aca="false">BD83</f>
        <v>0</v>
      </c>
      <c r="BF82" s="16" t="n">
        <f aca="false">BE83</f>
        <v>0</v>
      </c>
      <c r="BG82" s="16" t="n">
        <f aca="false">BF83</f>
        <v>0</v>
      </c>
      <c r="BH82" s="16" t="n">
        <f aca="false">BG83</f>
        <v>0</v>
      </c>
      <c r="BI82" s="16" t="n">
        <f aca="false">BH83</f>
        <v>0</v>
      </c>
      <c r="BJ82" s="16" t="n">
        <f aca="false">BI83</f>
        <v>0</v>
      </c>
      <c r="BK82" s="16" t="n">
        <f aca="false">BJ83</f>
        <v>0</v>
      </c>
      <c r="BL82" s="16" t="n">
        <f aca="false">BK83</f>
        <v>0</v>
      </c>
      <c r="BM82" s="16" t="n">
        <f aca="false">BL83</f>
        <v>0</v>
      </c>
      <c r="BN82" s="16" t="n">
        <f aca="false">BM83</f>
        <v>0</v>
      </c>
      <c r="BO82" s="16" t="n">
        <f aca="false">BN83</f>
        <v>0</v>
      </c>
      <c r="BP82" s="16" t="n">
        <f aca="false">BO83</f>
        <v>0</v>
      </c>
      <c r="BQ82" s="16" t="n">
        <f aca="false">BP83</f>
        <v>0</v>
      </c>
      <c r="BR82" s="16" t="n">
        <f aca="false">BQ83</f>
        <v>0</v>
      </c>
      <c r="BS82" s="16" t="n">
        <f aca="false">BR83</f>
        <v>0</v>
      </c>
      <c r="BT82" s="16" t="n">
        <f aca="false">BS83</f>
        <v>0</v>
      </c>
      <c r="BU82" s="16" t="n">
        <f aca="false">BT83</f>
        <v>0</v>
      </c>
      <c r="BV82" s="16" t="n">
        <f aca="false">BU83</f>
        <v>0</v>
      </c>
      <c r="BW82" s="16" t="n">
        <f aca="false">BV83</f>
        <v>0</v>
      </c>
      <c r="BX82" s="16" t="n">
        <f aca="false">BW83</f>
        <v>0</v>
      </c>
      <c r="BY82" s="16" t="n">
        <f aca="false">BX83</f>
        <v>0</v>
      </c>
      <c r="BZ82" s="16" t="n">
        <f aca="false">BY83</f>
        <v>0</v>
      </c>
      <c r="CA82" s="16" t="n">
        <f aca="false">BZ83</f>
        <v>0</v>
      </c>
      <c r="CB82" s="16" t="n">
        <f aca="false">CA83</f>
        <v>0</v>
      </c>
      <c r="CC82" s="16" t="n">
        <f aca="false">CB83</f>
        <v>0</v>
      </c>
      <c r="CD82" s="16" t="n">
        <f aca="false">CC83</f>
        <v>0</v>
      </c>
      <c r="CE82" s="16" t="n">
        <f aca="false">CD83</f>
        <v>0</v>
      </c>
      <c r="CF82" s="16" t="n">
        <f aca="false">CE83</f>
        <v>0</v>
      </c>
      <c r="CG82" s="16" t="n">
        <f aca="false">CF83</f>
        <v>0</v>
      </c>
      <c r="CH82" s="16" t="n">
        <f aca="false">CG83</f>
        <v>0</v>
      </c>
      <c r="CI82" s="16" t="n">
        <f aca="false">CH83</f>
        <v>0</v>
      </c>
      <c r="CJ82" s="16" t="n">
        <f aca="false">CI83</f>
        <v>0</v>
      </c>
      <c r="CK82" s="16" t="n">
        <f aca="false">CJ83</f>
        <v>0</v>
      </c>
      <c r="CL82" s="16" t="n">
        <f aca="false">CK83</f>
        <v>0</v>
      </c>
      <c r="CM82" s="16" t="n">
        <f aca="false">CL83</f>
        <v>0</v>
      </c>
      <c r="CN82" s="16" t="n">
        <f aca="false">CM83</f>
        <v>0</v>
      </c>
      <c r="CO82" s="16" t="n">
        <f aca="false">CN83</f>
        <v>0</v>
      </c>
      <c r="CP82" s="16" t="n">
        <f aca="false">CO83</f>
        <v>0</v>
      </c>
      <c r="CQ82" s="16" t="n">
        <f aca="false">CP83</f>
        <v>0</v>
      </c>
      <c r="CR82" s="16" t="n">
        <f aca="false">CQ83</f>
        <v>0</v>
      </c>
      <c r="CS82" s="16" t="n">
        <f aca="false">CR83</f>
        <v>0</v>
      </c>
      <c r="CT82" s="16" t="n">
        <f aca="false">CS83</f>
        <v>0</v>
      </c>
      <c r="CU82" s="16" t="n">
        <f aca="false">CT83</f>
        <v>0</v>
      </c>
      <c r="CV82" s="16" t="n">
        <f aca="false">CU83</f>
        <v>0</v>
      </c>
      <c r="CW82" s="16" t="n">
        <f aca="false">CV83</f>
        <v>0</v>
      </c>
      <c r="CX82" s="16" t="n">
        <f aca="false">CW83</f>
        <v>0</v>
      </c>
    </row>
    <row r="83" customFormat="false" ht="15" hidden="false" customHeight="false" outlineLevel="0" collapsed="false">
      <c r="A83" s="1" t="n">
        <f aca="false">A82+1</f>
        <v>80</v>
      </c>
      <c r="B83" s="16" t="n">
        <f aca="false">B82</f>
        <v>0</v>
      </c>
      <c r="C83" s="16" t="n">
        <f aca="false">B84</f>
        <v>0</v>
      </c>
      <c r="D83" s="16" t="n">
        <f aca="false">C84</f>
        <v>0</v>
      </c>
      <c r="E83" s="16" t="n">
        <f aca="false">D84</f>
        <v>0</v>
      </c>
      <c r="F83" s="16" t="n">
        <f aca="false">E84</f>
        <v>0</v>
      </c>
      <c r="G83" s="16" t="n">
        <f aca="false">F84</f>
        <v>0</v>
      </c>
      <c r="H83" s="16" t="n">
        <f aca="false">G84</f>
        <v>0</v>
      </c>
      <c r="I83" s="16" t="n">
        <f aca="false">H84</f>
        <v>0</v>
      </c>
      <c r="J83" s="16" t="n">
        <f aca="false">I84</f>
        <v>0</v>
      </c>
      <c r="K83" s="16" t="n">
        <f aca="false">J84</f>
        <v>0</v>
      </c>
      <c r="L83" s="16" t="n">
        <f aca="false">K84</f>
        <v>0</v>
      </c>
      <c r="M83" s="16" t="n">
        <f aca="false">L84</f>
        <v>0</v>
      </c>
      <c r="N83" s="16" t="n">
        <f aca="false">M84</f>
        <v>0</v>
      </c>
      <c r="O83" s="16" t="n">
        <f aca="false">N84</f>
        <v>0</v>
      </c>
      <c r="P83" s="16" t="n">
        <f aca="false">O84</f>
        <v>0</v>
      </c>
      <c r="Q83" s="16" t="n">
        <f aca="false">P84</f>
        <v>0</v>
      </c>
      <c r="R83" s="16" t="n">
        <f aca="false">Q84</f>
        <v>0</v>
      </c>
      <c r="S83" s="16" t="n">
        <f aca="false">R84</f>
        <v>0</v>
      </c>
      <c r="T83" s="16" t="n">
        <f aca="false">S84</f>
        <v>0</v>
      </c>
      <c r="U83" s="16" t="n">
        <f aca="false">T84</f>
        <v>0</v>
      </c>
      <c r="V83" s="16" t="n">
        <f aca="false">U84</f>
        <v>0</v>
      </c>
      <c r="W83" s="16" t="n">
        <f aca="false">V84</f>
        <v>0</v>
      </c>
      <c r="X83" s="16" t="n">
        <f aca="false">W84</f>
        <v>0</v>
      </c>
      <c r="Y83" s="16" t="n">
        <f aca="false">X84</f>
        <v>0</v>
      </c>
      <c r="Z83" s="16" t="n">
        <f aca="false">Y84</f>
        <v>0</v>
      </c>
      <c r="AA83" s="16" t="n">
        <f aca="false">Z84</f>
        <v>0</v>
      </c>
      <c r="AB83" s="16" t="n">
        <f aca="false">AA84</f>
        <v>0</v>
      </c>
      <c r="AC83" s="16" t="n">
        <f aca="false">AB84</f>
        <v>0</v>
      </c>
      <c r="AD83" s="16" t="n">
        <f aca="false">AC84</f>
        <v>0</v>
      </c>
      <c r="AE83" s="16" t="n">
        <f aca="false">AD84</f>
        <v>0</v>
      </c>
      <c r="AF83" s="16" t="n">
        <f aca="false">AE84</f>
        <v>0</v>
      </c>
      <c r="AG83" s="16" t="n">
        <f aca="false">AF84</f>
        <v>0</v>
      </c>
      <c r="AH83" s="16" t="n">
        <f aca="false">AG84</f>
        <v>0</v>
      </c>
      <c r="AI83" s="16" t="n">
        <f aca="false">AH84</f>
        <v>0</v>
      </c>
      <c r="AJ83" s="16" t="n">
        <f aca="false">AI84</f>
        <v>0</v>
      </c>
      <c r="AK83" s="16" t="n">
        <f aca="false">AJ84</f>
        <v>0</v>
      </c>
      <c r="AL83" s="16" t="n">
        <f aca="false">AK84</f>
        <v>0</v>
      </c>
      <c r="AM83" s="16" t="n">
        <f aca="false">AL84</f>
        <v>0</v>
      </c>
      <c r="AN83" s="16" t="n">
        <f aca="false">AM84</f>
        <v>0</v>
      </c>
      <c r="AO83" s="16" t="n">
        <f aca="false">AN84</f>
        <v>0</v>
      </c>
      <c r="AP83" s="16" t="n">
        <f aca="false">AO84</f>
        <v>0</v>
      </c>
      <c r="AQ83" s="16" t="n">
        <f aca="false">AP84</f>
        <v>0</v>
      </c>
      <c r="AR83" s="16" t="n">
        <f aca="false">AQ84</f>
        <v>0</v>
      </c>
      <c r="AS83" s="16" t="n">
        <f aca="false">AR84</f>
        <v>0</v>
      </c>
      <c r="AT83" s="16" t="n">
        <f aca="false">AS84</f>
        <v>0</v>
      </c>
      <c r="AU83" s="16" t="n">
        <f aca="false">AT84</f>
        <v>0</v>
      </c>
      <c r="AV83" s="16" t="n">
        <f aca="false">AU84</f>
        <v>0</v>
      </c>
      <c r="AW83" s="16" t="n">
        <f aca="false">AV84</f>
        <v>0</v>
      </c>
      <c r="AX83" s="16" t="n">
        <f aca="false">AW84</f>
        <v>0</v>
      </c>
      <c r="AY83" s="16" t="n">
        <f aca="false">AX84</f>
        <v>0</v>
      </c>
      <c r="AZ83" s="16" t="n">
        <f aca="false">AY84</f>
        <v>0</v>
      </c>
      <c r="BA83" s="16" t="n">
        <f aca="false">AZ84</f>
        <v>0</v>
      </c>
      <c r="BB83" s="16" t="n">
        <f aca="false">BA84</f>
        <v>0</v>
      </c>
      <c r="BC83" s="16" t="n">
        <f aca="false">BB84</f>
        <v>0</v>
      </c>
      <c r="BD83" s="16" t="n">
        <f aca="false">BC84</f>
        <v>0</v>
      </c>
      <c r="BE83" s="16" t="n">
        <f aca="false">BD84</f>
        <v>0</v>
      </c>
      <c r="BF83" s="16" t="n">
        <f aca="false">BE84</f>
        <v>0</v>
      </c>
      <c r="BG83" s="16" t="n">
        <f aca="false">BF84</f>
        <v>0</v>
      </c>
      <c r="BH83" s="16" t="n">
        <f aca="false">BG84</f>
        <v>0</v>
      </c>
      <c r="BI83" s="16" t="n">
        <f aca="false">BH84</f>
        <v>0</v>
      </c>
      <c r="BJ83" s="16" t="n">
        <f aca="false">BI84</f>
        <v>0</v>
      </c>
      <c r="BK83" s="16" t="n">
        <f aca="false">BJ84</f>
        <v>0</v>
      </c>
      <c r="BL83" s="16" t="n">
        <f aca="false">BK84</f>
        <v>0</v>
      </c>
      <c r="BM83" s="16" t="n">
        <f aca="false">BL84</f>
        <v>0</v>
      </c>
      <c r="BN83" s="16" t="n">
        <f aca="false">BM84</f>
        <v>0</v>
      </c>
      <c r="BO83" s="16" t="n">
        <f aca="false">BN84</f>
        <v>0</v>
      </c>
      <c r="BP83" s="16" t="n">
        <f aca="false">BO84</f>
        <v>0</v>
      </c>
      <c r="BQ83" s="16" t="n">
        <f aca="false">BP84</f>
        <v>0</v>
      </c>
      <c r="BR83" s="16" t="n">
        <f aca="false">BQ84</f>
        <v>0</v>
      </c>
      <c r="BS83" s="16" t="n">
        <f aca="false">BR84</f>
        <v>0</v>
      </c>
      <c r="BT83" s="16" t="n">
        <f aca="false">BS84</f>
        <v>0</v>
      </c>
      <c r="BU83" s="16" t="n">
        <f aca="false">BT84</f>
        <v>0</v>
      </c>
      <c r="BV83" s="16" t="n">
        <f aca="false">BU84</f>
        <v>0</v>
      </c>
      <c r="BW83" s="16" t="n">
        <f aca="false">BV84</f>
        <v>0</v>
      </c>
      <c r="BX83" s="16" t="n">
        <f aca="false">BW84</f>
        <v>0</v>
      </c>
      <c r="BY83" s="16" t="n">
        <f aca="false">BX84</f>
        <v>0</v>
      </c>
      <c r="BZ83" s="16" t="n">
        <f aca="false">BY84</f>
        <v>0</v>
      </c>
      <c r="CA83" s="16" t="n">
        <f aca="false">BZ84</f>
        <v>0</v>
      </c>
      <c r="CB83" s="16" t="n">
        <f aca="false">CA84</f>
        <v>0</v>
      </c>
      <c r="CC83" s="16" t="n">
        <f aca="false">CB84</f>
        <v>0</v>
      </c>
      <c r="CD83" s="16" t="n">
        <f aca="false">CC84</f>
        <v>0</v>
      </c>
      <c r="CE83" s="16" t="n">
        <f aca="false">CD84</f>
        <v>0</v>
      </c>
      <c r="CF83" s="16" t="n">
        <f aca="false">CE84</f>
        <v>0</v>
      </c>
      <c r="CG83" s="16" t="n">
        <f aca="false">CF84</f>
        <v>0</v>
      </c>
      <c r="CH83" s="16" t="n">
        <f aca="false">CG84</f>
        <v>0</v>
      </c>
      <c r="CI83" s="16" t="n">
        <f aca="false">CH84</f>
        <v>0</v>
      </c>
      <c r="CJ83" s="16" t="n">
        <f aca="false">CI84</f>
        <v>0</v>
      </c>
      <c r="CK83" s="16" t="n">
        <f aca="false">CJ84</f>
        <v>0</v>
      </c>
      <c r="CL83" s="16" t="n">
        <f aca="false">CK84</f>
        <v>0</v>
      </c>
      <c r="CM83" s="16" t="n">
        <f aca="false">CL84</f>
        <v>0</v>
      </c>
      <c r="CN83" s="16" t="n">
        <f aca="false">CM84</f>
        <v>0</v>
      </c>
      <c r="CO83" s="16" t="n">
        <f aca="false">CN84</f>
        <v>0</v>
      </c>
      <c r="CP83" s="16" t="n">
        <f aca="false">CO84</f>
        <v>0</v>
      </c>
      <c r="CQ83" s="16" t="n">
        <f aca="false">CP84</f>
        <v>0</v>
      </c>
      <c r="CR83" s="16" t="n">
        <f aca="false">CQ84</f>
        <v>0</v>
      </c>
      <c r="CS83" s="16" t="n">
        <f aca="false">CR84</f>
        <v>0</v>
      </c>
      <c r="CT83" s="16" t="n">
        <f aca="false">CS84</f>
        <v>0</v>
      </c>
      <c r="CU83" s="16" t="n">
        <f aca="false">CT84</f>
        <v>0</v>
      </c>
      <c r="CV83" s="16" t="n">
        <f aca="false">CU84</f>
        <v>0</v>
      </c>
      <c r="CW83" s="16" t="n">
        <f aca="false">CV84</f>
        <v>0</v>
      </c>
      <c r="CX83" s="16" t="n">
        <f aca="false">CW84</f>
        <v>0</v>
      </c>
    </row>
    <row r="84" customFormat="false" ht="15" hidden="false" customHeight="false" outlineLevel="0" collapsed="false">
      <c r="A84" s="1" t="n">
        <f aca="false">A83+1</f>
        <v>81</v>
      </c>
      <c r="B84" s="16" t="n">
        <f aca="false">B83</f>
        <v>0</v>
      </c>
      <c r="C84" s="16" t="n">
        <f aca="false">B85</f>
        <v>0</v>
      </c>
      <c r="D84" s="16" t="n">
        <f aca="false">C85</f>
        <v>0</v>
      </c>
      <c r="E84" s="16" t="n">
        <f aca="false">D85</f>
        <v>0</v>
      </c>
      <c r="F84" s="16" t="n">
        <f aca="false">E85</f>
        <v>0</v>
      </c>
      <c r="G84" s="16" t="n">
        <f aca="false">F85</f>
        <v>0</v>
      </c>
      <c r="H84" s="16" t="n">
        <f aca="false">G85</f>
        <v>0</v>
      </c>
      <c r="I84" s="16" t="n">
        <f aca="false">H85</f>
        <v>0</v>
      </c>
      <c r="J84" s="16" t="n">
        <f aca="false">I85</f>
        <v>0</v>
      </c>
      <c r="K84" s="16" t="n">
        <f aca="false">J85</f>
        <v>0</v>
      </c>
      <c r="L84" s="16" t="n">
        <f aca="false">K85</f>
        <v>0</v>
      </c>
      <c r="M84" s="16" t="n">
        <f aca="false">L85</f>
        <v>0</v>
      </c>
      <c r="N84" s="16" t="n">
        <f aca="false">M85</f>
        <v>0</v>
      </c>
      <c r="O84" s="16" t="n">
        <f aca="false">N85</f>
        <v>0</v>
      </c>
      <c r="P84" s="16" t="n">
        <f aca="false">O85</f>
        <v>0</v>
      </c>
      <c r="Q84" s="16" t="n">
        <f aca="false">P85</f>
        <v>0</v>
      </c>
      <c r="R84" s="16" t="n">
        <f aca="false">Q85</f>
        <v>0</v>
      </c>
      <c r="S84" s="16" t="n">
        <f aca="false">R85</f>
        <v>0</v>
      </c>
      <c r="T84" s="16" t="n">
        <f aca="false">S85</f>
        <v>0</v>
      </c>
      <c r="U84" s="16" t="n">
        <f aca="false">T85</f>
        <v>0</v>
      </c>
      <c r="V84" s="16" t="n">
        <f aca="false">U85</f>
        <v>0</v>
      </c>
      <c r="W84" s="16" t="n">
        <f aca="false">V85</f>
        <v>0</v>
      </c>
      <c r="X84" s="16" t="n">
        <f aca="false">W85</f>
        <v>0</v>
      </c>
      <c r="Y84" s="16" t="n">
        <f aca="false">X85</f>
        <v>0</v>
      </c>
      <c r="Z84" s="16" t="n">
        <f aca="false">Y85</f>
        <v>0</v>
      </c>
      <c r="AA84" s="16" t="n">
        <f aca="false">Z85</f>
        <v>0</v>
      </c>
      <c r="AB84" s="16" t="n">
        <f aca="false">AA85</f>
        <v>0</v>
      </c>
      <c r="AC84" s="16" t="n">
        <f aca="false">AB85</f>
        <v>0</v>
      </c>
      <c r="AD84" s="16" t="n">
        <f aca="false">AC85</f>
        <v>0</v>
      </c>
      <c r="AE84" s="16" t="n">
        <f aca="false">AD85</f>
        <v>0</v>
      </c>
      <c r="AF84" s="16" t="n">
        <f aca="false">AE85</f>
        <v>0</v>
      </c>
      <c r="AG84" s="16" t="n">
        <f aca="false">AF85</f>
        <v>0</v>
      </c>
      <c r="AH84" s="16" t="n">
        <f aca="false">AG85</f>
        <v>0</v>
      </c>
      <c r="AI84" s="16" t="n">
        <f aca="false">AH85</f>
        <v>0</v>
      </c>
      <c r="AJ84" s="16" t="n">
        <f aca="false">AI85</f>
        <v>0</v>
      </c>
      <c r="AK84" s="16" t="n">
        <f aca="false">AJ85</f>
        <v>0</v>
      </c>
      <c r="AL84" s="16" t="n">
        <f aca="false">AK85</f>
        <v>0</v>
      </c>
      <c r="AM84" s="16" t="n">
        <f aca="false">AL85</f>
        <v>0</v>
      </c>
      <c r="AN84" s="16" t="n">
        <f aca="false">AM85</f>
        <v>0</v>
      </c>
      <c r="AO84" s="16" t="n">
        <f aca="false">AN85</f>
        <v>0</v>
      </c>
      <c r="AP84" s="16" t="n">
        <f aca="false">AO85</f>
        <v>0</v>
      </c>
      <c r="AQ84" s="16" t="n">
        <f aca="false">AP85</f>
        <v>0</v>
      </c>
      <c r="AR84" s="16" t="n">
        <f aca="false">AQ85</f>
        <v>0</v>
      </c>
      <c r="AS84" s="16" t="n">
        <f aca="false">AR85</f>
        <v>0</v>
      </c>
      <c r="AT84" s="16" t="n">
        <f aca="false">AS85</f>
        <v>0</v>
      </c>
      <c r="AU84" s="16" t="n">
        <f aca="false">AT85</f>
        <v>0</v>
      </c>
      <c r="AV84" s="16" t="n">
        <f aca="false">AU85</f>
        <v>0</v>
      </c>
      <c r="AW84" s="16" t="n">
        <f aca="false">AV85</f>
        <v>0</v>
      </c>
      <c r="AX84" s="16" t="n">
        <f aca="false">AW85</f>
        <v>0</v>
      </c>
      <c r="AY84" s="16" t="n">
        <f aca="false">AX85</f>
        <v>0</v>
      </c>
      <c r="AZ84" s="16" t="n">
        <f aca="false">AY85</f>
        <v>0</v>
      </c>
      <c r="BA84" s="16" t="n">
        <f aca="false">AZ85</f>
        <v>0</v>
      </c>
      <c r="BB84" s="16" t="n">
        <f aca="false">BA85</f>
        <v>0</v>
      </c>
      <c r="BC84" s="16" t="n">
        <f aca="false">BB85</f>
        <v>0</v>
      </c>
      <c r="BD84" s="16" t="n">
        <f aca="false">BC85</f>
        <v>0</v>
      </c>
      <c r="BE84" s="16" t="n">
        <f aca="false">BD85</f>
        <v>0</v>
      </c>
      <c r="BF84" s="16" t="n">
        <f aca="false">BE85</f>
        <v>0</v>
      </c>
      <c r="BG84" s="16" t="n">
        <f aca="false">BF85</f>
        <v>0</v>
      </c>
      <c r="BH84" s="16" t="n">
        <f aca="false">BG85</f>
        <v>0</v>
      </c>
      <c r="BI84" s="16" t="n">
        <f aca="false">BH85</f>
        <v>0</v>
      </c>
      <c r="BJ84" s="16" t="n">
        <f aca="false">BI85</f>
        <v>0</v>
      </c>
      <c r="BK84" s="16" t="n">
        <f aca="false">BJ85</f>
        <v>0</v>
      </c>
      <c r="BL84" s="16" t="n">
        <f aca="false">BK85</f>
        <v>0</v>
      </c>
      <c r="BM84" s="16" t="n">
        <f aca="false">BL85</f>
        <v>0</v>
      </c>
      <c r="BN84" s="16" t="n">
        <f aca="false">BM85</f>
        <v>0</v>
      </c>
      <c r="BO84" s="16" t="n">
        <f aca="false">BN85</f>
        <v>0</v>
      </c>
      <c r="BP84" s="16" t="n">
        <f aca="false">BO85</f>
        <v>0</v>
      </c>
      <c r="BQ84" s="16" t="n">
        <f aca="false">BP85</f>
        <v>0</v>
      </c>
      <c r="BR84" s="16" t="n">
        <f aca="false">BQ85</f>
        <v>0</v>
      </c>
      <c r="BS84" s="16" t="n">
        <f aca="false">BR85</f>
        <v>0</v>
      </c>
      <c r="BT84" s="16" t="n">
        <f aca="false">BS85</f>
        <v>0</v>
      </c>
      <c r="BU84" s="16" t="n">
        <f aca="false">BT85</f>
        <v>0</v>
      </c>
      <c r="BV84" s="16" t="n">
        <f aca="false">BU85</f>
        <v>0</v>
      </c>
      <c r="BW84" s="16" t="n">
        <f aca="false">BV85</f>
        <v>0</v>
      </c>
      <c r="BX84" s="16" t="n">
        <f aca="false">BW85</f>
        <v>0</v>
      </c>
      <c r="BY84" s="16" t="n">
        <f aca="false">BX85</f>
        <v>0</v>
      </c>
      <c r="BZ84" s="16" t="n">
        <f aca="false">BY85</f>
        <v>0</v>
      </c>
      <c r="CA84" s="16" t="n">
        <f aca="false">BZ85</f>
        <v>0</v>
      </c>
      <c r="CB84" s="16" t="n">
        <f aca="false">CA85</f>
        <v>0</v>
      </c>
      <c r="CC84" s="16" t="n">
        <f aca="false">CB85</f>
        <v>0</v>
      </c>
      <c r="CD84" s="16" t="n">
        <f aca="false">CC85</f>
        <v>0</v>
      </c>
      <c r="CE84" s="16" t="n">
        <f aca="false">CD85</f>
        <v>0</v>
      </c>
      <c r="CF84" s="16" t="n">
        <f aca="false">CE85</f>
        <v>0</v>
      </c>
      <c r="CG84" s="16" t="n">
        <f aca="false">CF85</f>
        <v>0</v>
      </c>
      <c r="CH84" s="16" t="n">
        <f aca="false">CG85</f>
        <v>0</v>
      </c>
      <c r="CI84" s="16" t="n">
        <f aca="false">CH85</f>
        <v>0</v>
      </c>
      <c r="CJ84" s="16" t="n">
        <f aca="false">CI85</f>
        <v>0</v>
      </c>
      <c r="CK84" s="16" t="n">
        <f aca="false">CJ85</f>
        <v>0</v>
      </c>
      <c r="CL84" s="16" t="n">
        <f aca="false">CK85</f>
        <v>0</v>
      </c>
      <c r="CM84" s="16" t="n">
        <f aca="false">CL85</f>
        <v>0</v>
      </c>
      <c r="CN84" s="16" t="n">
        <f aca="false">CM85</f>
        <v>0</v>
      </c>
      <c r="CO84" s="16" t="n">
        <f aca="false">CN85</f>
        <v>0</v>
      </c>
      <c r="CP84" s="16" t="n">
        <f aca="false">CO85</f>
        <v>0</v>
      </c>
      <c r="CQ84" s="16" t="n">
        <f aca="false">CP85</f>
        <v>0</v>
      </c>
      <c r="CR84" s="16" t="n">
        <f aca="false">CQ85</f>
        <v>0</v>
      </c>
      <c r="CS84" s="16" t="n">
        <f aca="false">CR85</f>
        <v>0</v>
      </c>
      <c r="CT84" s="16" t="n">
        <f aca="false">CS85</f>
        <v>0</v>
      </c>
      <c r="CU84" s="16" t="n">
        <f aca="false">CT85</f>
        <v>0</v>
      </c>
      <c r="CV84" s="16" t="n">
        <f aca="false">CU85</f>
        <v>0</v>
      </c>
      <c r="CW84" s="16" t="n">
        <f aca="false">CV85</f>
        <v>0</v>
      </c>
      <c r="CX84" s="16" t="n">
        <f aca="false">CW85</f>
        <v>0</v>
      </c>
    </row>
    <row r="85" customFormat="false" ht="15" hidden="false" customHeight="false" outlineLevel="0" collapsed="false">
      <c r="A85" s="1" t="n">
        <f aca="false">A84+1</f>
        <v>82</v>
      </c>
      <c r="B85" s="16" t="n">
        <f aca="false">B84</f>
        <v>0</v>
      </c>
      <c r="C85" s="16" t="n">
        <f aca="false">B86</f>
        <v>0</v>
      </c>
      <c r="D85" s="16" t="n">
        <f aca="false">C86</f>
        <v>0</v>
      </c>
      <c r="E85" s="16" t="n">
        <f aca="false">D86</f>
        <v>0</v>
      </c>
      <c r="F85" s="16" t="n">
        <f aca="false">E86</f>
        <v>0</v>
      </c>
      <c r="G85" s="16" t="n">
        <f aca="false">F86</f>
        <v>0</v>
      </c>
      <c r="H85" s="16" t="n">
        <f aca="false">G86</f>
        <v>0</v>
      </c>
      <c r="I85" s="16" t="n">
        <f aca="false">H86</f>
        <v>0</v>
      </c>
      <c r="J85" s="16" t="n">
        <f aca="false">I86</f>
        <v>0</v>
      </c>
      <c r="K85" s="16" t="n">
        <f aca="false">J86</f>
        <v>0</v>
      </c>
      <c r="L85" s="16" t="n">
        <f aca="false">K86</f>
        <v>0</v>
      </c>
      <c r="M85" s="16" t="n">
        <f aca="false">L86</f>
        <v>0</v>
      </c>
      <c r="N85" s="16" t="n">
        <f aca="false">M86</f>
        <v>0</v>
      </c>
      <c r="O85" s="16" t="n">
        <f aca="false">N86</f>
        <v>0</v>
      </c>
      <c r="P85" s="16" t="n">
        <f aca="false">O86</f>
        <v>0</v>
      </c>
      <c r="Q85" s="16" t="n">
        <f aca="false">P86</f>
        <v>0</v>
      </c>
      <c r="R85" s="16" t="n">
        <f aca="false">Q86</f>
        <v>0</v>
      </c>
      <c r="S85" s="16" t="n">
        <f aca="false">R86</f>
        <v>0</v>
      </c>
      <c r="T85" s="16" t="n">
        <f aca="false">S86</f>
        <v>0</v>
      </c>
      <c r="U85" s="16" t="n">
        <f aca="false">T86</f>
        <v>0</v>
      </c>
      <c r="V85" s="16" t="n">
        <f aca="false">U86</f>
        <v>0</v>
      </c>
      <c r="W85" s="16" t="n">
        <f aca="false">V86</f>
        <v>0</v>
      </c>
      <c r="X85" s="16" t="n">
        <f aca="false">W86</f>
        <v>0</v>
      </c>
      <c r="Y85" s="16" t="n">
        <f aca="false">X86</f>
        <v>0</v>
      </c>
      <c r="Z85" s="16" t="n">
        <f aca="false">Y86</f>
        <v>0</v>
      </c>
      <c r="AA85" s="16" t="n">
        <f aca="false">Z86</f>
        <v>0</v>
      </c>
      <c r="AB85" s="16" t="n">
        <f aca="false">AA86</f>
        <v>0</v>
      </c>
      <c r="AC85" s="16" t="n">
        <f aca="false">AB86</f>
        <v>0</v>
      </c>
      <c r="AD85" s="16" t="n">
        <f aca="false">AC86</f>
        <v>0</v>
      </c>
      <c r="AE85" s="16" t="n">
        <f aca="false">AD86</f>
        <v>0</v>
      </c>
      <c r="AF85" s="16" t="n">
        <f aca="false">AE86</f>
        <v>0</v>
      </c>
      <c r="AG85" s="16" t="n">
        <f aca="false">AF86</f>
        <v>0</v>
      </c>
      <c r="AH85" s="16" t="n">
        <f aca="false">AG86</f>
        <v>0</v>
      </c>
      <c r="AI85" s="16" t="n">
        <f aca="false">AH86</f>
        <v>0</v>
      </c>
      <c r="AJ85" s="16" t="n">
        <f aca="false">AI86</f>
        <v>0</v>
      </c>
      <c r="AK85" s="16" t="n">
        <f aca="false">AJ86</f>
        <v>0</v>
      </c>
      <c r="AL85" s="16" t="n">
        <f aca="false">AK86</f>
        <v>0</v>
      </c>
      <c r="AM85" s="16" t="n">
        <f aca="false">AL86</f>
        <v>0</v>
      </c>
      <c r="AN85" s="16" t="n">
        <f aca="false">AM86</f>
        <v>0</v>
      </c>
      <c r="AO85" s="16" t="n">
        <f aca="false">AN86</f>
        <v>0</v>
      </c>
      <c r="AP85" s="16" t="n">
        <f aca="false">AO86</f>
        <v>0</v>
      </c>
      <c r="AQ85" s="16" t="n">
        <f aca="false">AP86</f>
        <v>0</v>
      </c>
      <c r="AR85" s="16" t="n">
        <f aca="false">AQ86</f>
        <v>0</v>
      </c>
      <c r="AS85" s="16" t="n">
        <f aca="false">AR86</f>
        <v>0</v>
      </c>
      <c r="AT85" s="16" t="n">
        <f aca="false">AS86</f>
        <v>0</v>
      </c>
      <c r="AU85" s="16" t="n">
        <f aca="false">AT86</f>
        <v>0</v>
      </c>
      <c r="AV85" s="16" t="n">
        <f aca="false">AU86</f>
        <v>0</v>
      </c>
      <c r="AW85" s="16" t="n">
        <f aca="false">AV86</f>
        <v>0</v>
      </c>
      <c r="AX85" s="16" t="n">
        <f aca="false">AW86</f>
        <v>0</v>
      </c>
      <c r="AY85" s="16" t="n">
        <f aca="false">AX86</f>
        <v>0</v>
      </c>
      <c r="AZ85" s="16" t="n">
        <f aca="false">AY86</f>
        <v>0</v>
      </c>
      <c r="BA85" s="16" t="n">
        <f aca="false">AZ86</f>
        <v>0</v>
      </c>
      <c r="BB85" s="16" t="n">
        <f aca="false">BA86</f>
        <v>0</v>
      </c>
      <c r="BC85" s="16" t="n">
        <f aca="false">BB86</f>
        <v>0</v>
      </c>
      <c r="BD85" s="16" t="n">
        <f aca="false">BC86</f>
        <v>0</v>
      </c>
      <c r="BE85" s="16" t="n">
        <f aca="false">BD86</f>
        <v>0</v>
      </c>
      <c r="BF85" s="16" t="n">
        <f aca="false">BE86</f>
        <v>0</v>
      </c>
      <c r="BG85" s="16" t="n">
        <f aca="false">BF86</f>
        <v>0</v>
      </c>
      <c r="BH85" s="16" t="n">
        <f aca="false">BG86</f>
        <v>0</v>
      </c>
      <c r="BI85" s="16" t="n">
        <f aca="false">BH86</f>
        <v>0</v>
      </c>
      <c r="BJ85" s="16" t="n">
        <f aca="false">BI86</f>
        <v>0</v>
      </c>
      <c r="BK85" s="16" t="n">
        <f aca="false">BJ86</f>
        <v>0</v>
      </c>
      <c r="BL85" s="16" t="n">
        <f aca="false">BK86</f>
        <v>0</v>
      </c>
      <c r="BM85" s="16" t="n">
        <f aca="false">BL86</f>
        <v>0</v>
      </c>
      <c r="BN85" s="16" t="n">
        <f aca="false">BM86</f>
        <v>0</v>
      </c>
      <c r="BO85" s="16" t="n">
        <f aca="false">BN86</f>
        <v>0</v>
      </c>
      <c r="BP85" s="16" t="n">
        <f aca="false">BO86</f>
        <v>0</v>
      </c>
      <c r="BQ85" s="16" t="n">
        <f aca="false">BP86</f>
        <v>0</v>
      </c>
      <c r="BR85" s="16" t="n">
        <f aca="false">BQ86</f>
        <v>0</v>
      </c>
      <c r="BS85" s="16" t="n">
        <f aca="false">BR86</f>
        <v>0</v>
      </c>
      <c r="BT85" s="16" t="n">
        <f aca="false">BS86</f>
        <v>0</v>
      </c>
      <c r="BU85" s="16" t="n">
        <f aca="false">BT86</f>
        <v>0</v>
      </c>
      <c r="BV85" s="16" t="n">
        <f aca="false">BU86</f>
        <v>0</v>
      </c>
      <c r="BW85" s="16" t="n">
        <f aca="false">BV86</f>
        <v>0</v>
      </c>
      <c r="BX85" s="16" t="n">
        <f aca="false">BW86</f>
        <v>0</v>
      </c>
      <c r="BY85" s="16" t="n">
        <f aca="false">BX86</f>
        <v>0</v>
      </c>
      <c r="BZ85" s="16" t="n">
        <f aca="false">BY86</f>
        <v>0</v>
      </c>
      <c r="CA85" s="16" t="n">
        <f aca="false">BZ86</f>
        <v>0</v>
      </c>
      <c r="CB85" s="16" t="n">
        <f aca="false">CA86</f>
        <v>0</v>
      </c>
      <c r="CC85" s="16" t="n">
        <f aca="false">CB86</f>
        <v>0</v>
      </c>
      <c r="CD85" s="16" t="n">
        <f aca="false">CC86</f>
        <v>0</v>
      </c>
      <c r="CE85" s="16" t="n">
        <f aca="false">CD86</f>
        <v>0</v>
      </c>
      <c r="CF85" s="16" t="n">
        <f aca="false">CE86</f>
        <v>0</v>
      </c>
      <c r="CG85" s="16" t="n">
        <f aca="false">CF86</f>
        <v>0</v>
      </c>
      <c r="CH85" s="16" t="n">
        <f aca="false">CG86</f>
        <v>0</v>
      </c>
      <c r="CI85" s="16" t="n">
        <f aca="false">CH86</f>
        <v>0</v>
      </c>
      <c r="CJ85" s="16" t="n">
        <f aca="false">CI86</f>
        <v>0</v>
      </c>
      <c r="CK85" s="16" t="n">
        <f aca="false">CJ86</f>
        <v>0</v>
      </c>
      <c r="CL85" s="16" t="n">
        <f aca="false">CK86</f>
        <v>0</v>
      </c>
      <c r="CM85" s="16" t="n">
        <f aca="false">CL86</f>
        <v>0</v>
      </c>
      <c r="CN85" s="16" t="n">
        <f aca="false">CM86</f>
        <v>0</v>
      </c>
      <c r="CO85" s="16" t="n">
        <f aca="false">CN86</f>
        <v>0</v>
      </c>
      <c r="CP85" s="16" t="n">
        <f aca="false">CO86</f>
        <v>0</v>
      </c>
      <c r="CQ85" s="16" t="n">
        <f aca="false">CP86</f>
        <v>0</v>
      </c>
      <c r="CR85" s="16" t="n">
        <f aca="false">CQ86</f>
        <v>0</v>
      </c>
      <c r="CS85" s="16" t="n">
        <f aca="false">CR86</f>
        <v>0</v>
      </c>
      <c r="CT85" s="16" t="n">
        <f aca="false">CS86</f>
        <v>0</v>
      </c>
      <c r="CU85" s="16" t="n">
        <f aca="false">CT86</f>
        <v>0</v>
      </c>
      <c r="CV85" s="16" t="n">
        <f aca="false">CU86</f>
        <v>0</v>
      </c>
      <c r="CW85" s="16" t="n">
        <f aca="false">CV86</f>
        <v>0</v>
      </c>
      <c r="CX85" s="16" t="n">
        <f aca="false">CW86</f>
        <v>0</v>
      </c>
    </row>
    <row r="86" customFormat="false" ht="15" hidden="false" customHeight="false" outlineLevel="0" collapsed="false">
      <c r="A86" s="1" t="n">
        <f aca="false">A85+1</f>
        <v>83</v>
      </c>
      <c r="B86" s="16" t="n">
        <f aca="false">B85</f>
        <v>0</v>
      </c>
      <c r="C86" s="16" t="n">
        <f aca="false">B87</f>
        <v>0</v>
      </c>
      <c r="D86" s="16" t="n">
        <f aca="false">C87</f>
        <v>0</v>
      </c>
      <c r="E86" s="16" t="n">
        <f aca="false">D87</f>
        <v>0</v>
      </c>
      <c r="F86" s="16" t="n">
        <f aca="false">E87</f>
        <v>0</v>
      </c>
      <c r="G86" s="16" t="n">
        <f aca="false">F87</f>
        <v>0</v>
      </c>
      <c r="H86" s="16" t="n">
        <f aca="false">G87</f>
        <v>0</v>
      </c>
      <c r="I86" s="16" t="n">
        <f aca="false">H87</f>
        <v>0</v>
      </c>
      <c r="J86" s="16" t="n">
        <f aca="false">I87</f>
        <v>0</v>
      </c>
      <c r="K86" s="16" t="n">
        <f aca="false">J87</f>
        <v>0</v>
      </c>
      <c r="L86" s="16" t="n">
        <f aca="false">K87</f>
        <v>0</v>
      </c>
      <c r="M86" s="16" t="n">
        <f aca="false">L87</f>
        <v>0</v>
      </c>
      <c r="N86" s="16" t="n">
        <f aca="false">M87</f>
        <v>0</v>
      </c>
      <c r="O86" s="16" t="n">
        <f aca="false">N87</f>
        <v>0</v>
      </c>
      <c r="P86" s="16" t="n">
        <f aca="false">O87</f>
        <v>0</v>
      </c>
      <c r="Q86" s="16" t="n">
        <f aca="false">P87</f>
        <v>0</v>
      </c>
      <c r="R86" s="16" t="n">
        <f aca="false">Q87</f>
        <v>0</v>
      </c>
      <c r="S86" s="16" t="n">
        <f aca="false">R87</f>
        <v>0</v>
      </c>
      <c r="T86" s="16" t="n">
        <f aca="false">S87</f>
        <v>0</v>
      </c>
      <c r="U86" s="16" t="n">
        <f aca="false">T87</f>
        <v>0</v>
      </c>
      <c r="V86" s="16" t="n">
        <f aca="false">U87</f>
        <v>0</v>
      </c>
      <c r="W86" s="16" t="n">
        <f aca="false">V87</f>
        <v>0</v>
      </c>
      <c r="X86" s="16" t="n">
        <f aca="false">W87</f>
        <v>0</v>
      </c>
      <c r="Y86" s="16" t="n">
        <f aca="false">X87</f>
        <v>0</v>
      </c>
      <c r="Z86" s="16" t="n">
        <f aca="false">Y87</f>
        <v>0</v>
      </c>
      <c r="AA86" s="16" t="n">
        <f aca="false">Z87</f>
        <v>0</v>
      </c>
      <c r="AB86" s="16" t="n">
        <f aca="false">AA87</f>
        <v>0</v>
      </c>
      <c r="AC86" s="16" t="n">
        <f aca="false">AB87</f>
        <v>0</v>
      </c>
      <c r="AD86" s="16" t="n">
        <f aca="false">AC87</f>
        <v>0</v>
      </c>
      <c r="AE86" s="16" t="n">
        <f aca="false">AD87</f>
        <v>0</v>
      </c>
      <c r="AF86" s="16" t="n">
        <f aca="false">AE87</f>
        <v>0</v>
      </c>
      <c r="AG86" s="16" t="n">
        <f aca="false">AF87</f>
        <v>0</v>
      </c>
      <c r="AH86" s="16" t="n">
        <f aca="false">AG87</f>
        <v>0</v>
      </c>
      <c r="AI86" s="16" t="n">
        <f aca="false">AH87</f>
        <v>0</v>
      </c>
      <c r="AJ86" s="16" t="n">
        <f aca="false">AI87</f>
        <v>0</v>
      </c>
      <c r="AK86" s="16" t="n">
        <f aca="false">AJ87</f>
        <v>0</v>
      </c>
      <c r="AL86" s="16" t="n">
        <f aca="false">AK87</f>
        <v>0</v>
      </c>
      <c r="AM86" s="16" t="n">
        <f aca="false">AL87</f>
        <v>0</v>
      </c>
      <c r="AN86" s="16" t="n">
        <f aca="false">AM87</f>
        <v>0</v>
      </c>
      <c r="AO86" s="16" t="n">
        <f aca="false">AN87</f>
        <v>0</v>
      </c>
      <c r="AP86" s="16" t="n">
        <f aca="false">AO87</f>
        <v>0</v>
      </c>
      <c r="AQ86" s="16" t="n">
        <f aca="false">AP87</f>
        <v>0</v>
      </c>
      <c r="AR86" s="16" t="n">
        <f aca="false">AQ87</f>
        <v>0</v>
      </c>
      <c r="AS86" s="16" t="n">
        <f aca="false">AR87</f>
        <v>0</v>
      </c>
      <c r="AT86" s="16" t="n">
        <f aca="false">AS87</f>
        <v>0</v>
      </c>
      <c r="AU86" s="16" t="n">
        <f aca="false">AT87</f>
        <v>0</v>
      </c>
      <c r="AV86" s="16" t="n">
        <f aca="false">AU87</f>
        <v>0</v>
      </c>
      <c r="AW86" s="16" t="n">
        <f aca="false">AV87</f>
        <v>0</v>
      </c>
      <c r="AX86" s="16" t="n">
        <f aca="false">AW87</f>
        <v>0</v>
      </c>
      <c r="AY86" s="16" t="n">
        <f aca="false">AX87</f>
        <v>0</v>
      </c>
      <c r="AZ86" s="16" t="n">
        <f aca="false">AY87</f>
        <v>0</v>
      </c>
      <c r="BA86" s="16" t="n">
        <f aca="false">AZ87</f>
        <v>0</v>
      </c>
      <c r="BB86" s="16" t="n">
        <f aca="false">BA87</f>
        <v>0</v>
      </c>
      <c r="BC86" s="16" t="n">
        <f aca="false">BB87</f>
        <v>0</v>
      </c>
      <c r="BD86" s="16" t="n">
        <f aca="false">BC87</f>
        <v>0</v>
      </c>
      <c r="BE86" s="16" t="n">
        <f aca="false">BD87</f>
        <v>0</v>
      </c>
      <c r="BF86" s="16" t="n">
        <f aca="false">BE87</f>
        <v>0</v>
      </c>
      <c r="BG86" s="16" t="n">
        <f aca="false">BF87</f>
        <v>0</v>
      </c>
      <c r="BH86" s="16" t="n">
        <f aca="false">BG87</f>
        <v>0</v>
      </c>
      <c r="BI86" s="16" t="n">
        <f aca="false">BH87</f>
        <v>0</v>
      </c>
      <c r="BJ86" s="16" t="n">
        <f aca="false">BI87</f>
        <v>0</v>
      </c>
      <c r="BK86" s="16" t="n">
        <f aca="false">BJ87</f>
        <v>0</v>
      </c>
      <c r="BL86" s="16" t="n">
        <f aca="false">BK87</f>
        <v>0</v>
      </c>
      <c r="BM86" s="16" t="n">
        <f aca="false">BL87</f>
        <v>0</v>
      </c>
      <c r="BN86" s="16" t="n">
        <f aca="false">BM87</f>
        <v>0</v>
      </c>
      <c r="BO86" s="16" t="n">
        <f aca="false">BN87</f>
        <v>0</v>
      </c>
      <c r="BP86" s="16" t="n">
        <f aca="false">BO87</f>
        <v>0</v>
      </c>
      <c r="BQ86" s="16" t="n">
        <f aca="false">BP87</f>
        <v>0</v>
      </c>
      <c r="BR86" s="16" t="n">
        <f aca="false">BQ87</f>
        <v>0</v>
      </c>
      <c r="BS86" s="16" t="n">
        <f aca="false">BR87</f>
        <v>0</v>
      </c>
      <c r="BT86" s="16" t="n">
        <f aca="false">BS87</f>
        <v>0</v>
      </c>
      <c r="BU86" s="16" t="n">
        <f aca="false">BT87</f>
        <v>0</v>
      </c>
      <c r="BV86" s="16" t="n">
        <f aca="false">BU87</f>
        <v>0</v>
      </c>
      <c r="BW86" s="16" t="n">
        <f aca="false">BV87</f>
        <v>0</v>
      </c>
      <c r="BX86" s="16" t="n">
        <f aca="false">BW87</f>
        <v>0</v>
      </c>
      <c r="BY86" s="16" t="n">
        <f aca="false">BX87</f>
        <v>0</v>
      </c>
      <c r="BZ86" s="16" t="n">
        <f aca="false">BY87</f>
        <v>0</v>
      </c>
      <c r="CA86" s="16" t="n">
        <f aca="false">BZ87</f>
        <v>0</v>
      </c>
      <c r="CB86" s="16" t="n">
        <f aca="false">CA87</f>
        <v>0</v>
      </c>
      <c r="CC86" s="16" t="n">
        <f aca="false">CB87</f>
        <v>0</v>
      </c>
      <c r="CD86" s="16" t="n">
        <f aca="false">CC87</f>
        <v>0</v>
      </c>
      <c r="CE86" s="16" t="n">
        <f aca="false">CD87</f>
        <v>0</v>
      </c>
      <c r="CF86" s="16" t="n">
        <f aca="false">CE87</f>
        <v>0</v>
      </c>
      <c r="CG86" s="16" t="n">
        <f aca="false">CF87</f>
        <v>0</v>
      </c>
      <c r="CH86" s="16" t="n">
        <f aca="false">CG87</f>
        <v>0</v>
      </c>
      <c r="CI86" s="16" t="n">
        <f aca="false">CH87</f>
        <v>0</v>
      </c>
      <c r="CJ86" s="16" t="n">
        <f aca="false">CI87</f>
        <v>0</v>
      </c>
      <c r="CK86" s="16" t="n">
        <f aca="false">CJ87</f>
        <v>0</v>
      </c>
      <c r="CL86" s="16" t="n">
        <f aca="false">CK87</f>
        <v>0</v>
      </c>
      <c r="CM86" s="16" t="n">
        <f aca="false">CL87</f>
        <v>0</v>
      </c>
      <c r="CN86" s="16" t="n">
        <f aca="false">CM87</f>
        <v>0</v>
      </c>
      <c r="CO86" s="16" t="n">
        <f aca="false">CN87</f>
        <v>0</v>
      </c>
      <c r="CP86" s="16" t="n">
        <f aca="false">CO87</f>
        <v>0</v>
      </c>
      <c r="CQ86" s="16" t="n">
        <f aca="false">CP87</f>
        <v>0</v>
      </c>
      <c r="CR86" s="16" t="n">
        <f aca="false">CQ87</f>
        <v>0</v>
      </c>
      <c r="CS86" s="16" t="n">
        <f aca="false">CR87</f>
        <v>0</v>
      </c>
      <c r="CT86" s="16" t="n">
        <f aca="false">CS87</f>
        <v>0</v>
      </c>
      <c r="CU86" s="16" t="n">
        <f aca="false">CT87</f>
        <v>0</v>
      </c>
      <c r="CV86" s="16" t="n">
        <f aca="false">CU87</f>
        <v>0</v>
      </c>
      <c r="CW86" s="16" t="n">
        <f aca="false">CV87</f>
        <v>0</v>
      </c>
      <c r="CX86" s="16" t="n">
        <f aca="false">CW87</f>
        <v>0</v>
      </c>
    </row>
    <row r="87" customFormat="false" ht="15" hidden="false" customHeight="false" outlineLevel="0" collapsed="false">
      <c r="A87" s="1" t="n">
        <f aca="false">A86+1</f>
        <v>84</v>
      </c>
      <c r="B87" s="16" t="n">
        <f aca="false">B86</f>
        <v>0</v>
      </c>
      <c r="C87" s="16" t="n">
        <f aca="false">B88</f>
        <v>0</v>
      </c>
      <c r="D87" s="16" t="n">
        <f aca="false">C88</f>
        <v>0</v>
      </c>
      <c r="E87" s="16" t="n">
        <f aca="false">D88</f>
        <v>0</v>
      </c>
      <c r="F87" s="16" t="n">
        <f aca="false">E88</f>
        <v>0</v>
      </c>
      <c r="G87" s="16" t="n">
        <f aca="false">F88</f>
        <v>0</v>
      </c>
      <c r="H87" s="16" t="n">
        <f aca="false">G88</f>
        <v>0</v>
      </c>
      <c r="I87" s="16" t="n">
        <f aca="false">H88</f>
        <v>0</v>
      </c>
      <c r="J87" s="16" t="n">
        <f aca="false">I88</f>
        <v>0</v>
      </c>
      <c r="K87" s="16" t="n">
        <f aca="false">J88</f>
        <v>0</v>
      </c>
      <c r="L87" s="16" t="n">
        <f aca="false">K88</f>
        <v>0</v>
      </c>
      <c r="M87" s="16" t="n">
        <f aca="false">L88</f>
        <v>0</v>
      </c>
      <c r="N87" s="16" t="n">
        <f aca="false">M88</f>
        <v>0</v>
      </c>
      <c r="O87" s="16" t="n">
        <f aca="false">N88</f>
        <v>0</v>
      </c>
      <c r="P87" s="16" t="n">
        <f aca="false">O88</f>
        <v>0</v>
      </c>
      <c r="Q87" s="16" t="n">
        <f aca="false">P88</f>
        <v>0</v>
      </c>
      <c r="R87" s="16" t="n">
        <f aca="false">Q88</f>
        <v>0</v>
      </c>
      <c r="S87" s="16" t="n">
        <f aca="false">R88</f>
        <v>0</v>
      </c>
      <c r="T87" s="16" t="n">
        <f aca="false">S88</f>
        <v>0</v>
      </c>
      <c r="U87" s="16" t="n">
        <f aca="false">T88</f>
        <v>0</v>
      </c>
      <c r="V87" s="16" t="n">
        <f aca="false">U88</f>
        <v>0</v>
      </c>
      <c r="W87" s="16" t="n">
        <f aca="false">V88</f>
        <v>0</v>
      </c>
      <c r="X87" s="16" t="n">
        <f aca="false">W88</f>
        <v>0</v>
      </c>
      <c r="Y87" s="16" t="n">
        <f aca="false">X88</f>
        <v>0</v>
      </c>
      <c r="Z87" s="16" t="n">
        <f aca="false">Y88</f>
        <v>0</v>
      </c>
      <c r="AA87" s="16" t="n">
        <f aca="false">Z88</f>
        <v>0</v>
      </c>
      <c r="AB87" s="16" t="n">
        <f aca="false">AA88</f>
        <v>0</v>
      </c>
      <c r="AC87" s="16" t="n">
        <f aca="false">AB88</f>
        <v>0</v>
      </c>
      <c r="AD87" s="16" t="n">
        <f aca="false">AC88</f>
        <v>0</v>
      </c>
      <c r="AE87" s="16" t="n">
        <f aca="false">AD88</f>
        <v>0</v>
      </c>
      <c r="AF87" s="16" t="n">
        <f aca="false">AE88</f>
        <v>0</v>
      </c>
      <c r="AG87" s="16" t="n">
        <f aca="false">AF88</f>
        <v>0</v>
      </c>
      <c r="AH87" s="16" t="n">
        <f aca="false">AG88</f>
        <v>0</v>
      </c>
      <c r="AI87" s="16" t="n">
        <f aca="false">AH88</f>
        <v>0</v>
      </c>
      <c r="AJ87" s="16" t="n">
        <f aca="false">AI88</f>
        <v>0</v>
      </c>
      <c r="AK87" s="16" t="n">
        <f aca="false">AJ88</f>
        <v>0</v>
      </c>
      <c r="AL87" s="16" t="n">
        <f aca="false">AK88</f>
        <v>0</v>
      </c>
      <c r="AM87" s="16" t="n">
        <f aca="false">AL88</f>
        <v>0</v>
      </c>
      <c r="AN87" s="16" t="n">
        <f aca="false">AM88</f>
        <v>0</v>
      </c>
      <c r="AO87" s="16" t="n">
        <f aca="false">AN88</f>
        <v>0</v>
      </c>
      <c r="AP87" s="16" t="n">
        <f aca="false">AO88</f>
        <v>0</v>
      </c>
      <c r="AQ87" s="16" t="n">
        <f aca="false">AP88</f>
        <v>0</v>
      </c>
      <c r="AR87" s="16" t="n">
        <f aca="false">AQ88</f>
        <v>0</v>
      </c>
      <c r="AS87" s="16" t="n">
        <f aca="false">AR88</f>
        <v>0</v>
      </c>
      <c r="AT87" s="16" t="n">
        <f aca="false">AS88</f>
        <v>0</v>
      </c>
      <c r="AU87" s="16" t="n">
        <f aca="false">AT88</f>
        <v>0</v>
      </c>
      <c r="AV87" s="16" t="n">
        <f aca="false">AU88</f>
        <v>0</v>
      </c>
      <c r="AW87" s="16" t="n">
        <f aca="false">AV88</f>
        <v>0</v>
      </c>
      <c r="AX87" s="16" t="n">
        <f aca="false">AW88</f>
        <v>0</v>
      </c>
      <c r="AY87" s="16" t="n">
        <f aca="false">AX88</f>
        <v>0</v>
      </c>
      <c r="AZ87" s="16" t="n">
        <f aca="false">AY88</f>
        <v>0</v>
      </c>
      <c r="BA87" s="16" t="n">
        <f aca="false">AZ88</f>
        <v>0</v>
      </c>
      <c r="BB87" s="16" t="n">
        <f aca="false">BA88</f>
        <v>0</v>
      </c>
      <c r="BC87" s="16" t="n">
        <f aca="false">BB88</f>
        <v>0</v>
      </c>
      <c r="BD87" s="16" t="n">
        <f aca="false">BC88</f>
        <v>0</v>
      </c>
      <c r="BE87" s="16" t="n">
        <f aca="false">BD88</f>
        <v>0</v>
      </c>
      <c r="BF87" s="16" t="n">
        <f aca="false">BE88</f>
        <v>0</v>
      </c>
      <c r="BG87" s="16" t="n">
        <f aca="false">BF88</f>
        <v>0</v>
      </c>
      <c r="BH87" s="16" t="n">
        <f aca="false">BG88</f>
        <v>0</v>
      </c>
      <c r="BI87" s="16" t="n">
        <f aca="false">BH88</f>
        <v>0</v>
      </c>
      <c r="BJ87" s="16" t="n">
        <f aca="false">BI88</f>
        <v>0</v>
      </c>
      <c r="BK87" s="16" t="n">
        <f aca="false">BJ88</f>
        <v>0</v>
      </c>
      <c r="BL87" s="16" t="n">
        <f aca="false">BK88</f>
        <v>0</v>
      </c>
      <c r="BM87" s="16" t="n">
        <f aca="false">BL88</f>
        <v>0</v>
      </c>
      <c r="BN87" s="16" t="n">
        <f aca="false">BM88</f>
        <v>0</v>
      </c>
      <c r="BO87" s="16" t="n">
        <f aca="false">BN88</f>
        <v>0</v>
      </c>
      <c r="BP87" s="16" t="n">
        <f aca="false">BO88</f>
        <v>0</v>
      </c>
      <c r="BQ87" s="16" t="n">
        <f aca="false">BP88</f>
        <v>0</v>
      </c>
      <c r="BR87" s="16" t="n">
        <f aca="false">BQ88</f>
        <v>0</v>
      </c>
      <c r="BS87" s="16" t="n">
        <f aca="false">BR88</f>
        <v>0</v>
      </c>
      <c r="BT87" s="16" t="n">
        <f aca="false">BS88</f>
        <v>0</v>
      </c>
      <c r="BU87" s="16" t="n">
        <f aca="false">BT88</f>
        <v>0</v>
      </c>
      <c r="BV87" s="16" t="n">
        <f aca="false">BU88</f>
        <v>0</v>
      </c>
      <c r="BW87" s="16" t="n">
        <f aca="false">BV88</f>
        <v>0</v>
      </c>
      <c r="BX87" s="16" t="n">
        <f aca="false">BW88</f>
        <v>0</v>
      </c>
      <c r="BY87" s="16" t="n">
        <f aca="false">BX88</f>
        <v>0</v>
      </c>
      <c r="BZ87" s="16" t="n">
        <f aca="false">BY88</f>
        <v>0</v>
      </c>
      <c r="CA87" s="16" t="n">
        <f aca="false">BZ88</f>
        <v>0</v>
      </c>
      <c r="CB87" s="16" t="n">
        <f aca="false">CA88</f>
        <v>0</v>
      </c>
      <c r="CC87" s="16" t="n">
        <f aca="false">CB88</f>
        <v>0</v>
      </c>
      <c r="CD87" s="16" t="n">
        <f aca="false">CC88</f>
        <v>0</v>
      </c>
      <c r="CE87" s="16" t="n">
        <f aca="false">CD88</f>
        <v>0</v>
      </c>
      <c r="CF87" s="16" t="n">
        <f aca="false">CE88</f>
        <v>0</v>
      </c>
      <c r="CG87" s="16" t="n">
        <f aca="false">CF88</f>
        <v>0</v>
      </c>
      <c r="CH87" s="16" t="n">
        <f aca="false">CG88</f>
        <v>0</v>
      </c>
      <c r="CI87" s="16" t="n">
        <f aca="false">CH88</f>
        <v>0</v>
      </c>
      <c r="CJ87" s="16" t="n">
        <f aca="false">CI88</f>
        <v>0</v>
      </c>
      <c r="CK87" s="16" t="n">
        <f aca="false">CJ88</f>
        <v>0</v>
      </c>
      <c r="CL87" s="16" t="n">
        <f aca="false">CK88</f>
        <v>0</v>
      </c>
      <c r="CM87" s="16" t="n">
        <f aca="false">CL88</f>
        <v>0</v>
      </c>
      <c r="CN87" s="16" t="n">
        <f aca="false">CM88</f>
        <v>0</v>
      </c>
      <c r="CO87" s="16" t="n">
        <f aca="false">CN88</f>
        <v>0</v>
      </c>
      <c r="CP87" s="16" t="n">
        <f aca="false">CO88</f>
        <v>0</v>
      </c>
      <c r="CQ87" s="16" t="n">
        <f aca="false">CP88</f>
        <v>0</v>
      </c>
      <c r="CR87" s="16" t="n">
        <f aca="false">CQ88</f>
        <v>0</v>
      </c>
      <c r="CS87" s="16" t="n">
        <f aca="false">CR88</f>
        <v>0</v>
      </c>
      <c r="CT87" s="16" t="n">
        <f aca="false">CS88</f>
        <v>0</v>
      </c>
      <c r="CU87" s="16" t="n">
        <f aca="false">CT88</f>
        <v>0</v>
      </c>
      <c r="CV87" s="16" t="n">
        <f aca="false">CU88</f>
        <v>0</v>
      </c>
      <c r="CW87" s="16" t="n">
        <f aca="false">CV88</f>
        <v>0</v>
      </c>
      <c r="CX87" s="16" t="n">
        <f aca="false">CW88</f>
        <v>0</v>
      </c>
    </row>
    <row r="88" customFormat="false" ht="15" hidden="false" customHeight="false" outlineLevel="0" collapsed="false">
      <c r="A88" s="1" t="n">
        <f aca="false">A87+1</f>
        <v>85</v>
      </c>
      <c r="B88" s="16" t="n">
        <f aca="false">B87</f>
        <v>0</v>
      </c>
      <c r="C88" s="16" t="n">
        <f aca="false">B89</f>
        <v>0</v>
      </c>
      <c r="D88" s="16" t="n">
        <f aca="false">C89</f>
        <v>0</v>
      </c>
      <c r="E88" s="16" t="n">
        <f aca="false">D89</f>
        <v>0</v>
      </c>
      <c r="F88" s="16" t="n">
        <f aca="false">E89</f>
        <v>0</v>
      </c>
      <c r="G88" s="16" t="n">
        <f aca="false">F89</f>
        <v>0</v>
      </c>
      <c r="H88" s="16" t="n">
        <f aca="false">G89</f>
        <v>0</v>
      </c>
      <c r="I88" s="16" t="n">
        <f aca="false">H89</f>
        <v>0</v>
      </c>
      <c r="J88" s="16" t="n">
        <f aca="false">I89</f>
        <v>0</v>
      </c>
      <c r="K88" s="16" t="n">
        <f aca="false">J89</f>
        <v>0</v>
      </c>
      <c r="L88" s="16" t="n">
        <f aca="false">K89</f>
        <v>0</v>
      </c>
      <c r="M88" s="16" t="n">
        <f aca="false">L89</f>
        <v>0</v>
      </c>
      <c r="N88" s="16" t="n">
        <f aca="false">M89</f>
        <v>0</v>
      </c>
      <c r="O88" s="16" t="n">
        <f aca="false">N89</f>
        <v>0</v>
      </c>
      <c r="P88" s="16" t="n">
        <f aca="false">O89</f>
        <v>0</v>
      </c>
      <c r="Q88" s="16" t="n">
        <f aca="false">P89</f>
        <v>0</v>
      </c>
      <c r="R88" s="16" t="n">
        <f aca="false">Q89</f>
        <v>0</v>
      </c>
      <c r="S88" s="16" t="n">
        <f aca="false">R89</f>
        <v>0</v>
      </c>
      <c r="T88" s="16" t="n">
        <f aca="false">S89</f>
        <v>0</v>
      </c>
      <c r="U88" s="16" t="n">
        <f aca="false">T89</f>
        <v>0</v>
      </c>
      <c r="V88" s="16" t="n">
        <f aca="false">U89</f>
        <v>0</v>
      </c>
      <c r="W88" s="16" t="n">
        <f aca="false">V89</f>
        <v>0</v>
      </c>
      <c r="X88" s="16" t="n">
        <f aca="false">W89</f>
        <v>0</v>
      </c>
      <c r="Y88" s="16" t="n">
        <f aca="false">X89</f>
        <v>0</v>
      </c>
      <c r="Z88" s="16" t="n">
        <f aca="false">Y89</f>
        <v>0</v>
      </c>
      <c r="AA88" s="16" t="n">
        <f aca="false">Z89</f>
        <v>0</v>
      </c>
      <c r="AB88" s="16" t="n">
        <f aca="false">AA89</f>
        <v>0</v>
      </c>
      <c r="AC88" s="16" t="n">
        <f aca="false">AB89</f>
        <v>0</v>
      </c>
      <c r="AD88" s="16" t="n">
        <f aca="false">AC89</f>
        <v>0</v>
      </c>
      <c r="AE88" s="16" t="n">
        <f aca="false">AD89</f>
        <v>0</v>
      </c>
      <c r="AF88" s="16" t="n">
        <f aca="false">AE89</f>
        <v>0</v>
      </c>
      <c r="AG88" s="16" t="n">
        <f aca="false">AF89</f>
        <v>0</v>
      </c>
      <c r="AH88" s="16" t="n">
        <f aca="false">AG89</f>
        <v>0</v>
      </c>
      <c r="AI88" s="16" t="n">
        <f aca="false">AH89</f>
        <v>0</v>
      </c>
      <c r="AJ88" s="16" t="n">
        <f aca="false">AI89</f>
        <v>0</v>
      </c>
      <c r="AK88" s="16" t="n">
        <f aca="false">AJ89</f>
        <v>0</v>
      </c>
      <c r="AL88" s="16" t="n">
        <f aca="false">AK89</f>
        <v>0</v>
      </c>
      <c r="AM88" s="16" t="n">
        <f aca="false">AL89</f>
        <v>0</v>
      </c>
      <c r="AN88" s="16" t="n">
        <f aca="false">AM89</f>
        <v>0</v>
      </c>
      <c r="AO88" s="16" t="n">
        <f aca="false">AN89</f>
        <v>0</v>
      </c>
      <c r="AP88" s="16" t="n">
        <f aca="false">AO89</f>
        <v>0</v>
      </c>
      <c r="AQ88" s="16" t="n">
        <f aca="false">AP89</f>
        <v>0</v>
      </c>
      <c r="AR88" s="16" t="n">
        <f aca="false">AQ89</f>
        <v>0</v>
      </c>
      <c r="AS88" s="16" t="n">
        <f aca="false">AR89</f>
        <v>0</v>
      </c>
      <c r="AT88" s="16" t="n">
        <f aca="false">AS89</f>
        <v>0</v>
      </c>
      <c r="AU88" s="16" t="n">
        <f aca="false">AT89</f>
        <v>0</v>
      </c>
      <c r="AV88" s="16" t="n">
        <f aca="false">AU89</f>
        <v>0</v>
      </c>
      <c r="AW88" s="16" t="n">
        <f aca="false">AV89</f>
        <v>0</v>
      </c>
      <c r="AX88" s="16" t="n">
        <f aca="false">AW89</f>
        <v>0</v>
      </c>
      <c r="AY88" s="16" t="n">
        <f aca="false">AX89</f>
        <v>0</v>
      </c>
      <c r="AZ88" s="16" t="n">
        <f aca="false">AY89</f>
        <v>0</v>
      </c>
      <c r="BA88" s="16" t="n">
        <f aca="false">AZ89</f>
        <v>0</v>
      </c>
      <c r="BB88" s="16" t="n">
        <f aca="false">BA89</f>
        <v>0</v>
      </c>
      <c r="BC88" s="16" t="n">
        <f aca="false">BB89</f>
        <v>0</v>
      </c>
      <c r="BD88" s="16" t="n">
        <f aca="false">BC89</f>
        <v>0</v>
      </c>
      <c r="BE88" s="16" t="n">
        <f aca="false">BD89</f>
        <v>0</v>
      </c>
      <c r="BF88" s="16" t="n">
        <f aca="false">BE89</f>
        <v>0</v>
      </c>
      <c r="BG88" s="16" t="n">
        <f aca="false">BF89</f>
        <v>0</v>
      </c>
      <c r="BH88" s="16" t="n">
        <f aca="false">BG89</f>
        <v>0</v>
      </c>
      <c r="BI88" s="16" t="n">
        <f aca="false">BH89</f>
        <v>0</v>
      </c>
      <c r="BJ88" s="16" t="n">
        <f aca="false">BI89</f>
        <v>0</v>
      </c>
      <c r="BK88" s="16" t="n">
        <f aca="false">BJ89</f>
        <v>0</v>
      </c>
      <c r="BL88" s="16" t="n">
        <f aca="false">BK89</f>
        <v>0</v>
      </c>
      <c r="BM88" s="16" t="n">
        <f aca="false">BL89</f>
        <v>0</v>
      </c>
      <c r="BN88" s="16" t="n">
        <f aca="false">BM89</f>
        <v>0</v>
      </c>
      <c r="BO88" s="16" t="n">
        <f aca="false">BN89</f>
        <v>0</v>
      </c>
      <c r="BP88" s="16" t="n">
        <f aca="false">BO89</f>
        <v>0</v>
      </c>
      <c r="BQ88" s="16" t="n">
        <f aca="false">BP89</f>
        <v>0</v>
      </c>
      <c r="BR88" s="16" t="n">
        <f aca="false">BQ89</f>
        <v>0</v>
      </c>
      <c r="BS88" s="16" t="n">
        <f aca="false">BR89</f>
        <v>0</v>
      </c>
      <c r="BT88" s="16" t="n">
        <f aca="false">BS89</f>
        <v>0</v>
      </c>
      <c r="BU88" s="16" t="n">
        <f aca="false">BT89</f>
        <v>0</v>
      </c>
      <c r="BV88" s="16" t="n">
        <f aca="false">BU89</f>
        <v>0</v>
      </c>
      <c r="BW88" s="16" t="n">
        <f aca="false">BV89</f>
        <v>0</v>
      </c>
      <c r="BX88" s="16" t="n">
        <f aca="false">BW89</f>
        <v>0</v>
      </c>
      <c r="BY88" s="16" t="n">
        <f aca="false">BX89</f>
        <v>0</v>
      </c>
      <c r="BZ88" s="16" t="n">
        <f aca="false">BY89</f>
        <v>0</v>
      </c>
      <c r="CA88" s="16" t="n">
        <f aca="false">BZ89</f>
        <v>0</v>
      </c>
      <c r="CB88" s="16" t="n">
        <f aca="false">CA89</f>
        <v>0</v>
      </c>
      <c r="CC88" s="16" t="n">
        <f aca="false">CB89</f>
        <v>0</v>
      </c>
      <c r="CD88" s="16" t="n">
        <f aca="false">CC89</f>
        <v>0</v>
      </c>
      <c r="CE88" s="16" t="n">
        <f aca="false">CD89</f>
        <v>0</v>
      </c>
      <c r="CF88" s="16" t="n">
        <f aca="false">CE89</f>
        <v>0</v>
      </c>
      <c r="CG88" s="16" t="n">
        <f aca="false">CF89</f>
        <v>0</v>
      </c>
      <c r="CH88" s="16" t="n">
        <f aca="false">CG89</f>
        <v>0</v>
      </c>
      <c r="CI88" s="16" t="n">
        <f aca="false">CH89</f>
        <v>0</v>
      </c>
      <c r="CJ88" s="16" t="n">
        <f aca="false">CI89</f>
        <v>0</v>
      </c>
      <c r="CK88" s="16" t="n">
        <f aca="false">CJ89</f>
        <v>0</v>
      </c>
      <c r="CL88" s="16" t="n">
        <f aca="false">CK89</f>
        <v>0</v>
      </c>
      <c r="CM88" s="16" t="n">
        <f aca="false">CL89</f>
        <v>0</v>
      </c>
      <c r="CN88" s="16" t="n">
        <f aca="false">CM89</f>
        <v>0</v>
      </c>
      <c r="CO88" s="16" t="n">
        <f aca="false">CN89</f>
        <v>0</v>
      </c>
      <c r="CP88" s="16" t="n">
        <f aca="false">CO89</f>
        <v>0</v>
      </c>
      <c r="CQ88" s="16" t="n">
        <f aca="false">CP89</f>
        <v>0</v>
      </c>
      <c r="CR88" s="16" t="n">
        <f aca="false">CQ89</f>
        <v>0</v>
      </c>
      <c r="CS88" s="16" t="n">
        <f aca="false">CR89</f>
        <v>0</v>
      </c>
      <c r="CT88" s="16" t="n">
        <f aca="false">CS89</f>
        <v>0</v>
      </c>
      <c r="CU88" s="16" t="n">
        <f aca="false">CT89</f>
        <v>0</v>
      </c>
      <c r="CV88" s="16" t="n">
        <f aca="false">CU89</f>
        <v>0</v>
      </c>
      <c r="CW88" s="16" t="n">
        <f aca="false">CV89</f>
        <v>0</v>
      </c>
      <c r="CX88" s="16" t="n">
        <f aca="false">CW89</f>
        <v>0</v>
      </c>
    </row>
    <row r="89" customFormat="false" ht="15" hidden="false" customHeight="false" outlineLevel="0" collapsed="false">
      <c r="A89" s="1" t="n">
        <f aca="false">A88+1</f>
        <v>86</v>
      </c>
      <c r="B89" s="16" t="n">
        <f aca="false">B88</f>
        <v>0</v>
      </c>
      <c r="C89" s="16" t="n">
        <f aca="false">B90</f>
        <v>0</v>
      </c>
      <c r="D89" s="16" t="n">
        <f aca="false">C90</f>
        <v>0</v>
      </c>
      <c r="E89" s="16" t="n">
        <f aca="false">D90</f>
        <v>0</v>
      </c>
      <c r="F89" s="16" t="n">
        <f aca="false">E90</f>
        <v>0</v>
      </c>
      <c r="G89" s="16" t="n">
        <f aca="false">F90</f>
        <v>0</v>
      </c>
      <c r="H89" s="16" t="n">
        <f aca="false">G90</f>
        <v>0</v>
      </c>
      <c r="I89" s="16" t="n">
        <f aca="false">H90</f>
        <v>0</v>
      </c>
      <c r="J89" s="16" t="n">
        <f aca="false">I90</f>
        <v>0</v>
      </c>
      <c r="K89" s="16" t="n">
        <f aca="false">J90</f>
        <v>0</v>
      </c>
      <c r="L89" s="16" t="n">
        <f aca="false">K90</f>
        <v>0</v>
      </c>
      <c r="M89" s="16" t="n">
        <f aca="false">L90</f>
        <v>0</v>
      </c>
      <c r="N89" s="16" t="n">
        <f aca="false">M90</f>
        <v>0</v>
      </c>
      <c r="O89" s="16" t="n">
        <f aca="false">N90</f>
        <v>0</v>
      </c>
      <c r="P89" s="16" t="n">
        <f aca="false">O90</f>
        <v>0</v>
      </c>
      <c r="Q89" s="16" t="n">
        <f aca="false">P90</f>
        <v>0</v>
      </c>
      <c r="R89" s="16" t="n">
        <f aca="false">Q90</f>
        <v>0</v>
      </c>
      <c r="S89" s="16" t="n">
        <f aca="false">R90</f>
        <v>0</v>
      </c>
      <c r="T89" s="16" t="n">
        <f aca="false">S90</f>
        <v>0</v>
      </c>
      <c r="U89" s="16" t="n">
        <f aca="false">T90</f>
        <v>0</v>
      </c>
      <c r="V89" s="16" t="n">
        <f aca="false">U90</f>
        <v>0</v>
      </c>
      <c r="W89" s="16" t="n">
        <f aca="false">V90</f>
        <v>0</v>
      </c>
      <c r="X89" s="16" t="n">
        <f aca="false">W90</f>
        <v>0</v>
      </c>
      <c r="Y89" s="16" t="n">
        <f aca="false">X90</f>
        <v>0</v>
      </c>
      <c r="Z89" s="16" t="n">
        <f aca="false">Y90</f>
        <v>0</v>
      </c>
      <c r="AA89" s="16" t="n">
        <f aca="false">Z90</f>
        <v>0</v>
      </c>
      <c r="AB89" s="16" t="n">
        <f aca="false">AA90</f>
        <v>0</v>
      </c>
      <c r="AC89" s="16" t="n">
        <f aca="false">AB90</f>
        <v>0</v>
      </c>
      <c r="AD89" s="16" t="n">
        <f aca="false">AC90</f>
        <v>0</v>
      </c>
      <c r="AE89" s="16" t="n">
        <f aca="false">AD90</f>
        <v>0</v>
      </c>
      <c r="AF89" s="16" t="n">
        <f aca="false">AE90</f>
        <v>0</v>
      </c>
      <c r="AG89" s="16" t="n">
        <f aca="false">AF90</f>
        <v>0</v>
      </c>
      <c r="AH89" s="16" t="n">
        <f aca="false">AG90</f>
        <v>0</v>
      </c>
      <c r="AI89" s="16" t="n">
        <f aca="false">AH90</f>
        <v>0</v>
      </c>
      <c r="AJ89" s="16" t="n">
        <f aca="false">AI90</f>
        <v>0</v>
      </c>
      <c r="AK89" s="16" t="n">
        <f aca="false">AJ90</f>
        <v>0</v>
      </c>
      <c r="AL89" s="16" t="n">
        <f aca="false">AK90</f>
        <v>0</v>
      </c>
      <c r="AM89" s="16" t="n">
        <f aca="false">AL90</f>
        <v>0</v>
      </c>
      <c r="AN89" s="16" t="n">
        <f aca="false">AM90</f>
        <v>0</v>
      </c>
      <c r="AO89" s="16" t="n">
        <f aca="false">AN90</f>
        <v>0</v>
      </c>
      <c r="AP89" s="16" t="n">
        <f aca="false">AO90</f>
        <v>0</v>
      </c>
      <c r="AQ89" s="16" t="n">
        <f aca="false">AP90</f>
        <v>0</v>
      </c>
      <c r="AR89" s="16" t="n">
        <f aca="false">AQ90</f>
        <v>0</v>
      </c>
      <c r="AS89" s="16" t="n">
        <f aca="false">AR90</f>
        <v>0</v>
      </c>
      <c r="AT89" s="16" t="n">
        <f aca="false">AS90</f>
        <v>0</v>
      </c>
      <c r="AU89" s="16" t="n">
        <f aca="false">AT90</f>
        <v>0</v>
      </c>
      <c r="AV89" s="16" t="n">
        <f aca="false">AU90</f>
        <v>0</v>
      </c>
      <c r="AW89" s="16" t="n">
        <f aca="false">AV90</f>
        <v>0</v>
      </c>
      <c r="AX89" s="16" t="n">
        <f aca="false">AW90</f>
        <v>0</v>
      </c>
      <c r="AY89" s="16" t="n">
        <f aca="false">AX90</f>
        <v>0</v>
      </c>
      <c r="AZ89" s="16" t="n">
        <f aca="false">AY90</f>
        <v>0</v>
      </c>
      <c r="BA89" s="16" t="n">
        <f aca="false">AZ90</f>
        <v>0</v>
      </c>
      <c r="BB89" s="16" t="n">
        <f aca="false">BA90</f>
        <v>0</v>
      </c>
      <c r="BC89" s="16" t="n">
        <f aca="false">BB90</f>
        <v>0</v>
      </c>
      <c r="BD89" s="16" t="n">
        <f aca="false">BC90</f>
        <v>0</v>
      </c>
      <c r="BE89" s="16" t="n">
        <f aca="false">BD90</f>
        <v>0</v>
      </c>
      <c r="BF89" s="16" t="n">
        <f aca="false">BE90</f>
        <v>0</v>
      </c>
      <c r="BG89" s="16" t="n">
        <f aca="false">BF90</f>
        <v>0</v>
      </c>
      <c r="BH89" s="16" t="n">
        <f aca="false">BG90</f>
        <v>0</v>
      </c>
      <c r="BI89" s="16" t="n">
        <f aca="false">BH90</f>
        <v>0</v>
      </c>
      <c r="BJ89" s="16" t="n">
        <f aca="false">BI90</f>
        <v>0</v>
      </c>
      <c r="BK89" s="16" t="n">
        <f aca="false">BJ90</f>
        <v>0</v>
      </c>
      <c r="BL89" s="16" t="n">
        <f aca="false">BK90</f>
        <v>0</v>
      </c>
      <c r="BM89" s="16" t="n">
        <f aca="false">BL90</f>
        <v>0</v>
      </c>
      <c r="BN89" s="16" t="n">
        <f aca="false">BM90</f>
        <v>0</v>
      </c>
      <c r="BO89" s="16" t="n">
        <f aca="false">BN90</f>
        <v>0</v>
      </c>
      <c r="BP89" s="16" t="n">
        <f aca="false">BO90</f>
        <v>0</v>
      </c>
      <c r="BQ89" s="16" t="n">
        <f aca="false">BP90</f>
        <v>0</v>
      </c>
      <c r="BR89" s="16" t="n">
        <f aca="false">BQ90</f>
        <v>0</v>
      </c>
      <c r="BS89" s="16" t="n">
        <f aca="false">BR90</f>
        <v>0</v>
      </c>
      <c r="BT89" s="16" t="n">
        <f aca="false">BS90</f>
        <v>0</v>
      </c>
      <c r="BU89" s="16" t="n">
        <f aca="false">BT90</f>
        <v>0</v>
      </c>
      <c r="BV89" s="16" t="n">
        <f aca="false">BU90</f>
        <v>0</v>
      </c>
      <c r="BW89" s="16" t="n">
        <f aca="false">BV90</f>
        <v>0</v>
      </c>
      <c r="BX89" s="16" t="n">
        <f aca="false">BW90</f>
        <v>0</v>
      </c>
      <c r="BY89" s="16" t="n">
        <f aca="false">BX90</f>
        <v>0</v>
      </c>
      <c r="BZ89" s="16" t="n">
        <f aca="false">BY90</f>
        <v>0</v>
      </c>
      <c r="CA89" s="16" t="n">
        <f aca="false">BZ90</f>
        <v>0</v>
      </c>
      <c r="CB89" s="16" t="n">
        <f aca="false">CA90</f>
        <v>0</v>
      </c>
      <c r="CC89" s="16" t="n">
        <f aca="false">CB90</f>
        <v>0</v>
      </c>
      <c r="CD89" s="16" t="n">
        <f aca="false">CC90</f>
        <v>0</v>
      </c>
      <c r="CE89" s="16" t="n">
        <f aca="false">CD90</f>
        <v>0</v>
      </c>
      <c r="CF89" s="16" t="n">
        <f aca="false">CE90</f>
        <v>0</v>
      </c>
      <c r="CG89" s="16" t="n">
        <f aca="false">CF90</f>
        <v>0</v>
      </c>
      <c r="CH89" s="16" t="n">
        <f aca="false">CG90</f>
        <v>0</v>
      </c>
      <c r="CI89" s="16" t="n">
        <f aca="false">CH90</f>
        <v>0</v>
      </c>
      <c r="CJ89" s="16" t="n">
        <f aca="false">CI90</f>
        <v>0</v>
      </c>
      <c r="CK89" s="16" t="n">
        <f aca="false">CJ90</f>
        <v>0</v>
      </c>
      <c r="CL89" s="16" t="n">
        <f aca="false">CK90</f>
        <v>0</v>
      </c>
      <c r="CM89" s="16" t="n">
        <f aca="false">CL90</f>
        <v>0</v>
      </c>
      <c r="CN89" s="16" t="n">
        <f aca="false">CM90</f>
        <v>0</v>
      </c>
      <c r="CO89" s="16" t="n">
        <f aca="false">CN90</f>
        <v>0</v>
      </c>
      <c r="CP89" s="16" t="n">
        <f aca="false">CO90</f>
        <v>0</v>
      </c>
      <c r="CQ89" s="16" t="n">
        <f aca="false">CP90</f>
        <v>0</v>
      </c>
      <c r="CR89" s="16" t="n">
        <f aca="false">CQ90</f>
        <v>0</v>
      </c>
      <c r="CS89" s="16" t="n">
        <f aca="false">CR90</f>
        <v>0</v>
      </c>
      <c r="CT89" s="16" t="n">
        <f aca="false">CS90</f>
        <v>0</v>
      </c>
      <c r="CU89" s="16" t="n">
        <f aca="false">CT90</f>
        <v>0</v>
      </c>
      <c r="CV89" s="16" t="n">
        <f aca="false">CU90</f>
        <v>0</v>
      </c>
      <c r="CW89" s="16" t="n">
        <f aca="false">CV90</f>
        <v>0</v>
      </c>
      <c r="CX89" s="16" t="n">
        <f aca="false">CW90</f>
        <v>0</v>
      </c>
    </row>
    <row r="90" customFormat="false" ht="15" hidden="false" customHeight="false" outlineLevel="0" collapsed="false">
      <c r="A90" s="1" t="n">
        <f aca="false">A89+1</f>
        <v>87</v>
      </c>
      <c r="B90" s="16" t="n">
        <f aca="false">B89</f>
        <v>0</v>
      </c>
      <c r="C90" s="16" t="n">
        <f aca="false">B91</f>
        <v>0</v>
      </c>
      <c r="D90" s="16" t="n">
        <f aca="false">C91</f>
        <v>0</v>
      </c>
      <c r="E90" s="16" t="n">
        <f aca="false">D91</f>
        <v>0</v>
      </c>
      <c r="F90" s="16" t="n">
        <f aca="false">E91</f>
        <v>0</v>
      </c>
      <c r="G90" s="16" t="n">
        <f aca="false">F91</f>
        <v>0</v>
      </c>
      <c r="H90" s="16" t="n">
        <f aca="false">G91</f>
        <v>0</v>
      </c>
      <c r="I90" s="16" t="n">
        <f aca="false">H91</f>
        <v>0</v>
      </c>
      <c r="J90" s="16" t="n">
        <f aca="false">I91</f>
        <v>0</v>
      </c>
      <c r="K90" s="16" t="n">
        <f aca="false">J91</f>
        <v>0</v>
      </c>
      <c r="L90" s="16" t="n">
        <f aca="false">K91</f>
        <v>0</v>
      </c>
      <c r="M90" s="16" t="n">
        <f aca="false">L91</f>
        <v>0</v>
      </c>
      <c r="N90" s="16" t="n">
        <f aca="false">M91</f>
        <v>0</v>
      </c>
      <c r="O90" s="16" t="n">
        <f aca="false">N91</f>
        <v>0</v>
      </c>
      <c r="P90" s="16" t="n">
        <f aca="false">O91</f>
        <v>0</v>
      </c>
      <c r="Q90" s="16" t="n">
        <f aca="false">P91</f>
        <v>0</v>
      </c>
      <c r="R90" s="16" t="n">
        <f aca="false">Q91</f>
        <v>0</v>
      </c>
      <c r="S90" s="16" t="n">
        <f aca="false">R91</f>
        <v>0</v>
      </c>
      <c r="T90" s="16" t="n">
        <f aca="false">S91</f>
        <v>0</v>
      </c>
      <c r="U90" s="16" t="n">
        <f aca="false">T91</f>
        <v>0</v>
      </c>
      <c r="V90" s="16" t="n">
        <f aca="false">U91</f>
        <v>0</v>
      </c>
      <c r="W90" s="16" t="n">
        <f aca="false">V91</f>
        <v>0</v>
      </c>
      <c r="X90" s="16" t="n">
        <f aca="false">W91</f>
        <v>0</v>
      </c>
      <c r="Y90" s="16" t="n">
        <f aca="false">X91</f>
        <v>0</v>
      </c>
      <c r="Z90" s="16" t="n">
        <f aca="false">Y91</f>
        <v>0</v>
      </c>
      <c r="AA90" s="16" t="n">
        <f aca="false">Z91</f>
        <v>0</v>
      </c>
      <c r="AB90" s="16" t="n">
        <f aca="false">AA91</f>
        <v>0</v>
      </c>
      <c r="AC90" s="16" t="n">
        <f aca="false">AB91</f>
        <v>0</v>
      </c>
      <c r="AD90" s="16" t="n">
        <f aca="false">AC91</f>
        <v>0</v>
      </c>
      <c r="AE90" s="16" t="n">
        <f aca="false">AD91</f>
        <v>0</v>
      </c>
      <c r="AF90" s="16" t="n">
        <f aca="false">AE91</f>
        <v>0</v>
      </c>
      <c r="AG90" s="16" t="n">
        <f aca="false">AF91</f>
        <v>0</v>
      </c>
      <c r="AH90" s="16" t="n">
        <f aca="false">AG91</f>
        <v>0</v>
      </c>
      <c r="AI90" s="16" t="n">
        <f aca="false">AH91</f>
        <v>0</v>
      </c>
      <c r="AJ90" s="16" t="n">
        <f aca="false">AI91</f>
        <v>0</v>
      </c>
      <c r="AK90" s="16" t="n">
        <f aca="false">AJ91</f>
        <v>0</v>
      </c>
      <c r="AL90" s="16" t="n">
        <f aca="false">AK91</f>
        <v>0</v>
      </c>
      <c r="AM90" s="16" t="n">
        <f aca="false">AL91</f>
        <v>0</v>
      </c>
      <c r="AN90" s="16" t="n">
        <f aca="false">AM91</f>
        <v>0</v>
      </c>
      <c r="AO90" s="16" t="n">
        <f aca="false">AN91</f>
        <v>0</v>
      </c>
      <c r="AP90" s="16" t="n">
        <f aca="false">AO91</f>
        <v>0</v>
      </c>
      <c r="AQ90" s="16" t="n">
        <f aca="false">AP91</f>
        <v>0</v>
      </c>
      <c r="AR90" s="16" t="n">
        <f aca="false">AQ91</f>
        <v>0</v>
      </c>
      <c r="AS90" s="16" t="n">
        <f aca="false">AR91</f>
        <v>0</v>
      </c>
      <c r="AT90" s="16" t="n">
        <f aca="false">AS91</f>
        <v>0</v>
      </c>
      <c r="AU90" s="16" t="n">
        <f aca="false">AT91</f>
        <v>0</v>
      </c>
      <c r="AV90" s="16" t="n">
        <f aca="false">AU91</f>
        <v>0</v>
      </c>
      <c r="AW90" s="16" t="n">
        <f aca="false">AV91</f>
        <v>0</v>
      </c>
      <c r="AX90" s="16" t="n">
        <f aca="false">AW91</f>
        <v>0</v>
      </c>
      <c r="AY90" s="16" t="n">
        <f aca="false">AX91</f>
        <v>0</v>
      </c>
      <c r="AZ90" s="16" t="n">
        <f aca="false">AY91</f>
        <v>0</v>
      </c>
      <c r="BA90" s="16" t="n">
        <f aca="false">AZ91</f>
        <v>0</v>
      </c>
      <c r="BB90" s="16" t="n">
        <f aca="false">BA91</f>
        <v>0</v>
      </c>
      <c r="BC90" s="16" t="n">
        <f aca="false">BB91</f>
        <v>0</v>
      </c>
      <c r="BD90" s="16" t="n">
        <f aca="false">BC91</f>
        <v>0</v>
      </c>
      <c r="BE90" s="16" t="n">
        <f aca="false">BD91</f>
        <v>0</v>
      </c>
      <c r="BF90" s="16" t="n">
        <f aca="false">BE91</f>
        <v>0</v>
      </c>
      <c r="BG90" s="16" t="n">
        <f aca="false">BF91</f>
        <v>0</v>
      </c>
      <c r="BH90" s="16" t="n">
        <f aca="false">BG91</f>
        <v>0</v>
      </c>
      <c r="BI90" s="16" t="n">
        <f aca="false">BH91</f>
        <v>0</v>
      </c>
      <c r="BJ90" s="16" t="n">
        <f aca="false">BI91</f>
        <v>0</v>
      </c>
      <c r="BK90" s="16" t="n">
        <f aca="false">BJ91</f>
        <v>0</v>
      </c>
      <c r="BL90" s="16" t="n">
        <f aca="false">BK91</f>
        <v>0</v>
      </c>
      <c r="BM90" s="16" t="n">
        <f aca="false">BL91</f>
        <v>0</v>
      </c>
      <c r="BN90" s="16" t="n">
        <f aca="false">BM91</f>
        <v>0</v>
      </c>
      <c r="BO90" s="16" t="n">
        <f aca="false">BN91</f>
        <v>0</v>
      </c>
      <c r="BP90" s="16" t="n">
        <f aca="false">BO91</f>
        <v>0</v>
      </c>
      <c r="BQ90" s="16" t="n">
        <f aca="false">BP91</f>
        <v>0</v>
      </c>
      <c r="BR90" s="16" t="n">
        <f aca="false">BQ91</f>
        <v>0</v>
      </c>
      <c r="BS90" s="16" t="n">
        <f aca="false">BR91</f>
        <v>0</v>
      </c>
      <c r="BT90" s="16" t="n">
        <f aca="false">BS91</f>
        <v>0</v>
      </c>
      <c r="BU90" s="16" t="n">
        <f aca="false">BT91</f>
        <v>0</v>
      </c>
      <c r="BV90" s="16" t="n">
        <f aca="false">BU91</f>
        <v>0</v>
      </c>
      <c r="BW90" s="16" t="n">
        <f aca="false">BV91</f>
        <v>0</v>
      </c>
      <c r="BX90" s="16" t="n">
        <f aca="false">BW91</f>
        <v>0</v>
      </c>
      <c r="BY90" s="16" t="n">
        <f aca="false">BX91</f>
        <v>0</v>
      </c>
      <c r="BZ90" s="16" t="n">
        <f aca="false">BY91</f>
        <v>0</v>
      </c>
      <c r="CA90" s="16" t="n">
        <f aca="false">BZ91</f>
        <v>0</v>
      </c>
      <c r="CB90" s="16" t="n">
        <f aca="false">CA91</f>
        <v>0</v>
      </c>
      <c r="CC90" s="16" t="n">
        <f aca="false">CB91</f>
        <v>0</v>
      </c>
      <c r="CD90" s="16" t="n">
        <f aca="false">CC91</f>
        <v>0</v>
      </c>
      <c r="CE90" s="16" t="n">
        <f aca="false">CD91</f>
        <v>0</v>
      </c>
      <c r="CF90" s="16" t="n">
        <f aca="false">CE91</f>
        <v>0</v>
      </c>
      <c r="CG90" s="16" t="n">
        <f aca="false">CF91</f>
        <v>0</v>
      </c>
      <c r="CH90" s="16" t="n">
        <f aca="false">CG91</f>
        <v>0</v>
      </c>
      <c r="CI90" s="16" t="n">
        <f aca="false">CH91</f>
        <v>0</v>
      </c>
      <c r="CJ90" s="16" t="n">
        <f aca="false">CI91</f>
        <v>0</v>
      </c>
      <c r="CK90" s="16" t="n">
        <f aca="false">CJ91</f>
        <v>0</v>
      </c>
      <c r="CL90" s="16" t="n">
        <f aca="false">CK91</f>
        <v>0</v>
      </c>
      <c r="CM90" s="16" t="n">
        <f aca="false">CL91</f>
        <v>0</v>
      </c>
      <c r="CN90" s="16" t="n">
        <f aca="false">CM91</f>
        <v>0</v>
      </c>
      <c r="CO90" s="16" t="n">
        <f aca="false">CN91</f>
        <v>0</v>
      </c>
      <c r="CP90" s="16" t="n">
        <f aca="false">CO91</f>
        <v>0</v>
      </c>
      <c r="CQ90" s="16" t="n">
        <f aca="false">CP91</f>
        <v>0</v>
      </c>
      <c r="CR90" s="16" t="n">
        <f aca="false">CQ91</f>
        <v>0</v>
      </c>
      <c r="CS90" s="16" t="n">
        <f aca="false">CR91</f>
        <v>0</v>
      </c>
      <c r="CT90" s="16" t="n">
        <f aca="false">CS91</f>
        <v>0</v>
      </c>
      <c r="CU90" s="16" t="n">
        <f aca="false">CT91</f>
        <v>0</v>
      </c>
      <c r="CV90" s="16" t="n">
        <f aca="false">CU91</f>
        <v>0</v>
      </c>
      <c r="CW90" s="16" t="n">
        <f aca="false">CV91</f>
        <v>0</v>
      </c>
      <c r="CX90" s="16" t="n">
        <f aca="false">CW91</f>
        <v>0</v>
      </c>
    </row>
    <row r="91" customFormat="false" ht="15" hidden="false" customHeight="false" outlineLevel="0" collapsed="false">
      <c r="A91" s="1" t="n">
        <f aca="false">A90+1</f>
        <v>88</v>
      </c>
      <c r="B91" s="16" t="n">
        <f aca="false">B90</f>
        <v>0</v>
      </c>
      <c r="C91" s="16" t="n">
        <f aca="false">B92</f>
        <v>0</v>
      </c>
      <c r="D91" s="16" t="n">
        <f aca="false">C92</f>
        <v>0</v>
      </c>
      <c r="E91" s="16" t="n">
        <f aca="false">D92</f>
        <v>0</v>
      </c>
      <c r="F91" s="16" t="n">
        <f aca="false">E92</f>
        <v>0</v>
      </c>
      <c r="G91" s="16" t="n">
        <f aca="false">F92</f>
        <v>0</v>
      </c>
      <c r="H91" s="16" t="n">
        <f aca="false">G92</f>
        <v>0</v>
      </c>
      <c r="I91" s="16" t="n">
        <f aca="false">H92</f>
        <v>0</v>
      </c>
      <c r="J91" s="16" t="n">
        <f aca="false">I92</f>
        <v>0</v>
      </c>
      <c r="K91" s="16" t="n">
        <f aca="false">J92</f>
        <v>0</v>
      </c>
      <c r="L91" s="16" t="n">
        <f aca="false">K92</f>
        <v>0</v>
      </c>
      <c r="M91" s="16" t="n">
        <f aca="false">L92</f>
        <v>0</v>
      </c>
      <c r="N91" s="16" t="n">
        <f aca="false">M92</f>
        <v>0</v>
      </c>
      <c r="O91" s="16" t="n">
        <f aca="false">N92</f>
        <v>0</v>
      </c>
      <c r="P91" s="16" t="n">
        <f aca="false">O92</f>
        <v>0</v>
      </c>
      <c r="Q91" s="16" t="n">
        <f aca="false">P92</f>
        <v>0</v>
      </c>
      <c r="R91" s="16" t="n">
        <f aca="false">Q92</f>
        <v>0</v>
      </c>
      <c r="S91" s="16" t="n">
        <f aca="false">R92</f>
        <v>0</v>
      </c>
      <c r="T91" s="16" t="n">
        <f aca="false">S92</f>
        <v>0</v>
      </c>
      <c r="U91" s="16" t="n">
        <f aca="false">T92</f>
        <v>0</v>
      </c>
      <c r="V91" s="16" t="n">
        <f aca="false">U92</f>
        <v>0</v>
      </c>
      <c r="W91" s="16" t="n">
        <f aca="false">V92</f>
        <v>0</v>
      </c>
      <c r="X91" s="16" t="n">
        <f aca="false">W92</f>
        <v>0</v>
      </c>
      <c r="Y91" s="16" t="n">
        <f aca="false">X92</f>
        <v>0</v>
      </c>
      <c r="Z91" s="16" t="n">
        <f aca="false">Y92</f>
        <v>0</v>
      </c>
      <c r="AA91" s="16" t="n">
        <f aca="false">Z92</f>
        <v>0</v>
      </c>
      <c r="AB91" s="16" t="n">
        <f aca="false">AA92</f>
        <v>0</v>
      </c>
      <c r="AC91" s="16" t="n">
        <f aca="false">AB92</f>
        <v>0</v>
      </c>
      <c r="AD91" s="16" t="n">
        <f aca="false">AC92</f>
        <v>0</v>
      </c>
      <c r="AE91" s="16" t="n">
        <f aca="false">AD92</f>
        <v>0</v>
      </c>
      <c r="AF91" s="16" t="n">
        <f aca="false">AE92</f>
        <v>0</v>
      </c>
      <c r="AG91" s="16" t="n">
        <f aca="false">AF92</f>
        <v>0</v>
      </c>
      <c r="AH91" s="16" t="n">
        <f aca="false">AG92</f>
        <v>0</v>
      </c>
      <c r="AI91" s="16" t="n">
        <f aca="false">AH92</f>
        <v>0</v>
      </c>
      <c r="AJ91" s="16" t="n">
        <f aca="false">AI92</f>
        <v>0</v>
      </c>
      <c r="AK91" s="16" t="n">
        <f aca="false">AJ92</f>
        <v>0</v>
      </c>
      <c r="AL91" s="16" t="n">
        <f aca="false">AK92</f>
        <v>0</v>
      </c>
      <c r="AM91" s="16" t="n">
        <f aca="false">AL92</f>
        <v>0</v>
      </c>
      <c r="AN91" s="16" t="n">
        <f aca="false">AM92</f>
        <v>0</v>
      </c>
      <c r="AO91" s="16" t="n">
        <f aca="false">AN92</f>
        <v>0</v>
      </c>
      <c r="AP91" s="16" t="n">
        <f aca="false">AO92</f>
        <v>0</v>
      </c>
      <c r="AQ91" s="16" t="n">
        <f aca="false">AP92</f>
        <v>0</v>
      </c>
      <c r="AR91" s="16" t="n">
        <f aca="false">AQ92</f>
        <v>0</v>
      </c>
      <c r="AS91" s="16" t="n">
        <f aca="false">AR92</f>
        <v>0</v>
      </c>
      <c r="AT91" s="16" t="n">
        <f aca="false">AS92</f>
        <v>0</v>
      </c>
      <c r="AU91" s="16" t="n">
        <f aca="false">AT92</f>
        <v>0</v>
      </c>
      <c r="AV91" s="16" t="n">
        <f aca="false">AU92</f>
        <v>0</v>
      </c>
      <c r="AW91" s="16" t="n">
        <f aca="false">AV92</f>
        <v>0</v>
      </c>
      <c r="AX91" s="16" t="n">
        <f aca="false">AW92</f>
        <v>0</v>
      </c>
      <c r="AY91" s="16" t="n">
        <f aca="false">AX92</f>
        <v>0</v>
      </c>
      <c r="AZ91" s="16" t="n">
        <f aca="false">AY92</f>
        <v>0</v>
      </c>
      <c r="BA91" s="16" t="n">
        <f aca="false">AZ92</f>
        <v>0</v>
      </c>
      <c r="BB91" s="16" t="n">
        <f aca="false">BA92</f>
        <v>0</v>
      </c>
      <c r="BC91" s="16" t="n">
        <f aca="false">BB92</f>
        <v>0</v>
      </c>
      <c r="BD91" s="16" t="n">
        <f aca="false">BC92</f>
        <v>0</v>
      </c>
      <c r="BE91" s="16" t="n">
        <f aca="false">BD92</f>
        <v>0</v>
      </c>
      <c r="BF91" s="16" t="n">
        <f aca="false">BE92</f>
        <v>0</v>
      </c>
      <c r="BG91" s="16" t="n">
        <f aca="false">BF92</f>
        <v>0</v>
      </c>
      <c r="BH91" s="16" t="n">
        <f aca="false">BG92</f>
        <v>0</v>
      </c>
      <c r="BI91" s="16" t="n">
        <f aca="false">BH92</f>
        <v>0</v>
      </c>
      <c r="BJ91" s="16" t="n">
        <f aca="false">BI92</f>
        <v>0</v>
      </c>
      <c r="BK91" s="16" t="n">
        <f aca="false">BJ92</f>
        <v>0</v>
      </c>
      <c r="BL91" s="16" t="n">
        <f aca="false">BK92</f>
        <v>0</v>
      </c>
      <c r="BM91" s="16" t="n">
        <f aca="false">BL92</f>
        <v>0</v>
      </c>
      <c r="BN91" s="16" t="n">
        <f aca="false">BM92</f>
        <v>0</v>
      </c>
      <c r="BO91" s="16" t="n">
        <f aca="false">BN92</f>
        <v>0</v>
      </c>
      <c r="BP91" s="16" t="n">
        <f aca="false">BO92</f>
        <v>0</v>
      </c>
      <c r="BQ91" s="16" t="n">
        <f aca="false">BP92</f>
        <v>0</v>
      </c>
      <c r="BR91" s="16" t="n">
        <f aca="false">BQ92</f>
        <v>0</v>
      </c>
      <c r="BS91" s="16" t="n">
        <f aca="false">BR92</f>
        <v>0</v>
      </c>
      <c r="BT91" s="16" t="n">
        <f aca="false">BS92</f>
        <v>0</v>
      </c>
      <c r="BU91" s="16" t="n">
        <f aca="false">BT92</f>
        <v>0</v>
      </c>
      <c r="BV91" s="16" t="n">
        <f aca="false">BU92</f>
        <v>0</v>
      </c>
      <c r="BW91" s="16" t="n">
        <f aca="false">BV92</f>
        <v>0</v>
      </c>
      <c r="BX91" s="16" t="n">
        <f aca="false">BW92</f>
        <v>0</v>
      </c>
      <c r="BY91" s="16" t="n">
        <f aca="false">BX92</f>
        <v>0</v>
      </c>
      <c r="BZ91" s="16" t="n">
        <f aca="false">BY92</f>
        <v>0</v>
      </c>
      <c r="CA91" s="16" t="n">
        <f aca="false">BZ92</f>
        <v>0</v>
      </c>
      <c r="CB91" s="16" t="n">
        <f aca="false">CA92</f>
        <v>0</v>
      </c>
      <c r="CC91" s="16" t="n">
        <f aca="false">CB92</f>
        <v>0</v>
      </c>
      <c r="CD91" s="16" t="n">
        <f aca="false">CC92</f>
        <v>0</v>
      </c>
      <c r="CE91" s="16" t="n">
        <f aca="false">CD92</f>
        <v>0</v>
      </c>
      <c r="CF91" s="16" t="n">
        <f aca="false">CE92</f>
        <v>0</v>
      </c>
      <c r="CG91" s="16" t="n">
        <f aca="false">CF92</f>
        <v>0</v>
      </c>
      <c r="CH91" s="16" t="n">
        <f aca="false">CG92</f>
        <v>0</v>
      </c>
      <c r="CI91" s="16" t="n">
        <f aca="false">CH92</f>
        <v>0</v>
      </c>
      <c r="CJ91" s="16" t="n">
        <f aca="false">CI92</f>
        <v>0</v>
      </c>
      <c r="CK91" s="16" t="n">
        <f aca="false">CJ92</f>
        <v>0</v>
      </c>
      <c r="CL91" s="16" t="n">
        <f aca="false">CK92</f>
        <v>0</v>
      </c>
      <c r="CM91" s="16" t="n">
        <f aca="false">CL92</f>
        <v>0</v>
      </c>
      <c r="CN91" s="16" t="n">
        <f aca="false">CM92</f>
        <v>0</v>
      </c>
      <c r="CO91" s="16" t="n">
        <f aca="false">CN92</f>
        <v>0</v>
      </c>
      <c r="CP91" s="16" t="n">
        <f aca="false">CO92</f>
        <v>0</v>
      </c>
      <c r="CQ91" s="16" t="n">
        <f aca="false">CP92</f>
        <v>0</v>
      </c>
      <c r="CR91" s="16" t="n">
        <f aca="false">CQ92</f>
        <v>0</v>
      </c>
      <c r="CS91" s="16" t="n">
        <f aca="false">CR92</f>
        <v>0</v>
      </c>
      <c r="CT91" s="16" t="n">
        <f aca="false">CS92</f>
        <v>0</v>
      </c>
      <c r="CU91" s="16" t="n">
        <f aca="false">CT92</f>
        <v>0</v>
      </c>
      <c r="CV91" s="16" t="n">
        <f aca="false">CU92</f>
        <v>0</v>
      </c>
      <c r="CW91" s="16" t="n">
        <f aca="false">CV92</f>
        <v>0</v>
      </c>
      <c r="CX91" s="16" t="n">
        <f aca="false">CW92</f>
        <v>0</v>
      </c>
    </row>
    <row r="92" customFormat="false" ht="15" hidden="false" customHeight="false" outlineLevel="0" collapsed="false">
      <c r="A92" s="1" t="n">
        <f aca="false">A91+1</f>
        <v>89</v>
      </c>
      <c r="B92" s="16" t="n">
        <f aca="false">B91</f>
        <v>0</v>
      </c>
      <c r="C92" s="16" t="n">
        <f aca="false">B93</f>
        <v>0</v>
      </c>
      <c r="D92" s="16" t="n">
        <f aca="false">C93</f>
        <v>0</v>
      </c>
      <c r="E92" s="16" t="n">
        <f aca="false">D93</f>
        <v>0</v>
      </c>
      <c r="F92" s="16" t="n">
        <f aca="false">E93</f>
        <v>0</v>
      </c>
      <c r="G92" s="16" t="n">
        <f aca="false">F93</f>
        <v>0</v>
      </c>
      <c r="H92" s="16" t="n">
        <f aca="false">G93</f>
        <v>0</v>
      </c>
      <c r="I92" s="16" t="n">
        <f aca="false">H93</f>
        <v>0</v>
      </c>
      <c r="J92" s="16" t="n">
        <f aca="false">I93</f>
        <v>0</v>
      </c>
      <c r="K92" s="16" t="n">
        <f aca="false">J93</f>
        <v>0</v>
      </c>
      <c r="L92" s="16" t="n">
        <f aca="false">K93</f>
        <v>0</v>
      </c>
      <c r="M92" s="16" t="n">
        <f aca="false">L93</f>
        <v>0</v>
      </c>
      <c r="N92" s="16" t="n">
        <f aca="false">M93</f>
        <v>0</v>
      </c>
      <c r="O92" s="16" t="n">
        <f aca="false">N93</f>
        <v>0</v>
      </c>
      <c r="P92" s="16" t="n">
        <f aca="false">O93</f>
        <v>0</v>
      </c>
      <c r="Q92" s="16" t="n">
        <f aca="false">P93</f>
        <v>0</v>
      </c>
      <c r="R92" s="16" t="n">
        <f aca="false">Q93</f>
        <v>0</v>
      </c>
      <c r="S92" s="16" t="n">
        <f aca="false">R93</f>
        <v>0</v>
      </c>
      <c r="T92" s="16" t="n">
        <f aca="false">S93</f>
        <v>0</v>
      </c>
      <c r="U92" s="16" t="n">
        <f aca="false">T93</f>
        <v>0</v>
      </c>
      <c r="V92" s="16" t="n">
        <f aca="false">U93</f>
        <v>0</v>
      </c>
      <c r="W92" s="16" t="n">
        <f aca="false">V93</f>
        <v>0</v>
      </c>
      <c r="X92" s="16" t="n">
        <f aca="false">W93</f>
        <v>0</v>
      </c>
      <c r="Y92" s="16" t="n">
        <f aca="false">X93</f>
        <v>0</v>
      </c>
      <c r="Z92" s="16" t="n">
        <f aca="false">Y93</f>
        <v>0</v>
      </c>
      <c r="AA92" s="16" t="n">
        <f aca="false">Z93</f>
        <v>0</v>
      </c>
      <c r="AB92" s="16" t="n">
        <f aca="false">AA93</f>
        <v>0</v>
      </c>
      <c r="AC92" s="16" t="n">
        <f aca="false">AB93</f>
        <v>0</v>
      </c>
      <c r="AD92" s="16" t="n">
        <f aca="false">AC93</f>
        <v>0</v>
      </c>
      <c r="AE92" s="16" t="n">
        <f aca="false">AD93</f>
        <v>0</v>
      </c>
      <c r="AF92" s="16" t="n">
        <f aca="false">AE93</f>
        <v>0</v>
      </c>
      <c r="AG92" s="16" t="n">
        <f aca="false">AF93</f>
        <v>0</v>
      </c>
      <c r="AH92" s="16" t="n">
        <f aca="false">AG93</f>
        <v>0</v>
      </c>
      <c r="AI92" s="16" t="n">
        <f aca="false">AH93</f>
        <v>0</v>
      </c>
      <c r="AJ92" s="16" t="n">
        <f aca="false">AI93</f>
        <v>0</v>
      </c>
      <c r="AK92" s="16" t="n">
        <f aca="false">AJ93</f>
        <v>0</v>
      </c>
      <c r="AL92" s="16" t="n">
        <f aca="false">AK93</f>
        <v>0</v>
      </c>
      <c r="AM92" s="16" t="n">
        <f aca="false">AL93</f>
        <v>0</v>
      </c>
      <c r="AN92" s="16" t="n">
        <f aca="false">AM93</f>
        <v>0</v>
      </c>
      <c r="AO92" s="16" t="n">
        <f aca="false">AN93</f>
        <v>0</v>
      </c>
      <c r="AP92" s="16" t="n">
        <f aca="false">AO93</f>
        <v>0</v>
      </c>
      <c r="AQ92" s="16" t="n">
        <f aca="false">AP93</f>
        <v>0</v>
      </c>
      <c r="AR92" s="16" t="n">
        <f aca="false">AQ93</f>
        <v>0</v>
      </c>
      <c r="AS92" s="16" t="n">
        <f aca="false">AR93</f>
        <v>0</v>
      </c>
      <c r="AT92" s="16" t="n">
        <f aca="false">AS93</f>
        <v>0</v>
      </c>
      <c r="AU92" s="16" t="n">
        <f aca="false">AT93</f>
        <v>0</v>
      </c>
      <c r="AV92" s="16" t="n">
        <f aca="false">AU93</f>
        <v>0</v>
      </c>
      <c r="AW92" s="16" t="n">
        <f aca="false">AV93</f>
        <v>0</v>
      </c>
      <c r="AX92" s="16" t="n">
        <f aca="false">AW93</f>
        <v>0</v>
      </c>
      <c r="AY92" s="16" t="n">
        <f aca="false">AX93</f>
        <v>0</v>
      </c>
      <c r="AZ92" s="16" t="n">
        <f aca="false">AY93</f>
        <v>0</v>
      </c>
      <c r="BA92" s="16" t="n">
        <f aca="false">AZ93</f>
        <v>0</v>
      </c>
      <c r="BB92" s="16" t="n">
        <f aca="false">BA93</f>
        <v>0</v>
      </c>
      <c r="BC92" s="16" t="n">
        <f aca="false">BB93</f>
        <v>0</v>
      </c>
      <c r="BD92" s="16" t="n">
        <f aca="false">BC93</f>
        <v>0</v>
      </c>
      <c r="BE92" s="16" t="n">
        <f aca="false">BD93</f>
        <v>0</v>
      </c>
      <c r="BF92" s="16" t="n">
        <f aca="false">BE93</f>
        <v>0</v>
      </c>
      <c r="BG92" s="16" t="n">
        <f aca="false">BF93</f>
        <v>0</v>
      </c>
      <c r="BH92" s="16" t="n">
        <f aca="false">BG93</f>
        <v>0</v>
      </c>
      <c r="BI92" s="16" t="n">
        <f aca="false">BH93</f>
        <v>0</v>
      </c>
      <c r="BJ92" s="16" t="n">
        <f aca="false">BI93</f>
        <v>0</v>
      </c>
      <c r="BK92" s="16" t="n">
        <f aca="false">BJ93</f>
        <v>0</v>
      </c>
      <c r="BL92" s="16" t="n">
        <f aca="false">BK93</f>
        <v>0</v>
      </c>
      <c r="BM92" s="16" t="n">
        <f aca="false">BL93</f>
        <v>0</v>
      </c>
      <c r="BN92" s="16" t="n">
        <f aca="false">BM93</f>
        <v>0</v>
      </c>
      <c r="BO92" s="16" t="n">
        <f aca="false">BN93</f>
        <v>0</v>
      </c>
      <c r="BP92" s="16" t="n">
        <f aca="false">BO93</f>
        <v>0</v>
      </c>
      <c r="BQ92" s="16" t="n">
        <f aca="false">BP93</f>
        <v>0</v>
      </c>
      <c r="BR92" s="16" t="n">
        <f aca="false">BQ93</f>
        <v>0</v>
      </c>
      <c r="BS92" s="16" t="n">
        <f aca="false">BR93</f>
        <v>0</v>
      </c>
      <c r="BT92" s="16" t="n">
        <f aca="false">BS93</f>
        <v>0</v>
      </c>
      <c r="BU92" s="16" t="n">
        <f aca="false">BT93</f>
        <v>0</v>
      </c>
      <c r="BV92" s="16" t="n">
        <f aca="false">BU93</f>
        <v>0</v>
      </c>
      <c r="BW92" s="16" t="n">
        <f aca="false">BV93</f>
        <v>0</v>
      </c>
      <c r="BX92" s="16" t="n">
        <f aca="false">BW93</f>
        <v>0</v>
      </c>
      <c r="BY92" s="16" t="n">
        <f aca="false">BX93</f>
        <v>0</v>
      </c>
      <c r="BZ92" s="16" t="n">
        <f aca="false">BY93</f>
        <v>0</v>
      </c>
      <c r="CA92" s="16" t="n">
        <f aca="false">BZ93</f>
        <v>0</v>
      </c>
      <c r="CB92" s="16" t="n">
        <f aca="false">CA93</f>
        <v>0</v>
      </c>
      <c r="CC92" s="16" t="n">
        <f aca="false">CB93</f>
        <v>0</v>
      </c>
      <c r="CD92" s="16" t="n">
        <f aca="false">CC93</f>
        <v>0</v>
      </c>
      <c r="CE92" s="16" t="n">
        <f aca="false">CD93</f>
        <v>0</v>
      </c>
      <c r="CF92" s="16" t="n">
        <f aca="false">CE93</f>
        <v>0</v>
      </c>
      <c r="CG92" s="16" t="n">
        <f aca="false">CF93</f>
        <v>0</v>
      </c>
      <c r="CH92" s="16" t="n">
        <f aca="false">CG93</f>
        <v>0</v>
      </c>
      <c r="CI92" s="16" t="n">
        <f aca="false">CH93</f>
        <v>0</v>
      </c>
      <c r="CJ92" s="16" t="n">
        <f aca="false">CI93</f>
        <v>0</v>
      </c>
      <c r="CK92" s="16" t="n">
        <f aca="false">CJ93</f>
        <v>0</v>
      </c>
      <c r="CL92" s="16" t="n">
        <f aca="false">CK93</f>
        <v>0</v>
      </c>
      <c r="CM92" s="16" t="n">
        <f aca="false">CL93</f>
        <v>0</v>
      </c>
      <c r="CN92" s="16" t="n">
        <f aca="false">CM93</f>
        <v>0</v>
      </c>
      <c r="CO92" s="16" t="n">
        <f aca="false">CN93</f>
        <v>0</v>
      </c>
      <c r="CP92" s="16" t="n">
        <f aca="false">CO93</f>
        <v>0</v>
      </c>
      <c r="CQ92" s="16" t="n">
        <f aca="false">CP93</f>
        <v>0</v>
      </c>
      <c r="CR92" s="16" t="n">
        <f aca="false">CQ93</f>
        <v>0</v>
      </c>
      <c r="CS92" s="16" t="n">
        <f aca="false">CR93</f>
        <v>0</v>
      </c>
      <c r="CT92" s="16" t="n">
        <f aca="false">CS93</f>
        <v>0</v>
      </c>
      <c r="CU92" s="16" t="n">
        <f aca="false">CT93</f>
        <v>0</v>
      </c>
      <c r="CV92" s="16" t="n">
        <f aca="false">CU93</f>
        <v>0</v>
      </c>
      <c r="CW92" s="16" t="n">
        <f aca="false">CV93</f>
        <v>0</v>
      </c>
      <c r="CX92" s="16" t="n">
        <f aca="false">CW93</f>
        <v>0</v>
      </c>
    </row>
    <row r="93" customFormat="false" ht="15" hidden="false" customHeight="false" outlineLevel="0" collapsed="false">
      <c r="A93" s="1" t="n">
        <f aca="false">A92+1</f>
        <v>90</v>
      </c>
      <c r="B93" s="16" t="n">
        <f aca="false">B92</f>
        <v>0</v>
      </c>
      <c r="C93" s="16" t="n">
        <f aca="false">B94</f>
        <v>0</v>
      </c>
      <c r="D93" s="16" t="n">
        <f aca="false">C94</f>
        <v>0</v>
      </c>
      <c r="E93" s="16" t="n">
        <f aca="false">D94</f>
        <v>0</v>
      </c>
      <c r="F93" s="16" t="n">
        <f aca="false">E94</f>
        <v>0</v>
      </c>
      <c r="G93" s="16" t="n">
        <f aca="false">F94</f>
        <v>0</v>
      </c>
      <c r="H93" s="16" t="n">
        <f aca="false">G94</f>
        <v>0</v>
      </c>
      <c r="I93" s="16" t="n">
        <f aca="false">H94</f>
        <v>0</v>
      </c>
      <c r="J93" s="16" t="n">
        <f aca="false">I94</f>
        <v>0</v>
      </c>
      <c r="K93" s="16" t="n">
        <f aca="false">J94</f>
        <v>0</v>
      </c>
      <c r="L93" s="16" t="n">
        <f aca="false">K94</f>
        <v>0</v>
      </c>
      <c r="M93" s="16" t="n">
        <f aca="false">L94</f>
        <v>0</v>
      </c>
      <c r="N93" s="16" t="n">
        <f aca="false">M94</f>
        <v>0</v>
      </c>
      <c r="O93" s="16" t="n">
        <f aca="false">N94</f>
        <v>0</v>
      </c>
      <c r="P93" s="16" t="n">
        <f aca="false">O94</f>
        <v>0</v>
      </c>
      <c r="Q93" s="16" t="n">
        <f aca="false">P94</f>
        <v>0</v>
      </c>
      <c r="R93" s="16" t="n">
        <f aca="false">Q94</f>
        <v>0</v>
      </c>
      <c r="S93" s="16" t="n">
        <f aca="false">R94</f>
        <v>0</v>
      </c>
      <c r="T93" s="16" t="n">
        <f aca="false">S94</f>
        <v>0</v>
      </c>
      <c r="U93" s="16" t="n">
        <f aca="false">T94</f>
        <v>0</v>
      </c>
      <c r="V93" s="16" t="n">
        <f aca="false">U94</f>
        <v>0</v>
      </c>
      <c r="W93" s="16" t="n">
        <f aca="false">V94</f>
        <v>0</v>
      </c>
      <c r="X93" s="16" t="n">
        <f aca="false">W94</f>
        <v>0</v>
      </c>
      <c r="Y93" s="16" t="n">
        <f aca="false">X94</f>
        <v>0</v>
      </c>
      <c r="Z93" s="16" t="n">
        <f aca="false">Y94</f>
        <v>0</v>
      </c>
      <c r="AA93" s="16" t="n">
        <f aca="false">Z94</f>
        <v>0</v>
      </c>
      <c r="AB93" s="16" t="n">
        <f aca="false">AA94</f>
        <v>0</v>
      </c>
      <c r="AC93" s="16" t="n">
        <f aca="false">AB94</f>
        <v>0</v>
      </c>
      <c r="AD93" s="16" t="n">
        <f aca="false">AC94</f>
        <v>0</v>
      </c>
      <c r="AE93" s="16" t="n">
        <f aca="false">AD94</f>
        <v>0</v>
      </c>
      <c r="AF93" s="16" t="n">
        <f aca="false">AE94</f>
        <v>0</v>
      </c>
      <c r="AG93" s="16" t="n">
        <f aca="false">AF94</f>
        <v>0</v>
      </c>
      <c r="AH93" s="16" t="n">
        <f aca="false">AG94</f>
        <v>0</v>
      </c>
      <c r="AI93" s="16" t="n">
        <f aca="false">AH94</f>
        <v>0</v>
      </c>
      <c r="AJ93" s="16" t="n">
        <f aca="false">AI94</f>
        <v>0</v>
      </c>
      <c r="AK93" s="16" t="n">
        <f aca="false">AJ94</f>
        <v>0</v>
      </c>
      <c r="AL93" s="16" t="n">
        <f aca="false">AK94</f>
        <v>0</v>
      </c>
      <c r="AM93" s="16" t="n">
        <f aca="false">AL94</f>
        <v>0</v>
      </c>
      <c r="AN93" s="16" t="n">
        <f aca="false">AM94</f>
        <v>0</v>
      </c>
      <c r="AO93" s="16" t="n">
        <f aca="false">AN94</f>
        <v>0</v>
      </c>
      <c r="AP93" s="16" t="n">
        <f aca="false">AO94</f>
        <v>0</v>
      </c>
      <c r="AQ93" s="16" t="n">
        <f aca="false">AP94</f>
        <v>0</v>
      </c>
      <c r="AR93" s="16" t="n">
        <f aca="false">AQ94</f>
        <v>0</v>
      </c>
      <c r="AS93" s="16" t="n">
        <f aca="false">AR94</f>
        <v>0</v>
      </c>
      <c r="AT93" s="16" t="n">
        <f aca="false">AS94</f>
        <v>0</v>
      </c>
      <c r="AU93" s="16" t="n">
        <f aca="false">AT94</f>
        <v>0</v>
      </c>
      <c r="AV93" s="16" t="n">
        <f aca="false">AU94</f>
        <v>0</v>
      </c>
      <c r="AW93" s="16" t="n">
        <f aca="false">AV94</f>
        <v>0</v>
      </c>
      <c r="AX93" s="16" t="n">
        <f aca="false">AW94</f>
        <v>0</v>
      </c>
      <c r="AY93" s="16" t="n">
        <f aca="false">AX94</f>
        <v>0</v>
      </c>
      <c r="AZ93" s="16" t="n">
        <f aca="false">AY94</f>
        <v>0</v>
      </c>
      <c r="BA93" s="16" t="n">
        <f aca="false">AZ94</f>
        <v>0</v>
      </c>
      <c r="BB93" s="16" t="n">
        <f aca="false">BA94</f>
        <v>0</v>
      </c>
      <c r="BC93" s="16" t="n">
        <f aca="false">BB94</f>
        <v>0</v>
      </c>
      <c r="BD93" s="16" t="n">
        <f aca="false">BC94</f>
        <v>0</v>
      </c>
      <c r="BE93" s="16" t="n">
        <f aca="false">BD94</f>
        <v>0</v>
      </c>
      <c r="BF93" s="16" t="n">
        <f aca="false">BE94</f>
        <v>0</v>
      </c>
      <c r="BG93" s="16" t="n">
        <f aca="false">BF94</f>
        <v>0</v>
      </c>
      <c r="BH93" s="16" t="n">
        <f aca="false">BG94</f>
        <v>0</v>
      </c>
      <c r="BI93" s="16" t="n">
        <f aca="false">BH94</f>
        <v>0</v>
      </c>
      <c r="BJ93" s="16" t="n">
        <f aca="false">BI94</f>
        <v>0</v>
      </c>
      <c r="BK93" s="16" t="n">
        <f aca="false">BJ94</f>
        <v>0</v>
      </c>
      <c r="BL93" s="16" t="n">
        <f aca="false">BK94</f>
        <v>0</v>
      </c>
      <c r="BM93" s="16" t="n">
        <f aca="false">BL94</f>
        <v>0</v>
      </c>
      <c r="BN93" s="16" t="n">
        <f aca="false">BM94</f>
        <v>0</v>
      </c>
      <c r="BO93" s="16" t="n">
        <f aca="false">BN94</f>
        <v>0</v>
      </c>
      <c r="BP93" s="16" t="n">
        <f aca="false">BO94</f>
        <v>0</v>
      </c>
      <c r="BQ93" s="16" t="n">
        <f aca="false">BP94</f>
        <v>0</v>
      </c>
      <c r="BR93" s="16" t="n">
        <f aca="false">BQ94</f>
        <v>0</v>
      </c>
      <c r="BS93" s="16" t="n">
        <f aca="false">BR94</f>
        <v>0</v>
      </c>
      <c r="BT93" s="16" t="n">
        <f aca="false">BS94</f>
        <v>0</v>
      </c>
      <c r="BU93" s="16" t="n">
        <f aca="false">BT94</f>
        <v>0</v>
      </c>
      <c r="BV93" s="16" t="n">
        <f aca="false">BU94</f>
        <v>0</v>
      </c>
      <c r="BW93" s="16" t="n">
        <f aca="false">BV94</f>
        <v>0</v>
      </c>
      <c r="BX93" s="16" t="n">
        <f aca="false">BW94</f>
        <v>0</v>
      </c>
      <c r="BY93" s="16" t="n">
        <f aca="false">BX94</f>
        <v>0</v>
      </c>
      <c r="BZ93" s="16" t="n">
        <f aca="false">BY94</f>
        <v>0</v>
      </c>
      <c r="CA93" s="16" t="n">
        <f aca="false">BZ94</f>
        <v>0</v>
      </c>
      <c r="CB93" s="16" t="n">
        <f aca="false">CA94</f>
        <v>0</v>
      </c>
      <c r="CC93" s="16" t="n">
        <f aca="false">CB94</f>
        <v>0</v>
      </c>
      <c r="CD93" s="16" t="n">
        <f aca="false">CC94</f>
        <v>0</v>
      </c>
      <c r="CE93" s="16" t="n">
        <f aca="false">CD94</f>
        <v>0</v>
      </c>
      <c r="CF93" s="16" t="n">
        <f aca="false">CE94</f>
        <v>0</v>
      </c>
      <c r="CG93" s="16" t="n">
        <f aca="false">CF94</f>
        <v>0</v>
      </c>
      <c r="CH93" s="16" t="n">
        <f aca="false">CG94</f>
        <v>0</v>
      </c>
      <c r="CI93" s="16" t="n">
        <f aca="false">CH94</f>
        <v>0</v>
      </c>
      <c r="CJ93" s="16" t="n">
        <f aca="false">CI94</f>
        <v>0</v>
      </c>
      <c r="CK93" s="16" t="n">
        <f aca="false">CJ94</f>
        <v>0</v>
      </c>
      <c r="CL93" s="16" t="n">
        <f aca="false">CK94</f>
        <v>0</v>
      </c>
      <c r="CM93" s="16" t="n">
        <f aca="false">CL94</f>
        <v>0</v>
      </c>
      <c r="CN93" s="16" t="n">
        <f aca="false">CM94</f>
        <v>0</v>
      </c>
      <c r="CO93" s="16" t="n">
        <f aca="false">CN94</f>
        <v>0</v>
      </c>
      <c r="CP93" s="16" t="n">
        <f aca="false">CO94</f>
        <v>0</v>
      </c>
      <c r="CQ93" s="16" t="n">
        <f aca="false">CP94</f>
        <v>0</v>
      </c>
      <c r="CR93" s="16" t="n">
        <f aca="false">CQ94</f>
        <v>0</v>
      </c>
      <c r="CS93" s="16" t="n">
        <f aca="false">CR94</f>
        <v>0</v>
      </c>
      <c r="CT93" s="16" t="n">
        <f aca="false">CS94</f>
        <v>0</v>
      </c>
      <c r="CU93" s="16" t="n">
        <f aca="false">CT94</f>
        <v>0</v>
      </c>
      <c r="CV93" s="16" t="n">
        <f aca="false">CU94</f>
        <v>0</v>
      </c>
      <c r="CW93" s="16" t="n">
        <f aca="false">CV94</f>
        <v>0</v>
      </c>
      <c r="CX93" s="16" t="n">
        <f aca="false">CW94</f>
        <v>0</v>
      </c>
    </row>
    <row r="94" customFormat="false" ht="15" hidden="false" customHeight="false" outlineLevel="0" collapsed="false">
      <c r="A94" s="1" t="n">
        <f aca="false">A93+1</f>
        <v>91</v>
      </c>
      <c r="B94" s="16" t="n">
        <f aca="false">B93</f>
        <v>0</v>
      </c>
      <c r="C94" s="16" t="n">
        <f aca="false">B95</f>
        <v>0</v>
      </c>
      <c r="D94" s="16" t="n">
        <f aca="false">C95</f>
        <v>0</v>
      </c>
      <c r="E94" s="16" t="n">
        <f aca="false">D95</f>
        <v>0</v>
      </c>
      <c r="F94" s="16" t="n">
        <f aca="false">E95</f>
        <v>0</v>
      </c>
      <c r="G94" s="16" t="n">
        <f aca="false">F95</f>
        <v>0</v>
      </c>
      <c r="H94" s="16" t="n">
        <f aca="false">G95</f>
        <v>0</v>
      </c>
      <c r="I94" s="16" t="n">
        <f aca="false">H95</f>
        <v>0</v>
      </c>
      <c r="J94" s="16" t="n">
        <f aca="false">I95</f>
        <v>0</v>
      </c>
      <c r="K94" s="16" t="n">
        <f aca="false">J95</f>
        <v>0</v>
      </c>
      <c r="L94" s="16" t="n">
        <f aca="false">K95</f>
        <v>0</v>
      </c>
      <c r="M94" s="16" t="n">
        <f aca="false">L95</f>
        <v>0</v>
      </c>
      <c r="N94" s="16" t="n">
        <f aca="false">M95</f>
        <v>0</v>
      </c>
      <c r="O94" s="16" t="n">
        <f aca="false">N95</f>
        <v>0</v>
      </c>
      <c r="P94" s="16" t="n">
        <f aca="false">O95</f>
        <v>0</v>
      </c>
      <c r="Q94" s="16" t="n">
        <f aca="false">P95</f>
        <v>0</v>
      </c>
      <c r="R94" s="16" t="n">
        <f aca="false">Q95</f>
        <v>0</v>
      </c>
      <c r="S94" s="16" t="n">
        <f aca="false">R95</f>
        <v>0</v>
      </c>
      <c r="T94" s="16" t="n">
        <f aca="false">S95</f>
        <v>0</v>
      </c>
      <c r="U94" s="16" t="n">
        <f aca="false">T95</f>
        <v>0</v>
      </c>
      <c r="V94" s="16" t="n">
        <f aca="false">U95</f>
        <v>0</v>
      </c>
      <c r="W94" s="16" t="n">
        <f aca="false">V95</f>
        <v>0</v>
      </c>
      <c r="X94" s="16" t="n">
        <f aca="false">W95</f>
        <v>0</v>
      </c>
      <c r="Y94" s="16" t="n">
        <f aca="false">X95</f>
        <v>0</v>
      </c>
      <c r="Z94" s="16" t="n">
        <f aca="false">Y95</f>
        <v>0</v>
      </c>
      <c r="AA94" s="16" t="n">
        <f aca="false">Z95</f>
        <v>0</v>
      </c>
      <c r="AB94" s="16" t="n">
        <f aca="false">AA95</f>
        <v>0</v>
      </c>
      <c r="AC94" s="16" t="n">
        <f aca="false">AB95</f>
        <v>0</v>
      </c>
      <c r="AD94" s="16" t="n">
        <f aca="false">AC95</f>
        <v>0</v>
      </c>
      <c r="AE94" s="16" t="n">
        <f aca="false">AD95</f>
        <v>0</v>
      </c>
      <c r="AF94" s="16" t="n">
        <f aca="false">AE95</f>
        <v>0</v>
      </c>
      <c r="AG94" s="16" t="n">
        <f aca="false">AF95</f>
        <v>0</v>
      </c>
      <c r="AH94" s="16" t="n">
        <f aca="false">AG95</f>
        <v>0</v>
      </c>
      <c r="AI94" s="16" t="n">
        <f aca="false">AH95</f>
        <v>0</v>
      </c>
      <c r="AJ94" s="16" t="n">
        <f aca="false">AI95</f>
        <v>0</v>
      </c>
      <c r="AK94" s="16" t="n">
        <f aca="false">AJ95</f>
        <v>0</v>
      </c>
      <c r="AL94" s="16" t="n">
        <f aca="false">AK95</f>
        <v>0</v>
      </c>
      <c r="AM94" s="16" t="n">
        <f aca="false">AL95</f>
        <v>0</v>
      </c>
      <c r="AN94" s="16" t="n">
        <f aca="false">AM95</f>
        <v>0</v>
      </c>
      <c r="AO94" s="16" t="n">
        <f aca="false">AN95</f>
        <v>0</v>
      </c>
      <c r="AP94" s="16" t="n">
        <f aca="false">AO95</f>
        <v>0</v>
      </c>
      <c r="AQ94" s="16" t="n">
        <f aca="false">AP95</f>
        <v>0</v>
      </c>
      <c r="AR94" s="16" t="n">
        <f aca="false">AQ95</f>
        <v>0</v>
      </c>
      <c r="AS94" s="16" t="n">
        <f aca="false">AR95</f>
        <v>0</v>
      </c>
      <c r="AT94" s="16" t="n">
        <f aca="false">AS95</f>
        <v>0</v>
      </c>
      <c r="AU94" s="16" t="n">
        <f aca="false">AT95</f>
        <v>0</v>
      </c>
      <c r="AV94" s="16" t="n">
        <f aca="false">AU95</f>
        <v>0</v>
      </c>
      <c r="AW94" s="16" t="n">
        <f aca="false">AV95</f>
        <v>0</v>
      </c>
      <c r="AX94" s="16" t="n">
        <f aca="false">AW95</f>
        <v>0</v>
      </c>
      <c r="AY94" s="16" t="n">
        <f aca="false">AX95</f>
        <v>0</v>
      </c>
      <c r="AZ94" s="16" t="n">
        <f aca="false">AY95</f>
        <v>0</v>
      </c>
      <c r="BA94" s="16" t="n">
        <f aca="false">AZ95</f>
        <v>0</v>
      </c>
      <c r="BB94" s="16" t="n">
        <f aca="false">BA95</f>
        <v>0</v>
      </c>
      <c r="BC94" s="16" t="n">
        <f aca="false">BB95</f>
        <v>0</v>
      </c>
      <c r="BD94" s="16" t="n">
        <f aca="false">BC95</f>
        <v>0</v>
      </c>
      <c r="BE94" s="16" t="n">
        <f aca="false">BD95</f>
        <v>0</v>
      </c>
      <c r="BF94" s="16" t="n">
        <f aca="false">BE95</f>
        <v>0</v>
      </c>
      <c r="BG94" s="16" t="n">
        <f aca="false">BF95</f>
        <v>0</v>
      </c>
      <c r="BH94" s="16" t="n">
        <f aca="false">BG95</f>
        <v>0</v>
      </c>
      <c r="BI94" s="16" t="n">
        <f aca="false">BH95</f>
        <v>0</v>
      </c>
      <c r="BJ94" s="16" t="n">
        <f aca="false">BI95</f>
        <v>0</v>
      </c>
      <c r="BK94" s="16" t="n">
        <f aca="false">BJ95</f>
        <v>0</v>
      </c>
      <c r="BL94" s="16" t="n">
        <f aca="false">BK95</f>
        <v>0</v>
      </c>
      <c r="BM94" s="16" t="n">
        <f aca="false">BL95</f>
        <v>0</v>
      </c>
      <c r="BN94" s="16" t="n">
        <f aca="false">BM95</f>
        <v>0</v>
      </c>
      <c r="BO94" s="16" t="n">
        <f aca="false">BN95</f>
        <v>0</v>
      </c>
      <c r="BP94" s="16" t="n">
        <f aca="false">BO95</f>
        <v>0</v>
      </c>
      <c r="BQ94" s="16" t="n">
        <f aca="false">BP95</f>
        <v>0</v>
      </c>
      <c r="BR94" s="16" t="n">
        <f aca="false">BQ95</f>
        <v>0</v>
      </c>
      <c r="BS94" s="16" t="n">
        <f aca="false">BR95</f>
        <v>0</v>
      </c>
      <c r="BT94" s="16" t="n">
        <f aca="false">BS95</f>
        <v>0</v>
      </c>
      <c r="BU94" s="16" t="n">
        <f aca="false">BT95</f>
        <v>0</v>
      </c>
      <c r="BV94" s="16" t="n">
        <f aca="false">BU95</f>
        <v>0</v>
      </c>
      <c r="BW94" s="16" t="n">
        <f aca="false">BV95</f>
        <v>0</v>
      </c>
      <c r="BX94" s="16" t="n">
        <f aca="false">BW95</f>
        <v>0</v>
      </c>
      <c r="BY94" s="16" t="n">
        <f aca="false">BX95</f>
        <v>0</v>
      </c>
      <c r="BZ94" s="16" t="n">
        <f aca="false">BY95</f>
        <v>0</v>
      </c>
      <c r="CA94" s="16" t="n">
        <f aca="false">BZ95</f>
        <v>0</v>
      </c>
      <c r="CB94" s="16" t="n">
        <f aca="false">CA95</f>
        <v>0</v>
      </c>
      <c r="CC94" s="16" t="n">
        <f aca="false">CB95</f>
        <v>0</v>
      </c>
      <c r="CD94" s="16" t="n">
        <f aca="false">CC95</f>
        <v>0</v>
      </c>
      <c r="CE94" s="16" t="n">
        <f aca="false">CD95</f>
        <v>0</v>
      </c>
      <c r="CF94" s="16" t="n">
        <f aca="false">CE95</f>
        <v>0</v>
      </c>
      <c r="CG94" s="16" t="n">
        <f aca="false">CF95</f>
        <v>0</v>
      </c>
      <c r="CH94" s="16" t="n">
        <f aca="false">CG95</f>
        <v>0</v>
      </c>
      <c r="CI94" s="16" t="n">
        <f aca="false">CH95</f>
        <v>0</v>
      </c>
      <c r="CJ94" s="16" t="n">
        <f aca="false">CI95</f>
        <v>0</v>
      </c>
      <c r="CK94" s="16" t="n">
        <f aca="false">CJ95</f>
        <v>0</v>
      </c>
      <c r="CL94" s="16" t="n">
        <f aca="false">CK95</f>
        <v>0</v>
      </c>
      <c r="CM94" s="16" t="n">
        <f aca="false">CL95</f>
        <v>0</v>
      </c>
      <c r="CN94" s="16" t="n">
        <f aca="false">CM95</f>
        <v>0</v>
      </c>
      <c r="CO94" s="16" t="n">
        <f aca="false">CN95</f>
        <v>0</v>
      </c>
      <c r="CP94" s="16" t="n">
        <f aca="false">CO95</f>
        <v>0</v>
      </c>
      <c r="CQ94" s="16" t="n">
        <f aca="false">CP95</f>
        <v>0</v>
      </c>
      <c r="CR94" s="16" t="n">
        <f aca="false">CQ95</f>
        <v>0</v>
      </c>
      <c r="CS94" s="16" t="n">
        <f aca="false">CR95</f>
        <v>0</v>
      </c>
      <c r="CT94" s="16" t="n">
        <f aca="false">CS95</f>
        <v>0</v>
      </c>
      <c r="CU94" s="16" t="n">
        <f aca="false">CT95</f>
        <v>0</v>
      </c>
      <c r="CV94" s="16" t="n">
        <f aca="false">CU95</f>
        <v>0</v>
      </c>
      <c r="CW94" s="16" t="n">
        <f aca="false">CV95</f>
        <v>0</v>
      </c>
      <c r="CX94" s="16" t="n">
        <f aca="false">CW95</f>
        <v>0</v>
      </c>
    </row>
    <row r="95" customFormat="false" ht="15" hidden="false" customHeight="false" outlineLevel="0" collapsed="false">
      <c r="A95" s="1" t="n">
        <f aca="false">A94+1</f>
        <v>92</v>
      </c>
      <c r="B95" s="16" t="n">
        <f aca="false">B94</f>
        <v>0</v>
      </c>
      <c r="C95" s="16" t="n">
        <f aca="false">B96</f>
        <v>0</v>
      </c>
      <c r="D95" s="16" t="n">
        <f aca="false">C96</f>
        <v>0</v>
      </c>
      <c r="E95" s="16" t="n">
        <f aca="false">D96</f>
        <v>0</v>
      </c>
      <c r="F95" s="16" t="n">
        <f aca="false">E96</f>
        <v>0</v>
      </c>
      <c r="G95" s="16" t="n">
        <f aca="false">F96</f>
        <v>0</v>
      </c>
      <c r="H95" s="16" t="n">
        <f aca="false">G96</f>
        <v>0</v>
      </c>
      <c r="I95" s="16" t="n">
        <f aca="false">H96</f>
        <v>0</v>
      </c>
      <c r="J95" s="16" t="n">
        <f aca="false">I96</f>
        <v>0</v>
      </c>
      <c r="K95" s="16" t="n">
        <f aca="false">J96</f>
        <v>0</v>
      </c>
      <c r="L95" s="16" t="n">
        <f aca="false">K96</f>
        <v>0</v>
      </c>
      <c r="M95" s="16" t="n">
        <f aca="false">L96</f>
        <v>0</v>
      </c>
      <c r="N95" s="16" t="n">
        <f aca="false">M96</f>
        <v>0</v>
      </c>
      <c r="O95" s="16" t="n">
        <f aca="false">N96</f>
        <v>0</v>
      </c>
      <c r="P95" s="16" t="n">
        <f aca="false">O96</f>
        <v>0</v>
      </c>
      <c r="Q95" s="16" t="n">
        <f aca="false">P96</f>
        <v>0</v>
      </c>
      <c r="R95" s="16" t="n">
        <f aca="false">Q96</f>
        <v>0</v>
      </c>
      <c r="S95" s="16" t="n">
        <f aca="false">R96</f>
        <v>0</v>
      </c>
      <c r="T95" s="16" t="n">
        <f aca="false">S96</f>
        <v>0</v>
      </c>
      <c r="U95" s="16" t="n">
        <f aca="false">T96</f>
        <v>0</v>
      </c>
      <c r="V95" s="16" t="n">
        <f aca="false">U96</f>
        <v>0</v>
      </c>
      <c r="W95" s="16" t="n">
        <f aca="false">V96</f>
        <v>0</v>
      </c>
      <c r="X95" s="16" t="n">
        <f aca="false">W96</f>
        <v>0</v>
      </c>
      <c r="Y95" s="16" t="n">
        <f aca="false">X96</f>
        <v>0</v>
      </c>
      <c r="Z95" s="16" t="n">
        <f aca="false">Y96</f>
        <v>0</v>
      </c>
      <c r="AA95" s="16" t="n">
        <f aca="false">Z96</f>
        <v>0</v>
      </c>
      <c r="AB95" s="16" t="n">
        <f aca="false">AA96</f>
        <v>0</v>
      </c>
      <c r="AC95" s="16" t="n">
        <f aca="false">AB96</f>
        <v>0</v>
      </c>
      <c r="AD95" s="16" t="n">
        <f aca="false">AC96</f>
        <v>0</v>
      </c>
      <c r="AE95" s="16" t="n">
        <f aca="false">AD96</f>
        <v>0</v>
      </c>
      <c r="AF95" s="16" t="n">
        <f aca="false">AE96</f>
        <v>0</v>
      </c>
      <c r="AG95" s="16" t="n">
        <f aca="false">AF96</f>
        <v>0</v>
      </c>
      <c r="AH95" s="16" t="n">
        <f aca="false">AG96</f>
        <v>0</v>
      </c>
      <c r="AI95" s="16" t="n">
        <f aca="false">AH96</f>
        <v>0</v>
      </c>
      <c r="AJ95" s="16" t="n">
        <f aca="false">AI96</f>
        <v>0</v>
      </c>
      <c r="AK95" s="16" t="n">
        <f aca="false">AJ96</f>
        <v>0</v>
      </c>
      <c r="AL95" s="16" t="n">
        <f aca="false">AK96</f>
        <v>0</v>
      </c>
      <c r="AM95" s="16" t="n">
        <f aca="false">AL96</f>
        <v>0</v>
      </c>
      <c r="AN95" s="16" t="n">
        <f aca="false">AM96</f>
        <v>0</v>
      </c>
      <c r="AO95" s="16" t="n">
        <f aca="false">AN96</f>
        <v>0</v>
      </c>
      <c r="AP95" s="16" t="n">
        <f aca="false">AO96</f>
        <v>0</v>
      </c>
      <c r="AQ95" s="16" t="n">
        <f aca="false">AP96</f>
        <v>0</v>
      </c>
      <c r="AR95" s="16" t="n">
        <f aca="false">AQ96</f>
        <v>0</v>
      </c>
      <c r="AS95" s="16" t="n">
        <f aca="false">AR96</f>
        <v>0</v>
      </c>
      <c r="AT95" s="16" t="n">
        <f aca="false">AS96</f>
        <v>0</v>
      </c>
      <c r="AU95" s="16" t="n">
        <f aca="false">AT96</f>
        <v>0</v>
      </c>
      <c r="AV95" s="16" t="n">
        <f aca="false">AU96</f>
        <v>0</v>
      </c>
      <c r="AW95" s="16" t="n">
        <f aca="false">AV96</f>
        <v>0</v>
      </c>
      <c r="AX95" s="16" t="n">
        <f aca="false">AW96</f>
        <v>0</v>
      </c>
      <c r="AY95" s="16" t="n">
        <f aca="false">AX96</f>
        <v>0</v>
      </c>
      <c r="AZ95" s="16" t="n">
        <f aca="false">AY96</f>
        <v>0</v>
      </c>
      <c r="BA95" s="16" t="n">
        <f aca="false">AZ96</f>
        <v>0</v>
      </c>
      <c r="BB95" s="16" t="n">
        <f aca="false">BA96</f>
        <v>0</v>
      </c>
      <c r="BC95" s="16" t="n">
        <f aca="false">BB96</f>
        <v>0</v>
      </c>
      <c r="BD95" s="16" t="n">
        <f aca="false">BC96</f>
        <v>0</v>
      </c>
      <c r="BE95" s="16" t="n">
        <f aca="false">BD96</f>
        <v>0</v>
      </c>
      <c r="BF95" s="16" t="n">
        <f aca="false">BE96</f>
        <v>0</v>
      </c>
      <c r="BG95" s="16" t="n">
        <f aca="false">BF96</f>
        <v>0</v>
      </c>
      <c r="BH95" s="16" t="n">
        <f aca="false">BG96</f>
        <v>0</v>
      </c>
      <c r="BI95" s="16" t="n">
        <f aca="false">BH96</f>
        <v>0</v>
      </c>
      <c r="BJ95" s="16" t="n">
        <f aca="false">BI96</f>
        <v>0</v>
      </c>
      <c r="BK95" s="16" t="n">
        <f aca="false">BJ96</f>
        <v>0</v>
      </c>
      <c r="BL95" s="16" t="n">
        <f aca="false">BK96</f>
        <v>0</v>
      </c>
      <c r="BM95" s="16" t="n">
        <f aca="false">BL96</f>
        <v>0</v>
      </c>
      <c r="BN95" s="16" t="n">
        <f aca="false">BM96</f>
        <v>0</v>
      </c>
      <c r="BO95" s="16" t="n">
        <f aca="false">BN96</f>
        <v>0</v>
      </c>
      <c r="BP95" s="16" t="n">
        <f aca="false">BO96</f>
        <v>0</v>
      </c>
      <c r="BQ95" s="16" t="n">
        <f aca="false">BP96</f>
        <v>0</v>
      </c>
      <c r="BR95" s="16" t="n">
        <f aca="false">BQ96</f>
        <v>0</v>
      </c>
      <c r="BS95" s="16" t="n">
        <f aca="false">BR96</f>
        <v>0</v>
      </c>
      <c r="BT95" s="16" t="n">
        <f aca="false">BS96</f>
        <v>0</v>
      </c>
      <c r="BU95" s="16" t="n">
        <f aca="false">BT96</f>
        <v>0</v>
      </c>
      <c r="BV95" s="16" t="n">
        <f aca="false">BU96</f>
        <v>0</v>
      </c>
      <c r="BW95" s="16" t="n">
        <f aca="false">BV96</f>
        <v>0</v>
      </c>
      <c r="BX95" s="16" t="n">
        <f aca="false">BW96</f>
        <v>0</v>
      </c>
      <c r="BY95" s="16" t="n">
        <f aca="false">BX96</f>
        <v>0</v>
      </c>
      <c r="BZ95" s="16" t="n">
        <f aca="false">BY96</f>
        <v>0</v>
      </c>
      <c r="CA95" s="16" t="n">
        <f aca="false">BZ96</f>
        <v>0</v>
      </c>
      <c r="CB95" s="16" t="n">
        <f aca="false">CA96</f>
        <v>0</v>
      </c>
      <c r="CC95" s="16" t="n">
        <f aca="false">CB96</f>
        <v>0</v>
      </c>
      <c r="CD95" s="16" t="n">
        <f aca="false">CC96</f>
        <v>0</v>
      </c>
      <c r="CE95" s="16" t="n">
        <f aca="false">CD96</f>
        <v>0</v>
      </c>
      <c r="CF95" s="16" t="n">
        <f aca="false">CE96</f>
        <v>0</v>
      </c>
      <c r="CG95" s="16" t="n">
        <f aca="false">CF96</f>
        <v>0</v>
      </c>
      <c r="CH95" s="16" t="n">
        <f aca="false">CG96</f>
        <v>0</v>
      </c>
      <c r="CI95" s="16" t="n">
        <f aca="false">CH96</f>
        <v>0</v>
      </c>
      <c r="CJ95" s="16" t="n">
        <f aca="false">CI96</f>
        <v>0</v>
      </c>
      <c r="CK95" s="16" t="n">
        <f aca="false">CJ96</f>
        <v>0</v>
      </c>
      <c r="CL95" s="16" t="n">
        <f aca="false">CK96</f>
        <v>0</v>
      </c>
      <c r="CM95" s="16" t="n">
        <f aca="false">CL96</f>
        <v>0</v>
      </c>
      <c r="CN95" s="16" t="n">
        <f aca="false">CM96</f>
        <v>0</v>
      </c>
      <c r="CO95" s="16" t="n">
        <f aca="false">CN96</f>
        <v>0</v>
      </c>
      <c r="CP95" s="16" t="n">
        <f aca="false">CO96</f>
        <v>0</v>
      </c>
      <c r="CQ95" s="16" t="n">
        <f aca="false">CP96</f>
        <v>0</v>
      </c>
      <c r="CR95" s="16" t="n">
        <f aca="false">CQ96</f>
        <v>0</v>
      </c>
      <c r="CS95" s="16" t="n">
        <f aca="false">CR96</f>
        <v>0</v>
      </c>
      <c r="CT95" s="16" t="n">
        <f aca="false">CS96</f>
        <v>0</v>
      </c>
      <c r="CU95" s="16" t="n">
        <f aca="false">CT96</f>
        <v>0</v>
      </c>
      <c r="CV95" s="16" t="n">
        <f aca="false">CU96</f>
        <v>0</v>
      </c>
      <c r="CW95" s="16" t="n">
        <f aca="false">CV96</f>
        <v>0</v>
      </c>
      <c r="CX95" s="16" t="n">
        <f aca="false">CW96</f>
        <v>0</v>
      </c>
    </row>
    <row r="96" customFormat="false" ht="15" hidden="false" customHeight="false" outlineLevel="0" collapsed="false">
      <c r="A96" s="1" t="n">
        <f aca="false">A95+1</f>
        <v>93</v>
      </c>
      <c r="B96" s="16" t="n">
        <f aca="false">B95</f>
        <v>0</v>
      </c>
      <c r="C96" s="16" t="n">
        <f aca="false">B97</f>
        <v>0</v>
      </c>
      <c r="D96" s="16" t="n">
        <f aca="false">C97</f>
        <v>0</v>
      </c>
      <c r="E96" s="16" t="n">
        <f aca="false">D97</f>
        <v>0</v>
      </c>
      <c r="F96" s="16" t="n">
        <f aca="false">E97</f>
        <v>0</v>
      </c>
      <c r="G96" s="16" t="n">
        <f aca="false">F97</f>
        <v>0</v>
      </c>
      <c r="H96" s="16" t="n">
        <f aca="false">G97</f>
        <v>0</v>
      </c>
      <c r="I96" s="16" t="n">
        <f aca="false">H97</f>
        <v>0</v>
      </c>
      <c r="J96" s="16" t="n">
        <f aca="false">I97</f>
        <v>0</v>
      </c>
      <c r="K96" s="16" t="n">
        <f aca="false">J97</f>
        <v>0</v>
      </c>
      <c r="L96" s="16" t="n">
        <f aca="false">K97</f>
        <v>0</v>
      </c>
      <c r="M96" s="16" t="n">
        <f aca="false">L97</f>
        <v>0</v>
      </c>
      <c r="N96" s="16" t="n">
        <f aca="false">M97</f>
        <v>0</v>
      </c>
      <c r="O96" s="16" t="n">
        <f aca="false">N97</f>
        <v>0</v>
      </c>
      <c r="P96" s="16" t="n">
        <f aca="false">O97</f>
        <v>0</v>
      </c>
      <c r="Q96" s="16" t="n">
        <f aca="false">P97</f>
        <v>0</v>
      </c>
      <c r="R96" s="16" t="n">
        <f aca="false">Q97</f>
        <v>0</v>
      </c>
      <c r="S96" s="16" t="n">
        <f aca="false">R97</f>
        <v>0</v>
      </c>
      <c r="T96" s="16" t="n">
        <f aca="false">S97</f>
        <v>0</v>
      </c>
      <c r="U96" s="16" t="n">
        <f aca="false">T97</f>
        <v>0</v>
      </c>
      <c r="V96" s="16" t="n">
        <f aca="false">U97</f>
        <v>0</v>
      </c>
      <c r="W96" s="16" t="n">
        <f aca="false">V97</f>
        <v>0</v>
      </c>
      <c r="X96" s="16" t="n">
        <f aca="false">W97</f>
        <v>0</v>
      </c>
      <c r="Y96" s="16" t="n">
        <f aca="false">X97</f>
        <v>0</v>
      </c>
      <c r="Z96" s="16" t="n">
        <f aca="false">Y97</f>
        <v>0</v>
      </c>
      <c r="AA96" s="16" t="n">
        <f aca="false">Z97</f>
        <v>0</v>
      </c>
      <c r="AB96" s="16" t="n">
        <f aca="false">AA97</f>
        <v>0</v>
      </c>
      <c r="AC96" s="16" t="n">
        <f aca="false">AB97</f>
        <v>0</v>
      </c>
      <c r="AD96" s="16" t="n">
        <f aca="false">AC97</f>
        <v>0</v>
      </c>
      <c r="AE96" s="16" t="n">
        <f aca="false">AD97</f>
        <v>0</v>
      </c>
      <c r="AF96" s="16" t="n">
        <f aca="false">AE97</f>
        <v>0</v>
      </c>
      <c r="AG96" s="16" t="n">
        <f aca="false">AF97</f>
        <v>0</v>
      </c>
      <c r="AH96" s="16" t="n">
        <f aca="false">AG97</f>
        <v>0</v>
      </c>
      <c r="AI96" s="16" t="n">
        <f aca="false">AH97</f>
        <v>0</v>
      </c>
      <c r="AJ96" s="16" t="n">
        <f aca="false">AI97</f>
        <v>0</v>
      </c>
      <c r="AK96" s="16" t="n">
        <f aca="false">AJ97</f>
        <v>0</v>
      </c>
      <c r="AL96" s="16" t="n">
        <f aca="false">AK97</f>
        <v>0</v>
      </c>
      <c r="AM96" s="16" t="n">
        <f aca="false">AL97</f>
        <v>0</v>
      </c>
      <c r="AN96" s="16" t="n">
        <f aca="false">AM97</f>
        <v>0</v>
      </c>
      <c r="AO96" s="16" t="n">
        <f aca="false">AN97</f>
        <v>0</v>
      </c>
      <c r="AP96" s="16" t="n">
        <f aca="false">AO97</f>
        <v>0</v>
      </c>
      <c r="AQ96" s="16" t="n">
        <f aca="false">AP97</f>
        <v>0</v>
      </c>
      <c r="AR96" s="16" t="n">
        <f aca="false">AQ97</f>
        <v>0</v>
      </c>
      <c r="AS96" s="16" t="n">
        <f aca="false">AR97</f>
        <v>0</v>
      </c>
      <c r="AT96" s="16" t="n">
        <f aca="false">AS97</f>
        <v>0</v>
      </c>
      <c r="AU96" s="16" t="n">
        <f aca="false">AT97</f>
        <v>0</v>
      </c>
      <c r="AV96" s="16" t="n">
        <f aca="false">AU97</f>
        <v>0</v>
      </c>
      <c r="AW96" s="16" t="n">
        <f aca="false">AV97</f>
        <v>0</v>
      </c>
      <c r="AX96" s="16" t="n">
        <f aca="false">AW97</f>
        <v>0</v>
      </c>
      <c r="AY96" s="16" t="n">
        <f aca="false">AX97</f>
        <v>0</v>
      </c>
      <c r="AZ96" s="16" t="n">
        <f aca="false">AY97</f>
        <v>0</v>
      </c>
      <c r="BA96" s="16" t="n">
        <f aca="false">AZ97</f>
        <v>0</v>
      </c>
      <c r="BB96" s="16" t="n">
        <f aca="false">BA97</f>
        <v>0</v>
      </c>
      <c r="BC96" s="16" t="n">
        <f aca="false">BB97</f>
        <v>0</v>
      </c>
      <c r="BD96" s="16" t="n">
        <f aca="false">BC97</f>
        <v>0</v>
      </c>
      <c r="BE96" s="16" t="n">
        <f aca="false">BD97</f>
        <v>0</v>
      </c>
      <c r="BF96" s="16" t="n">
        <f aca="false">BE97</f>
        <v>0</v>
      </c>
      <c r="BG96" s="16" t="n">
        <f aca="false">BF97</f>
        <v>0</v>
      </c>
      <c r="BH96" s="16" t="n">
        <f aca="false">BG97</f>
        <v>0</v>
      </c>
      <c r="BI96" s="16" t="n">
        <f aca="false">BH97</f>
        <v>0</v>
      </c>
      <c r="BJ96" s="16" t="n">
        <f aca="false">BI97</f>
        <v>0</v>
      </c>
      <c r="BK96" s="16" t="n">
        <f aca="false">BJ97</f>
        <v>0</v>
      </c>
      <c r="BL96" s="16" t="n">
        <f aca="false">BK97</f>
        <v>0</v>
      </c>
      <c r="BM96" s="16" t="n">
        <f aca="false">BL97</f>
        <v>0</v>
      </c>
      <c r="BN96" s="16" t="n">
        <f aca="false">BM97</f>
        <v>0</v>
      </c>
      <c r="BO96" s="16" t="n">
        <f aca="false">BN97</f>
        <v>0</v>
      </c>
      <c r="BP96" s="16" t="n">
        <f aca="false">BO97</f>
        <v>0</v>
      </c>
      <c r="BQ96" s="16" t="n">
        <f aca="false">BP97</f>
        <v>0</v>
      </c>
      <c r="BR96" s="16" t="n">
        <f aca="false">BQ97</f>
        <v>0</v>
      </c>
      <c r="BS96" s="16" t="n">
        <f aca="false">BR97</f>
        <v>0</v>
      </c>
      <c r="BT96" s="16" t="n">
        <f aca="false">BS97</f>
        <v>0</v>
      </c>
      <c r="BU96" s="16" t="n">
        <f aca="false">BT97</f>
        <v>0</v>
      </c>
      <c r="BV96" s="16" t="n">
        <f aca="false">BU97</f>
        <v>0</v>
      </c>
      <c r="BW96" s="16" t="n">
        <f aca="false">BV97</f>
        <v>0</v>
      </c>
      <c r="BX96" s="16" t="n">
        <f aca="false">BW97</f>
        <v>0</v>
      </c>
      <c r="BY96" s="16" t="n">
        <f aca="false">BX97</f>
        <v>0</v>
      </c>
      <c r="BZ96" s="16" t="n">
        <f aca="false">BY97</f>
        <v>0</v>
      </c>
      <c r="CA96" s="16" t="n">
        <f aca="false">BZ97</f>
        <v>0</v>
      </c>
      <c r="CB96" s="16" t="n">
        <f aca="false">CA97</f>
        <v>0</v>
      </c>
      <c r="CC96" s="16" t="n">
        <f aca="false">CB97</f>
        <v>0</v>
      </c>
      <c r="CD96" s="16" t="n">
        <f aca="false">CC97</f>
        <v>0</v>
      </c>
      <c r="CE96" s="16" t="n">
        <f aca="false">CD97</f>
        <v>0</v>
      </c>
      <c r="CF96" s="16" t="n">
        <f aca="false">CE97</f>
        <v>0</v>
      </c>
      <c r="CG96" s="16" t="n">
        <f aca="false">CF97</f>
        <v>0</v>
      </c>
      <c r="CH96" s="16" t="n">
        <f aca="false">CG97</f>
        <v>0</v>
      </c>
      <c r="CI96" s="16" t="n">
        <f aca="false">CH97</f>
        <v>0</v>
      </c>
      <c r="CJ96" s="16" t="n">
        <f aca="false">CI97</f>
        <v>0</v>
      </c>
      <c r="CK96" s="16" t="n">
        <f aca="false">CJ97</f>
        <v>0</v>
      </c>
      <c r="CL96" s="16" t="n">
        <f aca="false">CK97</f>
        <v>0</v>
      </c>
      <c r="CM96" s="16" t="n">
        <f aca="false">CL97</f>
        <v>0</v>
      </c>
      <c r="CN96" s="16" t="n">
        <f aca="false">CM97</f>
        <v>0</v>
      </c>
      <c r="CO96" s="16" t="n">
        <f aca="false">CN97</f>
        <v>0</v>
      </c>
      <c r="CP96" s="16" t="n">
        <f aca="false">CO97</f>
        <v>0</v>
      </c>
      <c r="CQ96" s="16" t="n">
        <f aca="false">CP97</f>
        <v>0</v>
      </c>
      <c r="CR96" s="16" t="n">
        <f aca="false">CQ97</f>
        <v>0</v>
      </c>
      <c r="CS96" s="16" t="n">
        <f aca="false">CR97</f>
        <v>0</v>
      </c>
      <c r="CT96" s="16" t="n">
        <f aca="false">CS97</f>
        <v>0</v>
      </c>
      <c r="CU96" s="16" t="n">
        <f aca="false">CT97</f>
        <v>0</v>
      </c>
      <c r="CV96" s="16" t="n">
        <f aca="false">CU97</f>
        <v>0</v>
      </c>
      <c r="CW96" s="16" t="n">
        <f aca="false">CV97</f>
        <v>0</v>
      </c>
      <c r="CX96" s="16" t="n">
        <f aca="false">CW97</f>
        <v>0</v>
      </c>
    </row>
    <row r="97" customFormat="false" ht="15" hidden="false" customHeight="false" outlineLevel="0" collapsed="false">
      <c r="A97" s="1" t="n">
        <f aca="false">A96+1</f>
        <v>94</v>
      </c>
      <c r="B97" s="16" t="n">
        <f aca="false">B96</f>
        <v>0</v>
      </c>
      <c r="C97" s="16" t="n">
        <f aca="false">B98</f>
        <v>0</v>
      </c>
      <c r="D97" s="16" t="n">
        <f aca="false">C98</f>
        <v>0</v>
      </c>
      <c r="E97" s="16" t="n">
        <f aca="false">D98</f>
        <v>0</v>
      </c>
      <c r="F97" s="16" t="n">
        <f aca="false">E98</f>
        <v>0</v>
      </c>
      <c r="G97" s="16" t="n">
        <f aca="false">F98</f>
        <v>0</v>
      </c>
      <c r="H97" s="16" t="n">
        <f aca="false">G98</f>
        <v>0</v>
      </c>
      <c r="I97" s="16" t="n">
        <f aca="false">H98</f>
        <v>0</v>
      </c>
      <c r="J97" s="16" t="n">
        <f aca="false">I98</f>
        <v>0</v>
      </c>
      <c r="K97" s="16" t="n">
        <f aca="false">J98</f>
        <v>0</v>
      </c>
      <c r="L97" s="16" t="n">
        <f aca="false">K98</f>
        <v>0</v>
      </c>
      <c r="M97" s="16" t="n">
        <f aca="false">L98</f>
        <v>0</v>
      </c>
      <c r="N97" s="16" t="n">
        <f aca="false">M98</f>
        <v>0</v>
      </c>
      <c r="O97" s="16" t="n">
        <f aca="false">N98</f>
        <v>0</v>
      </c>
      <c r="P97" s="16" t="n">
        <f aca="false">O98</f>
        <v>0</v>
      </c>
      <c r="Q97" s="16" t="n">
        <f aca="false">P98</f>
        <v>0</v>
      </c>
      <c r="R97" s="16" t="n">
        <f aca="false">Q98</f>
        <v>0</v>
      </c>
      <c r="S97" s="16" t="n">
        <f aca="false">R98</f>
        <v>0</v>
      </c>
      <c r="T97" s="16" t="n">
        <f aca="false">S98</f>
        <v>0</v>
      </c>
      <c r="U97" s="16" t="n">
        <f aca="false">T98</f>
        <v>0</v>
      </c>
      <c r="V97" s="16" t="n">
        <f aca="false">U98</f>
        <v>0</v>
      </c>
      <c r="W97" s="16" t="n">
        <f aca="false">V98</f>
        <v>0</v>
      </c>
      <c r="X97" s="16" t="n">
        <f aca="false">W98</f>
        <v>0</v>
      </c>
      <c r="Y97" s="16" t="n">
        <f aca="false">X98</f>
        <v>0</v>
      </c>
      <c r="Z97" s="16" t="n">
        <f aca="false">Y98</f>
        <v>0</v>
      </c>
      <c r="AA97" s="16" t="n">
        <f aca="false">Z98</f>
        <v>0</v>
      </c>
      <c r="AB97" s="16" t="n">
        <f aca="false">AA98</f>
        <v>0</v>
      </c>
      <c r="AC97" s="16" t="n">
        <f aca="false">AB98</f>
        <v>0</v>
      </c>
      <c r="AD97" s="16" t="n">
        <f aca="false">AC98</f>
        <v>0</v>
      </c>
      <c r="AE97" s="16" t="n">
        <f aca="false">AD98</f>
        <v>0</v>
      </c>
      <c r="AF97" s="16" t="n">
        <f aca="false">AE98</f>
        <v>0</v>
      </c>
      <c r="AG97" s="16" t="n">
        <f aca="false">AF98</f>
        <v>0</v>
      </c>
      <c r="AH97" s="16" t="n">
        <f aca="false">AG98</f>
        <v>0</v>
      </c>
      <c r="AI97" s="16" t="n">
        <f aca="false">AH98</f>
        <v>0</v>
      </c>
      <c r="AJ97" s="16" t="n">
        <f aca="false">AI98</f>
        <v>0</v>
      </c>
      <c r="AK97" s="16" t="n">
        <f aca="false">AJ98</f>
        <v>0</v>
      </c>
      <c r="AL97" s="16" t="n">
        <f aca="false">AK98</f>
        <v>0</v>
      </c>
      <c r="AM97" s="16" t="n">
        <f aca="false">AL98</f>
        <v>0</v>
      </c>
      <c r="AN97" s="16" t="n">
        <f aca="false">AM98</f>
        <v>0</v>
      </c>
      <c r="AO97" s="16" t="n">
        <f aca="false">AN98</f>
        <v>0</v>
      </c>
      <c r="AP97" s="16" t="n">
        <f aca="false">AO98</f>
        <v>0</v>
      </c>
      <c r="AQ97" s="16" t="n">
        <f aca="false">AP98</f>
        <v>0</v>
      </c>
      <c r="AR97" s="16" t="n">
        <f aca="false">AQ98</f>
        <v>0</v>
      </c>
      <c r="AS97" s="16" t="n">
        <f aca="false">AR98</f>
        <v>0</v>
      </c>
      <c r="AT97" s="16" t="n">
        <f aca="false">AS98</f>
        <v>0</v>
      </c>
      <c r="AU97" s="16" t="n">
        <f aca="false">AT98</f>
        <v>0</v>
      </c>
      <c r="AV97" s="16" t="n">
        <f aca="false">AU98</f>
        <v>0</v>
      </c>
      <c r="AW97" s="16" t="n">
        <f aca="false">AV98</f>
        <v>0</v>
      </c>
      <c r="AX97" s="16" t="n">
        <f aca="false">AW98</f>
        <v>0</v>
      </c>
      <c r="AY97" s="16" t="n">
        <f aca="false">AX98</f>
        <v>0</v>
      </c>
      <c r="AZ97" s="16" t="n">
        <f aca="false">AY98</f>
        <v>0</v>
      </c>
      <c r="BA97" s="16" t="n">
        <f aca="false">AZ98</f>
        <v>0</v>
      </c>
      <c r="BB97" s="16" t="n">
        <f aca="false">BA98</f>
        <v>0</v>
      </c>
      <c r="BC97" s="16" t="n">
        <f aca="false">BB98</f>
        <v>0</v>
      </c>
      <c r="BD97" s="16" t="n">
        <f aca="false">BC98</f>
        <v>0</v>
      </c>
      <c r="BE97" s="16" t="n">
        <f aca="false">BD98</f>
        <v>0</v>
      </c>
      <c r="BF97" s="16" t="n">
        <f aca="false">BE98</f>
        <v>0</v>
      </c>
      <c r="BG97" s="16" t="n">
        <f aca="false">BF98</f>
        <v>0</v>
      </c>
      <c r="BH97" s="16" t="n">
        <f aca="false">BG98</f>
        <v>0</v>
      </c>
      <c r="BI97" s="16" t="n">
        <f aca="false">BH98</f>
        <v>0</v>
      </c>
      <c r="BJ97" s="16" t="n">
        <f aca="false">BI98</f>
        <v>0</v>
      </c>
      <c r="BK97" s="16" t="n">
        <f aca="false">BJ98</f>
        <v>0</v>
      </c>
      <c r="BL97" s="16" t="n">
        <f aca="false">BK98</f>
        <v>0</v>
      </c>
      <c r="BM97" s="16" t="n">
        <f aca="false">BL98</f>
        <v>0</v>
      </c>
      <c r="BN97" s="16" t="n">
        <f aca="false">BM98</f>
        <v>0</v>
      </c>
      <c r="BO97" s="16" t="n">
        <f aca="false">BN98</f>
        <v>0</v>
      </c>
      <c r="BP97" s="16" t="n">
        <f aca="false">BO98</f>
        <v>0</v>
      </c>
      <c r="BQ97" s="16" t="n">
        <f aca="false">BP98</f>
        <v>0</v>
      </c>
      <c r="BR97" s="16" t="n">
        <f aca="false">BQ98</f>
        <v>0</v>
      </c>
      <c r="BS97" s="16" t="n">
        <f aca="false">BR98</f>
        <v>0</v>
      </c>
      <c r="BT97" s="16" t="n">
        <f aca="false">BS98</f>
        <v>0</v>
      </c>
      <c r="BU97" s="16" t="n">
        <f aca="false">BT98</f>
        <v>0</v>
      </c>
      <c r="BV97" s="16" t="n">
        <f aca="false">BU98</f>
        <v>0</v>
      </c>
      <c r="BW97" s="16" t="n">
        <f aca="false">BV98</f>
        <v>0</v>
      </c>
      <c r="BX97" s="16" t="n">
        <f aca="false">BW98</f>
        <v>0</v>
      </c>
      <c r="BY97" s="16" t="n">
        <f aca="false">BX98</f>
        <v>0</v>
      </c>
      <c r="BZ97" s="16" t="n">
        <f aca="false">BY98</f>
        <v>0</v>
      </c>
      <c r="CA97" s="16" t="n">
        <f aca="false">BZ98</f>
        <v>0</v>
      </c>
      <c r="CB97" s="16" t="n">
        <f aca="false">CA98</f>
        <v>0</v>
      </c>
      <c r="CC97" s="16" t="n">
        <f aca="false">CB98</f>
        <v>0</v>
      </c>
      <c r="CD97" s="16" t="n">
        <f aca="false">CC98</f>
        <v>0</v>
      </c>
      <c r="CE97" s="16" t="n">
        <f aca="false">CD98</f>
        <v>0</v>
      </c>
      <c r="CF97" s="16" t="n">
        <f aca="false">CE98</f>
        <v>0</v>
      </c>
      <c r="CG97" s="16" t="n">
        <f aca="false">CF98</f>
        <v>0</v>
      </c>
      <c r="CH97" s="16" t="n">
        <f aca="false">CG98</f>
        <v>0</v>
      </c>
      <c r="CI97" s="16" t="n">
        <f aca="false">CH98</f>
        <v>0</v>
      </c>
      <c r="CJ97" s="16" t="n">
        <f aca="false">CI98</f>
        <v>0</v>
      </c>
      <c r="CK97" s="16" t="n">
        <f aca="false">CJ98</f>
        <v>0</v>
      </c>
      <c r="CL97" s="16" t="n">
        <f aca="false">CK98</f>
        <v>0</v>
      </c>
      <c r="CM97" s="16" t="n">
        <f aca="false">CL98</f>
        <v>0</v>
      </c>
      <c r="CN97" s="16" t="n">
        <f aca="false">CM98</f>
        <v>0</v>
      </c>
      <c r="CO97" s="16" t="n">
        <f aca="false">CN98</f>
        <v>0</v>
      </c>
      <c r="CP97" s="16" t="n">
        <f aca="false">CO98</f>
        <v>0</v>
      </c>
      <c r="CQ97" s="16" t="n">
        <f aca="false">CP98</f>
        <v>0</v>
      </c>
      <c r="CR97" s="16" t="n">
        <f aca="false">CQ98</f>
        <v>0</v>
      </c>
      <c r="CS97" s="16" t="n">
        <f aca="false">CR98</f>
        <v>0</v>
      </c>
      <c r="CT97" s="16" t="n">
        <f aca="false">CS98</f>
        <v>0</v>
      </c>
      <c r="CU97" s="16" t="n">
        <f aca="false">CT98</f>
        <v>0</v>
      </c>
      <c r="CV97" s="16" t="n">
        <f aca="false">CU98</f>
        <v>0</v>
      </c>
      <c r="CW97" s="16" t="n">
        <f aca="false">CV98</f>
        <v>0</v>
      </c>
      <c r="CX97" s="16" t="n">
        <f aca="false">CW98</f>
        <v>0</v>
      </c>
    </row>
    <row r="98" customFormat="false" ht="15" hidden="false" customHeight="false" outlineLevel="0" collapsed="false">
      <c r="A98" s="1" t="n">
        <f aca="false">A97+1</f>
        <v>95</v>
      </c>
      <c r="B98" s="16" t="n">
        <f aca="false">B97</f>
        <v>0</v>
      </c>
      <c r="C98" s="16" t="n">
        <f aca="false">B99</f>
        <v>0</v>
      </c>
      <c r="D98" s="16" t="n">
        <f aca="false">C99</f>
        <v>0</v>
      </c>
      <c r="E98" s="16" t="n">
        <f aca="false">D99</f>
        <v>0</v>
      </c>
      <c r="F98" s="16" t="n">
        <f aca="false">E99</f>
        <v>0</v>
      </c>
      <c r="G98" s="16" t="n">
        <f aca="false">F99</f>
        <v>0</v>
      </c>
      <c r="H98" s="16" t="n">
        <f aca="false">G99</f>
        <v>0</v>
      </c>
      <c r="I98" s="16" t="n">
        <f aca="false">H99</f>
        <v>0</v>
      </c>
      <c r="J98" s="16" t="n">
        <f aca="false">I99</f>
        <v>0</v>
      </c>
      <c r="K98" s="16" t="n">
        <f aca="false">J99</f>
        <v>0</v>
      </c>
      <c r="L98" s="16" t="n">
        <f aca="false">K99</f>
        <v>0</v>
      </c>
      <c r="M98" s="16" t="n">
        <f aca="false">L99</f>
        <v>0</v>
      </c>
      <c r="N98" s="16" t="n">
        <f aca="false">M99</f>
        <v>0</v>
      </c>
      <c r="O98" s="16" t="n">
        <f aca="false">N99</f>
        <v>0</v>
      </c>
      <c r="P98" s="16" t="n">
        <f aca="false">O99</f>
        <v>0</v>
      </c>
      <c r="Q98" s="16" t="n">
        <f aca="false">P99</f>
        <v>0</v>
      </c>
      <c r="R98" s="16" t="n">
        <f aca="false">Q99</f>
        <v>0</v>
      </c>
      <c r="S98" s="16" t="n">
        <f aca="false">R99</f>
        <v>0</v>
      </c>
      <c r="T98" s="16" t="n">
        <f aca="false">S99</f>
        <v>0</v>
      </c>
      <c r="U98" s="16" t="n">
        <f aca="false">T99</f>
        <v>0</v>
      </c>
      <c r="V98" s="16" t="n">
        <f aca="false">U99</f>
        <v>0</v>
      </c>
      <c r="W98" s="16" t="n">
        <f aca="false">V99</f>
        <v>0</v>
      </c>
      <c r="X98" s="16" t="n">
        <f aca="false">W99</f>
        <v>0</v>
      </c>
      <c r="Y98" s="16" t="n">
        <f aca="false">X99</f>
        <v>0</v>
      </c>
      <c r="Z98" s="16" t="n">
        <f aca="false">Y99</f>
        <v>0</v>
      </c>
      <c r="AA98" s="16" t="n">
        <f aca="false">Z99</f>
        <v>0</v>
      </c>
      <c r="AB98" s="16" t="n">
        <f aca="false">AA99</f>
        <v>0</v>
      </c>
      <c r="AC98" s="16" t="n">
        <f aca="false">AB99</f>
        <v>0</v>
      </c>
      <c r="AD98" s="16" t="n">
        <f aca="false">AC99</f>
        <v>0</v>
      </c>
      <c r="AE98" s="16" t="n">
        <f aca="false">AD99</f>
        <v>0</v>
      </c>
      <c r="AF98" s="16" t="n">
        <f aca="false">AE99</f>
        <v>0</v>
      </c>
      <c r="AG98" s="16" t="n">
        <f aca="false">AF99</f>
        <v>0</v>
      </c>
      <c r="AH98" s="16" t="n">
        <f aca="false">AG99</f>
        <v>0</v>
      </c>
      <c r="AI98" s="16" t="n">
        <f aca="false">AH99</f>
        <v>0</v>
      </c>
      <c r="AJ98" s="16" t="n">
        <f aca="false">AI99</f>
        <v>0</v>
      </c>
      <c r="AK98" s="16" t="n">
        <f aca="false">AJ99</f>
        <v>0</v>
      </c>
      <c r="AL98" s="16" t="n">
        <f aca="false">AK99</f>
        <v>0</v>
      </c>
      <c r="AM98" s="16" t="n">
        <f aca="false">AL99</f>
        <v>0</v>
      </c>
      <c r="AN98" s="16" t="n">
        <f aca="false">AM99</f>
        <v>0</v>
      </c>
      <c r="AO98" s="16" t="n">
        <f aca="false">AN99</f>
        <v>0</v>
      </c>
      <c r="AP98" s="16" t="n">
        <f aca="false">AO99</f>
        <v>0</v>
      </c>
      <c r="AQ98" s="16" t="n">
        <f aca="false">AP99</f>
        <v>0</v>
      </c>
      <c r="AR98" s="16" t="n">
        <f aca="false">AQ99</f>
        <v>0</v>
      </c>
      <c r="AS98" s="16" t="n">
        <f aca="false">AR99</f>
        <v>0</v>
      </c>
      <c r="AT98" s="16" t="n">
        <f aca="false">AS99</f>
        <v>0</v>
      </c>
      <c r="AU98" s="16" t="n">
        <f aca="false">AT99</f>
        <v>0</v>
      </c>
      <c r="AV98" s="16" t="n">
        <f aca="false">AU99</f>
        <v>0</v>
      </c>
      <c r="AW98" s="16" t="n">
        <f aca="false">AV99</f>
        <v>0</v>
      </c>
      <c r="AX98" s="16" t="n">
        <f aca="false">AW99</f>
        <v>0</v>
      </c>
      <c r="AY98" s="16" t="n">
        <f aca="false">AX99</f>
        <v>0</v>
      </c>
      <c r="AZ98" s="16" t="n">
        <f aca="false">AY99</f>
        <v>0</v>
      </c>
      <c r="BA98" s="16" t="n">
        <f aca="false">AZ99</f>
        <v>0</v>
      </c>
      <c r="BB98" s="16" t="n">
        <f aca="false">BA99</f>
        <v>0</v>
      </c>
      <c r="BC98" s="16" t="n">
        <f aca="false">BB99</f>
        <v>0</v>
      </c>
      <c r="BD98" s="16" t="n">
        <f aca="false">BC99</f>
        <v>0</v>
      </c>
      <c r="BE98" s="16" t="n">
        <f aca="false">BD99</f>
        <v>0</v>
      </c>
      <c r="BF98" s="16" t="n">
        <f aca="false">BE99</f>
        <v>0</v>
      </c>
      <c r="BG98" s="16" t="n">
        <f aca="false">BF99</f>
        <v>0</v>
      </c>
      <c r="BH98" s="16" t="n">
        <f aca="false">BG99</f>
        <v>0</v>
      </c>
      <c r="BI98" s="16" t="n">
        <f aca="false">BH99</f>
        <v>0</v>
      </c>
      <c r="BJ98" s="16" t="n">
        <f aca="false">BI99</f>
        <v>0</v>
      </c>
      <c r="BK98" s="16" t="n">
        <f aca="false">BJ99</f>
        <v>0</v>
      </c>
      <c r="BL98" s="16" t="n">
        <f aca="false">BK99</f>
        <v>0</v>
      </c>
      <c r="BM98" s="16" t="n">
        <f aca="false">BL99</f>
        <v>0</v>
      </c>
      <c r="BN98" s="16" t="n">
        <f aca="false">BM99</f>
        <v>0</v>
      </c>
      <c r="BO98" s="16" t="n">
        <f aca="false">BN99</f>
        <v>0</v>
      </c>
      <c r="BP98" s="16" t="n">
        <f aca="false">BO99</f>
        <v>0</v>
      </c>
      <c r="BQ98" s="16" t="n">
        <f aca="false">BP99</f>
        <v>0</v>
      </c>
      <c r="BR98" s="16" t="n">
        <f aca="false">BQ99</f>
        <v>0</v>
      </c>
      <c r="BS98" s="16" t="n">
        <f aca="false">BR99</f>
        <v>0</v>
      </c>
      <c r="BT98" s="16" t="n">
        <f aca="false">BS99</f>
        <v>0</v>
      </c>
      <c r="BU98" s="16" t="n">
        <f aca="false">BT99</f>
        <v>0</v>
      </c>
      <c r="BV98" s="16" t="n">
        <f aca="false">BU99</f>
        <v>0</v>
      </c>
      <c r="BW98" s="16" t="n">
        <f aca="false">BV99</f>
        <v>0</v>
      </c>
      <c r="BX98" s="16" t="n">
        <f aca="false">BW99</f>
        <v>0</v>
      </c>
      <c r="BY98" s="16" t="n">
        <f aca="false">BX99</f>
        <v>0</v>
      </c>
      <c r="BZ98" s="16" t="n">
        <f aca="false">BY99</f>
        <v>0</v>
      </c>
      <c r="CA98" s="16" t="n">
        <f aca="false">BZ99</f>
        <v>0</v>
      </c>
      <c r="CB98" s="16" t="n">
        <f aca="false">CA99</f>
        <v>0</v>
      </c>
      <c r="CC98" s="16" t="n">
        <f aca="false">CB99</f>
        <v>0</v>
      </c>
      <c r="CD98" s="16" t="n">
        <f aca="false">CC99</f>
        <v>0</v>
      </c>
      <c r="CE98" s="16" t="n">
        <f aca="false">CD99</f>
        <v>0</v>
      </c>
      <c r="CF98" s="16" t="n">
        <f aca="false">CE99</f>
        <v>0</v>
      </c>
      <c r="CG98" s="16" t="n">
        <f aca="false">CF99</f>
        <v>0</v>
      </c>
      <c r="CH98" s="16" t="n">
        <f aca="false">CG99</f>
        <v>0</v>
      </c>
      <c r="CI98" s="16" t="n">
        <f aca="false">CH99</f>
        <v>0</v>
      </c>
      <c r="CJ98" s="16" t="n">
        <f aca="false">CI99</f>
        <v>0</v>
      </c>
      <c r="CK98" s="16" t="n">
        <f aca="false">CJ99</f>
        <v>0</v>
      </c>
      <c r="CL98" s="16" t="n">
        <f aca="false">CK99</f>
        <v>0</v>
      </c>
      <c r="CM98" s="16" t="n">
        <f aca="false">CL99</f>
        <v>0</v>
      </c>
      <c r="CN98" s="16" t="n">
        <f aca="false">CM99</f>
        <v>0</v>
      </c>
      <c r="CO98" s="16" t="n">
        <f aca="false">CN99</f>
        <v>0</v>
      </c>
      <c r="CP98" s="16" t="n">
        <f aca="false">CO99</f>
        <v>0</v>
      </c>
      <c r="CQ98" s="16" t="n">
        <f aca="false">CP99</f>
        <v>0</v>
      </c>
      <c r="CR98" s="16" t="n">
        <f aca="false">CQ99</f>
        <v>0</v>
      </c>
      <c r="CS98" s="16" t="n">
        <f aca="false">CR99</f>
        <v>0</v>
      </c>
      <c r="CT98" s="16" t="n">
        <f aca="false">CS99</f>
        <v>0</v>
      </c>
      <c r="CU98" s="16" t="n">
        <f aca="false">CT99</f>
        <v>0</v>
      </c>
      <c r="CV98" s="16" t="n">
        <f aca="false">CU99</f>
        <v>0</v>
      </c>
      <c r="CW98" s="16" t="n">
        <f aca="false">CV99</f>
        <v>0</v>
      </c>
      <c r="CX98" s="16" t="n">
        <f aca="false">CW99</f>
        <v>0</v>
      </c>
    </row>
    <row r="99" customFormat="false" ht="15" hidden="false" customHeight="false" outlineLevel="0" collapsed="false">
      <c r="A99" s="1" t="n">
        <f aca="false">A98+1</f>
        <v>96</v>
      </c>
      <c r="B99" s="16" t="n">
        <f aca="false">B98</f>
        <v>0</v>
      </c>
      <c r="C99" s="16" t="n">
        <f aca="false">B100</f>
        <v>0</v>
      </c>
      <c r="D99" s="16" t="n">
        <f aca="false">C100</f>
        <v>0</v>
      </c>
      <c r="E99" s="16" t="n">
        <f aca="false">D100</f>
        <v>0</v>
      </c>
      <c r="F99" s="16" t="n">
        <f aca="false">E100</f>
        <v>0</v>
      </c>
      <c r="G99" s="16" t="n">
        <f aca="false">F100</f>
        <v>0</v>
      </c>
      <c r="H99" s="16" t="n">
        <f aca="false">G100</f>
        <v>0</v>
      </c>
      <c r="I99" s="16" t="n">
        <f aca="false">H100</f>
        <v>0</v>
      </c>
      <c r="J99" s="16" t="n">
        <f aca="false">I100</f>
        <v>0</v>
      </c>
      <c r="K99" s="16" t="n">
        <f aca="false">J100</f>
        <v>0</v>
      </c>
      <c r="L99" s="16" t="n">
        <f aca="false">K100</f>
        <v>0</v>
      </c>
      <c r="M99" s="16" t="n">
        <f aca="false">L100</f>
        <v>0</v>
      </c>
      <c r="N99" s="16" t="n">
        <f aca="false">M100</f>
        <v>0</v>
      </c>
      <c r="O99" s="16" t="n">
        <f aca="false">N100</f>
        <v>0</v>
      </c>
      <c r="P99" s="16" t="n">
        <f aca="false">O100</f>
        <v>0</v>
      </c>
      <c r="Q99" s="16" t="n">
        <f aca="false">P100</f>
        <v>0</v>
      </c>
      <c r="R99" s="16" t="n">
        <f aca="false">Q100</f>
        <v>0</v>
      </c>
      <c r="S99" s="16" t="n">
        <f aca="false">R100</f>
        <v>0</v>
      </c>
      <c r="T99" s="16" t="n">
        <f aca="false">S100</f>
        <v>0</v>
      </c>
      <c r="U99" s="16" t="n">
        <f aca="false">T100</f>
        <v>0</v>
      </c>
      <c r="V99" s="16" t="n">
        <f aca="false">U100</f>
        <v>0</v>
      </c>
      <c r="W99" s="16" t="n">
        <f aca="false">V100</f>
        <v>0</v>
      </c>
      <c r="X99" s="16" t="n">
        <f aca="false">W100</f>
        <v>0</v>
      </c>
      <c r="Y99" s="16" t="n">
        <f aca="false">X100</f>
        <v>0</v>
      </c>
      <c r="Z99" s="16" t="n">
        <f aca="false">Y100</f>
        <v>0</v>
      </c>
      <c r="AA99" s="16" t="n">
        <f aca="false">Z100</f>
        <v>0</v>
      </c>
      <c r="AB99" s="16" t="n">
        <f aca="false">AA100</f>
        <v>0</v>
      </c>
      <c r="AC99" s="16" t="n">
        <f aca="false">AB100</f>
        <v>0</v>
      </c>
      <c r="AD99" s="16" t="n">
        <f aca="false">AC100</f>
        <v>0</v>
      </c>
      <c r="AE99" s="16" t="n">
        <f aca="false">AD100</f>
        <v>0</v>
      </c>
      <c r="AF99" s="16" t="n">
        <f aca="false">AE100</f>
        <v>0</v>
      </c>
      <c r="AG99" s="16" t="n">
        <f aca="false">AF100</f>
        <v>0</v>
      </c>
      <c r="AH99" s="16" t="n">
        <f aca="false">AG100</f>
        <v>0</v>
      </c>
      <c r="AI99" s="16" t="n">
        <f aca="false">AH100</f>
        <v>0</v>
      </c>
      <c r="AJ99" s="16" t="n">
        <f aca="false">AI100</f>
        <v>0</v>
      </c>
      <c r="AK99" s="16" t="n">
        <f aca="false">AJ100</f>
        <v>0</v>
      </c>
      <c r="AL99" s="16" t="n">
        <f aca="false">AK100</f>
        <v>0</v>
      </c>
      <c r="AM99" s="16" t="n">
        <f aca="false">AL100</f>
        <v>0</v>
      </c>
      <c r="AN99" s="16" t="n">
        <f aca="false">AM100</f>
        <v>0</v>
      </c>
      <c r="AO99" s="16" t="n">
        <f aca="false">AN100</f>
        <v>0</v>
      </c>
      <c r="AP99" s="16" t="n">
        <f aca="false">AO100</f>
        <v>0</v>
      </c>
      <c r="AQ99" s="16" t="n">
        <f aca="false">AP100</f>
        <v>0</v>
      </c>
      <c r="AR99" s="16" t="n">
        <f aca="false">AQ100</f>
        <v>0</v>
      </c>
      <c r="AS99" s="16" t="n">
        <f aca="false">AR100</f>
        <v>0</v>
      </c>
      <c r="AT99" s="16" t="n">
        <f aca="false">AS100</f>
        <v>0</v>
      </c>
      <c r="AU99" s="16" t="n">
        <f aca="false">AT100</f>
        <v>0</v>
      </c>
      <c r="AV99" s="16" t="n">
        <f aca="false">AU100</f>
        <v>0</v>
      </c>
      <c r="AW99" s="16" t="n">
        <f aca="false">AV100</f>
        <v>0</v>
      </c>
      <c r="AX99" s="16" t="n">
        <f aca="false">AW100</f>
        <v>0</v>
      </c>
      <c r="AY99" s="16" t="n">
        <f aca="false">AX100</f>
        <v>0</v>
      </c>
      <c r="AZ99" s="16" t="n">
        <f aca="false">AY100</f>
        <v>0</v>
      </c>
      <c r="BA99" s="16" t="n">
        <f aca="false">AZ100</f>
        <v>0</v>
      </c>
      <c r="BB99" s="16" t="n">
        <f aca="false">BA100</f>
        <v>0</v>
      </c>
      <c r="BC99" s="16" t="n">
        <f aca="false">BB100</f>
        <v>0</v>
      </c>
      <c r="BD99" s="16" t="n">
        <f aca="false">BC100</f>
        <v>0</v>
      </c>
      <c r="BE99" s="16" t="n">
        <f aca="false">BD100</f>
        <v>0</v>
      </c>
      <c r="BF99" s="16" t="n">
        <f aca="false">BE100</f>
        <v>0</v>
      </c>
      <c r="BG99" s="16" t="n">
        <f aca="false">BF100</f>
        <v>0</v>
      </c>
      <c r="BH99" s="16" t="n">
        <f aca="false">BG100</f>
        <v>0</v>
      </c>
      <c r="BI99" s="16" t="n">
        <f aca="false">BH100</f>
        <v>0</v>
      </c>
      <c r="BJ99" s="16" t="n">
        <f aca="false">BI100</f>
        <v>0</v>
      </c>
      <c r="BK99" s="16" t="n">
        <f aca="false">BJ100</f>
        <v>0</v>
      </c>
      <c r="BL99" s="16" t="n">
        <f aca="false">BK100</f>
        <v>0</v>
      </c>
      <c r="BM99" s="16" t="n">
        <f aca="false">BL100</f>
        <v>0</v>
      </c>
      <c r="BN99" s="16" t="n">
        <f aca="false">BM100</f>
        <v>0</v>
      </c>
      <c r="BO99" s="16" t="n">
        <f aca="false">BN100</f>
        <v>0</v>
      </c>
      <c r="BP99" s="16" t="n">
        <f aca="false">BO100</f>
        <v>0</v>
      </c>
      <c r="BQ99" s="16" t="n">
        <f aca="false">BP100</f>
        <v>0</v>
      </c>
      <c r="BR99" s="16" t="n">
        <f aca="false">BQ100</f>
        <v>0</v>
      </c>
      <c r="BS99" s="16" t="n">
        <f aca="false">BR100</f>
        <v>0</v>
      </c>
      <c r="BT99" s="16" t="n">
        <f aca="false">BS100</f>
        <v>0</v>
      </c>
      <c r="BU99" s="16" t="n">
        <f aca="false">BT100</f>
        <v>0</v>
      </c>
      <c r="BV99" s="16" t="n">
        <f aca="false">BU100</f>
        <v>0</v>
      </c>
      <c r="BW99" s="16" t="n">
        <f aca="false">BV100</f>
        <v>0</v>
      </c>
      <c r="BX99" s="16" t="n">
        <f aca="false">BW100</f>
        <v>0</v>
      </c>
      <c r="BY99" s="16" t="n">
        <f aca="false">BX100</f>
        <v>0</v>
      </c>
      <c r="BZ99" s="16" t="n">
        <f aca="false">BY100</f>
        <v>0</v>
      </c>
      <c r="CA99" s="16" t="n">
        <f aca="false">BZ100</f>
        <v>0</v>
      </c>
      <c r="CB99" s="16" t="n">
        <f aca="false">CA100</f>
        <v>0</v>
      </c>
      <c r="CC99" s="16" t="n">
        <f aca="false">CB100</f>
        <v>0</v>
      </c>
      <c r="CD99" s="16" t="n">
        <f aca="false">CC100</f>
        <v>0</v>
      </c>
      <c r="CE99" s="16" t="n">
        <f aca="false">CD100</f>
        <v>0</v>
      </c>
      <c r="CF99" s="16" t="n">
        <f aca="false">CE100</f>
        <v>0</v>
      </c>
      <c r="CG99" s="16" t="n">
        <f aca="false">CF100</f>
        <v>0</v>
      </c>
      <c r="CH99" s="16" t="n">
        <f aca="false">CG100</f>
        <v>0</v>
      </c>
      <c r="CI99" s="16" t="n">
        <f aca="false">CH100</f>
        <v>0</v>
      </c>
      <c r="CJ99" s="16" t="n">
        <f aca="false">CI100</f>
        <v>0</v>
      </c>
      <c r="CK99" s="16" t="n">
        <f aca="false">CJ100</f>
        <v>0</v>
      </c>
      <c r="CL99" s="16" t="n">
        <f aca="false">CK100</f>
        <v>0</v>
      </c>
      <c r="CM99" s="16" t="n">
        <f aca="false">CL100</f>
        <v>0</v>
      </c>
      <c r="CN99" s="16" t="n">
        <f aca="false">CM100</f>
        <v>0</v>
      </c>
      <c r="CO99" s="16" t="n">
        <f aca="false">CN100</f>
        <v>0</v>
      </c>
      <c r="CP99" s="16" t="n">
        <f aca="false">CO100</f>
        <v>0</v>
      </c>
      <c r="CQ99" s="16" t="n">
        <f aca="false">CP100</f>
        <v>0</v>
      </c>
      <c r="CR99" s="16" t="n">
        <f aca="false">CQ100</f>
        <v>0</v>
      </c>
      <c r="CS99" s="16" t="n">
        <f aca="false">CR100</f>
        <v>0</v>
      </c>
      <c r="CT99" s="16" t="n">
        <f aca="false">CS100</f>
        <v>0</v>
      </c>
      <c r="CU99" s="16" t="n">
        <f aca="false">CT100</f>
        <v>0</v>
      </c>
      <c r="CV99" s="16" t="n">
        <f aca="false">CU100</f>
        <v>0</v>
      </c>
      <c r="CW99" s="16" t="n">
        <f aca="false">CV100</f>
        <v>0</v>
      </c>
      <c r="CX99" s="16" t="n">
        <f aca="false">CW100</f>
        <v>0</v>
      </c>
    </row>
    <row r="100" customFormat="false" ht="15" hidden="false" customHeight="false" outlineLevel="0" collapsed="false">
      <c r="A100" s="1" t="n">
        <f aca="false">A99+1</f>
        <v>97</v>
      </c>
      <c r="B100" s="16" t="n">
        <f aca="false">B99</f>
        <v>0</v>
      </c>
      <c r="C100" s="16" t="n">
        <f aca="false">B101</f>
        <v>0</v>
      </c>
      <c r="D100" s="16" t="n">
        <f aca="false">C101</f>
        <v>0</v>
      </c>
      <c r="E100" s="16" t="n">
        <f aca="false">D101</f>
        <v>0</v>
      </c>
      <c r="F100" s="16" t="n">
        <f aca="false">E101</f>
        <v>0</v>
      </c>
      <c r="G100" s="16" t="n">
        <f aca="false">F101</f>
        <v>0</v>
      </c>
      <c r="H100" s="16" t="n">
        <f aca="false">G101</f>
        <v>0</v>
      </c>
      <c r="I100" s="16" t="n">
        <f aca="false">H101</f>
        <v>0</v>
      </c>
      <c r="J100" s="16" t="n">
        <f aca="false">I101</f>
        <v>0</v>
      </c>
      <c r="K100" s="16" t="n">
        <f aca="false">J101</f>
        <v>0</v>
      </c>
      <c r="L100" s="16" t="n">
        <f aca="false">K101</f>
        <v>0</v>
      </c>
      <c r="M100" s="16" t="n">
        <f aca="false">L101</f>
        <v>0</v>
      </c>
      <c r="N100" s="16" t="n">
        <f aca="false">M101</f>
        <v>0</v>
      </c>
      <c r="O100" s="16" t="n">
        <f aca="false">N101</f>
        <v>0</v>
      </c>
      <c r="P100" s="16" t="n">
        <f aca="false">O101</f>
        <v>0</v>
      </c>
      <c r="Q100" s="16" t="n">
        <f aca="false">P101</f>
        <v>0</v>
      </c>
      <c r="R100" s="16" t="n">
        <f aca="false">Q101</f>
        <v>0</v>
      </c>
      <c r="S100" s="16" t="n">
        <f aca="false">R101</f>
        <v>0</v>
      </c>
      <c r="T100" s="16" t="n">
        <f aca="false">S101</f>
        <v>0</v>
      </c>
      <c r="U100" s="16" t="n">
        <f aca="false">T101</f>
        <v>0</v>
      </c>
      <c r="V100" s="16" t="n">
        <f aca="false">U101</f>
        <v>0</v>
      </c>
      <c r="W100" s="16" t="n">
        <f aca="false">V101</f>
        <v>0</v>
      </c>
      <c r="X100" s="16" t="n">
        <f aca="false">W101</f>
        <v>0</v>
      </c>
      <c r="Y100" s="16" t="n">
        <f aca="false">X101</f>
        <v>0</v>
      </c>
      <c r="Z100" s="16" t="n">
        <f aca="false">Y101</f>
        <v>0</v>
      </c>
      <c r="AA100" s="16" t="n">
        <f aca="false">Z101</f>
        <v>0</v>
      </c>
      <c r="AB100" s="16" t="n">
        <f aca="false">AA101</f>
        <v>0</v>
      </c>
      <c r="AC100" s="16" t="n">
        <f aca="false">AB101</f>
        <v>0</v>
      </c>
      <c r="AD100" s="16" t="n">
        <f aca="false">AC101</f>
        <v>0</v>
      </c>
      <c r="AE100" s="16" t="n">
        <f aca="false">AD101</f>
        <v>0</v>
      </c>
      <c r="AF100" s="16" t="n">
        <f aca="false">AE101</f>
        <v>0</v>
      </c>
      <c r="AG100" s="16" t="n">
        <f aca="false">AF101</f>
        <v>0</v>
      </c>
      <c r="AH100" s="16" t="n">
        <f aca="false">AG101</f>
        <v>0</v>
      </c>
      <c r="AI100" s="16" t="n">
        <f aca="false">AH101</f>
        <v>0</v>
      </c>
      <c r="AJ100" s="16" t="n">
        <f aca="false">AI101</f>
        <v>0</v>
      </c>
      <c r="AK100" s="16" t="n">
        <f aca="false">AJ101</f>
        <v>0</v>
      </c>
      <c r="AL100" s="16" t="n">
        <f aca="false">AK101</f>
        <v>0</v>
      </c>
      <c r="AM100" s="16" t="n">
        <f aca="false">AL101</f>
        <v>0</v>
      </c>
      <c r="AN100" s="16" t="n">
        <f aca="false">AM101</f>
        <v>0</v>
      </c>
      <c r="AO100" s="16" t="n">
        <f aca="false">AN101</f>
        <v>0</v>
      </c>
      <c r="AP100" s="16" t="n">
        <f aca="false">AO101</f>
        <v>0</v>
      </c>
      <c r="AQ100" s="16" t="n">
        <f aca="false">AP101</f>
        <v>0</v>
      </c>
      <c r="AR100" s="16" t="n">
        <f aca="false">AQ101</f>
        <v>0</v>
      </c>
      <c r="AS100" s="16" t="n">
        <f aca="false">AR101</f>
        <v>0</v>
      </c>
      <c r="AT100" s="16" t="n">
        <f aca="false">AS101</f>
        <v>0</v>
      </c>
      <c r="AU100" s="16" t="n">
        <f aca="false">AT101</f>
        <v>0</v>
      </c>
      <c r="AV100" s="16" t="n">
        <f aca="false">AU101</f>
        <v>0</v>
      </c>
      <c r="AW100" s="16" t="n">
        <f aca="false">AV101</f>
        <v>0</v>
      </c>
      <c r="AX100" s="16" t="n">
        <f aca="false">AW101</f>
        <v>0</v>
      </c>
      <c r="AY100" s="16" t="n">
        <f aca="false">AX101</f>
        <v>0</v>
      </c>
      <c r="AZ100" s="16" t="n">
        <f aca="false">AY101</f>
        <v>0</v>
      </c>
      <c r="BA100" s="16" t="n">
        <f aca="false">AZ101</f>
        <v>0</v>
      </c>
      <c r="BB100" s="16" t="n">
        <f aca="false">BA101</f>
        <v>0</v>
      </c>
      <c r="BC100" s="16" t="n">
        <f aca="false">BB101</f>
        <v>0</v>
      </c>
      <c r="BD100" s="16" t="n">
        <f aca="false">BC101</f>
        <v>0</v>
      </c>
      <c r="BE100" s="16" t="n">
        <f aca="false">BD101</f>
        <v>0</v>
      </c>
      <c r="BF100" s="16" t="n">
        <f aca="false">BE101</f>
        <v>0</v>
      </c>
      <c r="BG100" s="16" t="n">
        <f aca="false">BF101</f>
        <v>0</v>
      </c>
      <c r="BH100" s="16" t="n">
        <f aca="false">BG101</f>
        <v>0</v>
      </c>
      <c r="BI100" s="16" t="n">
        <f aca="false">BH101</f>
        <v>0</v>
      </c>
      <c r="BJ100" s="16" t="n">
        <f aca="false">BI101</f>
        <v>0</v>
      </c>
      <c r="BK100" s="16" t="n">
        <f aca="false">BJ101</f>
        <v>0</v>
      </c>
      <c r="BL100" s="16" t="n">
        <f aca="false">BK101</f>
        <v>0</v>
      </c>
      <c r="BM100" s="16" t="n">
        <f aca="false">BL101</f>
        <v>0</v>
      </c>
      <c r="BN100" s="16" t="n">
        <f aca="false">BM101</f>
        <v>0</v>
      </c>
      <c r="BO100" s="16" t="n">
        <f aca="false">BN101</f>
        <v>0</v>
      </c>
      <c r="BP100" s="16" t="n">
        <f aca="false">BO101</f>
        <v>0</v>
      </c>
      <c r="BQ100" s="16" t="n">
        <f aca="false">BP101</f>
        <v>0</v>
      </c>
      <c r="BR100" s="16" t="n">
        <f aca="false">BQ101</f>
        <v>0</v>
      </c>
      <c r="BS100" s="16" t="n">
        <f aca="false">BR101</f>
        <v>0</v>
      </c>
      <c r="BT100" s="16" t="n">
        <f aca="false">BS101</f>
        <v>0</v>
      </c>
      <c r="BU100" s="16" t="n">
        <f aca="false">BT101</f>
        <v>0</v>
      </c>
      <c r="BV100" s="16" t="n">
        <f aca="false">BU101</f>
        <v>0</v>
      </c>
      <c r="BW100" s="16" t="n">
        <f aca="false">BV101</f>
        <v>0</v>
      </c>
      <c r="BX100" s="16" t="n">
        <f aca="false">BW101</f>
        <v>0</v>
      </c>
      <c r="BY100" s="16" t="n">
        <f aca="false">BX101</f>
        <v>0</v>
      </c>
      <c r="BZ100" s="16" t="n">
        <f aca="false">BY101</f>
        <v>0</v>
      </c>
      <c r="CA100" s="16" t="n">
        <f aca="false">BZ101</f>
        <v>0</v>
      </c>
      <c r="CB100" s="16" t="n">
        <f aca="false">CA101</f>
        <v>0</v>
      </c>
      <c r="CC100" s="16" t="n">
        <f aca="false">CB101</f>
        <v>0</v>
      </c>
      <c r="CD100" s="16" t="n">
        <f aca="false">CC101</f>
        <v>0</v>
      </c>
      <c r="CE100" s="16" t="n">
        <f aca="false">CD101</f>
        <v>0</v>
      </c>
      <c r="CF100" s="16" t="n">
        <f aca="false">CE101</f>
        <v>0</v>
      </c>
      <c r="CG100" s="16" t="n">
        <f aca="false">CF101</f>
        <v>0</v>
      </c>
      <c r="CH100" s="16" t="n">
        <f aca="false">CG101</f>
        <v>0</v>
      </c>
      <c r="CI100" s="16" t="n">
        <f aca="false">CH101</f>
        <v>0</v>
      </c>
      <c r="CJ100" s="16" t="n">
        <f aca="false">CI101</f>
        <v>0</v>
      </c>
      <c r="CK100" s="16" t="n">
        <f aca="false">CJ101</f>
        <v>0</v>
      </c>
      <c r="CL100" s="16" t="n">
        <f aca="false">CK101</f>
        <v>0</v>
      </c>
      <c r="CM100" s="16" t="n">
        <f aca="false">CL101</f>
        <v>0</v>
      </c>
      <c r="CN100" s="16" t="n">
        <f aca="false">CM101</f>
        <v>0</v>
      </c>
      <c r="CO100" s="16" t="n">
        <f aca="false">CN101</f>
        <v>0</v>
      </c>
      <c r="CP100" s="16" t="n">
        <f aca="false">CO101</f>
        <v>0</v>
      </c>
      <c r="CQ100" s="16" t="n">
        <f aca="false">CP101</f>
        <v>0</v>
      </c>
      <c r="CR100" s="16" t="n">
        <f aca="false">CQ101</f>
        <v>0</v>
      </c>
      <c r="CS100" s="16" t="n">
        <f aca="false">CR101</f>
        <v>0</v>
      </c>
      <c r="CT100" s="16" t="n">
        <f aca="false">CS101</f>
        <v>0</v>
      </c>
      <c r="CU100" s="16" t="n">
        <f aca="false">CT101</f>
        <v>0</v>
      </c>
      <c r="CV100" s="16" t="n">
        <f aca="false">CU101</f>
        <v>0</v>
      </c>
      <c r="CW100" s="16" t="n">
        <f aca="false">CV101</f>
        <v>0</v>
      </c>
      <c r="CX100" s="16" t="n">
        <f aca="false">CW101</f>
        <v>0</v>
      </c>
    </row>
    <row r="101" customFormat="false" ht="15" hidden="false" customHeight="false" outlineLevel="0" collapsed="false">
      <c r="A101" s="1" t="n">
        <f aca="false">A100+1</f>
        <v>98</v>
      </c>
      <c r="B101" s="16" t="n">
        <f aca="false">B100</f>
        <v>0</v>
      </c>
      <c r="C101" s="16" t="n">
        <f aca="false">B102</f>
        <v>0</v>
      </c>
      <c r="D101" s="16" t="n">
        <f aca="false">C102</f>
        <v>0</v>
      </c>
      <c r="E101" s="16" t="n">
        <f aca="false">D102</f>
        <v>0</v>
      </c>
      <c r="F101" s="16" t="n">
        <f aca="false">E102</f>
        <v>0</v>
      </c>
      <c r="G101" s="16" t="n">
        <f aca="false">F102</f>
        <v>0</v>
      </c>
      <c r="H101" s="16" t="n">
        <f aca="false">G102</f>
        <v>0</v>
      </c>
      <c r="I101" s="16" t="n">
        <f aca="false">H102</f>
        <v>0</v>
      </c>
      <c r="J101" s="16" t="n">
        <f aca="false">I102</f>
        <v>0</v>
      </c>
      <c r="K101" s="16" t="n">
        <f aca="false">J102</f>
        <v>0</v>
      </c>
      <c r="L101" s="16" t="n">
        <f aca="false">K102</f>
        <v>0</v>
      </c>
      <c r="M101" s="16" t="n">
        <f aca="false">L102</f>
        <v>0</v>
      </c>
      <c r="N101" s="16" t="n">
        <f aca="false">M102</f>
        <v>0</v>
      </c>
      <c r="O101" s="16" t="n">
        <f aca="false">N102</f>
        <v>0</v>
      </c>
      <c r="P101" s="16" t="n">
        <f aca="false">O102</f>
        <v>0</v>
      </c>
      <c r="Q101" s="16" t="n">
        <f aca="false">P102</f>
        <v>0</v>
      </c>
      <c r="R101" s="16" t="n">
        <f aca="false">Q102</f>
        <v>0</v>
      </c>
      <c r="S101" s="16" t="n">
        <f aca="false">R102</f>
        <v>0</v>
      </c>
      <c r="T101" s="16" t="n">
        <f aca="false">S102</f>
        <v>0</v>
      </c>
      <c r="U101" s="16" t="n">
        <f aca="false">T102</f>
        <v>0</v>
      </c>
      <c r="V101" s="16" t="n">
        <f aca="false">U102</f>
        <v>0</v>
      </c>
      <c r="W101" s="16" t="n">
        <f aca="false">V102</f>
        <v>0</v>
      </c>
      <c r="X101" s="16" t="n">
        <f aca="false">W102</f>
        <v>0</v>
      </c>
      <c r="Y101" s="16" t="n">
        <f aca="false">X102</f>
        <v>0</v>
      </c>
      <c r="Z101" s="16" t="n">
        <f aca="false">Y102</f>
        <v>0</v>
      </c>
      <c r="AA101" s="16" t="n">
        <f aca="false">Z102</f>
        <v>0</v>
      </c>
      <c r="AB101" s="16" t="n">
        <f aca="false">AA102</f>
        <v>0</v>
      </c>
      <c r="AC101" s="16" t="n">
        <f aca="false">AB102</f>
        <v>0</v>
      </c>
      <c r="AD101" s="16" t="n">
        <f aca="false">AC102</f>
        <v>0</v>
      </c>
      <c r="AE101" s="16" t="n">
        <f aca="false">AD102</f>
        <v>0</v>
      </c>
      <c r="AF101" s="16" t="n">
        <f aca="false">AE102</f>
        <v>0</v>
      </c>
      <c r="AG101" s="16" t="n">
        <f aca="false">AF102</f>
        <v>0</v>
      </c>
      <c r="AH101" s="16" t="n">
        <f aca="false">AG102</f>
        <v>0</v>
      </c>
      <c r="AI101" s="16" t="n">
        <f aca="false">AH102</f>
        <v>0</v>
      </c>
      <c r="AJ101" s="16" t="n">
        <f aca="false">AI102</f>
        <v>0</v>
      </c>
      <c r="AK101" s="16" t="n">
        <f aca="false">AJ102</f>
        <v>0</v>
      </c>
      <c r="AL101" s="16" t="n">
        <f aca="false">AK102</f>
        <v>0</v>
      </c>
      <c r="AM101" s="16" t="n">
        <f aca="false">AL102</f>
        <v>0</v>
      </c>
      <c r="AN101" s="16" t="n">
        <f aca="false">AM102</f>
        <v>0</v>
      </c>
      <c r="AO101" s="16" t="n">
        <f aca="false">AN102</f>
        <v>0</v>
      </c>
      <c r="AP101" s="16" t="n">
        <f aca="false">AO102</f>
        <v>0</v>
      </c>
      <c r="AQ101" s="16" t="n">
        <f aca="false">AP102</f>
        <v>0</v>
      </c>
      <c r="AR101" s="16" t="n">
        <f aca="false">AQ102</f>
        <v>0</v>
      </c>
      <c r="AS101" s="16" t="n">
        <f aca="false">AR102</f>
        <v>0</v>
      </c>
      <c r="AT101" s="16" t="n">
        <f aca="false">AS102</f>
        <v>0</v>
      </c>
      <c r="AU101" s="16" t="n">
        <f aca="false">AT102</f>
        <v>0</v>
      </c>
      <c r="AV101" s="16" t="n">
        <f aca="false">AU102</f>
        <v>0</v>
      </c>
      <c r="AW101" s="16" t="n">
        <f aca="false">AV102</f>
        <v>0</v>
      </c>
      <c r="AX101" s="16" t="n">
        <f aca="false">AW102</f>
        <v>0</v>
      </c>
      <c r="AY101" s="16" t="n">
        <f aca="false">AX102</f>
        <v>0</v>
      </c>
      <c r="AZ101" s="16" t="n">
        <f aca="false">AY102</f>
        <v>0</v>
      </c>
      <c r="BA101" s="16" t="n">
        <f aca="false">AZ102</f>
        <v>0</v>
      </c>
      <c r="BB101" s="16" t="n">
        <f aca="false">BA102</f>
        <v>0</v>
      </c>
      <c r="BC101" s="16" t="n">
        <f aca="false">BB102</f>
        <v>0</v>
      </c>
      <c r="BD101" s="16" t="n">
        <f aca="false">BC102</f>
        <v>0</v>
      </c>
      <c r="BE101" s="16" t="n">
        <f aca="false">BD102</f>
        <v>0</v>
      </c>
      <c r="BF101" s="16" t="n">
        <f aca="false">BE102</f>
        <v>0</v>
      </c>
      <c r="BG101" s="16" t="n">
        <f aca="false">BF102</f>
        <v>0</v>
      </c>
      <c r="BH101" s="16" t="n">
        <f aca="false">BG102</f>
        <v>0</v>
      </c>
      <c r="BI101" s="16" t="n">
        <f aca="false">BH102</f>
        <v>0</v>
      </c>
      <c r="BJ101" s="16" t="n">
        <f aca="false">BI102</f>
        <v>0</v>
      </c>
      <c r="BK101" s="16" t="n">
        <f aca="false">BJ102</f>
        <v>0</v>
      </c>
      <c r="BL101" s="16" t="n">
        <f aca="false">BK102</f>
        <v>0</v>
      </c>
      <c r="BM101" s="16" t="n">
        <f aca="false">BL102</f>
        <v>0</v>
      </c>
      <c r="BN101" s="16" t="n">
        <f aca="false">BM102</f>
        <v>0</v>
      </c>
      <c r="BO101" s="16" t="n">
        <f aca="false">BN102</f>
        <v>0</v>
      </c>
      <c r="BP101" s="16" t="n">
        <f aca="false">BO102</f>
        <v>0</v>
      </c>
      <c r="BQ101" s="16" t="n">
        <f aca="false">BP102</f>
        <v>0</v>
      </c>
      <c r="BR101" s="16" t="n">
        <f aca="false">BQ102</f>
        <v>0</v>
      </c>
      <c r="BS101" s="16" t="n">
        <f aca="false">BR102</f>
        <v>0</v>
      </c>
      <c r="BT101" s="16" t="n">
        <f aca="false">BS102</f>
        <v>0</v>
      </c>
      <c r="BU101" s="16" t="n">
        <f aca="false">BT102</f>
        <v>0</v>
      </c>
      <c r="BV101" s="16" t="n">
        <f aca="false">BU102</f>
        <v>0</v>
      </c>
      <c r="BW101" s="16" t="n">
        <f aca="false">BV102</f>
        <v>0</v>
      </c>
      <c r="BX101" s="16" t="n">
        <f aca="false">BW102</f>
        <v>0</v>
      </c>
      <c r="BY101" s="16" t="n">
        <f aca="false">BX102</f>
        <v>0</v>
      </c>
      <c r="BZ101" s="16" t="n">
        <f aca="false">BY102</f>
        <v>0</v>
      </c>
      <c r="CA101" s="16" t="n">
        <f aca="false">BZ102</f>
        <v>0</v>
      </c>
      <c r="CB101" s="16" t="n">
        <f aca="false">CA102</f>
        <v>0</v>
      </c>
      <c r="CC101" s="16" t="n">
        <f aca="false">CB102</f>
        <v>0</v>
      </c>
      <c r="CD101" s="16" t="n">
        <f aca="false">CC102</f>
        <v>0</v>
      </c>
      <c r="CE101" s="16" t="n">
        <f aca="false">CD102</f>
        <v>0</v>
      </c>
      <c r="CF101" s="16" t="n">
        <f aca="false">CE102</f>
        <v>0</v>
      </c>
      <c r="CG101" s="16" t="n">
        <f aca="false">CF102</f>
        <v>0</v>
      </c>
      <c r="CH101" s="16" t="n">
        <f aca="false">CG102</f>
        <v>0</v>
      </c>
      <c r="CI101" s="16" t="n">
        <f aca="false">CH102</f>
        <v>0</v>
      </c>
      <c r="CJ101" s="16" t="n">
        <f aca="false">CI102</f>
        <v>0</v>
      </c>
      <c r="CK101" s="16" t="n">
        <f aca="false">CJ102</f>
        <v>0</v>
      </c>
      <c r="CL101" s="16" t="n">
        <f aca="false">CK102</f>
        <v>0</v>
      </c>
      <c r="CM101" s="16" t="n">
        <f aca="false">CL102</f>
        <v>0</v>
      </c>
      <c r="CN101" s="16" t="n">
        <f aca="false">CM102</f>
        <v>0</v>
      </c>
      <c r="CO101" s="16" t="n">
        <f aca="false">CN102</f>
        <v>0</v>
      </c>
      <c r="CP101" s="16" t="n">
        <f aca="false">CO102</f>
        <v>0</v>
      </c>
      <c r="CQ101" s="16" t="n">
        <f aca="false">CP102</f>
        <v>0</v>
      </c>
      <c r="CR101" s="16" t="n">
        <f aca="false">CQ102</f>
        <v>0</v>
      </c>
      <c r="CS101" s="16" t="n">
        <f aca="false">CR102</f>
        <v>0</v>
      </c>
      <c r="CT101" s="16" t="n">
        <f aca="false">CS102</f>
        <v>0</v>
      </c>
      <c r="CU101" s="16" t="n">
        <f aca="false">CT102</f>
        <v>0</v>
      </c>
      <c r="CV101" s="16" t="n">
        <f aca="false">CU102</f>
        <v>0</v>
      </c>
      <c r="CW101" s="16" t="n">
        <f aca="false">CV102</f>
        <v>0</v>
      </c>
      <c r="CX101" s="16" t="n">
        <f aca="false">CW102</f>
        <v>0</v>
      </c>
    </row>
    <row r="102" customFormat="false" ht="15" hidden="false" customHeight="false" outlineLevel="0" collapsed="false">
      <c r="A102" s="1" t="n">
        <f aca="false">A101+1</f>
        <v>99</v>
      </c>
      <c r="B102" s="16" t="n">
        <f aca="false">B101</f>
        <v>0</v>
      </c>
      <c r="C102" s="16" t="n">
        <f aca="false">B103</f>
        <v>0</v>
      </c>
      <c r="D102" s="16" t="n">
        <f aca="false">C103</f>
        <v>0</v>
      </c>
      <c r="E102" s="16" t="n">
        <f aca="false">D103</f>
        <v>0</v>
      </c>
      <c r="F102" s="16" t="n">
        <f aca="false">E103</f>
        <v>0</v>
      </c>
      <c r="G102" s="16" t="n">
        <f aca="false">F103</f>
        <v>0</v>
      </c>
      <c r="H102" s="16" t="n">
        <f aca="false">G103</f>
        <v>0</v>
      </c>
      <c r="I102" s="16" t="n">
        <f aca="false">H103</f>
        <v>0</v>
      </c>
      <c r="J102" s="16" t="n">
        <f aca="false">I103</f>
        <v>0</v>
      </c>
      <c r="K102" s="16" t="n">
        <f aca="false">J103</f>
        <v>0</v>
      </c>
      <c r="L102" s="16" t="n">
        <f aca="false">K103</f>
        <v>0</v>
      </c>
      <c r="M102" s="16" t="n">
        <f aca="false">L103</f>
        <v>0</v>
      </c>
      <c r="N102" s="16" t="n">
        <f aca="false">M103</f>
        <v>0</v>
      </c>
      <c r="O102" s="16" t="n">
        <f aca="false">N103</f>
        <v>0</v>
      </c>
      <c r="P102" s="16" t="n">
        <f aca="false">O103</f>
        <v>0</v>
      </c>
      <c r="Q102" s="16" t="n">
        <f aca="false">P103</f>
        <v>0</v>
      </c>
      <c r="R102" s="16" t="n">
        <f aca="false">Q103</f>
        <v>0</v>
      </c>
      <c r="S102" s="16" t="n">
        <f aca="false">R103</f>
        <v>0</v>
      </c>
      <c r="T102" s="16" t="n">
        <f aca="false">S103</f>
        <v>0</v>
      </c>
      <c r="U102" s="16" t="n">
        <f aca="false">T103</f>
        <v>0</v>
      </c>
      <c r="V102" s="16" t="n">
        <f aca="false">U103</f>
        <v>0</v>
      </c>
      <c r="W102" s="16" t="n">
        <f aca="false">V103</f>
        <v>0</v>
      </c>
      <c r="X102" s="16" t="n">
        <f aca="false">W103</f>
        <v>0</v>
      </c>
      <c r="Y102" s="16" t="n">
        <f aca="false">X103</f>
        <v>0</v>
      </c>
      <c r="Z102" s="16" t="n">
        <f aca="false">Y103</f>
        <v>0</v>
      </c>
      <c r="AA102" s="16" t="n">
        <f aca="false">Z103</f>
        <v>0</v>
      </c>
      <c r="AB102" s="16" t="n">
        <f aca="false">AA103</f>
        <v>0</v>
      </c>
      <c r="AC102" s="16" t="n">
        <f aca="false">AB103</f>
        <v>0</v>
      </c>
      <c r="AD102" s="16" t="n">
        <f aca="false">AC103</f>
        <v>0</v>
      </c>
      <c r="AE102" s="16" t="n">
        <f aca="false">AD103</f>
        <v>0</v>
      </c>
      <c r="AF102" s="16" t="n">
        <f aca="false">AE103</f>
        <v>0</v>
      </c>
      <c r="AG102" s="16" t="n">
        <f aca="false">AF103</f>
        <v>0</v>
      </c>
      <c r="AH102" s="16" t="n">
        <f aca="false">AG103</f>
        <v>0</v>
      </c>
      <c r="AI102" s="16" t="n">
        <f aca="false">AH103</f>
        <v>0</v>
      </c>
      <c r="AJ102" s="16" t="n">
        <f aca="false">AI103</f>
        <v>0</v>
      </c>
      <c r="AK102" s="16" t="n">
        <f aca="false">AJ103</f>
        <v>0</v>
      </c>
      <c r="AL102" s="16" t="n">
        <f aca="false">AK103</f>
        <v>0</v>
      </c>
      <c r="AM102" s="16" t="n">
        <f aca="false">AL103</f>
        <v>0</v>
      </c>
      <c r="AN102" s="16" t="n">
        <f aca="false">AM103</f>
        <v>0</v>
      </c>
      <c r="AO102" s="16" t="n">
        <f aca="false">AN103</f>
        <v>0</v>
      </c>
      <c r="AP102" s="16" t="n">
        <f aca="false">AO103</f>
        <v>0</v>
      </c>
      <c r="AQ102" s="16" t="n">
        <f aca="false">AP103</f>
        <v>0</v>
      </c>
      <c r="AR102" s="16" t="n">
        <f aca="false">AQ103</f>
        <v>0</v>
      </c>
      <c r="AS102" s="16" t="n">
        <f aca="false">AR103</f>
        <v>0</v>
      </c>
      <c r="AT102" s="16" t="n">
        <f aca="false">AS103</f>
        <v>0</v>
      </c>
      <c r="AU102" s="16" t="n">
        <f aca="false">AT103</f>
        <v>0</v>
      </c>
      <c r="AV102" s="16" t="n">
        <f aca="false">AU103</f>
        <v>0</v>
      </c>
      <c r="AW102" s="16" t="n">
        <f aca="false">AV103</f>
        <v>0</v>
      </c>
      <c r="AX102" s="16" t="n">
        <f aca="false">AW103</f>
        <v>0</v>
      </c>
      <c r="AY102" s="16" t="n">
        <f aca="false">AX103</f>
        <v>0</v>
      </c>
      <c r="AZ102" s="16" t="n">
        <f aca="false">AY103</f>
        <v>0</v>
      </c>
      <c r="BA102" s="16" t="n">
        <f aca="false">AZ103</f>
        <v>0</v>
      </c>
      <c r="BB102" s="16" t="n">
        <f aca="false">BA103</f>
        <v>0</v>
      </c>
      <c r="BC102" s="16" t="n">
        <f aca="false">BB103</f>
        <v>0</v>
      </c>
      <c r="BD102" s="16" t="n">
        <f aca="false">BC103</f>
        <v>0</v>
      </c>
      <c r="BE102" s="16" t="n">
        <f aca="false">BD103</f>
        <v>0</v>
      </c>
      <c r="BF102" s="16" t="n">
        <f aca="false">BE103</f>
        <v>0</v>
      </c>
      <c r="BG102" s="16" t="n">
        <f aca="false">BF103</f>
        <v>0</v>
      </c>
      <c r="BH102" s="16" t="n">
        <f aca="false">BG103</f>
        <v>0</v>
      </c>
      <c r="BI102" s="16" t="n">
        <f aca="false">BH103</f>
        <v>0</v>
      </c>
      <c r="BJ102" s="16" t="n">
        <f aca="false">BI103</f>
        <v>0</v>
      </c>
      <c r="BK102" s="16" t="n">
        <f aca="false">BJ103</f>
        <v>0</v>
      </c>
      <c r="BL102" s="16" t="n">
        <f aca="false">BK103</f>
        <v>0</v>
      </c>
      <c r="BM102" s="16" t="n">
        <f aca="false">BL103</f>
        <v>0</v>
      </c>
      <c r="BN102" s="16" t="n">
        <f aca="false">BM103</f>
        <v>0</v>
      </c>
      <c r="BO102" s="16" t="n">
        <f aca="false">BN103</f>
        <v>0</v>
      </c>
      <c r="BP102" s="16" t="n">
        <f aca="false">BO103</f>
        <v>0</v>
      </c>
      <c r="BQ102" s="16" t="n">
        <f aca="false">BP103</f>
        <v>0</v>
      </c>
      <c r="BR102" s="16" t="n">
        <f aca="false">BQ103</f>
        <v>0</v>
      </c>
      <c r="BS102" s="16" t="n">
        <f aca="false">BR103</f>
        <v>0</v>
      </c>
      <c r="BT102" s="16" t="n">
        <f aca="false">BS103</f>
        <v>0</v>
      </c>
      <c r="BU102" s="16" t="n">
        <f aca="false">BT103</f>
        <v>0</v>
      </c>
      <c r="BV102" s="16" t="n">
        <f aca="false">BU103</f>
        <v>0</v>
      </c>
      <c r="BW102" s="16" t="n">
        <f aca="false">BV103</f>
        <v>0</v>
      </c>
      <c r="BX102" s="16" t="n">
        <f aca="false">BW103</f>
        <v>0</v>
      </c>
      <c r="BY102" s="16" t="n">
        <f aca="false">BX103</f>
        <v>0</v>
      </c>
      <c r="BZ102" s="16" t="n">
        <f aca="false">BY103</f>
        <v>0</v>
      </c>
      <c r="CA102" s="16" t="n">
        <f aca="false">BZ103</f>
        <v>0</v>
      </c>
      <c r="CB102" s="16" t="n">
        <f aca="false">CA103</f>
        <v>0</v>
      </c>
      <c r="CC102" s="16" t="n">
        <f aca="false">CB103</f>
        <v>0</v>
      </c>
      <c r="CD102" s="16" t="n">
        <f aca="false">CC103</f>
        <v>0</v>
      </c>
      <c r="CE102" s="16" t="n">
        <f aca="false">CD103</f>
        <v>0</v>
      </c>
      <c r="CF102" s="16" t="n">
        <f aca="false">CE103</f>
        <v>0</v>
      </c>
      <c r="CG102" s="16" t="n">
        <f aca="false">CF103</f>
        <v>0</v>
      </c>
      <c r="CH102" s="16" t="n">
        <f aca="false">CG103</f>
        <v>0</v>
      </c>
      <c r="CI102" s="16" t="n">
        <f aca="false">CH103</f>
        <v>0</v>
      </c>
      <c r="CJ102" s="16" t="n">
        <f aca="false">CI103</f>
        <v>0</v>
      </c>
      <c r="CK102" s="16" t="n">
        <f aca="false">CJ103</f>
        <v>0</v>
      </c>
      <c r="CL102" s="16" t="n">
        <f aca="false">CK103</f>
        <v>0</v>
      </c>
      <c r="CM102" s="16" t="n">
        <f aca="false">CL103</f>
        <v>0</v>
      </c>
      <c r="CN102" s="16" t="n">
        <f aca="false">CM103</f>
        <v>0</v>
      </c>
      <c r="CO102" s="16" t="n">
        <f aca="false">CN103</f>
        <v>0</v>
      </c>
      <c r="CP102" s="16" t="n">
        <f aca="false">CO103</f>
        <v>0</v>
      </c>
      <c r="CQ102" s="16" t="n">
        <f aca="false">CP103</f>
        <v>0</v>
      </c>
      <c r="CR102" s="16" t="n">
        <f aca="false">CQ103</f>
        <v>0</v>
      </c>
      <c r="CS102" s="16" t="n">
        <f aca="false">CR103</f>
        <v>0</v>
      </c>
      <c r="CT102" s="16" t="n">
        <f aca="false">CS103</f>
        <v>0</v>
      </c>
      <c r="CU102" s="16" t="n">
        <f aca="false">CT103</f>
        <v>0</v>
      </c>
      <c r="CV102" s="16" t="n">
        <f aca="false">CU103</f>
        <v>0</v>
      </c>
      <c r="CW102" s="16" t="n">
        <f aca="false">CV103</f>
        <v>0</v>
      </c>
      <c r="CX102" s="16" t="n">
        <f aca="false">CW103</f>
        <v>0</v>
      </c>
    </row>
    <row r="103" customFormat="false" ht="15" hidden="false" customHeight="false" outlineLevel="0" collapsed="false">
      <c r="A103" s="1" t="n">
        <f aca="false">A102+1</f>
        <v>100</v>
      </c>
      <c r="B103" s="16" t="n">
        <f aca="false">B102</f>
        <v>0</v>
      </c>
      <c r="C103" s="16" t="n">
        <f aca="false">B104</f>
        <v>0</v>
      </c>
      <c r="D103" s="16" t="n">
        <f aca="false">C104</f>
        <v>0</v>
      </c>
      <c r="E103" s="16" t="n">
        <f aca="false">D104</f>
        <v>0</v>
      </c>
      <c r="F103" s="16" t="n">
        <f aca="false">E104</f>
        <v>0</v>
      </c>
      <c r="G103" s="16" t="n">
        <f aca="false">F104</f>
        <v>0</v>
      </c>
      <c r="H103" s="16" t="n">
        <f aca="false">G104</f>
        <v>0</v>
      </c>
      <c r="I103" s="16" t="n">
        <f aca="false">H104</f>
        <v>0</v>
      </c>
      <c r="J103" s="16" t="n">
        <f aca="false">I104</f>
        <v>0</v>
      </c>
      <c r="K103" s="16" t="n">
        <f aca="false">J104</f>
        <v>0</v>
      </c>
      <c r="L103" s="16" t="n">
        <f aca="false">K104</f>
        <v>0</v>
      </c>
      <c r="M103" s="16" t="n">
        <f aca="false">L104</f>
        <v>0</v>
      </c>
      <c r="N103" s="16" t="n">
        <f aca="false">M104</f>
        <v>0</v>
      </c>
      <c r="O103" s="16" t="n">
        <f aca="false">N104</f>
        <v>0</v>
      </c>
      <c r="P103" s="16" t="n">
        <f aca="false">O104</f>
        <v>0</v>
      </c>
      <c r="Q103" s="16" t="n">
        <f aca="false">P104</f>
        <v>0</v>
      </c>
      <c r="R103" s="16" t="n">
        <f aca="false">Q104</f>
        <v>0</v>
      </c>
      <c r="S103" s="16" t="n">
        <f aca="false">R104</f>
        <v>0</v>
      </c>
      <c r="T103" s="16" t="n">
        <f aca="false">S104</f>
        <v>0</v>
      </c>
      <c r="U103" s="16" t="n">
        <f aca="false">T104</f>
        <v>0</v>
      </c>
      <c r="V103" s="16" t="n">
        <f aca="false">U104</f>
        <v>0</v>
      </c>
      <c r="W103" s="16" t="n">
        <f aca="false">V104</f>
        <v>0</v>
      </c>
      <c r="X103" s="16" t="n">
        <f aca="false">W104</f>
        <v>0</v>
      </c>
      <c r="Y103" s="16" t="n">
        <f aca="false">X104</f>
        <v>0</v>
      </c>
      <c r="Z103" s="16" t="n">
        <f aca="false">Y104</f>
        <v>0</v>
      </c>
      <c r="AA103" s="16" t="n">
        <f aca="false">Z104</f>
        <v>0</v>
      </c>
      <c r="AB103" s="16" t="n">
        <f aca="false">AA104</f>
        <v>0</v>
      </c>
      <c r="AC103" s="16" t="n">
        <f aca="false">AB104</f>
        <v>0</v>
      </c>
      <c r="AD103" s="16" t="n">
        <f aca="false">AC104</f>
        <v>0</v>
      </c>
      <c r="AE103" s="16" t="n">
        <f aca="false">AD104</f>
        <v>0</v>
      </c>
      <c r="AF103" s="16" t="n">
        <f aca="false">AE104</f>
        <v>0</v>
      </c>
      <c r="AG103" s="16" t="n">
        <f aca="false">AF104</f>
        <v>0</v>
      </c>
      <c r="AH103" s="16" t="n">
        <f aca="false">AG104</f>
        <v>0</v>
      </c>
      <c r="AI103" s="16" t="n">
        <f aca="false">AH104</f>
        <v>0</v>
      </c>
      <c r="AJ103" s="16" t="n">
        <f aca="false">AI104</f>
        <v>0</v>
      </c>
      <c r="AK103" s="16" t="n">
        <f aca="false">AJ104</f>
        <v>0</v>
      </c>
      <c r="AL103" s="16" t="n">
        <f aca="false">AK104</f>
        <v>0</v>
      </c>
      <c r="AM103" s="16" t="n">
        <f aca="false">AL104</f>
        <v>0</v>
      </c>
      <c r="AN103" s="16" t="n">
        <f aca="false">AM104</f>
        <v>0</v>
      </c>
      <c r="AO103" s="16" t="n">
        <f aca="false">AN104</f>
        <v>0</v>
      </c>
      <c r="AP103" s="16" t="n">
        <f aca="false">AO104</f>
        <v>0</v>
      </c>
      <c r="AQ103" s="16" t="n">
        <f aca="false">AP104</f>
        <v>0</v>
      </c>
      <c r="AR103" s="16" t="n">
        <f aca="false">AQ104</f>
        <v>0</v>
      </c>
      <c r="AS103" s="16" t="n">
        <f aca="false">AR104</f>
        <v>0</v>
      </c>
      <c r="AT103" s="16" t="n">
        <f aca="false">AS104</f>
        <v>0</v>
      </c>
      <c r="AU103" s="16" t="n">
        <f aca="false">AT104</f>
        <v>0</v>
      </c>
      <c r="AV103" s="16" t="n">
        <f aca="false">AU104</f>
        <v>0</v>
      </c>
      <c r="AW103" s="16" t="n">
        <f aca="false">AV104</f>
        <v>0</v>
      </c>
      <c r="AX103" s="16" t="n">
        <f aca="false">AW104</f>
        <v>0</v>
      </c>
      <c r="AY103" s="16" t="n">
        <f aca="false">AX104</f>
        <v>0</v>
      </c>
      <c r="AZ103" s="16" t="n">
        <f aca="false">AY104</f>
        <v>0</v>
      </c>
      <c r="BA103" s="16" t="n">
        <f aca="false">AZ104</f>
        <v>0</v>
      </c>
      <c r="BB103" s="16" t="n">
        <f aca="false">BA104</f>
        <v>0</v>
      </c>
      <c r="BC103" s="16" t="n">
        <f aca="false">BB104</f>
        <v>0</v>
      </c>
      <c r="BD103" s="16" t="n">
        <f aca="false">BC104</f>
        <v>0</v>
      </c>
      <c r="BE103" s="16" t="n">
        <f aca="false">BD104</f>
        <v>0</v>
      </c>
      <c r="BF103" s="16" t="n">
        <f aca="false">BE104</f>
        <v>0</v>
      </c>
      <c r="BG103" s="16" t="n">
        <f aca="false">BF104</f>
        <v>0</v>
      </c>
      <c r="BH103" s="16" t="n">
        <f aca="false">BG104</f>
        <v>0</v>
      </c>
      <c r="BI103" s="16" t="n">
        <f aca="false">BH104</f>
        <v>0</v>
      </c>
      <c r="BJ103" s="16" t="n">
        <f aca="false">BI104</f>
        <v>0</v>
      </c>
      <c r="BK103" s="16" t="n">
        <f aca="false">BJ104</f>
        <v>0</v>
      </c>
      <c r="BL103" s="16" t="n">
        <f aca="false">BK104</f>
        <v>0</v>
      </c>
      <c r="BM103" s="16" t="n">
        <f aca="false">BL104</f>
        <v>0</v>
      </c>
      <c r="BN103" s="16" t="n">
        <f aca="false">BM104</f>
        <v>0</v>
      </c>
      <c r="BO103" s="16" t="n">
        <f aca="false">BN104</f>
        <v>0</v>
      </c>
      <c r="BP103" s="16" t="n">
        <f aca="false">BO104</f>
        <v>0</v>
      </c>
      <c r="BQ103" s="16" t="n">
        <f aca="false">BP104</f>
        <v>0</v>
      </c>
      <c r="BR103" s="16" t="n">
        <f aca="false">BQ104</f>
        <v>0</v>
      </c>
      <c r="BS103" s="16" t="n">
        <f aca="false">BR104</f>
        <v>0</v>
      </c>
      <c r="BT103" s="16" t="n">
        <f aca="false">BS104</f>
        <v>0</v>
      </c>
      <c r="BU103" s="16" t="n">
        <f aca="false">BT104</f>
        <v>0</v>
      </c>
      <c r="BV103" s="16" t="n">
        <f aca="false">BU104</f>
        <v>0</v>
      </c>
      <c r="BW103" s="16" t="n">
        <f aca="false">BV104</f>
        <v>0</v>
      </c>
      <c r="BX103" s="16" t="n">
        <f aca="false">BW104</f>
        <v>0</v>
      </c>
      <c r="BY103" s="16" t="n">
        <f aca="false">BX104</f>
        <v>0</v>
      </c>
      <c r="BZ103" s="16" t="n">
        <f aca="false">BY104</f>
        <v>0</v>
      </c>
      <c r="CA103" s="16" t="n">
        <f aca="false">BZ104</f>
        <v>0</v>
      </c>
      <c r="CB103" s="16" t="n">
        <f aca="false">CA104</f>
        <v>0</v>
      </c>
      <c r="CC103" s="16" t="n">
        <f aca="false">CB104</f>
        <v>0</v>
      </c>
      <c r="CD103" s="16" t="n">
        <f aca="false">CC104</f>
        <v>0</v>
      </c>
      <c r="CE103" s="16" t="n">
        <f aca="false">CD104</f>
        <v>0</v>
      </c>
      <c r="CF103" s="16" t="n">
        <f aca="false">CE104</f>
        <v>0</v>
      </c>
      <c r="CG103" s="16" t="n">
        <f aca="false">CF104</f>
        <v>0</v>
      </c>
      <c r="CH103" s="16" t="n">
        <f aca="false">CG104</f>
        <v>0</v>
      </c>
      <c r="CI103" s="16" t="n">
        <f aca="false">CH104</f>
        <v>0</v>
      </c>
      <c r="CJ103" s="16" t="n">
        <f aca="false">CI104</f>
        <v>0</v>
      </c>
      <c r="CK103" s="16" t="n">
        <f aca="false">CJ104</f>
        <v>0</v>
      </c>
      <c r="CL103" s="16" t="n">
        <f aca="false">CK104</f>
        <v>0</v>
      </c>
      <c r="CM103" s="16" t="n">
        <f aca="false">CL104</f>
        <v>0</v>
      </c>
      <c r="CN103" s="16" t="n">
        <f aca="false">CM104</f>
        <v>0</v>
      </c>
      <c r="CO103" s="16" t="n">
        <f aca="false">CN104</f>
        <v>0</v>
      </c>
      <c r="CP103" s="16" t="n">
        <f aca="false">CO104</f>
        <v>0</v>
      </c>
      <c r="CQ103" s="16" t="n">
        <f aca="false">CP104</f>
        <v>0</v>
      </c>
      <c r="CR103" s="16" t="n">
        <f aca="false">CQ104</f>
        <v>0</v>
      </c>
      <c r="CS103" s="16" t="n">
        <f aca="false">CR104</f>
        <v>0</v>
      </c>
      <c r="CT103" s="16" t="n">
        <f aca="false">CS104</f>
        <v>0</v>
      </c>
      <c r="CU103" s="16" t="n">
        <f aca="false">CT104</f>
        <v>0</v>
      </c>
      <c r="CV103" s="16" t="n">
        <f aca="false">CU104</f>
        <v>0</v>
      </c>
      <c r="CW103" s="16" t="n">
        <f aca="false">CV104</f>
        <v>0</v>
      </c>
      <c r="CX103" s="16" t="n">
        <f aca="false">CW104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1"/>
    <col collapsed="false" customWidth="true" hidden="false" outlineLevel="0" max="3" min="3" style="1" width="13.82"/>
    <col collapsed="false" customWidth="true" hidden="false" outlineLevel="0" max="4" min="4" style="1" width="10.45"/>
    <col collapsed="false" customWidth="true" hidden="false" outlineLevel="0" max="5" min="5" style="1" width="13.73"/>
    <col collapsed="false" customWidth="true" hidden="false" outlineLevel="0" max="6" min="6" style="1" width="11.54"/>
    <col collapsed="false" customWidth="true" hidden="false" outlineLevel="0" max="7" min="7" style="1" width="12.18"/>
    <col collapsed="false" customWidth="true" hidden="false" outlineLevel="0" max="8" min="8" style="1" width="16.45"/>
    <col collapsed="false" customWidth="true" hidden="false" outlineLevel="0" max="9" min="9" style="1" width="13.45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.54"/>
    <col collapsed="false" customWidth="true" hidden="false" outlineLevel="0" max="14" min="14" style="1" width="25.82"/>
    <col collapsed="false" customWidth="true" hidden="false" outlineLevel="0" max="16" min="15" style="1" width="17.45"/>
    <col collapsed="false" customWidth="true" hidden="false" outlineLevel="0" max="17" min="17" style="1" width="17.73"/>
    <col collapsed="false" customWidth="true" hidden="false" outlineLevel="0" max="18" min="18" style="1" width="12.18"/>
    <col collapsed="false" customWidth="true" hidden="false" outlineLevel="0" max="19" min="19" style="1" width="19.54"/>
    <col collapsed="false" customWidth="true" hidden="false" outlineLevel="0" max="20" min="20" style="1" width="22.73"/>
    <col collapsed="false" customWidth="true" hidden="false" outlineLevel="0" max="21" min="21" style="1" width="22.82"/>
    <col collapsed="false" customWidth="true" hidden="false" outlineLevel="0" max="22" min="22" style="1" width="19"/>
    <col collapsed="false" customWidth="true" hidden="false" outlineLevel="0" max="23" min="23" style="1" width="16.54"/>
    <col collapsed="false" customWidth="true" hidden="false" outlineLevel="0" max="24" min="24" style="1" width="17.27"/>
    <col collapsed="false" customWidth="true" hidden="false" outlineLevel="0" max="25" min="25" style="1" width="23.82"/>
    <col collapsed="false" customWidth="true" hidden="false" outlineLevel="0" max="26" min="26" style="1" width="14.45"/>
    <col collapsed="false" customWidth="true" hidden="false" outlineLevel="0" max="27" min="27" style="1" width="13.73"/>
    <col collapsed="false" customWidth="true" hidden="false" outlineLevel="0" max="28" min="28" style="1" width="18.54"/>
    <col collapsed="false" customWidth="true" hidden="false" outlineLevel="0" max="29" min="29" style="1" width="45"/>
  </cols>
  <sheetData>
    <row r="1" customFormat="false" ht="15" hidden="false" customHeight="false" outlineLevel="0" collapsed="false">
      <c r="A1" s="1" t="s">
        <v>130</v>
      </c>
      <c r="B1" s="1" t="s">
        <v>96</v>
      </c>
      <c r="C1" s="1" t="s">
        <v>131</v>
      </c>
      <c r="D1" s="1" t="s">
        <v>98</v>
      </c>
      <c r="E1" s="1" t="s">
        <v>116</v>
      </c>
      <c r="F1" s="3" t="s">
        <v>132</v>
      </c>
      <c r="G1" s="3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5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1" t="s">
        <v>155</v>
      </c>
    </row>
    <row r="2" customFormat="false" ht="15" hidden="false" customHeight="false" outlineLevel="0" collapsed="false">
      <c r="A2" s="1" t="n">
        <f aca="false">IF(Inputs!$B$7&gt;MAX(MORTALITY!$A:$A),"",Inputs!$B$4)</f>
        <v>34</v>
      </c>
      <c r="B2" s="3" t="n">
        <f aca="false">IF(A2="","",Inputs!$B$11)</f>
        <v>21706</v>
      </c>
      <c r="C2" s="1" t="n">
        <f aca="false">IF(A2="","",0)</f>
        <v>0</v>
      </c>
      <c r="D2" s="1" t="n">
        <f aca="false">IF(A2="","",INT(C2/12))</f>
        <v>0</v>
      </c>
      <c r="E2" s="1" t="n">
        <f aca="false">IF(A2="","",D2+Inputs!$B$7)</f>
        <v>16</v>
      </c>
      <c r="F2" s="3" t="n">
        <f aca="false">IF(A2="","",DATE(YEAR(B$2)+D2,MONTH(B$2),DAY(B$2)))</f>
        <v>21706</v>
      </c>
      <c r="G2" s="3" t="n">
        <f aca="false">IF(A2="","",DATE(YEAR(F2)+1,MONTH(F2),DAY(F2)))</f>
        <v>22072</v>
      </c>
      <c r="H2" s="10" t="n">
        <f aca="false">IF(A2="","",IF(G2&gt;F2,(B2-F2)/(G2-F2),0))</f>
        <v>0</v>
      </c>
      <c r="I2" s="10" t="n">
        <f aca="false">IF(A2="","",IFERROR(INDEX(CV_RATES!$I:$I,MATCH(D2,CV_RATES!$C:$C,0)),0))</f>
        <v>0</v>
      </c>
      <c r="J2" s="10" t="n">
        <f aca="false">IF(A2="","",IFERROR(IF(E2=MAX(MORTALITY!$A:$A),1000,INDEX(CV_RATES!$J:$J,MATCH(D2,CV_RATES!$C:$C,0))),0))</f>
        <v>25.0036675961215</v>
      </c>
      <c r="K2" s="10" t="n">
        <f aca="false">IF(A2="","",IFERROR(I2+H2*(J2-I2),0))</f>
        <v>0</v>
      </c>
      <c r="L2" s="10" t="n">
        <f aca="false">IF(A2="","",IFERROR(K2*Inputs!$B$9,0))</f>
        <v>0</v>
      </c>
      <c r="M2" s="10" t="n">
        <f aca="false">IF(A2="","",IFERROR(K2*Inputs!$B$10,0))</f>
        <v>0</v>
      </c>
      <c r="N2" s="10" t="n">
        <f aca="false">IF(A2="","",0)</f>
        <v>0</v>
      </c>
      <c r="O2" s="6" t="n">
        <f aca="false">IF(A2="","",Inputs!$B$18+N2)</f>
        <v>50000</v>
      </c>
      <c r="P2" s="5" t="n">
        <f aca="false">IF(A2="","",VLOOKUP(D2,DIvidend_Assumption!$A$3:$CX$103,($E$2+2),0)/12)</f>
        <v>0</v>
      </c>
      <c r="Q2" s="10" t="n">
        <f aca="false">IF(A2="","",0)</f>
        <v>0</v>
      </c>
      <c r="R2" s="10" t="n">
        <f aca="false">IF(A2="","",IFERROR(IF(Inputs!$B$22="Accumulate",T2+Q2,IF(Inputs!$B$22="Premium Offset",MAX(0,T2+Q2-Inputs!$B$25),T2)),""))</f>
        <v>0</v>
      </c>
      <c r="S2" s="10" t="n">
        <f aca="false">IF(A2="","",0)</f>
        <v>0</v>
      </c>
      <c r="T2" s="10" t="n">
        <f aca="false">IF(A2="","",IFERROR(S2*(1+Inputs!$B$23/12),""))</f>
        <v>0</v>
      </c>
      <c r="U2" s="6" t="n">
        <f aca="false">IF(A2="","",IF(D2&lt;=Inputs!$B$8,IF(Inputs!$B$22="Premium Offset",MAX(0,Inputs!$B$25-(Q2+T2)),Inputs!$B$25),0))</f>
        <v>77</v>
      </c>
      <c r="V2" s="10" t="n">
        <f aca="false">IF(A2="","",IF(Inputs!$B$22="Cash",Q2,0))</f>
        <v>0</v>
      </c>
      <c r="W2" s="10" t="n">
        <f aca="false">IF(A2="","",IF(Inputs!$B$22="PUA",Q2,0))</f>
        <v>0</v>
      </c>
      <c r="X2" s="12" t="n">
        <f aca="false">IF(A2="","",IFERROR(INDEX(PUA_TABLE!$D$4:$D$105,MATCH(E2,PUA_TABLE!$C$4:$C$105,1)),0))</f>
        <v>0.312571629017049</v>
      </c>
      <c r="Y2" s="10" t="n">
        <f aca="false">IF(A2="","",IF(W2&gt;0,IF(X2&gt;0,W2/X2,0),0))</f>
        <v>0</v>
      </c>
      <c r="Z2" s="10" t="n">
        <f aca="false">IF(A2="","",N2+Y2)</f>
        <v>0</v>
      </c>
      <c r="AA2" s="10" t="n">
        <f aca="false">IF(A2="","",IFERROR(W2,0))</f>
        <v>0</v>
      </c>
      <c r="AB2" s="10" t="n">
        <f aca="false">IF(A2="","",IFERROR(L2+AA2,0))</f>
        <v>0</v>
      </c>
      <c r="AC2" s="10" t="n">
        <f aca="false">IF(A2="","",IF(Inputs!$B$22="Premium Offset",MIN(Inputs!$B$25,Q2+T2),0))</f>
        <v>0</v>
      </c>
    </row>
    <row r="3" customFormat="false" ht="15" hidden="false" customHeight="false" outlineLevel="0" collapsed="false">
      <c r="A3" s="1" t="n">
        <f aca="false">IF(A2="","",IF(INT((C2+1)/12)+Inputs!$B$7&gt;MAX(MORTALITY!$A:$A),"",Inputs!$B$4))</f>
        <v>34</v>
      </c>
      <c r="B3" s="3" t="n">
        <f aca="false">IF(A3="","",EOMONTH(B2,1))</f>
        <v>21762</v>
      </c>
      <c r="C3" s="1" t="n">
        <f aca="false">IF(A3="","",C2+1)</f>
        <v>1</v>
      </c>
      <c r="D3" s="1" t="n">
        <f aca="false">IF(A3="","",INT(C3/12))</f>
        <v>0</v>
      </c>
      <c r="E3" s="1" t="n">
        <f aca="false">IF(A3="","",D3+Inputs!$B$7)</f>
        <v>16</v>
      </c>
      <c r="F3" s="3" t="n">
        <f aca="false">IF(A3="","",DATE(YEAR(B$2)+D3,MONTH(B$2),DAY(B$2)))</f>
        <v>21706</v>
      </c>
      <c r="G3" s="3" t="n">
        <f aca="false">IF(A3="","",DATE(YEAR(F3)+1,MONTH(F3),DAY(F3)))</f>
        <v>22072</v>
      </c>
      <c r="H3" s="10" t="n">
        <f aca="false">IF(A3="","",IF(G3&gt;F3,(B3-F3)/(G3-F3),0))</f>
        <v>0.153005464480874</v>
      </c>
      <c r="I3" s="10" t="n">
        <f aca="false">IF(A3="","",IFERROR(INDEX(CV_RATES!$I:$I,MATCH(D3,CV_RATES!$C:$C,0)),0))</f>
        <v>0</v>
      </c>
      <c r="J3" s="10" t="n">
        <f aca="false">IF(A3="","",IFERROR(IF(E3=MAX(MORTALITY!$A:$A),1000,INDEX(CV_RATES!$J:$J,MATCH(D3,CV_RATES!$C:$C,0))),0))</f>
        <v>25.0036675961215</v>
      </c>
      <c r="K3" s="10" t="n">
        <f aca="false">IF(A3="","",IFERROR(I3+H3*(J3-I3),0))</f>
        <v>3.82569777426996</v>
      </c>
      <c r="L3" s="10" t="n">
        <f aca="false">IF(A3="","",IFERROR(K3*Inputs!$B$9,0))</f>
        <v>191.284888713498</v>
      </c>
      <c r="M3" s="10" t="n">
        <f aca="false">IF(A3="","",IFERROR(K3*Inputs!$B$10,0))</f>
        <v>612.10016678987</v>
      </c>
      <c r="N3" s="10" t="n">
        <f aca="false">IF(A3="","",Z2)</f>
        <v>0</v>
      </c>
      <c r="O3" s="6" t="n">
        <f aca="false">IF(A3="","",Inputs!$B$18+N3)</f>
        <v>50000</v>
      </c>
      <c r="P3" s="5" t="n">
        <f aca="false">IF(A3="","",VLOOKUP(D3,DIvidend_Assumption!$A$3:$CX$103,($E$2+2),0)/12)</f>
        <v>0</v>
      </c>
      <c r="Q3" s="10" t="n">
        <f aca="false">IF(A3="","",IFERROR(AB2*P3,""))</f>
        <v>0</v>
      </c>
      <c r="R3" s="10" t="n">
        <f aca="false">IF(A3="","",IFERROR(IF(Inputs!$B$22="Accumulate",T3+Q3,IF(Inputs!$B$22="Premium Offset",MAX(0,T3+Q3-Inputs!$B$25),T3)),""))</f>
        <v>0</v>
      </c>
      <c r="S3" s="10" t="n">
        <f aca="false">IF(A3="","",R2)</f>
        <v>0</v>
      </c>
      <c r="T3" s="10" t="n">
        <f aca="false">IF(A3="","",IFERROR(S3*(1+Inputs!$B$23/12),""))</f>
        <v>0</v>
      </c>
      <c r="U3" s="6" t="n">
        <f aca="false">IF(A3="","",IF(D3&lt;=Inputs!$B$8,IF(Inputs!$B$22="Premium Offset",MAX(0,Inputs!$B$25-(Q3+T3)),Inputs!$B$25),0))</f>
        <v>77</v>
      </c>
      <c r="V3" s="10" t="n">
        <f aca="false">IF(A3="","",IF(Inputs!$B$22="Cash",Q3,0))</f>
        <v>0</v>
      </c>
      <c r="W3" s="10" t="n">
        <f aca="false">IF(A3="","",IF(Inputs!$B$22="PUA",Q3,0))</f>
        <v>0</v>
      </c>
      <c r="X3" s="12" t="n">
        <f aca="false">IF(A3="","",IFERROR(INDEX(PUA_TABLE!$D$4:$D$105,MATCH(E3,PUA_TABLE!$C$4:$C$105,1)),0))</f>
        <v>0.312571629017049</v>
      </c>
      <c r="Y3" s="10" t="n">
        <f aca="false">IF(A3="","",IF(W3&gt;0,IF(X3&gt;0,W3/X3,0),0))</f>
        <v>0</v>
      </c>
      <c r="Z3" s="10" t="n">
        <f aca="false">IF(A3="","",N3+Y3)</f>
        <v>0</v>
      </c>
      <c r="AA3" s="10" t="n">
        <f aca="false">IF(A3="","",IFERROR(Z3*INDEX(PUA_TABLE!$I$4:$I$105,MATCH(E3,PUA_TABLE!$C$4:$C$105,1))/1000,0))</f>
        <v>0</v>
      </c>
      <c r="AB3" s="10" t="n">
        <f aca="false">IF(A3="","",IFERROR(L3+AA3,0))</f>
        <v>191.284888713498</v>
      </c>
      <c r="AC3" s="10" t="n">
        <f aca="false">IF(A3="","",IF(Inputs!$B$22="Premium Offset",MIN(Inputs!$B$25,Q3+T3),0))</f>
        <v>0</v>
      </c>
    </row>
    <row r="4" customFormat="false" ht="15" hidden="false" customHeight="false" outlineLevel="0" collapsed="false">
      <c r="A4" s="1" t="n">
        <f aca="false">IF(A3="","",IF(INT((C3+1)/12)+Inputs!$B$7&gt;MAX(MORTALITY!$A:$A),"",Inputs!$B$4))</f>
        <v>34</v>
      </c>
      <c r="B4" s="3" t="n">
        <f aca="false">IF(A4="","",EOMONTH(B3,1))</f>
        <v>21793</v>
      </c>
      <c r="C4" s="1" t="n">
        <f aca="false">IF(A4="","",C3+1)</f>
        <v>2</v>
      </c>
      <c r="D4" s="1" t="n">
        <f aca="false">IF(A4="","",INT(C4/12))</f>
        <v>0</v>
      </c>
      <c r="E4" s="1" t="n">
        <f aca="false">IF(A4="","",D4+Inputs!$B$7)</f>
        <v>16</v>
      </c>
      <c r="F4" s="3" t="n">
        <f aca="false">IF(A4="","",DATE(YEAR(B$2)+D4,MONTH(B$2),DAY(B$2)))</f>
        <v>21706</v>
      </c>
      <c r="G4" s="3" t="n">
        <f aca="false">IF(A4="","",DATE(YEAR(F4)+1,MONTH(F4),DAY(F4)))</f>
        <v>22072</v>
      </c>
      <c r="H4" s="10" t="n">
        <f aca="false">IF(A4="","",IF(G4&gt;F4,(B4-F4)/(G4-F4),0))</f>
        <v>0.237704918032787</v>
      </c>
      <c r="I4" s="10" t="n">
        <f aca="false">IF(A4="","",IFERROR(INDEX(CV_RATES!$I:$I,MATCH(D4,CV_RATES!$C:$C,0)),0))</f>
        <v>0</v>
      </c>
      <c r="J4" s="10" t="n">
        <f aca="false">IF(A4="","",IFERROR(IF(E4=MAX(MORTALITY!$A:$A),1000,INDEX(CV_RATES!$J:$J,MATCH(D4,CV_RATES!$C:$C,0))),0))</f>
        <v>25.0036675961215</v>
      </c>
      <c r="K4" s="10" t="n">
        <f aca="false">IF(A4="","",IFERROR(I4+H4*(J4-I4),0))</f>
        <v>5.94349475645511</v>
      </c>
      <c r="L4" s="10" t="n">
        <f aca="false">IF(A4="","",IFERROR(K4*Inputs!$B$9,0))</f>
        <v>297.174737822755</v>
      </c>
      <c r="M4" s="10" t="n">
        <f aca="false">IF(A4="","",IFERROR(K4*Inputs!$B$10,0))</f>
        <v>950.941330548548</v>
      </c>
      <c r="N4" s="10" t="n">
        <f aca="false">IF(A4="","",Z3)</f>
        <v>0</v>
      </c>
      <c r="O4" s="6" t="n">
        <f aca="false">IF(A4="","",Inputs!$B$18+N4)</f>
        <v>50000</v>
      </c>
      <c r="P4" s="5" t="n">
        <f aca="false">IF(A4="","",VLOOKUP(D4,DIvidend_Assumption!$A$3:$CX$103,($E$2+2),0)/12)</f>
        <v>0</v>
      </c>
      <c r="Q4" s="10" t="n">
        <f aca="false">IF(A4="","",IFERROR(AB3*P4,""))</f>
        <v>0</v>
      </c>
      <c r="R4" s="10" t="n">
        <f aca="false">IF(A4="","",IFERROR(IF(Inputs!$B$22="Accumulate",T4+Q4,IF(Inputs!$B$22="Premium Offset",MAX(0,T4+Q4-Inputs!$B$25),T4)),""))</f>
        <v>0</v>
      </c>
      <c r="S4" s="10" t="n">
        <f aca="false">IF(A4="","",R3)</f>
        <v>0</v>
      </c>
      <c r="T4" s="10" t="n">
        <f aca="false">IF(A4="","",IFERROR(S4*(1+Inputs!$B$23/12),""))</f>
        <v>0</v>
      </c>
      <c r="U4" s="6" t="n">
        <f aca="false">IF(A4="","",IF(D4&lt;=Inputs!$B$8,IF(Inputs!$B$22="Premium Offset",MAX(0,Inputs!$B$25-(Q4+T4)),Inputs!$B$25),0))</f>
        <v>77</v>
      </c>
      <c r="V4" s="10" t="n">
        <f aca="false">IF(A4="","",IF(Inputs!$B$22="Cash",Q4,0))</f>
        <v>0</v>
      </c>
      <c r="W4" s="10" t="n">
        <f aca="false">IF(A4="","",IF(Inputs!$B$22="PUA",Q4,0))</f>
        <v>0</v>
      </c>
      <c r="X4" s="12" t="n">
        <f aca="false">IF(A4="","",IFERROR(INDEX(PUA_TABLE!$D$4:$D$105,MATCH(E4,PUA_TABLE!$C$4:$C$105,1)),0))</f>
        <v>0.312571629017049</v>
      </c>
      <c r="Y4" s="10" t="n">
        <f aca="false">IF(A4="","",IF(W4&gt;0,IF(X4&gt;0,W4/X4,0),0))</f>
        <v>0</v>
      </c>
      <c r="Z4" s="10" t="n">
        <f aca="false">IF(A4="","",N4+Y4)</f>
        <v>0</v>
      </c>
      <c r="AA4" s="10" t="n">
        <f aca="false">IF(A4="","",IFERROR(Z4*INDEX(PUA_TABLE!$I$4:$I$105,MATCH(E4,PUA_TABLE!$C$4:$C$105,1))/1000,0))</f>
        <v>0</v>
      </c>
      <c r="AB4" s="10" t="n">
        <f aca="false">IF(A4="","",IFERROR(L4+AA4,0))</f>
        <v>297.174737822755</v>
      </c>
      <c r="AC4" s="10" t="n">
        <f aca="false">IF(A4="","",IF(Inputs!$B$22="Premium Offset",MIN(Inputs!$B$25,Q4+T4),0))</f>
        <v>0</v>
      </c>
    </row>
    <row r="5" customFormat="false" ht="15" hidden="false" customHeight="false" outlineLevel="0" collapsed="false">
      <c r="A5" s="1" t="n">
        <f aca="false">IF(A4="","",IF(INT((C4+1)/12)+Inputs!$B$7&gt;MAX(MORTALITY!$A:$A),"",Inputs!$B$4))</f>
        <v>34</v>
      </c>
      <c r="B5" s="3" t="n">
        <f aca="false">IF(A5="","",EOMONTH(B4,1))</f>
        <v>21823</v>
      </c>
      <c r="C5" s="1" t="n">
        <f aca="false">IF(A5="","",C4+1)</f>
        <v>3</v>
      </c>
      <c r="D5" s="1" t="n">
        <f aca="false">IF(A5="","",INT(C5/12))</f>
        <v>0</v>
      </c>
      <c r="E5" s="1" t="n">
        <f aca="false">IF(A5="","",D5+Inputs!$B$7)</f>
        <v>16</v>
      </c>
      <c r="F5" s="3" t="n">
        <f aca="false">IF(A5="","",DATE(YEAR(B$2)+D5,MONTH(B$2),DAY(B$2)))</f>
        <v>21706</v>
      </c>
      <c r="G5" s="3" t="n">
        <f aca="false">IF(A5="","",DATE(YEAR(F5)+1,MONTH(F5),DAY(F5)))</f>
        <v>22072</v>
      </c>
      <c r="H5" s="10" t="n">
        <f aca="false">IF(A5="","",IF(G5&gt;F5,(B5-F5)/(G5-F5),0))</f>
        <v>0.319672131147541</v>
      </c>
      <c r="I5" s="10" t="n">
        <f aca="false">IF(A5="","",IFERROR(INDEX(CV_RATES!$I:$I,MATCH(D5,CV_RATES!$C:$C,0)),0))</f>
        <v>0</v>
      </c>
      <c r="J5" s="10" t="n">
        <f aca="false">IF(A5="","",IFERROR(IF(E5=MAX(MORTALITY!$A:$A),1000,INDEX(CV_RATES!$J:$J,MATCH(D5,CV_RATES!$C:$C,0))),0))</f>
        <v>25.0036675961215</v>
      </c>
      <c r="K5" s="10" t="n">
        <f aca="false">IF(A5="","",IFERROR(I5+H5*(J5-I5),0))</f>
        <v>7.99297570695687</v>
      </c>
      <c r="L5" s="10" t="n">
        <f aca="false">IF(A5="","",IFERROR(K5*Inputs!$B$9,0))</f>
        <v>399.648785347844</v>
      </c>
      <c r="M5" s="10" t="n">
        <f aca="false">IF(A5="","",IFERROR(K5*Inputs!$B$10,0))</f>
        <v>1278.85213418598</v>
      </c>
      <c r="N5" s="10" t="n">
        <f aca="false">IF(A5="","",Z4)</f>
        <v>0</v>
      </c>
      <c r="O5" s="6" t="n">
        <f aca="false">IF(A5="","",Inputs!$B$18+N5)</f>
        <v>50000</v>
      </c>
      <c r="P5" s="5" t="n">
        <f aca="false">IF(A5="","",VLOOKUP(D5,DIvidend_Assumption!$A$3:$CX$103,($E$2+2),0)/12)</f>
        <v>0</v>
      </c>
      <c r="Q5" s="10" t="n">
        <f aca="false">IF(A5="","",IFERROR(AB4*P5,""))</f>
        <v>0</v>
      </c>
      <c r="R5" s="10" t="n">
        <f aca="false">IF(A5="","",IFERROR(IF(Inputs!$B$22="Accumulate",T5+Q5,IF(Inputs!$B$22="Premium Offset",MAX(0,T5+Q5-Inputs!$B$25),T5)),""))</f>
        <v>0</v>
      </c>
      <c r="S5" s="10" t="n">
        <f aca="false">IF(A5="","",R4)</f>
        <v>0</v>
      </c>
      <c r="T5" s="10" t="n">
        <f aca="false">IF(A5="","",IFERROR(S5*(1+Inputs!$B$23/12),""))</f>
        <v>0</v>
      </c>
      <c r="U5" s="6" t="n">
        <f aca="false">IF(A5="","",IF(D5&lt;=Inputs!$B$8,IF(Inputs!$B$22="Premium Offset",MAX(0,Inputs!$B$25-(Q5+T5)),Inputs!$B$25),0))</f>
        <v>77</v>
      </c>
      <c r="V5" s="10" t="n">
        <f aca="false">IF(A5="","",IF(Inputs!$B$22="Cash",Q5,0))</f>
        <v>0</v>
      </c>
      <c r="W5" s="10" t="n">
        <f aca="false">IF(A5="","",IF(Inputs!$B$22="PUA",Q5,0))</f>
        <v>0</v>
      </c>
      <c r="X5" s="12" t="n">
        <f aca="false">IF(A5="","",IFERROR(INDEX(PUA_TABLE!$D$4:$D$105,MATCH(E5,PUA_TABLE!$C$4:$C$105,1)),0))</f>
        <v>0.312571629017049</v>
      </c>
      <c r="Y5" s="10" t="n">
        <f aca="false">IF(A5="","",IF(W5&gt;0,IF(X5&gt;0,W5/X5,0),0))</f>
        <v>0</v>
      </c>
      <c r="Z5" s="10" t="n">
        <f aca="false">IF(A5="","",N5+Y5)</f>
        <v>0</v>
      </c>
      <c r="AA5" s="10" t="n">
        <f aca="false">IF(A5="","",IFERROR(Z5*INDEX(PUA_TABLE!$I$4:$I$105,MATCH(E5,PUA_TABLE!$C$4:$C$105,1))/1000,0))</f>
        <v>0</v>
      </c>
      <c r="AB5" s="10" t="n">
        <f aca="false">IF(A5="","",IFERROR(L5+AA5,0))</f>
        <v>399.648785347844</v>
      </c>
      <c r="AC5" s="10" t="n">
        <f aca="false">IF(A5="","",IF(Inputs!$B$22="Premium Offset",MIN(Inputs!$B$25,Q5+T5),0))</f>
        <v>0</v>
      </c>
    </row>
    <row r="6" customFormat="false" ht="15" hidden="false" customHeight="false" outlineLevel="0" collapsed="false">
      <c r="A6" s="1" t="n">
        <f aca="false">IF(A5="","",IF(INT((C5+1)/12)+Inputs!$B$7&gt;MAX(MORTALITY!$A:$A),"",Inputs!$B$4))</f>
        <v>34</v>
      </c>
      <c r="B6" s="3" t="n">
        <f aca="false">IF(A6="","",EOMONTH(B5,1))</f>
        <v>21854</v>
      </c>
      <c r="C6" s="1" t="n">
        <f aca="false">IF(A6="","",C5+1)</f>
        <v>4</v>
      </c>
      <c r="D6" s="1" t="n">
        <f aca="false">IF(A6="","",INT(C6/12))</f>
        <v>0</v>
      </c>
      <c r="E6" s="1" t="n">
        <f aca="false">IF(A6="","",D6+Inputs!$B$7)</f>
        <v>16</v>
      </c>
      <c r="F6" s="3" t="n">
        <f aca="false">IF(A6="","",DATE(YEAR(B$2)+D6,MONTH(B$2),DAY(B$2)))</f>
        <v>21706</v>
      </c>
      <c r="G6" s="3" t="n">
        <f aca="false">IF(A6="","",DATE(YEAR(F6)+1,MONTH(F6),DAY(F6)))</f>
        <v>22072</v>
      </c>
      <c r="H6" s="10" t="n">
        <f aca="false">IF(A6="","",IF(G6&gt;F6,(B6-F6)/(G6-F6),0))</f>
        <v>0.404371584699454</v>
      </c>
      <c r="I6" s="10" t="n">
        <f aca="false">IF(A6="","",IFERROR(INDEX(CV_RATES!$I:$I,MATCH(D6,CV_RATES!$C:$C,0)),0))</f>
        <v>0</v>
      </c>
      <c r="J6" s="10" t="n">
        <f aca="false">IF(A6="","",IFERROR(IF(E6=MAX(MORTALITY!$A:$A),1000,INDEX(CV_RATES!$J:$J,MATCH(D6,CV_RATES!$C:$C,0))),0))</f>
        <v>25.0036675961215</v>
      </c>
      <c r="K6" s="10" t="n">
        <f aca="false">IF(A6="","",IFERROR(I6+H6*(J6-I6),0))</f>
        <v>10.110772689142</v>
      </c>
      <c r="L6" s="10" t="n">
        <f aca="false">IF(A6="","",IFERROR(K6*Inputs!$B$9,0))</f>
        <v>505.538634457101</v>
      </c>
      <c r="M6" s="10" t="n">
        <f aca="false">IF(A6="","",IFERROR(K6*Inputs!$B$10,0))</f>
        <v>1617.69329794466</v>
      </c>
      <c r="N6" s="10" t="n">
        <f aca="false">IF(A6="","",Z5)</f>
        <v>0</v>
      </c>
      <c r="O6" s="6" t="n">
        <f aca="false">IF(A6="","",Inputs!$B$18+N6)</f>
        <v>50000</v>
      </c>
      <c r="P6" s="5" t="n">
        <f aca="false">IF(A6="","",VLOOKUP(D6,DIvidend_Assumption!$A$3:$CX$103,($E$2+2),0)/12)</f>
        <v>0</v>
      </c>
      <c r="Q6" s="10" t="n">
        <f aca="false">IF(A6="","",IFERROR(AB5*P6,""))</f>
        <v>0</v>
      </c>
      <c r="R6" s="10" t="n">
        <f aca="false">IF(A6="","",IFERROR(IF(Inputs!$B$22="Accumulate",T6+Q6,IF(Inputs!$B$22="Premium Offset",MAX(0,T6+Q6-Inputs!$B$25),T6)),""))</f>
        <v>0</v>
      </c>
      <c r="S6" s="10" t="n">
        <f aca="false">IF(A6="","",R5)</f>
        <v>0</v>
      </c>
      <c r="T6" s="10" t="n">
        <f aca="false">IF(A6="","",IFERROR(S6*(1+Inputs!$B$23/12),""))</f>
        <v>0</v>
      </c>
      <c r="U6" s="6" t="n">
        <f aca="false">IF(A6="","",IF(D6&lt;=Inputs!$B$8,IF(Inputs!$B$22="Premium Offset",MAX(0,Inputs!$B$25-(Q6+T6)),Inputs!$B$25),0))</f>
        <v>77</v>
      </c>
      <c r="V6" s="10" t="n">
        <f aca="false">IF(A6="","",IF(Inputs!$B$22="Cash",Q6,0))</f>
        <v>0</v>
      </c>
      <c r="W6" s="10" t="n">
        <f aca="false">IF(A6="","",IF(Inputs!$B$22="PUA",Q6,0))</f>
        <v>0</v>
      </c>
      <c r="X6" s="12" t="n">
        <f aca="false">IF(A6="","",IFERROR(INDEX(PUA_TABLE!$D$4:$D$105,MATCH(E6,PUA_TABLE!$C$4:$C$105,1)),0))</f>
        <v>0.312571629017049</v>
      </c>
      <c r="Y6" s="10" t="n">
        <f aca="false">IF(A6="","",IF(W6&gt;0,IF(X6&gt;0,W6/X6,0),0))</f>
        <v>0</v>
      </c>
      <c r="Z6" s="10" t="n">
        <f aca="false">IF(A6="","",N6+Y6)</f>
        <v>0</v>
      </c>
      <c r="AA6" s="10" t="n">
        <f aca="false">IF(A6="","",IFERROR(Z6*INDEX(PUA_TABLE!$I$4:$I$105,MATCH(E6,PUA_TABLE!$C$4:$C$105,1))/1000,0))</f>
        <v>0</v>
      </c>
      <c r="AB6" s="10" t="n">
        <f aca="false">IF(A6="","",IFERROR(L6+AA6,0))</f>
        <v>505.538634457101</v>
      </c>
      <c r="AC6" s="10" t="n">
        <f aca="false">IF(A6="","",IF(Inputs!$B$22="Premium Offset",MIN(Inputs!$B$25,Q6+T6),0))</f>
        <v>0</v>
      </c>
    </row>
    <row r="7" customFormat="false" ht="15" hidden="false" customHeight="false" outlineLevel="0" collapsed="false">
      <c r="A7" s="1" t="n">
        <f aca="false">IF(A6="","",IF(INT((C6+1)/12)+Inputs!$B$7&gt;MAX(MORTALITY!$A:$A),"",Inputs!$B$4))</f>
        <v>34</v>
      </c>
      <c r="B7" s="3" t="n">
        <f aca="false">IF(A7="","",EOMONTH(B6,1))</f>
        <v>21884</v>
      </c>
      <c r="C7" s="1" t="n">
        <f aca="false">IF(A7="","",C6+1)</f>
        <v>5</v>
      </c>
      <c r="D7" s="1" t="n">
        <f aca="false">IF(A7="","",INT(C7/12))</f>
        <v>0</v>
      </c>
      <c r="E7" s="1" t="n">
        <f aca="false">IF(A7="","",D7+Inputs!$B$7)</f>
        <v>16</v>
      </c>
      <c r="F7" s="3" t="n">
        <f aca="false">IF(A7="","",DATE(YEAR(B$2)+D7,MONTH(B$2),DAY(B$2)))</f>
        <v>21706</v>
      </c>
      <c r="G7" s="3" t="n">
        <f aca="false">IF(A7="","",DATE(YEAR(F7)+1,MONTH(F7),DAY(F7)))</f>
        <v>22072</v>
      </c>
      <c r="H7" s="10" t="n">
        <f aca="false">IF(A7="","",IF(G7&gt;F7,(B7-F7)/(G7-F7),0))</f>
        <v>0.486338797814208</v>
      </c>
      <c r="I7" s="10" t="n">
        <f aca="false">IF(A7="","",IFERROR(INDEX(CV_RATES!$I:$I,MATCH(D7,CV_RATES!$C:$C,0)),0))</f>
        <v>0</v>
      </c>
      <c r="J7" s="10" t="n">
        <f aca="false">IF(A7="","",IFERROR(IF(E7=MAX(MORTALITY!$A:$A),1000,INDEX(CV_RATES!$J:$J,MATCH(D7,CV_RATES!$C:$C,0))),0))</f>
        <v>25.0036675961215</v>
      </c>
      <c r="K7" s="10" t="n">
        <f aca="false">IF(A7="","",IFERROR(I7+H7*(J7-I7),0))</f>
        <v>12.1602536396438</v>
      </c>
      <c r="L7" s="10" t="n">
        <f aca="false">IF(A7="","",IFERROR(K7*Inputs!$B$9,0))</f>
        <v>608.012681982189</v>
      </c>
      <c r="M7" s="10" t="n">
        <f aca="false">IF(A7="","",IFERROR(K7*Inputs!$B$10,0))</f>
        <v>1945.60410158209</v>
      </c>
      <c r="N7" s="10" t="n">
        <f aca="false">IF(A7="","",Z6)</f>
        <v>0</v>
      </c>
      <c r="O7" s="6" t="n">
        <f aca="false">IF(A7="","",Inputs!$B$18+N7)</f>
        <v>50000</v>
      </c>
      <c r="P7" s="5" t="n">
        <f aca="false">IF(A7="","",VLOOKUP(D7,DIvidend_Assumption!$A$3:$CX$103,($E$2+2),0)/12)</f>
        <v>0</v>
      </c>
      <c r="Q7" s="10" t="n">
        <f aca="false">IF(A7="","",IFERROR(AB6*P7,""))</f>
        <v>0</v>
      </c>
      <c r="R7" s="10" t="n">
        <f aca="false">IF(A7="","",IFERROR(IF(Inputs!$B$22="Accumulate",T7+Q7,IF(Inputs!$B$22="Premium Offset",MAX(0,T7+Q7-Inputs!$B$25),T7)),""))</f>
        <v>0</v>
      </c>
      <c r="S7" s="10" t="n">
        <f aca="false">IF(A7="","",R6)</f>
        <v>0</v>
      </c>
      <c r="T7" s="10" t="n">
        <f aca="false">IF(A7="","",IFERROR(S7*(1+Inputs!$B$23/12),""))</f>
        <v>0</v>
      </c>
      <c r="U7" s="6" t="n">
        <f aca="false">IF(A7="","",IF(D7&lt;=Inputs!$B$8,IF(Inputs!$B$22="Premium Offset",MAX(0,Inputs!$B$25-(Q7+T7)),Inputs!$B$25),0))</f>
        <v>77</v>
      </c>
      <c r="V7" s="10" t="n">
        <f aca="false">IF(A7="","",IF(Inputs!$B$22="Cash",Q7,0))</f>
        <v>0</v>
      </c>
      <c r="W7" s="10" t="n">
        <f aca="false">IF(A7="","",IF(Inputs!$B$22="PUA",Q7,0))</f>
        <v>0</v>
      </c>
      <c r="X7" s="12" t="n">
        <f aca="false">IF(A7="","",IFERROR(INDEX(PUA_TABLE!$D$4:$D$105,MATCH(E7,PUA_TABLE!$C$4:$C$105,1)),0))</f>
        <v>0.312571629017049</v>
      </c>
      <c r="Y7" s="10" t="n">
        <f aca="false">IF(A7="","",IF(W7&gt;0,IF(X7&gt;0,W7/X7,0),0))</f>
        <v>0</v>
      </c>
      <c r="Z7" s="10" t="n">
        <f aca="false">IF(A7="","",N7+Y7)</f>
        <v>0</v>
      </c>
      <c r="AA7" s="10" t="n">
        <f aca="false">IF(A7="","",IFERROR(Z7*INDEX(PUA_TABLE!$I$4:$I$105,MATCH(E7,PUA_TABLE!$C$4:$C$105,1))/1000,0))</f>
        <v>0</v>
      </c>
      <c r="AB7" s="10" t="n">
        <f aca="false">IF(A7="","",IFERROR(L7+AA7,0))</f>
        <v>608.012681982189</v>
      </c>
      <c r="AC7" s="10" t="n">
        <f aca="false">IF(A7="","",IF(Inputs!$B$22="Premium Offset",MIN(Inputs!$B$25,Q7+T7),0))</f>
        <v>0</v>
      </c>
    </row>
    <row r="8" customFormat="false" ht="15" hidden="false" customHeight="false" outlineLevel="0" collapsed="false">
      <c r="A8" s="1" t="n">
        <f aca="false">IF(A7="","",IF(INT((C7+1)/12)+Inputs!$B$7&gt;MAX(MORTALITY!$A:$A),"",Inputs!$B$4))</f>
        <v>34</v>
      </c>
      <c r="B8" s="3" t="n">
        <f aca="false">IF(A8="","",EOMONTH(B7,1))</f>
        <v>21915</v>
      </c>
      <c r="C8" s="1" t="n">
        <f aca="false">IF(A8="","",C7+1)</f>
        <v>6</v>
      </c>
      <c r="D8" s="1" t="n">
        <f aca="false">IF(A8="","",INT(C8/12))</f>
        <v>0</v>
      </c>
      <c r="E8" s="1" t="n">
        <f aca="false">IF(A8="","",D8+Inputs!$B$7)</f>
        <v>16</v>
      </c>
      <c r="F8" s="3" t="n">
        <f aca="false">IF(A8="","",DATE(YEAR(B$2)+D8,MONTH(B$2),DAY(B$2)))</f>
        <v>21706</v>
      </c>
      <c r="G8" s="3" t="n">
        <f aca="false">IF(A8="","",DATE(YEAR(F8)+1,MONTH(F8),DAY(F8)))</f>
        <v>22072</v>
      </c>
      <c r="H8" s="10" t="n">
        <f aca="false">IF(A8="","",IF(G8&gt;F8,(B8-F8)/(G8-F8),0))</f>
        <v>0.57103825136612</v>
      </c>
      <c r="I8" s="10" t="n">
        <f aca="false">IF(A8="","",IFERROR(INDEX(CV_RATES!$I:$I,MATCH(D8,CV_RATES!$C:$C,0)),0))</f>
        <v>0</v>
      </c>
      <c r="J8" s="10" t="n">
        <f aca="false">IF(A8="","",IFERROR(IF(E8=MAX(MORTALITY!$A:$A),1000,INDEX(CV_RATES!$J:$J,MATCH(D8,CV_RATES!$C:$C,0))),0))</f>
        <v>25.0036675961215</v>
      </c>
      <c r="K8" s="10" t="n">
        <f aca="false">IF(A8="","",IFERROR(I8+H8*(J8-I8),0))</f>
        <v>14.2780506218289</v>
      </c>
      <c r="L8" s="10" t="n">
        <f aca="false">IF(A8="","",IFERROR(K8*Inputs!$B$9,0))</f>
        <v>713.902531091447</v>
      </c>
      <c r="M8" s="10" t="n">
        <f aca="false">IF(A8="","",IFERROR(K8*Inputs!$B$10,0))</f>
        <v>2284.44526534076</v>
      </c>
      <c r="N8" s="10" t="n">
        <f aca="false">IF(A8="","",Z7)</f>
        <v>0</v>
      </c>
      <c r="O8" s="6" t="n">
        <f aca="false">IF(A8="","",Inputs!$B$18+N8)</f>
        <v>50000</v>
      </c>
      <c r="P8" s="5" t="n">
        <f aca="false">IF(A8="","",VLOOKUP(D8,DIvidend_Assumption!$A$3:$CX$103,($E$2+2),0)/12)</f>
        <v>0</v>
      </c>
      <c r="Q8" s="10" t="n">
        <f aca="false">IF(A8="","",IFERROR(AB7*P8,""))</f>
        <v>0</v>
      </c>
      <c r="R8" s="10" t="n">
        <f aca="false">IF(A8="","",IFERROR(IF(Inputs!$B$22="Accumulate",T8+Q8,IF(Inputs!$B$22="Premium Offset",MAX(0,T8+Q8-Inputs!$B$25),T8)),""))</f>
        <v>0</v>
      </c>
      <c r="S8" s="10" t="n">
        <f aca="false">IF(A8="","",R7)</f>
        <v>0</v>
      </c>
      <c r="T8" s="10" t="n">
        <f aca="false">IF(A8="","",IFERROR(S8*(1+Inputs!$B$23/12),""))</f>
        <v>0</v>
      </c>
      <c r="U8" s="6" t="n">
        <f aca="false">IF(A8="","",IF(D8&lt;=Inputs!$B$8,IF(Inputs!$B$22="Premium Offset",MAX(0,Inputs!$B$25-(Q8+T8)),Inputs!$B$25),0))</f>
        <v>77</v>
      </c>
      <c r="V8" s="10" t="n">
        <f aca="false">IF(A8="","",IF(Inputs!$B$22="Cash",Q8,0))</f>
        <v>0</v>
      </c>
      <c r="W8" s="10" t="n">
        <f aca="false">IF(A8="","",IF(Inputs!$B$22="PUA",Q8,0))</f>
        <v>0</v>
      </c>
      <c r="X8" s="12" t="n">
        <f aca="false">IF(A8="","",IFERROR(INDEX(PUA_TABLE!$D$4:$D$105,MATCH(E8,PUA_TABLE!$C$4:$C$105,1)),0))</f>
        <v>0.312571629017049</v>
      </c>
      <c r="Y8" s="10" t="n">
        <f aca="false">IF(A8="","",IF(W8&gt;0,IF(X8&gt;0,W8/X8,0),0))</f>
        <v>0</v>
      </c>
      <c r="Z8" s="10" t="n">
        <f aca="false">IF(A8="","",N8+Y8)</f>
        <v>0</v>
      </c>
      <c r="AA8" s="10" t="n">
        <f aca="false">IF(A8="","",IFERROR(Z8*INDEX(PUA_TABLE!$I$4:$I$105,MATCH(E8,PUA_TABLE!$C$4:$C$105,1))/1000,0))</f>
        <v>0</v>
      </c>
      <c r="AB8" s="10" t="n">
        <f aca="false">IF(A8="","",IFERROR(L8+AA8,0))</f>
        <v>713.902531091447</v>
      </c>
      <c r="AC8" s="10" t="n">
        <f aca="false">IF(A8="","",IF(Inputs!$B$22="Premium Offset",MIN(Inputs!$B$25,Q8+T8),0))</f>
        <v>0</v>
      </c>
    </row>
    <row r="9" customFormat="false" ht="15" hidden="false" customHeight="false" outlineLevel="0" collapsed="false">
      <c r="A9" s="1" t="n">
        <f aca="false">IF(A8="","",IF(INT((C8+1)/12)+Inputs!$B$7&gt;MAX(MORTALITY!$A:$A),"",Inputs!$B$4))</f>
        <v>34</v>
      </c>
      <c r="B9" s="3" t="n">
        <f aca="false">IF(A9="","",EOMONTH(B8,1))</f>
        <v>21946</v>
      </c>
      <c r="C9" s="1" t="n">
        <f aca="false">IF(A9="","",C8+1)</f>
        <v>7</v>
      </c>
      <c r="D9" s="1" t="n">
        <f aca="false">IF(A9="","",INT(C9/12))</f>
        <v>0</v>
      </c>
      <c r="E9" s="1" t="n">
        <f aca="false">IF(A9="","",D9+Inputs!$B$7)</f>
        <v>16</v>
      </c>
      <c r="F9" s="3" t="n">
        <f aca="false">IF(A9="","",DATE(YEAR(B$2)+D9,MONTH(B$2),DAY(B$2)))</f>
        <v>21706</v>
      </c>
      <c r="G9" s="3" t="n">
        <f aca="false">IF(A9="","",DATE(YEAR(F9)+1,MONTH(F9),DAY(F9)))</f>
        <v>22072</v>
      </c>
      <c r="H9" s="10" t="n">
        <f aca="false">IF(A9="","",IF(G9&gt;F9,(B9-F9)/(G9-F9),0))</f>
        <v>0.655737704918033</v>
      </c>
      <c r="I9" s="10" t="n">
        <f aca="false">IF(A9="","",IFERROR(INDEX(CV_RATES!$I:$I,MATCH(D9,CV_RATES!$C:$C,0)),0))</f>
        <v>0</v>
      </c>
      <c r="J9" s="10" t="n">
        <f aca="false">IF(A9="","",IFERROR(IF(E9=MAX(MORTALITY!$A:$A),1000,INDEX(CV_RATES!$J:$J,MATCH(D9,CV_RATES!$C:$C,0))),0))</f>
        <v>25.0036675961215</v>
      </c>
      <c r="K9" s="10" t="n">
        <f aca="false">IF(A9="","",IFERROR(I9+H9*(J9-I9),0))</f>
        <v>16.3958476040141</v>
      </c>
      <c r="L9" s="10" t="n">
        <f aca="false">IF(A9="","",IFERROR(K9*Inputs!$B$9,0))</f>
        <v>819.792380200705</v>
      </c>
      <c r="M9" s="10" t="n">
        <f aca="false">IF(A9="","",IFERROR(K9*Inputs!$B$10,0))</f>
        <v>2623.28642909944</v>
      </c>
      <c r="N9" s="10" t="n">
        <f aca="false">IF(A9="","",Z8)</f>
        <v>0</v>
      </c>
      <c r="O9" s="6" t="n">
        <f aca="false">IF(A9="","",Inputs!$B$18+N9)</f>
        <v>50000</v>
      </c>
      <c r="P9" s="5" t="n">
        <f aca="false">IF(A9="","",VLOOKUP(D9,DIvidend_Assumption!$A$3:$CX$103,($E$2+2),0)/12)</f>
        <v>0</v>
      </c>
      <c r="Q9" s="10" t="n">
        <f aca="false">IF(A9="","",IFERROR(AB8*P9,""))</f>
        <v>0</v>
      </c>
      <c r="R9" s="10" t="n">
        <f aca="false">IF(A9="","",IFERROR(IF(Inputs!$B$22="Accumulate",T9+Q9,IF(Inputs!$B$22="Premium Offset",MAX(0,T9+Q9-Inputs!$B$25),T9)),""))</f>
        <v>0</v>
      </c>
      <c r="S9" s="10" t="n">
        <f aca="false">IF(A9="","",R8)</f>
        <v>0</v>
      </c>
      <c r="T9" s="10" t="n">
        <f aca="false">IF(A9="","",IFERROR(S9*(1+Inputs!$B$23/12),""))</f>
        <v>0</v>
      </c>
      <c r="U9" s="6" t="n">
        <f aca="false">IF(A9="","",IF(D9&lt;=Inputs!$B$8,IF(Inputs!$B$22="Premium Offset",MAX(0,Inputs!$B$25-(Q9+T9)),Inputs!$B$25),0))</f>
        <v>77</v>
      </c>
      <c r="V9" s="10" t="n">
        <f aca="false">IF(A9="","",IF(Inputs!$B$22="Cash",Q9,0))</f>
        <v>0</v>
      </c>
      <c r="W9" s="10" t="n">
        <f aca="false">IF(A9="","",IF(Inputs!$B$22="PUA",Q9,0))</f>
        <v>0</v>
      </c>
      <c r="X9" s="12" t="n">
        <f aca="false">IF(A9="","",IFERROR(INDEX(PUA_TABLE!$D$4:$D$105,MATCH(E9,PUA_TABLE!$C$4:$C$105,1)),0))</f>
        <v>0.312571629017049</v>
      </c>
      <c r="Y9" s="10" t="n">
        <f aca="false">IF(A9="","",IF(W9&gt;0,IF(X9&gt;0,W9/X9,0),0))</f>
        <v>0</v>
      </c>
      <c r="Z9" s="10" t="n">
        <f aca="false">IF(A9="","",N9+Y9)</f>
        <v>0</v>
      </c>
      <c r="AA9" s="10" t="n">
        <f aca="false">IF(A9="","",IFERROR(Z9*INDEX(PUA_TABLE!$I$4:$I$105,MATCH(E9,PUA_TABLE!$C$4:$C$105,1))/1000,0))</f>
        <v>0</v>
      </c>
      <c r="AB9" s="10" t="n">
        <f aca="false">IF(A9="","",IFERROR(L9+AA9,0))</f>
        <v>819.792380200705</v>
      </c>
      <c r="AC9" s="10" t="n">
        <f aca="false">IF(A9="","",IF(Inputs!$B$22="Premium Offset",MIN(Inputs!$B$25,Q9+T9),0))</f>
        <v>0</v>
      </c>
    </row>
    <row r="10" customFormat="false" ht="15" hidden="false" customHeight="false" outlineLevel="0" collapsed="false">
      <c r="A10" s="1" t="n">
        <f aca="false">IF(A9="","",IF(INT((C9+1)/12)+Inputs!$B$7&gt;MAX(MORTALITY!$A:$A),"",Inputs!$B$4))</f>
        <v>34</v>
      </c>
      <c r="B10" s="3" t="n">
        <f aca="false">IF(A10="","",EOMONTH(B9,1))</f>
        <v>21975</v>
      </c>
      <c r="C10" s="1" t="n">
        <f aca="false">IF(A10="","",C9+1)</f>
        <v>8</v>
      </c>
      <c r="D10" s="1" t="n">
        <f aca="false">IF(A10="","",INT(C10/12))</f>
        <v>0</v>
      </c>
      <c r="E10" s="1" t="n">
        <f aca="false">IF(A10="","",D10+Inputs!$B$7)</f>
        <v>16</v>
      </c>
      <c r="F10" s="3" t="n">
        <f aca="false">IF(A10="","",DATE(YEAR(B$2)+D10,MONTH(B$2),DAY(B$2)))</f>
        <v>21706</v>
      </c>
      <c r="G10" s="3" t="n">
        <f aca="false">IF(A10="","",DATE(YEAR(F10)+1,MONTH(F10),DAY(F10)))</f>
        <v>22072</v>
      </c>
      <c r="H10" s="10" t="n">
        <f aca="false">IF(A10="","",IF(G10&gt;F10,(B10-F10)/(G10-F10),0))</f>
        <v>0.734972677595629</v>
      </c>
      <c r="I10" s="10" t="n">
        <f aca="false">IF(A10="","",IFERROR(INDEX(CV_RATES!$I:$I,MATCH(D10,CV_RATES!$C:$C,0)),0))</f>
        <v>0</v>
      </c>
      <c r="J10" s="10" t="n">
        <f aca="false">IF(A10="","",IFERROR(IF(E10=MAX(MORTALITY!$A:$A),1000,INDEX(CV_RATES!$J:$J,MATCH(D10,CV_RATES!$C:$C,0))),0))</f>
        <v>25.0036675961215</v>
      </c>
      <c r="K10" s="10" t="n">
        <f aca="false">IF(A10="","",IFERROR(I10+H10*(J10-I10),0))</f>
        <v>18.3770125228325</v>
      </c>
      <c r="L10" s="10" t="n">
        <f aca="false">IF(A10="","",IFERROR(K10*Inputs!$B$9,0))</f>
        <v>918.850626141623</v>
      </c>
      <c r="M10" s="10" t="n">
        <f aca="false">IF(A10="","",IFERROR(K10*Inputs!$B$10,0))</f>
        <v>2940.26687261563</v>
      </c>
      <c r="N10" s="10" t="n">
        <f aca="false">IF(A10="","",Z9)</f>
        <v>0</v>
      </c>
      <c r="O10" s="6" t="n">
        <f aca="false">IF(A10="","",Inputs!$B$18+N10)</f>
        <v>50000</v>
      </c>
      <c r="P10" s="5" t="n">
        <f aca="false">IF(A10="","",VLOOKUP(D10,DIvidend_Assumption!$A$3:$CX$103,($E$2+2),0)/12)</f>
        <v>0</v>
      </c>
      <c r="Q10" s="10" t="n">
        <f aca="false">IF(A10="","",IFERROR(AB9*P10,""))</f>
        <v>0</v>
      </c>
      <c r="R10" s="10" t="n">
        <f aca="false">IF(A10="","",IFERROR(IF(Inputs!$B$22="Accumulate",T10+Q10,IF(Inputs!$B$22="Premium Offset",MAX(0,T10+Q10-Inputs!$B$25),T10)),""))</f>
        <v>0</v>
      </c>
      <c r="S10" s="10" t="n">
        <f aca="false">IF(A10="","",R9)</f>
        <v>0</v>
      </c>
      <c r="T10" s="10" t="n">
        <f aca="false">IF(A10="","",IFERROR(S10*(1+Inputs!$B$23/12),""))</f>
        <v>0</v>
      </c>
      <c r="U10" s="6" t="n">
        <f aca="false">IF(A10="","",IF(D10&lt;=Inputs!$B$8,IF(Inputs!$B$22="Premium Offset",MAX(0,Inputs!$B$25-(Q10+T10)),Inputs!$B$25),0))</f>
        <v>77</v>
      </c>
      <c r="V10" s="10" t="n">
        <f aca="false">IF(A10="","",IF(Inputs!$B$22="Cash",Q10,0))</f>
        <v>0</v>
      </c>
      <c r="W10" s="10" t="n">
        <f aca="false">IF(A10="","",IF(Inputs!$B$22="PUA",Q10,0))</f>
        <v>0</v>
      </c>
      <c r="X10" s="12" t="n">
        <f aca="false">IF(A10="","",IFERROR(INDEX(PUA_TABLE!$D$4:$D$105,MATCH(E10,PUA_TABLE!$C$4:$C$105,1)),0))</f>
        <v>0.312571629017049</v>
      </c>
      <c r="Y10" s="10" t="n">
        <f aca="false">IF(A10="","",IF(W10&gt;0,IF(X10&gt;0,W10/X10,0),0))</f>
        <v>0</v>
      </c>
      <c r="Z10" s="10" t="n">
        <f aca="false">IF(A10="","",N10+Y10)</f>
        <v>0</v>
      </c>
      <c r="AA10" s="10" t="n">
        <f aca="false">IF(A10="","",IFERROR(Z10*INDEX(PUA_TABLE!$I$4:$I$105,MATCH(E10,PUA_TABLE!$C$4:$C$105,1))/1000,0))</f>
        <v>0</v>
      </c>
      <c r="AB10" s="10" t="n">
        <f aca="false">IF(A10="","",IFERROR(L10+AA10,0))</f>
        <v>918.850626141623</v>
      </c>
      <c r="AC10" s="10" t="n">
        <f aca="false">IF(A10="","",IF(Inputs!$B$22="Premium Offset",MIN(Inputs!$B$25,Q10+T10),0))</f>
        <v>0</v>
      </c>
    </row>
    <row r="11" customFormat="false" ht="15" hidden="false" customHeight="false" outlineLevel="0" collapsed="false">
      <c r="A11" s="1" t="n">
        <f aca="false">IF(A10="","",IF(INT((C10+1)/12)+Inputs!$B$7&gt;MAX(MORTALITY!$A:$A),"",Inputs!$B$4))</f>
        <v>34</v>
      </c>
      <c r="B11" s="3" t="n">
        <f aca="false">IF(A11="","",EOMONTH(B10,1))</f>
        <v>22006</v>
      </c>
      <c r="C11" s="1" t="n">
        <f aca="false">IF(A11="","",C10+1)</f>
        <v>9</v>
      </c>
      <c r="D11" s="1" t="n">
        <f aca="false">IF(A11="","",INT(C11/12))</f>
        <v>0</v>
      </c>
      <c r="E11" s="1" t="n">
        <f aca="false">IF(A11="","",D11+Inputs!$B$7)</f>
        <v>16</v>
      </c>
      <c r="F11" s="3" t="n">
        <f aca="false">IF(A11="","",DATE(YEAR(B$2)+D11,MONTH(B$2),DAY(B$2)))</f>
        <v>21706</v>
      </c>
      <c r="G11" s="3" t="n">
        <f aca="false">IF(A11="","",DATE(YEAR(F11)+1,MONTH(F11),DAY(F11)))</f>
        <v>22072</v>
      </c>
      <c r="H11" s="10" t="n">
        <f aca="false">IF(A11="","",IF(G11&gt;F11,(B11-F11)/(G11-F11),0))</f>
        <v>0.819672131147541</v>
      </c>
      <c r="I11" s="10" t="n">
        <f aca="false">IF(A11="","",IFERROR(INDEX(CV_RATES!$I:$I,MATCH(D11,CV_RATES!$C:$C,0)),0))</f>
        <v>0</v>
      </c>
      <c r="J11" s="10" t="n">
        <f aca="false">IF(A11="","",IFERROR(IF(E11=MAX(MORTALITY!$A:$A),1000,INDEX(CV_RATES!$J:$J,MATCH(D11,CV_RATES!$C:$C,0))),0))</f>
        <v>25.0036675961215</v>
      </c>
      <c r="K11" s="10" t="n">
        <f aca="false">IF(A11="","",IFERROR(I11+H11*(J11-I11),0))</f>
        <v>20.4948095050176</v>
      </c>
      <c r="L11" s="10" t="n">
        <f aca="false">IF(A11="","",IFERROR(K11*Inputs!$B$9,0))</f>
        <v>1024.74047525088</v>
      </c>
      <c r="M11" s="10" t="n">
        <f aca="false">IF(A11="","",IFERROR(K11*Inputs!$B$10,0))</f>
        <v>3279.1080363743</v>
      </c>
      <c r="N11" s="10" t="n">
        <f aca="false">IF(A11="","",Z10)</f>
        <v>0</v>
      </c>
      <c r="O11" s="6" t="n">
        <f aca="false">IF(A11="","",Inputs!$B$18+N11)</f>
        <v>50000</v>
      </c>
      <c r="P11" s="5" t="n">
        <f aca="false">IF(A11="","",VLOOKUP(D11,DIvidend_Assumption!$A$3:$CX$103,($E$2+2),0)/12)</f>
        <v>0</v>
      </c>
      <c r="Q11" s="10" t="n">
        <f aca="false">IF(A11="","",IFERROR(AB10*P11,""))</f>
        <v>0</v>
      </c>
      <c r="R11" s="10" t="n">
        <f aca="false">IF(A11="","",IFERROR(IF(Inputs!$B$22="Accumulate",T11+Q11,IF(Inputs!$B$22="Premium Offset",MAX(0,T11+Q11-Inputs!$B$25),T11)),""))</f>
        <v>0</v>
      </c>
      <c r="S11" s="10" t="n">
        <f aca="false">IF(A11="","",R10)</f>
        <v>0</v>
      </c>
      <c r="T11" s="10" t="n">
        <f aca="false">IF(A11="","",IFERROR(S11*(1+Inputs!$B$23/12),""))</f>
        <v>0</v>
      </c>
      <c r="U11" s="6" t="n">
        <f aca="false">IF(A11="","",IF(D11&lt;=Inputs!$B$8,IF(Inputs!$B$22="Premium Offset",MAX(0,Inputs!$B$25-(Q11+T11)),Inputs!$B$25),0))</f>
        <v>77</v>
      </c>
      <c r="V11" s="10" t="n">
        <f aca="false">IF(A11="","",IF(Inputs!$B$22="Cash",Q11,0))</f>
        <v>0</v>
      </c>
      <c r="W11" s="10" t="n">
        <f aca="false">IF(A11="","",IF(Inputs!$B$22="PUA",Q11,0))</f>
        <v>0</v>
      </c>
      <c r="X11" s="12" t="n">
        <f aca="false">IF(A11="","",IFERROR(INDEX(PUA_TABLE!$D$4:$D$105,MATCH(E11,PUA_TABLE!$C$4:$C$105,1)),0))</f>
        <v>0.312571629017049</v>
      </c>
      <c r="Y11" s="10" t="n">
        <f aca="false">IF(A11="","",IF(W11&gt;0,IF(X11&gt;0,W11/X11,0),0))</f>
        <v>0</v>
      </c>
      <c r="Z11" s="10" t="n">
        <f aca="false">IF(A11="","",N11+Y11)</f>
        <v>0</v>
      </c>
      <c r="AA11" s="10" t="n">
        <f aca="false">IF(A11="","",IFERROR(Z11*INDEX(PUA_TABLE!$I$4:$I$105,MATCH(E11,PUA_TABLE!$C$4:$C$105,1))/1000,0))</f>
        <v>0</v>
      </c>
      <c r="AB11" s="10" t="n">
        <f aca="false">IF(A11="","",IFERROR(L11+AA11,0))</f>
        <v>1024.74047525088</v>
      </c>
      <c r="AC11" s="10" t="n">
        <f aca="false">IF(A11="","",IF(Inputs!$B$22="Premium Offset",MIN(Inputs!$B$25,Q11+T11),0))</f>
        <v>0</v>
      </c>
    </row>
    <row r="12" customFormat="false" ht="15" hidden="false" customHeight="false" outlineLevel="0" collapsed="false">
      <c r="A12" s="1" t="n">
        <f aca="false">IF(A11="","",IF(INT((C11+1)/12)+Inputs!$B$7&gt;MAX(MORTALITY!$A:$A),"",Inputs!$B$4))</f>
        <v>34</v>
      </c>
      <c r="B12" s="3" t="n">
        <f aca="false">IF(A12="","",EOMONTH(B11,1))</f>
        <v>22036</v>
      </c>
      <c r="C12" s="1" t="n">
        <f aca="false">IF(A12="","",C11+1)</f>
        <v>10</v>
      </c>
      <c r="D12" s="1" t="n">
        <f aca="false">IF(A12="","",INT(C12/12))</f>
        <v>0</v>
      </c>
      <c r="E12" s="1" t="n">
        <f aca="false">IF(A12="","",D12+Inputs!$B$7)</f>
        <v>16</v>
      </c>
      <c r="F12" s="3" t="n">
        <f aca="false">IF(A12="","",DATE(YEAR(B$2)+D12,MONTH(B$2),DAY(B$2)))</f>
        <v>21706</v>
      </c>
      <c r="G12" s="3" t="n">
        <f aca="false">IF(A12="","",DATE(YEAR(F12)+1,MONTH(F12),DAY(F12)))</f>
        <v>22072</v>
      </c>
      <c r="H12" s="10" t="n">
        <f aca="false">IF(A12="","",IF(G12&gt;F12,(B12-F12)/(G12-F12),0))</f>
        <v>0.901639344262295</v>
      </c>
      <c r="I12" s="10" t="n">
        <f aca="false">IF(A12="","",IFERROR(INDEX(CV_RATES!$I:$I,MATCH(D12,CV_RATES!$C:$C,0)),0))</f>
        <v>0</v>
      </c>
      <c r="J12" s="10" t="n">
        <f aca="false">IF(A12="","",IFERROR(IF(E12=MAX(MORTALITY!$A:$A),1000,INDEX(CV_RATES!$J:$J,MATCH(D12,CV_RATES!$C:$C,0))),0))</f>
        <v>25.0036675961215</v>
      </c>
      <c r="K12" s="10" t="n">
        <f aca="false">IF(A12="","",IFERROR(I12+H12*(J12-I12),0))</f>
        <v>22.5442904555194</v>
      </c>
      <c r="L12" s="10" t="n">
        <f aca="false">IF(A12="","",IFERROR(K12*Inputs!$B$9,0))</f>
        <v>1127.21452277597</v>
      </c>
      <c r="M12" s="10" t="n">
        <f aca="false">IF(A12="","",IFERROR(K12*Inputs!$B$10,0))</f>
        <v>3607.01884001173</v>
      </c>
      <c r="N12" s="10" t="n">
        <f aca="false">IF(A12="","",Z11)</f>
        <v>0</v>
      </c>
      <c r="O12" s="6" t="n">
        <f aca="false">IF(A12="","",Inputs!$B$18+N12)</f>
        <v>50000</v>
      </c>
      <c r="P12" s="5" t="n">
        <f aca="false">IF(A12="","",VLOOKUP(D12,DIvidend_Assumption!$A$3:$CX$103,($E$2+2),0)/12)</f>
        <v>0</v>
      </c>
      <c r="Q12" s="10" t="n">
        <f aca="false">IF(A12="","",IFERROR(AB11*P12,""))</f>
        <v>0</v>
      </c>
      <c r="R12" s="10" t="n">
        <f aca="false">IF(A12="","",IFERROR(IF(Inputs!$B$22="Accumulate",T12+Q12,IF(Inputs!$B$22="Premium Offset",MAX(0,T12+Q12-Inputs!$B$25),T12)),""))</f>
        <v>0</v>
      </c>
      <c r="S12" s="10" t="n">
        <f aca="false">IF(A12="","",R11)</f>
        <v>0</v>
      </c>
      <c r="T12" s="10" t="n">
        <f aca="false">IF(A12="","",IFERROR(S12*(1+Inputs!$B$23/12),""))</f>
        <v>0</v>
      </c>
      <c r="U12" s="6" t="n">
        <f aca="false">IF(A12="","",IF(D12&lt;=Inputs!$B$8,IF(Inputs!$B$22="Premium Offset",MAX(0,Inputs!$B$25-(Q12+T12)),Inputs!$B$25),0))</f>
        <v>77</v>
      </c>
      <c r="V12" s="10" t="n">
        <f aca="false">IF(A12="","",IF(Inputs!$B$22="Cash",Q12,0))</f>
        <v>0</v>
      </c>
      <c r="W12" s="10" t="n">
        <f aca="false">IF(A12="","",IF(Inputs!$B$22="PUA",Q12,0))</f>
        <v>0</v>
      </c>
      <c r="X12" s="12" t="n">
        <f aca="false">IF(A12="","",IFERROR(INDEX(PUA_TABLE!$D$4:$D$105,MATCH(E12,PUA_TABLE!$C$4:$C$105,1)),0))</f>
        <v>0.312571629017049</v>
      </c>
      <c r="Y12" s="10" t="n">
        <f aca="false">IF(A12="","",IF(W12&gt;0,IF(X12&gt;0,W12/X12,0),0))</f>
        <v>0</v>
      </c>
      <c r="Z12" s="10" t="n">
        <f aca="false">IF(A12="","",N12+Y12)</f>
        <v>0</v>
      </c>
      <c r="AA12" s="10" t="n">
        <f aca="false">IF(A12="","",IFERROR(Z12*INDEX(PUA_TABLE!$I$4:$I$105,MATCH(E12,PUA_TABLE!$C$4:$C$105,1))/1000,0))</f>
        <v>0</v>
      </c>
      <c r="AB12" s="10" t="n">
        <f aca="false">IF(A12="","",IFERROR(L12+AA12,0))</f>
        <v>1127.21452277597</v>
      </c>
      <c r="AC12" s="10" t="n">
        <f aca="false">IF(A12="","",IF(Inputs!$B$22="Premium Offset",MIN(Inputs!$B$25,Q12+T12),0))</f>
        <v>0</v>
      </c>
    </row>
    <row r="13" customFormat="false" ht="15" hidden="false" customHeight="false" outlineLevel="0" collapsed="false">
      <c r="A13" s="1" t="n">
        <f aca="false">IF(A12="","",IF(INT((C12+1)/12)+Inputs!$B$7&gt;MAX(MORTALITY!$A:$A),"",Inputs!$B$4))</f>
        <v>34</v>
      </c>
      <c r="B13" s="3" t="n">
        <f aca="false">IF(A13="","",EOMONTH(B12,1))</f>
        <v>22067</v>
      </c>
      <c r="C13" s="1" t="n">
        <f aca="false">IF(A13="","",C12+1)</f>
        <v>11</v>
      </c>
      <c r="D13" s="1" t="n">
        <f aca="false">IF(A13="","",INT(C13/12))</f>
        <v>0</v>
      </c>
      <c r="E13" s="1" t="n">
        <f aca="false">IF(A13="","",D13+Inputs!$B$7)</f>
        <v>16</v>
      </c>
      <c r="F13" s="3" t="n">
        <f aca="false">IF(A13="","",DATE(YEAR(B$2)+D13,MONTH(B$2),DAY(B$2)))</f>
        <v>21706</v>
      </c>
      <c r="G13" s="3" t="n">
        <f aca="false">IF(A13="","",DATE(YEAR(F13)+1,MONTH(F13),DAY(F13)))</f>
        <v>22072</v>
      </c>
      <c r="H13" s="10" t="n">
        <f aca="false">IF(A13="","",IF(G13&gt;F13,(B13-F13)/(G13-F13),0))</f>
        <v>0.986338797814208</v>
      </c>
      <c r="I13" s="10" t="n">
        <f aca="false">IF(A13="","",IFERROR(INDEX(CV_RATES!$I:$I,MATCH(D13,CV_RATES!$C:$C,0)),0))</f>
        <v>0</v>
      </c>
      <c r="J13" s="10" t="n">
        <f aca="false">IF(A13="","",IFERROR(IF(E13=MAX(MORTALITY!$A:$A),1000,INDEX(CV_RATES!$J:$J,MATCH(D13,CV_RATES!$C:$C,0))),0))</f>
        <v>25.0036675961215</v>
      </c>
      <c r="K13" s="10" t="n">
        <f aca="false">IF(A13="","",IFERROR(I13+H13*(J13-I13),0))</f>
        <v>24.6620874377045</v>
      </c>
      <c r="L13" s="10" t="n">
        <f aca="false">IF(A13="","",IFERROR(K13*Inputs!$B$9,0))</f>
        <v>1233.10437188523</v>
      </c>
      <c r="M13" s="10" t="n">
        <f aca="false">IF(A13="","",IFERROR(K13*Inputs!$B$10,0))</f>
        <v>3945.86000377041</v>
      </c>
      <c r="N13" s="10" t="n">
        <f aca="false">IF(A13="","",Z12)</f>
        <v>0</v>
      </c>
      <c r="O13" s="6" t="n">
        <f aca="false">IF(A13="","",Inputs!$B$18+N13)</f>
        <v>50000</v>
      </c>
      <c r="P13" s="5" t="n">
        <f aca="false">IF(A13="","",VLOOKUP(D13,DIvidend_Assumption!$A$3:$CX$103,($E$2+2),0)/12)</f>
        <v>0</v>
      </c>
      <c r="Q13" s="10" t="n">
        <f aca="false">IF(A13="","",IFERROR(AB12*P13,""))</f>
        <v>0</v>
      </c>
      <c r="R13" s="10" t="n">
        <f aca="false">IF(A13="","",IFERROR(IF(Inputs!$B$22="Accumulate",T13+Q13,IF(Inputs!$B$22="Premium Offset",MAX(0,T13+Q13-Inputs!$B$25),T13)),""))</f>
        <v>0</v>
      </c>
      <c r="S13" s="10" t="n">
        <f aca="false">IF(A13="","",R12)</f>
        <v>0</v>
      </c>
      <c r="T13" s="10" t="n">
        <f aca="false">IF(A13="","",IFERROR(S13*(1+Inputs!$B$23/12),""))</f>
        <v>0</v>
      </c>
      <c r="U13" s="6" t="n">
        <f aca="false">IF(A13="","",IF(D13&lt;=Inputs!$B$8,IF(Inputs!$B$22="Premium Offset",MAX(0,Inputs!$B$25-(Q13+T13)),Inputs!$B$25),0))</f>
        <v>77</v>
      </c>
      <c r="V13" s="10" t="n">
        <f aca="false">IF(A13="","",IF(Inputs!$B$22="Cash",Q13,0))</f>
        <v>0</v>
      </c>
      <c r="W13" s="10" t="n">
        <f aca="false">IF(A13="","",IF(Inputs!$B$22="PUA",Q13,0))</f>
        <v>0</v>
      </c>
      <c r="X13" s="12" t="n">
        <f aca="false">IF(A13="","",IFERROR(INDEX(PUA_TABLE!$D$4:$D$105,MATCH(E13,PUA_TABLE!$C$4:$C$105,1)),0))</f>
        <v>0.312571629017049</v>
      </c>
      <c r="Y13" s="10" t="n">
        <f aca="false">IF(A13="","",IF(W13&gt;0,IF(X13&gt;0,W13/X13,0),0))</f>
        <v>0</v>
      </c>
      <c r="Z13" s="10" t="n">
        <f aca="false">IF(A13="","",N13+Y13)</f>
        <v>0</v>
      </c>
      <c r="AA13" s="10" t="n">
        <f aca="false">IF(A13="","",IFERROR(Z13*INDEX(PUA_TABLE!$I$4:$I$105,MATCH(E13,PUA_TABLE!$C$4:$C$105,1))/1000,0))</f>
        <v>0</v>
      </c>
      <c r="AB13" s="10" t="n">
        <f aca="false">IF(A13="","",IFERROR(L13+AA13,0))</f>
        <v>1233.10437188523</v>
      </c>
      <c r="AC13" s="10" t="n">
        <f aca="false">IF(A13="","",IF(Inputs!$B$22="Premium Offset",MIN(Inputs!$B$25,Q13+T13),0))</f>
        <v>0</v>
      </c>
    </row>
    <row r="14" customFormat="false" ht="15" hidden="false" customHeight="false" outlineLevel="0" collapsed="false">
      <c r="A14" s="1" t="n">
        <f aca="false">IF(A13="","",IF(INT((C13+1)/12)+Inputs!$B$7&gt;MAX(MORTALITY!$A:$A),"",Inputs!$B$4))</f>
        <v>34</v>
      </c>
      <c r="B14" s="3" t="n">
        <f aca="false">IF(A14="","",EOMONTH(B13,1))</f>
        <v>22097</v>
      </c>
      <c r="C14" s="1" t="n">
        <f aca="false">IF(A14="","",C13+1)</f>
        <v>12</v>
      </c>
      <c r="D14" s="1" t="n">
        <f aca="false">IF(A14="","",INT(C14/12))</f>
        <v>1</v>
      </c>
      <c r="E14" s="1" t="n">
        <f aca="false">IF(A14="","",D14+Inputs!$B$7)</f>
        <v>17</v>
      </c>
      <c r="F14" s="3" t="n">
        <f aca="false">IF(A14="","",DATE(YEAR(B$2)+D14,MONTH(B$2),DAY(B$2)))</f>
        <v>22072</v>
      </c>
      <c r="G14" s="3" t="n">
        <f aca="false">IF(A14="","",DATE(YEAR(F14)+1,MONTH(F14),DAY(F14)))</f>
        <v>22437</v>
      </c>
      <c r="H14" s="10" t="n">
        <f aca="false">IF(A14="","",IF(G14&gt;F14,(B14-F14)/(G14-F14),0))</f>
        <v>0.0684931506849315</v>
      </c>
      <c r="I14" s="10" t="n">
        <f aca="false">IF(A14="","",IFERROR(INDEX(CV_RATES!$I:$I,MATCH(D14,CV_RATES!$C:$C,0)),0))</f>
        <v>25.0036675961215</v>
      </c>
      <c r="J14" s="10" t="n">
        <f aca="false">IF(A14="","",IFERROR(IF(E14=MAX(MORTALITY!$A:$A),1000,INDEX(CV_RATES!$J:$J,MATCH(D14,CV_RATES!$C:$C,0))),0))</f>
        <v>50.6315899274474</v>
      </c>
      <c r="K14" s="10" t="n">
        <f aca="false">IF(A14="","",IFERROR(I14+H14*(J14-I14),0))</f>
        <v>26.7590047421027</v>
      </c>
      <c r="L14" s="10" t="n">
        <f aca="false">IF(A14="","",IFERROR(K14*Inputs!$B$9,0))</f>
        <v>1337.95023710514</v>
      </c>
      <c r="M14" s="10" t="n">
        <f aca="false">IF(A14="","",IFERROR(K14*Inputs!$B$10,0))</f>
        <v>4281.36048172221</v>
      </c>
      <c r="N14" s="10" t="n">
        <f aca="false">IF(A14="","",Z13)</f>
        <v>0</v>
      </c>
      <c r="O14" s="6" t="n">
        <f aca="false">IF(A14="","",Inputs!$B$18+N14)</f>
        <v>50000</v>
      </c>
      <c r="P14" s="5" t="n">
        <f aca="false">IF(A14="","",VLOOKUP(D14,DIvidend_Assumption!$A$3:$CX$103,($E$2+2),0)/12)</f>
        <v>0</v>
      </c>
      <c r="Q14" s="10" t="n">
        <f aca="false">IF(A14="","",IFERROR(AB13*P14,""))</f>
        <v>0</v>
      </c>
      <c r="R14" s="10" t="n">
        <f aca="false">IF(A14="","",IFERROR(IF(Inputs!$B$22="Accumulate",T14+Q14,IF(Inputs!$B$22="Premium Offset",MAX(0,T14+Q14-Inputs!$B$25),T14)),""))</f>
        <v>0</v>
      </c>
      <c r="S14" s="10" t="n">
        <f aca="false">IF(A14="","",R13)</f>
        <v>0</v>
      </c>
      <c r="T14" s="10" t="n">
        <f aca="false">IF(A14="","",IFERROR(S14*(1+Inputs!$B$23/12),""))</f>
        <v>0</v>
      </c>
      <c r="U14" s="6" t="n">
        <f aca="false">IF(A14="","",IF(D14&lt;=Inputs!$B$8,IF(Inputs!$B$22="Premium Offset",MAX(0,Inputs!$B$25-(Q14+T14)),Inputs!$B$25),0))</f>
        <v>77</v>
      </c>
      <c r="V14" s="10" t="n">
        <f aca="false">IF(A14="","",IF(Inputs!$B$22="Cash",Q14,0))</f>
        <v>0</v>
      </c>
      <c r="W14" s="10" t="n">
        <f aca="false">IF(A14="","",IF(Inputs!$B$22="PUA",Q14,0))</f>
        <v>0</v>
      </c>
      <c r="X14" s="12" t="n">
        <f aca="false">IF(A14="","",IFERROR(INDEX(PUA_TABLE!$D$4:$D$105,MATCH(E14,PUA_TABLE!$C$4:$C$105,1)),0))</f>
        <v>0.318894298255655</v>
      </c>
      <c r="Y14" s="10" t="n">
        <f aca="false">IF(A14="","",IF(W14&gt;0,IF(X14&gt;0,W14/X14,0),0))</f>
        <v>0</v>
      </c>
      <c r="Z14" s="10" t="n">
        <f aca="false">IF(A14="","",N14+Y14)</f>
        <v>0</v>
      </c>
      <c r="AA14" s="10" t="n">
        <f aca="false">IF(A14="","",IFERROR(Z14*INDEX(PUA_TABLE!$I$4:$I$105,MATCH(E14,PUA_TABLE!$C$4:$C$105,1))/1000,0))</f>
        <v>0</v>
      </c>
      <c r="AB14" s="10" t="n">
        <f aca="false">IF(A14="","",IFERROR(L14+AA14,0))</f>
        <v>1337.95023710514</v>
      </c>
      <c r="AC14" s="10" t="n">
        <f aca="false">IF(A14="","",IF(Inputs!$B$22="Premium Offset",MIN(Inputs!$B$25,Q14+T14),0))</f>
        <v>0</v>
      </c>
    </row>
    <row r="15" customFormat="false" ht="15" hidden="false" customHeight="false" outlineLevel="0" collapsed="false">
      <c r="A15" s="1" t="n">
        <f aca="false">IF(A14="","",IF(INT((C14+1)/12)+Inputs!$B$7&gt;MAX(MORTALITY!$A:$A),"",Inputs!$B$4))</f>
        <v>34</v>
      </c>
      <c r="B15" s="3" t="n">
        <f aca="false">IF(A15="","",EOMONTH(B14,1))</f>
        <v>22128</v>
      </c>
      <c r="C15" s="1" t="n">
        <f aca="false">IF(A15="","",C14+1)</f>
        <v>13</v>
      </c>
      <c r="D15" s="1" t="n">
        <f aca="false">IF(A15="","",INT(C15/12))</f>
        <v>1</v>
      </c>
      <c r="E15" s="1" t="n">
        <f aca="false">IF(A15="","",D15+Inputs!$B$7)</f>
        <v>17</v>
      </c>
      <c r="F15" s="3" t="n">
        <f aca="false">IF(A15="","",DATE(YEAR(B$2)+D15,MONTH(B$2),DAY(B$2)))</f>
        <v>22072</v>
      </c>
      <c r="G15" s="3" t="n">
        <f aca="false">IF(A15="","",DATE(YEAR(F15)+1,MONTH(F15),DAY(F15)))</f>
        <v>22437</v>
      </c>
      <c r="H15" s="10" t="n">
        <f aca="false">IF(A15="","",IF(G15&gt;F15,(B15-F15)/(G15-F15),0))</f>
        <v>0.153424657534247</v>
      </c>
      <c r="I15" s="10" t="n">
        <f aca="false">IF(A15="","",IFERROR(INDEX(CV_RATES!$I:$I,MATCH(D15,CV_RATES!$C:$C,0)),0))</f>
        <v>25.0036675961215</v>
      </c>
      <c r="J15" s="10" t="n">
        <f aca="false">IF(A15="","",IFERROR(IF(E15=MAX(MORTALITY!$A:$A),1000,INDEX(CV_RATES!$J:$J,MATCH(D15,CV_RATES!$C:$C,0))),0))</f>
        <v>50.6315899274474</v>
      </c>
      <c r="K15" s="10" t="n">
        <f aca="false">IF(A15="","",IFERROR(I15+H15*(J15-I15),0))</f>
        <v>28.9356228031194</v>
      </c>
      <c r="L15" s="10" t="n">
        <f aca="false">IF(A15="","",IFERROR(K15*Inputs!$B$9,0))</f>
        <v>1446.78114015597</v>
      </c>
      <c r="M15" s="10" t="n">
        <f aca="false">IF(A15="","",IFERROR(K15*Inputs!$B$10,0))</f>
        <v>4629.6128416307</v>
      </c>
      <c r="N15" s="10" t="n">
        <f aca="false">IF(A15="","",Z14)</f>
        <v>0</v>
      </c>
      <c r="O15" s="6" t="n">
        <f aca="false">IF(A15="","",Inputs!$B$18+N15)</f>
        <v>50000</v>
      </c>
      <c r="P15" s="5" t="n">
        <f aca="false">IF(A15="","",VLOOKUP(D15,DIvidend_Assumption!$A$3:$CX$103,($E$2+2),0)/12)</f>
        <v>0</v>
      </c>
      <c r="Q15" s="10" t="n">
        <f aca="false">IF(A15="","",IFERROR(AB14*P15,""))</f>
        <v>0</v>
      </c>
      <c r="R15" s="10" t="n">
        <f aca="false">IF(A15="","",IFERROR(IF(Inputs!$B$22="Accumulate",T15+Q15,IF(Inputs!$B$22="Premium Offset",MAX(0,T15+Q15-Inputs!$B$25),T15)),""))</f>
        <v>0</v>
      </c>
      <c r="S15" s="10" t="n">
        <f aca="false">IF(A15="","",R14)</f>
        <v>0</v>
      </c>
      <c r="T15" s="10" t="n">
        <f aca="false">IF(A15="","",IFERROR(S15*(1+Inputs!$B$23/12),""))</f>
        <v>0</v>
      </c>
      <c r="U15" s="6" t="n">
        <f aca="false">IF(A15="","",IF(D15&lt;=Inputs!$B$8,IF(Inputs!$B$22="Premium Offset",MAX(0,Inputs!$B$25-(Q15+T15)),Inputs!$B$25),0))</f>
        <v>77</v>
      </c>
      <c r="V15" s="10" t="n">
        <f aca="false">IF(A15="","",IF(Inputs!$B$22="Cash",Q15,0))</f>
        <v>0</v>
      </c>
      <c r="W15" s="10" t="n">
        <f aca="false">IF(A15="","",IF(Inputs!$B$22="PUA",Q15,0))</f>
        <v>0</v>
      </c>
      <c r="X15" s="12" t="n">
        <f aca="false">IF(A15="","",IFERROR(INDEX(PUA_TABLE!$D$4:$D$105,MATCH(E15,PUA_TABLE!$C$4:$C$105,1)),0))</f>
        <v>0.318894298255655</v>
      </c>
      <c r="Y15" s="10" t="n">
        <f aca="false">IF(A15="","",IF(W15&gt;0,IF(X15&gt;0,W15/X15,0),0))</f>
        <v>0</v>
      </c>
      <c r="Z15" s="10" t="n">
        <f aca="false">IF(A15="","",N15+Y15)</f>
        <v>0</v>
      </c>
      <c r="AA15" s="10" t="n">
        <f aca="false">IF(A15="","",IFERROR(Z15*INDEX(PUA_TABLE!$I$4:$I$105,MATCH(E15,PUA_TABLE!$C$4:$C$105,1))/1000,0))</f>
        <v>0</v>
      </c>
      <c r="AB15" s="10" t="n">
        <f aca="false">IF(A15="","",IFERROR(L15+AA15,0))</f>
        <v>1446.78114015597</v>
      </c>
      <c r="AC15" s="10" t="n">
        <f aca="false">IF(A15="","",IF(Inputs!$B$22="Premium Offset",MIN(Inputs!$B$25,Q15+T15),0))</f>
        <v>0</v>
      </c>
    </row>
    <row r="16" customFormat="false" ht="15" hidden="false" customHeight="false" outlineLevel="0" collapsed="false">
      <c r="A16" s="1" t="n">
        <f aca="false">IF(A15="","",IF(INT((C15+1)/12)+Inputs!$B$7&gt;MAX(MORTALITY!$A:$A),"",Inputs!$B$4))</f>
        <v>34</v>
      </c>
      <c r="B16" s="3" t="n">
        <f aca="false">IF(A16="","",EOMONTH(B15,1))</f>
        <v>22159</v>
      </c>
      <c r="C16" s="1" t="n">
        <f aca="false">IF(A16="","",C15+1)</f>
        <v>14</v>
      </c>
      <c r="D16" s="1" t="n">
        <f aca="false">IF(A16="","",INT(C16/12))</f>
        <v>1</v>
      </c>
      <c r="E16" s="1" t="n">
        <f aca="false">IF(A16="","",D16+Inputs!$B$7)</f>
        <v>17</v>
      </c>
      <c r="F16" s="3" t="n">
        <f aca="false">IF(A16="","",DATE(YEAR(B$2)+D16,MONTH(B$2),DAY(B$2)))</f>
        <v>22072</v>
      </c>
      <c r="G16" s="3" t="n">
        <f aca="false">IF(A16="","",DATE(YEAR(F16)+1,MONTH(F16),DAY(F16)))</f>
        <v>22437</v>
      </c>
      <c r="H16" s="10" t="n">
        <f aca="false">IF(A16="","",IF(G16&gt;F16,(B16-F16)/(G16-F16),0))</f>
        <v>0.238356164383562</v>
      </c>
      <c r="I16" s="10" t="n">
        <f aca="false">IF(A16="","",IFERROR(INDEX(CV_RATES!$I:$I,MATCH(D16,CV_RATES!$C:$C,0)),0))</f>
        <v>25.0036675961215</v>
      </c>
      <c r="J16" s="10" t="n">
        <f aca="false">IF(A16="","",IFERROR(IF(E16=MAX(MORTALITY!$A:$A),1000,INDEX(CV_RATES!$J:$J,MATCH(D16,CV_RATES!$C:$C,0))),0))</f>
        <v>50.6315899274474</v>
      </c>
      <c r="K16" s="10" t="n">
        <f aca="false">IF(A16="","",IFERROR(I16+H16*(J16-I16),0))</f>
        <v>31.1122408641362</v>
      </c>
      <c r="L16" s="10" t="n">
        <f aca="false">IF(A16="","",IFERROR(K16*Inputs!$B$9,0))</f>
        <v>1555.61204320681</v>
      </c>
      <c r="M16" s="10" t="n">
        <f aca="false">IF(A16="","",IFERROR(K16*Inputs!$B$10,0))</f>
        <v>4977.86520153919</v>
      </c>
      <c r="N16" s="10" t="n">
        <f aca="false">IF(A16="","",Z15)</f>
        <v>0</v>
      </c>
      <c r="O16" s="6" t="n">
        <f aca="false">IF(A16="","",Inputs!$B$18+N16)</f>
        <v>50000</v>
      </c>
      <c r="P16" s="5" t="n">
        <f aca="false">IF(A16="","",VLOOKUP(D16,DIvidend_Assumption!$A$3:$CX$103,($E$2+2),0)/12)</f>
        <v>0</v>
      </c>
      <c r="Q16" s="10" t="n">
        <f aca="false">IF(A16="","",IFERROR(AB15*P16,""))</f>
        <v>0</v>
      </c>
      <c r="R16" s="10" t="n">
        <f aca="false">IF(A16="","",IFERROR(IF(Inputs!$B$22="Accumulate",T16+Q16,IF(Inputs!$B$22="Premium Offset",MAX(0,T16+Q16-Inputs!$B$25),T16)),""))</f>
        <v>0</v>
      </c>
      <c r="S16" s="10" t="n">
        <f aca="false">IF(A16="","",R15)</f>
        <v>0</v>
      </c>
      <c r="T16" s="10" t="n">
        <f aca="false">IF(A16="","",IFERROR(S16*(1+Inputs!$B$23/12),""))</f>
        <v>0</v>
      </c>
      <c r="U16" s="6" t="n">
        <f aca="false">IF(A16="","",IF(D16&lt;=Inputs!$B$8,IF(Inputs!$B$22="Premium Offset",MAX(0,Inputs!$B$25-(Q16+T16)),Inputs!$B$25),0))</f>
        <v>77</v>
      </c>
      <c r="V16" s="10" t="n">
        <f aca="false">IF(A16="","",IF(Inputs!$B$22="Cash",Q16,0))</f>
        <v>0</v>
      </c>
      <c r="W16" s="10" t="n">
        <f aca="false">IF(A16="","",IF(Inputs!$B$22="PUA",Q16,0))</f>
        <v>0</v>
      </c>
      <c r="X16" s="12" t="n">
        <f aca="false">IF(A16="","",IFERROR(INDEX(PUA_TABLE!$D$4:$D$105,MATCH(E16,PUA_TABLE!$C$4:$C$105,1)),0))</f>
        <v>0.318894298255655</v>
      </c>
      <c r="Y16" s="10" t="n">
        <f aca="false">IF(A16="","",IF(W16&gt;0,IF(X16&gt;0,W16/X16,0),0))</f>
        <v>0</v>
      </c>
      <c r="Z16" s="10" t="n">
        <f aca="false">IF(A16="","",N16+Y16)</f>
        <v>0</v>
      </c>
      <c r="AA16" s="10" t="n">
        <f aca="false">IF(A16="","",IFERROR(Z16*INDEX(PUA_TABLE!$I$4:$I$105,MATCH(E16,PUA_TABLE!$C$4:$C$105,1))/1000,0))</f>
        <v>0</v>
      </c>
      <c r="AB16" s="10" t="n">
        <f aca="false">IF(A16="","",IFERROR(L16+AA16,0))</f>
        <v>1555.61204320681</v>
      </c>
      <c r="AC16" s="10" t="n">
        <f aca="false">IF(A16="","",IF(Inputs!$B$22="Premium Offset",MIN(Inputs!$B$25,Q16+T16),0))</f>
        <v>0</v>
      </c>
    </row>
    <row r="17" customFormat="false" ht="15" hidden="false" customHeight="false" outlineLevel="0" collapsed="false">
      <c r="A17" s="1" t="n">
        <f aca="false">IF(A16="","",IF(INT((C16+1)/12)+Inputs!$B$7&gt;MAX(MORTALITY!$A:$A),"",Inputs!$B$4))</f>
        <v>34</v>
      </c>
      <c r="B17" s="3" t="n">
        <f aca="false">IF(A17="","",EOMONTH(B16,1))</f>
        <v>22189</v>
      </c>
      <c r="C17" s="1" t="n">
        <f aca="false">IF(A17="","",C16+1)</f>
        <v>15</v>
      </c>
      <c r="D17" s="1" t="n">
        <f aca="false">IF(A17="","",INT(C17/12))</f>
        <v>1</v>
      </c>
      <c r="E17" s="1" t="n">
        <f aca="false">IF(A17="","",D17+Inputs!$B$7)</f>
        <v>17</v>
      </c>
      <c r="F17" s="3" t="n">
        <f aca="false">IF(A17="","",DATE(YEAR(B$2)+D17,MONTH(B$2),DAY(B$2)))</f>
        <v>22072</v>
      </c>
      <c r="G17" s="3" t="n">
        <f aca="false">IF(A17="","",DATE(YEAR(F17)+1,MONTH(F17),DAY(F17)))</f>
        <v>22437</v>
      </c>
      <c r="H17" s="10" t="n">
        <f aca="false">IF(A17="","",IF(G17&gt;F17,(B17-F17)/(G17-F17),0))</f>
        <v>0.320547945205479</v>
      </c>
      <c r="I17" s="10" t="n">
        <f aca="false">IF(A17="","",IFERROR(INDEX(CV_RATES!$I:$I,MATCH(D17,CV_RATES!$C:$C,0)),0))</f>
        <v>25.0036675961215</v>
      </c>
      <c r="J17" s="10" t="n">
        <f aca="false">IF(A17="","",IFERROR(IF(E17=MAX(MORTALITY!$A:$A),1000,INDEX(CV_RATES!$J:$J,MATCH(D17,CV_RATES!$C:$C,0))),0))</f>
        <v>50.6315899274474</v>
      </c>
      <c r="K17" s="10" t="n">
        <f aca="false">IF(A17="","",IFERROR(I17+H17*(J17-I17),0))</f>
        <v>33.2186454393136</v>
      </c>
      <c r="L17" s="10" t="n">
        <f aca="false">IF(A17="","",IFERROR(K17*Inputs!$B$9,0))</f>
        <v>1660.93227196568</v>
      </c>
      <c r="M17" s="10" t="n">
        <f aca="false">IF(A17="","",IFERROR(K17*Inputs!$B$10,0))</f>
        <v>5314.88361435386</v>
      </c>
      <c r="N17" s="10" t="n">
        <f aca="false">IF(A17="","",Z16)</f>
        <v>0</v>
      </c>
      <c r="O17" s="6" t="n">
        <f aca="false">IF(A17="","",Inputs!$B$18+N17)</f>
        <v>50000</v>
      </c>
      <c r="P17" s="5" t="n">
        <f aca="false">IF(A17="","",VLOOKUP(D17,DIvidend_Assumption!$A$3:$CX$103,($E$2+2),0)/12)</f>
        <v>0</v>
      </c>
      <c r="Q17" s="10" t="n">
        <f aca="false">IF(A17="","",IFERROR(AB16*P17,""))</f>
        <v>0</v>
      </c>
      <c r="R17" s="10" t="n">
        <f aca="false">IF(A17="","",IFERROR(IF(Inputs!$B$22="Accumulate",T17+Q17,IF(Inputs!$B$22="Premium Offset",MAX(0,T17+Q17-Inputs!$B$25),T17)),""))</f>
        <v>0</v>
      </c>
      <c r="S17" s="10" t="n">
        <f aca="false">IF(A17="","",R16)</f>
        <v>0</v>
      </c>
      <c r="T17" s="10" t="n">
        <f aca="false">IF(A17="","",IFERROR(S17*(1+Inputs!$B$23/12),""))</f>
        <v>0</v>
      </c>
      <c r="U17" s="6" t="n">
        <f aca="false">IF(A17="","",IF(D17&lt;=Inputs!$B$8,IF(Inputs!$B$22="Premium Offset",MAX(0,Inputs!$B$25-(Q17+T17)),Inputs!$B$25),0))</f>
        <v>77</v>
      </c>
      <c r="V17" s="10" t="n">
        <f aca="false">IF(A17="","",IF(Inputs!$B$22="Cash",Q17,0))</f>
        <v>0</v>
      </c>
      <c r="W17" s="10" t="n">
        <f aca="false">IF(A17="","",IF(Inputs!$B$22="PUA",Q17,0))</f>
        <v>0</v>
      </c>
      <c r="X17" s="12" t="n">
        <f aca="false">IF(A17="","",IFERROR(INDEX(PUA_TABLE!$D$4:$D$105,MATCH(E17,PUA_TABLE!$C$4:$C$105,1)),0))</f>
        <v>0.318894298255655</v>
      </c>
      <c r="Y17" s="10" t="n">
        <f aca="false">IF(A17="","",IF(W17&gt;0,IF(X17&gt;0,W17/X17,0),0))</f>
        <v>0</v>
      </c>
      <c r="Z17" s="10" t="n">
        <f aca="false">IF(A17="","",N17+Y17)</f>
        <v>0</v>
      </c>
      <c r="AA17" s="10" t="n">
        <f aca="false">IF(A17="","",IFERROR(Z17*INDEX(PUA_TABLE!$I$4:$I$105,MATCH(E17,PUA_TABLE!$C$4:$C$105,1))/1000,0))</f>
        <v>0</v>
      </c>
      <c r="AB17" s="10" t="n">
        <f aca="false">IF(A17="","",IFERROR(L17+AA17,0))</f>
        <v>1660.93227196568</v>
      </c>
      <c r="AC17" s="10" t="n">
        <f aca="false">IF(A17="","",IF(Inputs!$B$22="Premium Offset",MIN(Inputs!$B$25,Q17+T17),0))</f>
        <v>0</v>
      </c>
    </row>
    <row r="18" customFormat="false" ht="15" hidden="false" customHeight="false" outlineLevel="0" collapsed="false">
      <c r="A18" s="1" t="n">
        <f aca="false">IF(A17="","",IF(INT((C17+1)/12)+Inputs!$B$7&gt;MAX(MORTALITY!$A:$A),"",Inputs!$B$4))</f>
        <v>34</v>
      </c>
      <c r="B18" s="3" t="n">
        <f aca="false">IF(A18="","",EOMONTH(B17,1))</f>
        <v>22220</v>
      </c>
      <c r="C18" s="1" t="n">
        <f aca="false">IF(A18="","",C17+1)</f>
        <v>16</v>
      </c>
      <c r="D18" s="1" t="n">
        <f aca="false">IF(A18="","",INT(C18/12))</f>
        <v>1</v>
      </c>
      <c r="E18" s="1" t="n">
        <f aca="false">IF(A18="","",D18+Inputs!$B$7)</f>
        <v>17</v>
      </c>
      <c r="F18" s="3" t="n">
        <f aca="false">IF(A18="","",DATE(YEAR(B$2)+D18,MONTH(B$2),DAY(B$2)))</f>
        <v>22072</v>
      </c>
      <c r="G18" s="3" t="n">
        <f aca="false">IF(A18="","",DATE(YEAR(F18)+1,MONTH(F18),DAY(F18)))</f>
        <v>22437</v>
      </c>
      <c r="H18" s="10" t="n">
        <f aca="false">IF(A18="","",IF(G18&gt;F18,(B18-F18)/(G18-F18),0))</f>
        <v>0.405479452054795</v>
      </c>
      <c r="I18" s="10" t="n">
        <f aca="false">IF(A18="","",IFERROR(INDEX(CV_RATES!$I:$I,MATCH(D18,CV_RATES!$C:$C,0)),0))</f>
        <v>25.0036675961215</v>
      </c>
      <c r="J18" s="10" t="n">
        <f aca="false">IF(A18="","",IFERROR(IF(E18=MAX(MORTALITY!$A:$A),1000,INDEX(CV_RATES!$J:$J,MATCH(D18,CV_RATES!$C:$C,0))),0))</f>
        <v>50.6315899274474</v>
      </c>
      <c r="K18" s="10" t="n">
        <f aca="false">IF(A18="","",IFERROR(I18+H18*(J18-I18),0))</f>
        <v>35.3952635003303</v>
      </c>
      <c r="L18" s="10" t="n">
        <f aca="false">IF(A18="","",IFERROR(K18*Inputs!$B$9,0))</f>
        <v>1769.76317501652</v>
      </c>
      <c r="M18" s="10" t="n">
        <f aca="false">IF(A18="","",IFERROR(K18*Inputs!$B$10,0))</f>
        <v>5663.13597426235</v>
      </c>
      <c r="N18" s="10" t="n">
        <f aca="false">IF(A18="","",Z17)</f>
        <v>0</v>
      </c>
      <c r="O18" s="6" t="n">
        <f aca="false">IF(A18="","",Inputs!$B$18+N18)</f>
        <v>50000</v>
      </c>
      <c r="P18" s="5" t="n">
        <f aca="false">IF(A18="","",VLOOKUP(D18,DIvidend_Assumption!$A$3:$CX$103,($E$2+2),0)/12)</f>
        <v>0</v>
      </c>
      <c r="Q18" s="10" t="n">
        <f aca="false">IF(A18="","",IFERROR(AB17*P18,""))</f>
        <v>0</v>
      </c>
      <c r="R18" s="10" t="n">
        <f aca="false">IF(A18="","",IFERROR(IF(Inputs!$B$22="Accumulate",T18+Q18,IF(Inputs!$B$22="Premium Offset",MAX(0,T18+Q18-Inputs!$B$25),T18)),""))</f>
        <v>0</v>
      </c>
      <c r="S18" s="10" t="n">
        <f aca="false">IF(A18="","",R17)</f>
        <v>0</v>
      </c>
      <c r="T18" s="10" t="n">
        <f aca="false">IF(A18="","",IFERROR(S18*(1+Inputs!$B$23/12),""))</f>
        <v>0</v>
      </c>
      <c r="U18" s="6" t="n">
        <f aca="false">IF(A18="","",IF(D18&lt;=Inputs!$B$8,IF(Inputs!$B$22="Premium Offset",MAX(0,Inputs!$B$25-(Q18+T18)),Inputs!$B$25),0))</f>
        <v>77</v>
      </c>
      <c r="V18" s="10" t="n">
        <f aca="false">IF(A18="","",IF(Inputs!$B$22="Cash",Q18,0))</f>
        <v>0</v>
      </c>
      <c r="W18" s="10" t="n">
        <f aca="false">IF(A18="","",IF(Inputs!$B$22="PUA",Q18,0))</f>
        <v>0</v>
      </c>
      <c r="X18" s="12" t="n">
        <f aca="false">IF(A18="","",IFERROR(INDEX(PUA_TABLE!$D$4:$D$105,MATCH(E18,PUA_TABLE!$C$4:$C$105,1)),0))</f>
        <v>0.318894298255655</v>
      </c>
      <c r="Y18" s="10" t="n">
        <f aca="false">IF(A18="","",IF(W18&gt;0,IF(X18&gt;0,W18/X18,0),0))</f>
        <v>0</v>
      </c>
      <c r="Z18" s="10" t="n">
        <f aca="false">IF(A18="","",N18+Y18)</f>
        <v>0</v>
      </c>
      <c r="AA18" s="10" t="n">
        <f aca="false">IF(A18="","",IFERROR(Z18*INDEX(PUA_TABLE!$I$4:$I$105,MATCH(E18,PUA_TABLE!$C$4:$C$105,1))/1000,0))</f>
        <v>0</v>
      </c>
      <c r="AB18" s="10" t="n">
        <f aca="false">IF(A18="","",IFERROR(L18+AA18,0))</f>
        <v>1769.76317501652</v>
      </c>
      <c r="AC18" s="10" t="n">
        <f aca="false">IF(A18="","",IF(Inputs!$B$22="Premium Offset",MIN(Inputs!$B$25,Q18+T18),0))</f>
        <v>0</v>
      </c>
    </row>
    <row r="19" customFormat="false" ht="15" hidden="false" customHeight="false" outlineLevel="0" collapsed="false">
      <c r="A19" s="1" t="n">
        <f aca="false">IF(A18="","",IF(INT((C18+1)/12)+Inputs!$B$7&gt;MAX(MORTALITY!$A:$A),"",Inputs!$B$4))</f>
        <v>34</v>
      </c>
      <c r="B19" s="3" t="n">
        <f aca="false">IF(A19="","",EOMONTH(B18,1))</f>
        <v>22250</v>
      </c>
      <c r="C19" s="1" t="n">
        <f aca="false">IF(A19="","",C18+1)</f>
        <v>17</v>
      </c>
      <c r="D19" s="1" t="n">
        <f aca="false">IF(A19="","",INT(C19/12))</f>
        <v>1</v>
      </c>
      <c r="E19" s="1" t="n">
        <f aca="false">IF(A19="","",D19+Inputs!$B$7)</f>
        <v>17</v>
      </c>
      <c r="F19" s="3" t="n">
        <f aca="false">IF(A19="","",DATE(YEAR(B$2)+D19,MONTH(B$2),DAY(B$2)))</f>
        <v>22072</v>
      </c>
      <c r="G19" s="3" t="n">
        <f aca="false">IF(A19="","",DATE(YEAR(F19)+1,MONTH(F19),DAY(F19)))</f>
        <v>22437</v>
      </c>
      <c r="H19" s="10" t="n">
        <f aca="false">IF(A19="","",IF(G19&gt;F19,(B19-F19)/(G19-F19),0))</f>
        <v>0.487671232876712</v>
      </c>
      <c r="I19" s="10" t="n">
        <f aca="false">IF(A19="","",IFERROR(INDEX(CV_RATES!$I:$I,MATCH(D19,CV_RATES!$C:$C,0)),0))</f>
        <v>25.0036675961215</v>
      </c>
      <c r="J19" s="10" t="n">
        <f aca="false">IF(A19="","",IFERROR(IF(E19=MAX(MORTALITY!$A:$A),1000,INDEX(CV_RATES!$J:$J,MATCH(D19,CV_RATES!$C:$C,0))),0))</f>
        <v>50.6315899274474</v>
      </c>
      <c r="K19" s="10" t="n">
        <f aca="false">IF(A19="","",IFERROR(I19+H19*(J19-I19),0))</f>
        <v>37.5016680755078</v>
      </c>
      <c r="L19" s="10" t="n">
        <f aca="false">IF(A19="","",IFERROR(K19*Inputs!$B$9,0))</f>
        <v>1875.08340377539</v>
      </c>
      <c r="M19" s="10" t="n">
        <f aca="false">IF(A19="","",IFERROR(K19*Inputs!$B$10,0))</f>
        <v>6000.15438707702</v>
      </c>
      <c r="N19" s="10" t="n">
        <f aca="false">IF(A19="","",Z18)</f>
        <v>0</v>
      </c>
      <c r="O19" s="6" t="n">
        <f aca="false">IF(A19="","",Inputs!$B$18+N19)</f>
        <v>50000</v>
      </c>
      <c r="P19" s="5" t="n">
        <f aca="false">IF(A19="","",VLOOKUP(D19,DIvidend_Assumption!$A$3:$CX$103,($E$2+2),0)/12)</f>
        <v>0</v>
      </c>
      <c r="Q19" s="10" t="n">
        <f aca="false">IF(A19="","",IFERROR(AB18*P19,""))</f>
        <v>0</v>
      </c>
      <c r="R19" s="10" t="n">
        <f aca="false">IF(A19="","",IFERROR(IF(Inputs!$B$22="Accumulate",T19+Q19,IF(Inputs!$B$22="Premium Offset",MAX(0,T19+Q19-Inputs!$B$25),T19)),""))</f>
        <v>0</v>
      </c>
      <c r="S19" s="10" t="n">
        <f aca="false">IF(A19="","",R18)</f>
        <v>0</v>
      </c>
      <c r="T19" s="10" t="n">
        <f aca="false">IF(A19="","",IFERROR(S19*(1+Inputs!$B$23/12),""))</f>
        <v>0</v>
      </c>
      <c r="U19" s="6" t="n">
        <f aca="false">IF(A19="","",IF(D19&lt;=Inputs!$B$8,IF(Inputs!$B$22="Premium Offset",MAX(0,Inputs!$B$25-(Q19+T19)),Inputs!$B$25),0))</f>
        <v>77</v>
      </c>
      <c r="V19" s="10" t="n">
        <f aca="false">IF(A19="","",IF(Inputs!$B$22="Cash",Q19,0))</f>
        <v>0</v>
      </c>
      <c r="W19" s="10" t="n">
        <f aca="false">IF(A19="","",IF(Inputs!$B$22="PUA",Q19,0))</f>
        <v>0</v>
      </c>
      <c r="X19" s="12" t="n">
        <f aca="false">IF(A19="","",IFERROR(INDEX(PUA_TABLE!$D$4:$D$105,MATCH(E19,PUA_TABLE!$C$4:$C$105,1)),0))</f>
        <v>0.318894298255655</v>
      </c>
      <c r="Y19" s="10" t="n">
        <f aca="false">IF(A19="","",IF(W19&gt;0,IF(X19&gt;0,W19/X19,0),0))</f>
        <v>0</v>
      </c>
      <c r="Z19" s="10" t="n">
        <f aca="false">IF(A19="","",N19+Y19)</f>
        <v>0</v>
      </c>
      <c r="AA19" s="10" t="n">
        <f aca="false">IF(A19="","",IFERROR(Z19*INDEX(PUA_TABLE!$I$4:$I$105,MATCH(E19,PUA_TABLE!$C$4:$C$105,1))/1000,0))</f>
        <v>0</v>
      </c>
      <c r="AB19" s="10" t="n">
        <f aca="false">IF(A19="","",IFERROR(L19+AA19,0))</f>
        <v>1875.08340377539</v>
      </c>
      <c r="AC19" s="10" t="n">
        <f aca="false">IF(A19="","",IF(Inputs!$B$22="Premium Offset",MIN(Inputs!$B$25,Q19+T19),0))</f>
        <v>0</v>
      </c>
    </row>
    <row r="20" customFormat="false" ht="15" hidden="false" customHeight="false" outlineLevel="0" collapsed="false">
      <c r="A20" s="1" t="n">
        <f aca="false">IF(A19="","",IF(INT((C19+1)/12)+Inputs!$B$7&gt;MAX(MORTALITY!$A:$A),"",Inputs!$B$4))</f>
        <v>34</v>
      </c>
      <c r="B20" s="3" t="n">
        <f aca="false">IF(A20="","",EOMONTH(B19,1))</f>
        <v>22281</v>
      </c>
      <c r="C20" s="1" t="n">
        <f aca="false">IF(A20="","",C19+1)</f>
        <v>18</v>
      </c>
      <c r="D20" s="1" t="n">
        <f aca="false">IF(A20="","",INT(C20/12))</f>
        <v>1</v>
      </c>
      <c r="E20" s="1" t="n">
        <f aca="false">IF(A20="","",D20+Inputs!$B$7)</f>
        <v>17</v>
      </c>
      <c r="F20" s="3" t="n">
        <f aca="false">IF(A20="","",DATE(YEAR(B$2)+D20,MONTH(B$2),DAY(B$2)))</f>
        <v>22072</v>
      </c>
      <c r="G20" s="3" t="n">
        <f aca="false">IF(A20="","",DATE(YEAR(F20)+1,MONTH(F20),DAY(F20)))</f>
        <v>22437</v>
      </c>
      <c r="H20" s="10" t="n">
        <f aca="false">IF(A20="","",IF(G20&gt;F20,(B20-F20)/(G20-F20),0))</f>
        <v>0.572602739726027</v>
      </c>
      <c r="I20" s="10" t="n">
        <f aca="false">IF(A20="","",IFERROR(INDEX(CV_RATES!$I:$I,MATCH(D20,CV_RATES!$C:$C,0)),0))</f>
        <v>25.0036675961215</v>
      </c>
      <c r="J20" s="10" t="n">
        <f aca="false">IF(A20="","",IFERROR(IF(E20=MAX(MORTALITY!$A:$A),1000,INDEX(CV_RATES!$J:$J,MATCH(D20,CV_RATES!$C:$C,0))),0))</f>
        <v>50.6315899274474</v>
      </c>
      <c r="K20" s="10" t="n">
        <f aca="false">IF(A20="","",IFERROR(I20+H20*(J20-I20),0))</f>
        <v>39.6782861365245</v>
      </c>
      <c r="L20" s="10" t="n">
        <f aca="false">IF(A20="","",IFERROR(K20*Inputs!$B$9,0))</f>
        <v>1983.91430682623</v>
      </c>
      <c r="M20" s="10" t="n">
        <f aca="false">IF(A20="","",IFERROR(K20*Inputs!$B$10,0))</f>
        <v>6348.40674698552</v>
      </c>
      <c r="N20" s="10" t="n">
        <f aca="false">IF(A20="","",Z19)</f>
        <v>0</v>
      </c>
      <c r="O20" s="6" t="n">
        <f aca="false">IF(A20="","",Inputs!$B$18+N20)</f>
        <v>50000</v>
      </c>
      <c r="P20" s="5" t="n">
        <f aca="false">IF(A20="","",VLOOKUP(D20,DIvidend_Assumption!$A$3:$CX$103,($E$2+2),0)/12)</f>
        <v>0</v>
      </c>
      <c r="Q20" s="10" t="n">
        <f aca="false">IF(A20="","",IFERROR(AB19*P20,""))</f>
        <v>0</v>
      </c>
      <c r="R20" s="10" t="n">
        <f aca="false">IF(A20="","",IFERROR(IF(Inputs!$B$22="Accumulate",T20+Q20,IF(Inputs!$B$22="Premium Offset",MAX(0,T20+Q20-Inputs!$B$25),T20)),""))</f>
        <v>0</v>
      </c>
      <c r="S20" s="10" t="n">
        <f aca="false">IF(A20="","",R19)</f>
        <v>0</v>
      </c>
      <c r="T20" s="10" t="n">
        <f aca="false">IF(A20="","",IFERROR(S20*(1+Inputs!$B$23/12),""))</f>
        <v>0</v>
      </c>
      <c r="U20" s="6" t="n">
        <f aca="false">IF(A20="","",IF(D20&lt;=Inputs!$B$8,IF(Inputs!$B$22="Premium Offset",MAX(0,Inputs!$B$25-(Q20+T20)),Inputs!$B$25),0))</f>
        <v>77</v>
      </c>
      <c r="V20" s="10" t="n">
        <f aca="false">IF(A20="","",IF(Inputs!$B$22="Cash",Q20,0))</f>
        <v>0</v>
      </c>
      <c r="W20" s="10" t="n">
        <f aca="false">IF(A20="","",IF(Inputs!$B$22="PUA",Q20,0))</f>
        <v>0</v>
      </c>
      <c r="X20" s="12" t="n">
        <f aca="false">IF(A20="","",IFERROR(INDEX(PUA_TABLE!$D$4:$D$105,MATCH(E20,PUA_TABLE!$C$4:$C$105,1)),0))</f>
        <v>0.318894298255655</v>
      </c>
      <c r="Y20" s="10" t="n">
        <f aca="false">IF(A20="","",IF(W20&gt;0,IF(X20&gt;0,W20/X20,0),0))</f>
        <v>0</v>
      </c>
      <c r="Z20" s="10" t="n">
        <f aca="false">IF(A20="","",N20+Y20)</f>
        <v>0</v>
      </c>
      <c r="AA20" s="10" t="n">
        <f aca="false">IF(A20="","",IFERROR(Z20*INDEX(PUA_TABLE!$I$4:$I$105,MATCH(E20,PUA_TABLE!$C$4:$C$105,1))/1000,0))</f>
        <v>0</v>
      </c>
      <c r="AB20" s="10" t="n">
        <f aca="false">IF(A20="","",IFERROR(L20+AA20,0))</f>
        <v>1983.91430682623</v>
      </c>
      <c r="AC20" s="10" t="n">
        <f aca="false">IF(A20="","",IF(Inputs!$B$22="Premium Offset",MIN(Inputs!$B$25,Q20+T20),0))</f>
        <v>0</v>
      </c>
    </row>
    <row r="21" customFormat="false" ht="15" hidden="false" customHeight="false" outlineLevel="0" collapsed="false">
      <c r="A21" s="1" t="n">
        <f aca="false">IF(A20="","",IF(INT((C20+1)/12)+Inputs!$B$7&gt;MAX(MORTALITY!$A:$A),"",Inputs!$B$4))</f>
        <v>34</v>
      </c>
      <c r="B21" s="3" t="n">
        <f aca="false">IF(A21="","",EOMONTH(B20,1))</f>
        <v>22312</v>
      </c>
      <c r="C21" s="1" t="n">
        <f aca="false">IF(A21="","",C20+1)</f>
        <v>19</v>
      </c>
      <c r="D21" s="1" t="n">
        <f aca="false">IF(A21="","",INT(C21/12))</f>
        <v>1</v>
      </c>
      <c r="E21" s="1" t="n">
        <f aca="false">IF(A21="","",D21+Inputs!$B$7)</f>
        <v>17</v>
      </c>
      <c r="F21" s="3" t="n">
        <f aca="false">IF(A21="","",DATE(YEAR(B$2)+D21,MONTH(B$2),DAY(B$2)))</f>
        <v>22072</v>
      </c>
      <c r="G21" s="3" t="n">
        <f aca="false">IF(A21="","",DATE(YEAR(F21)+1,MONTH(F21),DAY(F21)))</f>
        <v>22437</v>
      </c>
      <c r="H21" s="10" t="n">
        <f aca="false">IF(A21="","",IF(G21&gt;F21,(B21-F21)/(G21-F21),0))</f>
        <v>0.657534246575342</v>
      </c>
      <c r="I21" s="10" t="n">
        <f aca="false">IF(A21="","",IFERROR(INDEX(CV_RATES!$I:$I,MATCH(D21,CV_RATES!$C:$C,0)),0))</f>
        <v>25.0036675961215</v>
      </c>
      <c r="J21" s="10" t="n">
        <f aca="false">IF(A21="","",IFERROR(IF(E21=MAX(MORTALITY!$A:$A),1000,INDEX(CV_RATES!$J:$J,MATCH(D21,CV_RATES!$C:$C,0))),0))</f>
        <v>50.6315899274474</v>
      </c>
      <c r="K21" s="10" t="n">
        <f aca="false">IF(A21="","",IFERROR(I21+H21*(J21-I21),0))</f>
        <v>41.8549041975412</v>
      </c>
      <c r="L21" s="10" t="n">
        <f aca="false">IF(A21="","",IFERROR(K21*Inputs!$B$9,0))</f>
        <v>2092.74520987706</v>
      </c>
      <c r="M21" s="10" t="n">
        <f aca="false">IF(A21="","",IFERROR(K21*Inputs!$B$10,0))</f>
        <v>6696.65910689401</v>
      </c>
      <c r="N21" s="10" t="n">
        <f aca="false">IF(A21="","",Z20)</f>
        <v>0</v>
      </c>
      <c r="O21" s="6" t="n">
        <f aca="false">IF(A21="","",Inputs!$B$18+N21)</f>
        <v>50000</v>
      </c>
      <c r="P21" s="5" t="n">
        <f aca="false">IF(A21="","",VLOOKUP(D21,DIvidend_Assumption!$A$3:$CX$103,($E$2+2),0)/12)</f>
        <v>0</v>
      </c>
      <c r="Q21" s="10" t="n">
        <f aca="false">IF(A21="","",IFERROR(AB20*P21,""))</f>
        <v>0</v>
      </c>
      <c r="R21" s="10" t="n">
        <f aca="false">IF(A21="","",IFERROR(IF(Inputs!$B$22="Accumulate",T21+Q21,IF(Inputs!$B$22="Premium Offset",MAX(0,T21+Q21-Inputs!$B$25),T21)),""))</f>
        <v>0</v>
      </c>
      <c r="S21" s="10" t="n">
        <f aca="false">IF(A21="","",R20)</f>
        <v>0</v>
      </c>
      <c r="T21" s="10" t="n">
        <f aca="false">IF(A21="","",IFERROR(S21*(1+Inputs!$B$23/12),""))</f>
        <v>0</v>
      </c>
      <c r="U21" s="6" t="n">
        <f aca="false">IF(A21="","",IF(D21&lt;=Inputs!$B$8,IF(Inputs!$B$22="Premium Offset",MAX(0,Inputs!$B$25-(Q21+T21)),Inputs!$B$25),0))</f>
        <v>77</v>
      </c>
      <c r="V21" s="10" t="n">
        <f aca="false">IF(A21="","",IF(Inputs!$B$22="Cash",Q21,0))</f>
        <v>0</v>
      </c>
      <c r="W21" s="10" t="n">
        <f aca="false">IF(A21="","",IF(Inputs!$B$22="PUA",Q21,0))</f>
        <v>0</v>
      </c>
      <c r="X21" s="12" t="n">
        <f aca="false">IF(A21="","",IFERROR(INDEX(PUA_TABLE!$D$4:$D$105,MATCH(E21,PUA_TABLE!$C$4:$C$105,1)),0))</f>
        <v>0.318894298255655</v>
      </c>
      <c r="Y21" s="10" t="n">
        <f aca="false">IF(A21="","",IF(W21&gt;0,IF(X21&gt;0,W21/X21,0),0))</f>
        <v>0</v>
      </c>
      <c r="Z21" s="10" t="n">
        <f aca="false">IF(A21="","",N21+Y21)</f>
        <v>0</v>
      </c>
      <c r="AA21" s="10" t="n">
        <f aca="false">IF(A21="","",IFERROR(Z21*INDEX(PUA_TABLE!$I$4:$I$105,MATCH(E21,PUA_TABLE!$C$4:$C$105,1))/1000,0))</f>
        <v>0</v>
      </c>
      <c r="AB21" s="10" t="n">
        <f aca="false">IF(A21="","",IFERROR(L21+AA21,0))</f>
        <v>2092.74520987706</v>
      </c>
      <c r="AC21" s="10" t="n">
        <f aca="false">IF(A21="","",IF(Inputs!$B$22="Premium Offset",MIN(Inputs!$B$25,Q21+T21),0))</f>
        <v>0</v>
      </c>
    </row>
    <row r="22" customFormat="false" ht="15" hidden="false" customHeight="false" outlineLevel="0" collapsed="false">
      <c r="A22" s="1" t="n">
        <f aca="false">IF(A21="","",IF(INT((C21+1)/12)+Inputs!$B$7&gt;MAX(MORTALITY!$A:$A),"",Inputs!$B$4))</f>
        <v>34</v>
      </c>
      <c r="B22" s="3" t="n">
        <f aca="false">IF(A22="","",EOMONTH(B21,1))</f>
        <v>22340</v>
      </c>
      <c r="C22" s="1" t="n">
        <f aca="false">IF(A22="","",C21+1)</f>
        <v>20</v>
      </c>
      <c r="D22" s="1" t="n">
        <f aca="false">IF(A22="","",INT(C22/12))</f>
        <v>1</v>
      </c>
      <c r="E22" s="1" t="n">
        <f aca="false">IF(A22="","",D22+Inputs!$B$7)</f>
        <v>17</v>
      </c>
      <c r="F22" s="3" t="n">
        <f aca="false">IF(A22="","",DATE(YEAR(B$2)+D22,MONTH(B$2),DAY(B$2)))</f>
        <v>22072</v>
      </c>
      <c r="G22" s="3" t="n">
        <f aca="false">IF(A22="","",DATE(YEAR(F22)+1,MONTH(F22),DAY(F22)))</f>
        <v>22437</v>
      </c>
      <c r="H22" s="10" t="n">
        <f aca="false">IF(A22="","",IF(G22&gt;F22,(B22-F22)/(G22-F22),0))</f>
        <v>0.734246575342466</v>
      </c>
      <c r="I22" s="10" t="n">
        <f aca="false">IF(A22="","",IFERROR(INDEX(CV_RATES!$I:$I,MATCH(D22,CV_RATES!$C:$C,0)),0))</f>
        <v>25.0036675961215</v>
      </c>
      <c r="J22" s="10" t="n">
        <f aca="false">IF(A22="","",IFERROR(IF(E22=MAX(MORTALITY!$A:$A),1000,INDEX(CV_RATES!$J:$J,MATCH(D22,CV_RATES!$C:$C,0))),0))</f>
        <v>50.6315899274474</v>
      </c>
      <c r="K22" s="10" t="n">
        <f aca="false">IF(A22="","",IFERROR(I22+H22*(J22-I22),0))</f>
        <v>43.8208818010402</v>
      </c>
      <c r="L22" s="10" t="n">
        <f aca="false">IF(A22="","",IFERROR(K22*Inputs!$B$9,0))</f>
        <v>2191.04409005201</v>
      </c>
      <c r="M22" s="10" t="n">
        <f aca="false">IF(A22="","",IFERROR(K22*Inputs!$B$10,0))</f>
        <v>7011.20962552103</v>
      </c>
      <c r="N22" s="10" t="n">
        <f aca="false">IF(A22="","",Z21)</f>
        <v>0</v>
      </c>
      <c r="O22" s="6" t="n">
        <f aca="false">IF(A22="","",Inputs!$B$18+N22)</f>
        <v>50000</v>
      </c>
      <c r="P22" s="5" t="n">
        <f aca="false">IF(A22="","",VLOOKUP(D22,DIvidend_Assumption!$A$3:$CX$103,($E$2+2),0)/12)</f>
        <v>0</v>
      </c>
      <c r="Q22" s="10" t="n">
        <f aca="false">IF(A22="","",IFERROR(AB21*P22,""))</f>
        <v>0</v>
      </c>
      <c r="R22" s="10" t="n">
        <f aca="false">IF(A22="","",IFERROR(IF(Inputs!$B$22="Accumulate",T22+Q22,IF(Inputs!$B$22="Premium Offset",MAX(0,T22+Q22-Inputs!$B$25),T22)),""))</f>
        <v>0</v>
      </c>
      <c r="S22" s="10" t="n">
        <f aca="false">IF(A22="","",R21)</f>
        <v>0</v>
      </c>
      <c r="T22" s="10" t="n">
        <f aca="false">IF(A22="","",IFERROR(S22*(1+Inputs!$B$23/12),""))</f>
        <v>0</v>
      </c>
      <c r="U22" s="6" t="n">
        <f aca="false">IF(A22="","",IF(D22&lt;=Inputs!$B$8,IF(Inputs!$B$22="Premium Offset",MAX(0,Inputs!$B$25-(Q22+T22)),Inputs!$B$25),0))</f>
        <v>77</v>
      </c>
      <c r="V22" s="10" t="n">
        <f aca="false">IF(A22="","",IF(Inputs!$B$22="Cash",Q22,0))</f>
        <v>0</v>
      </c>
      <c r="W22" s="10" t="n">
        <f aca="false">IF(A22="","",IF(Inputs!$B$22="PUA",Q22,0))</f>
        <v>0</v>
      </c>
      <c r="X22" s="12" t="n">
        <f aca="false">IF(A22="","",IFERROR(INDEX(PUA_TABLE!$D$4:$D$105,MATCH(E22,PUA_TABLE!$C$4:$C$105,1)),0))</f>
        <v>0.318894298255655</v>
      </c>
      <c r="Y22" s="10" t="n">
        <f aca="false">IF(A22="","",IF(W22&gt;0,IF(X22&gt;0,W22/X22,0),0))</f>
        <v>0</v>
      </c>
      <c r="Z22" s="10" t="n">
        <f aca="false">IF(A22="","",N22+Y22)</f>
        <v>0</v>
      </c>
      <c r="AA22" s="10" t="n">
        <f aca="false">IF(A22="","",IFERROR(Z22*INDEX(PUA_TABLE!$I$4:$I$105,MATCH(E22,PUA_TABLE!$C$4:$C$105,1))/1000,0))</f>
        <v>0</v>
      </c>
      <c r="AB22" s="10" t="n">
        <f aca="false">IF(A22="","",IFERROR(L22+AA22,0))</f>
        <v>2191.04409005201</v>
      </c>
      <c r="AC22" s="10" t="n">
        <f aca="false">IF(A22="","",IF(Inputs!$B$22="Premium Offset",MIN(Inputs!$B$25,Q22+T22),0))</f>
        <v>0</v>
      </c>
    </row>
    <row r="23" customFormat="false" ht="15" hidden="false" customHeight="false" outlineLevel="0" collapsed="false">
      <c r="A23" s="1" t="n">
        <f aca="false">IF(A22="","",IF(INT((C22+1)/12)+Inputs!$B$7&gt;MAX(MORTALITY!$A:$A),"",Inputs!$B$4))</f>
        <v>34</v>
      </c>
      <c r="B23" s="3" t="n">
        <f aca="false">IF(A23="","",EOMONTH(B22,1))</f>
        <v>22371</v>
      </c>
      <c r="C23" s="1" t="n">
        <f aca="false">IF(A23="","",C22+1)</f>
        <v>21</v>
      </c>
      <c r="D23" s="1" t="n">
        <f aca="false">IF(A23="","",INT(C23/12))</f>
        <v>1</v>
      </c>
      <c r="E23" s="1" t="n">
        <f aca="false">IF(A23="","",D23+Inputs!$B$7)</f>
        <v>17</v>
      </c>
      <c r="F23" s="3" t="n">
        <f aca="false">IF(A23="","",DATE(YEAR(B$2)+D23,MONTH(B$2),DAY(B$2)))</f>
        <v>22072</v>
      </c>
      <c r="G23" s="3" t="n">
        <f aca="false">IF(A23="","",DATE(YEAR(F23)+1,MONTH(F23),DAY(F23)))</f>
        <v>22437</v>
      </c>
      <c r="H23" s="10" t="n">
        <f aca="false">IF(A23="","",IF(G23&gt;F23,(B23-F23)/(G23-F23),0))</f>
        <v>0.819178082191781</v>
      </c>
      <c r="I23" s="10" t="n">
        <f aca="false">IF(A23="","",IFERROR(INDEX(CV_RATES!$I:$I,MATCH(D23,CV_RATES!$C:$C,0)),0))</f>
        <v>25.0036675961215</v>
      </c>
      <c r="J23" s="10" t="n">
        <f aca="false">IF(A23="","",IFERROR(IF(E23=MAX(MORTALITY!$A:$A),1000,INDEX(CV_RATES!$J:$J,MATCH(D23,CV_RATES!$C:$C,0))),0))</f>
        <v>50.6315899274474</v>
      </c>
      <c r="K23" s="10" t="n">
        <f aca="false">IF(A23="","",IFERROR(I23+H23*(J23-I23),0))</f>
        <v>45.9974998620569</v>
      </c>
      <c r="L23" s="10" t="n">
        <f aca="false">IF(A23="","",IFERROR(K23*Inputs!$B$9,0))</f>
        <v>2299.87499310285</v>
      </c>
      <c r="M23" s="10" t="n">
        <f aca="false">IF(A23="","",IFERROR(K23*Inputs!$B$10,0))</f>
        <v>7359.46198542953</v>
      </c>
      <c r="N23" s="10" t="n">
        <f aca="false">IF(A23="","",Z22)</f>
        <v>0</v>
      </c>
      <c r="O23" s="6" t="n">
        <f aca="false">IF(A23="","",Inputs!$B$18+N23)</f>
        <v>50000</v>
      </c>
      <c r="P23" s="5" t="n">
        <f aca="false">IF(A23="","",VLOOKUP(D23,DIvidend_Assumption!$A$3:$CX$103,($E$2+2),0)/12)</f>
        <v>0</v>
      </c>
      <c r="Q23" s="10" t="n">
        <f aca="false">IF(A23="","",IFERROR(AB22*P23,""))</f>
        <v>0</v>
      </c>
      <c r="R23" s="10" t="n">
        <f aca="false">IF(A23="","",IFERROR(IF(Inputs!$B$22="Accumulate",T23+Q23,IF(Inputs!$B$22="Premium Offset",MAX(0,T23+Q23-Inputs!$B$25),T23)),""))</f>
        <v>0</v>
      </c>
      <c r="S23" s="10" t="n">
        <f aca="false">IF(A23="","",R22)</f>
        <v>0</v>
      </c>
      <c r="T23" s="10" t="n">
        <f aca="false">IF(A23="","",IFERROR(S23*(1+Inputs!$B$23/12),""))</f>
        <v>0</v>
      </c>
      <c r="U23" s="6" t="n">
        <f aca="false">IF(A23="","",IF(D23&lt;=Inputs!$B$8,IF(Inputs!$B$22="Premium Offset",MAX(0,Inputs!$B$25-(Q23+T23)),Inputs!$B$25),0))</f>
        <v>77</v>
      </c>
      <c r="V23" s="10" t="n">
        <f aca="false">IF(A23="","",IF(Inputs!$B$22="Cash",Q23,0))</f>
        <v>0</v>
      </c>
      <c r="W23" s="10" t="n">
        <f aca="false">IF(A23="","",IF(Inputs!$B$22="PUA",Q23,0))</f>
        <v>0</v>
      </c>
      <c r="X23" s="12" t="n">
        <f aca="false">IF(A23="","",IFERROR(INDEX(PUA_TABLE!$D$4:$D$105,MATCH(E23,PUA_TABLE!$C$4:$C$105,1)),0))</f>
        <v>0.318894298255655</v>
      </c>
      <c r="Y23" s="10" t="n">
        <f aca="false">IF(A23="","",IF(W23&gt;0,IF(X23&gt;0,W23/X23,0),0))</f>
        <v>0</v>
      </c>
      <c r="Z23" s="10" t="n">
        <f aca="false">IF(A23="","",N23+Y23)</f>
        <v>0</v>
      </c>
      <c r="AA23" s="10" t="n">
        <f aca="false">IF(A23="","",IFERROR(Z23*INDEX(PUA_TABLE!$I$4:$I$105,MATCH(E23,PUA_TABLE!$C$4:$C$105,1))/1000,0))</f>
        <v>0</v>
      </c>
      <c r="AB23" s="10" t="n">
        <f aca="false">IF(A23="","",IFERROR(L23+AA23,0))</f>
        <v>2299.87499310285</v>
      </c>
      <c r="AC23" s="10" t="n">
        <f aca="false">IF(A23="","",IF(Inputs!$B$22="Premium Offset",MIN(Inputs!$B$25,Q23+T23),0))</f>
        <v>0</v>
      </c>
    </row>
    <row r="24" customFormat="false" ht="15" hidden="false" customHeight="false" outlineLevel="0" collapsed="false">
      <c r="A24" s="1" t="n">
        <f aca="false">IF(A23="","",IF(INT((C23+1)/12)+Inputs!$B$7&gt;MAX(MORTALITY!$A:$A),"",Inputs!$B$4))</f>
        <v>34</v>
      </c>
      <c r="B24" s="3" t="n">
        <f aca="false">IF(A24="","",EOMONTH(B23,1))</f>
        <v>22401</v>
      </c>
      <c r="C24" s="1" t="n">
        <f aca="false">IF(A24="","",C23+1)</f>
        <v>22</v>
      </c>
      <c r="D24" s="1" t="n">
        <f aca="false">IF(A24="","",INT(C24/12))</f>
        <v>1</v>
      </c>
      <c r="E24" s="1" t="n">
        <f aca="false">IF(A24="","",D24+Inputs!$B$7)</f>
        <v>17</v>
      </c>
      <c r="F24" s="3" t="n">
        <f aca="false">IF(A24="","",DATE(YEAR(B$2)+D24,MONTH(B$2),DAY(B$2)))</f>
        <v>22072</v>
      </c>
      <c r="G24" s="3" t="n">
        <f aca="false">IF(A24="","",DATE(YEAR(F24)+1,MONTH(F24),DAY(F24)))</f>
        <v>22437</v>
      </c>
      <c r="H24" s="10" t="n">
        <f aca="false">IF(A24="","",IF(G24&gt;F24,(B24-F24)/(G24-F24),0))</f>
        <v>0.901369863013699</v>
      </c>
      <c r="I24" s="10" t="n">
        <f aca="false">IF(A24="","",IFERROR(INDEX(CV_RATES!$I:$I,MATCH(D24,CV_RATES!$C:$C,0)),0))</f>
        <v>25.0036675961215</v>
      </c>
      <c r="J24" s="10" t="n">
        <f aca="false">IF(A24="","",IFERROR(IF(E24=MAX(MORTALITY!$A:$A),1000,INDEX(CV_RATES!$J:$J,MATCH(D24,CV_RATES!$C:$C,0))),0))</f>
        <v>50.6315899274474</v>
      </c>
      <c r="K24" s="10" t="n">
        <f aca="false">IF(A24="","",IFERROR(I24+H24*(J24-I24),0))</f>
        <v>48.1039044372344</v>
      </c>
      <c r="L24" s="10" t="n">
        <f aca="false">IF(A24="","",IFERROR(K24*Inputs!$B$9,0))</f>
        <v>2405.19522186172</v>
      </c>
      <c r="M24" s="10" t="n">
        <f aca="false">IF(A24="","",IFERROR(K24*Inputs!$B$10,0))</f>
        <v>7696.48039824419</v>
      </c>
      <c r="N24" s="10" t="n">
        <f aca="false">IF(A24="","",Z23)</f>
        <v>0</v>
      </c>
      <c r="O24" s="6" t="n">
        <f aca="false">IF(A24="","",Inputs!$B$18+N24)</f>
        <v>50000</v>
      </c>
      <c r="P24" s="5" t="n">
        <f aca="false">IF(A24="","",VLOOKUP(D24,DIvidend_Assumption!$A$3:$CX$103,($E$2+2),0)/12)</f>
        <v>0</v>
      </c>
      <c r="Q24" s="10" t="n">
        <f aca="false">IF(A24="","",IFERROR(AB23*P24,""))</f>
        <v>0</v>
      </c>
      <c r="R24" s="10" t="n">
        <f aca="false">IF(A24="","",IFERROR(IF(Inputs!$B$22="Accumulate",T24+Q24,IF(Inputs!$B$22="Premium Offset",MAX(0,T24+Q24-Inputs!$B$25),T24)),""))</f>
        <v>0</v>
      </c>
      <c r="S24" s="10" t="n">
        <f aca="false">IF(A24="","",R23)</f>
        <v>0</v>
      </c>
      <c r="T24" s="10" t="n">
        <f aca="false">IF(A24="","",IFERROR(S24*(1+Inputs!$B$23/12),""))</f>
        <v>0</v>
      </c>
      <c r="U24" s="6" t="n">
        <f aca="false">IF(A24="","",IF(D24&lt;=Inputs!$B$8,IF(Inputs!$B$22="Premium Offset",MAX(0,Inputs!$B$25-(Q24+T24)),Inputs!$B$25),0))</f>
        <v>77</v>
      </c>
      <c r="V24" s="10" t="n">
        <f aca="false">IF(A24="","",IF(Inputs!$B$22="Cash",Q24,0))</f>
        <v>0</v>
      </c>
      <c r="W24" s="10" t="n">
        <f aca="false">IF(A24="","",IF(Inputs!$B$22="PUA",Q24,0))</f>
        <v>0</v>
      </c>
      <c r="X24" s="12" t="n">
        <f aca="false">IF(A24="","",IFERROR(INDEX(PUA_TABLE!$D$4:$D$105,MATCH(E24,PUA_TABLE!$C$4:$C$105,1)),0))</f>
        <v>0.318894298255655</v>
      </c>
      <c r="Y24" s="10" t="n">
        <f aca="false">IF(A24="","",IF(W24&gt;0,IF(X24&gt;0,W24/X24,0),0))</f>
        <v>0</v>
      </c>
      <c r="Z24" s="10" t="n">
        <f aca="false">IF(A24="","",N24+Y24)</f>
        <v>0</v>
      </c>
      <c r="AA24" s="10" t="n">
        <f aca="false">IF(A24="","",IFERROR(Z24*INDEX(PUA_TABLE!$I$4:$I$105,MATCH(E24,PUA_TABLE!$C$4:$C$105,1))/1000,0))</f>
        <v>0</v>
      </c>
      <c r="AB24" s="10" t="n">
        <f aca="false">IF(A24="","",IFERROR(L24+AA24,0))</f>
        <v>2405.19522186172</v>
      </c>
      <c r="AC24" s="10" t="n">
        <f aca="false">IF(A24="","",IF(Inputs!$B$22="Premium Offset",MIN(Inputs!$B$25,Q24+T24),0))</f>
        <v>0</v>
      </c>
    </row>
    <row r="25" customFormat="false" ht="15" hidden="false" customHeight="false" outlineLevel="0" collapsed="false">
      <c r="A25" s="1" t="n">
        <f aca="false">IF(A24="","",IF(INT((C24+1)/12)+Inputs!$B$7&gt;MAX(MORTALITY!$A:$A),"",Inputs!$B$4))</f>
        <v>34</v>
      </c>
      <c r="B25" s="3" t="n">
        <f aca="false">IF(A25="","",EOMONTH(B24,1))</f>
        <v>22432</v>
      </c>
      <c r="C25" s="1" t="n">
        <f aca="false">IF(A25="","",C24+1)</f>
        <v>23</v>
      </c>
      <c r="D25" s="1" t="n">
        <f aca="false">IF(A25="","",INT(C25/12))</f>
        <v>1</v>
      </c>
      <c r="E25" s="1" t="n">
        <f aca="false">IF(A25="","",D25+Inputs!$B$7)</f>
        <v>17</v>
      </c>
      <c r="F25" s="3" t="n">
        <f aca="false">IF(A25="","",DATE(YEAR(B$2)+D25,MONTH(B$2),DAY(B$2)))</f>
        <v>22072</v>
      </c>
      <c r="G25" s="3" t="n">
        <f aca="false">IF(A25="","",DATE(YEAR(F25)+1,MONTH(F25),DAY(F25)))</f>
        <v>22437</v>
      </c>
      <c r="H25" s="10" t="n">
        <f aca="false">IF(A25="","",IF(G25&gt;F25,(B25-F25)/(G25-F25),0))</f>
        <v>0.986301369863014</v>
      </c>
      <c r="I25" s="10" t="n">
        <f aca="false">IF(A25="","",IFERROR(INDEX(CV_RATES!$I:$I,MATCH(D25,CV_RATES!$C:$C,0)),0))</f>
        <v>25.0036675961215</v>
      </c>
      <c r="J25" s="10" t="n">
        <f aca="false">IF(A25="","",IFERROR(IF(E25=MAX(MORTALITY!$A:$A),1000,INDEX(CV_RATES!$J:$J,MATCH(D25,CV_RATES!$C:$C,0))),0))</f>
        <v>50.6315899274474</v>
      </c>
      <c r="K25" s="10" t="n">
        <f aca="false">IF(A25="","",IFERROR(I25+H25*(J25-I25),0))</f>
        <v>50.2805224982511</v>
      </c>
      <c r="L25" s="10" t="n">
        <f aca="false">IF(A25="","",IFERROR(K25*Inputs!$B$9,0))</f>
        <v>2514.02612491256</v>
      </c>
      <c r="M25" s="10" t="n">
        <f aca="false">IF(A25="","",IFERROR(K25*Inputs!$B$10,0))</f>
        <v>8044.73275815269</v>
      </c>
      <c r="N25" s="10" t="n">
        <f aca="false">IF(A25="","",Z24)</f>
        <v>0</v>
      </c>
      <c r="O25" s="6" t="n">
        <f aca="false">IF(A25="","",Inputs!$B$18+N25)</f>
        <v>50000</v>
      </c>
      <c r="P25" s="5" t="n">
        <f aca="false">IF(A25="","",VLOOKUP(D25,DIvidend_Assumption!$A$3:$CX$103,($E$2+2),0)/12)</f>
        <v>0</v>
      </c>
      <c r="Q25" s="10" t="n">
        <f aca="false">IF(A25="","",IFERROR(AB24*P25,""))</f>
        <v>0</v>
      </c>
      <c r="R25" s="10" t="n">
        <f aca="false">IF(A25="","",IFERROR(IF(Inputs!$B$22="Accumulate",T25+Q25,IF(Inputs!$B$22="Premium Offset",MAX(0,T25+Q25-Inputs!$B$25),T25)),""))</f>
        <v>0</v>
      </c>
      <c r="S25" s="10" t="n">
        <f aca="false">IF(A25="","",R24)</f>
        <v>0</v>
      </c>
      <c r="T25" s="10" t="n">
        <f aca="false">IF(A25="","",IFERROR(S25*(1+Inputs!$B$23/12),""))</f>
        <v>0</v>
      </c>
      <c r="U25" s="6" t="n">
        <f aca="false">IF(A25="","",IF(D25&lt;=Inputs!$B$8,IF(Inputs!$B$22="Premium Offset",MAX(0,Inputs!$B$25-(Q25+T25)),Inputs!$B$25),0))</f>
        <v>77</v>
      </c>
      <c r="V25" s="10" t="n">
        <f aca="false">IF(A25="","",IF(Inputs!$B$22="Cash",Q25,0))</f>
        <v>0</v>
      </c>
      <c r="W25" s="10" t="n">
        <f aca="false">IF(A25="","",IF(Inputs!$B$22="PUA",Q25,0))</f>
        <v>0</v>
      </c>
      <c r="X25" s="12" t="n">
        <f aca="false">IF(A25="","",IFERROR(INDEX(PUA_TABLE!$D$4:$D$105,MATCH(E25,PUA_TABLE!$C$4:$C$105,1)),0))</f>
        <v>0.318894298255655</v>
      </c>
      <c r="Y25" s="10" t="n">
        <f aca="false">IF(A25="","",IF(W25&gt;0,IF(X25&gt;0,W25/X25,0),0))</f>
        <v>0</v>
      </c>
      <c r="Z25" s="10" t="n">
        <f aca="false">IF(A25="","",N25+Y25)</f>
        <v>0</v>
      </c>
      <c r="AA25" s="10" t="n">
        <f aca="false">IF(A25="","",IFERROR(Z25*INDEX(PUA_TABLE!$I$4:$I$105,MATCH(E25,PUA_TABLE!$C$4:$C$105,1))/1000,0))</f>
        <v>0</v>
      </c>
      <c r="AB25" s="10" t="n">
        <f aca="false">IF(A25="","",IFERROR(L25+AA25,0))</f>
        <v>2514.02612491256</v>
      </c>
      <c r="AC25" s="10" t="n">
        <f aca="false">IF(A25="","",IF(Inputs!$B$22="Premium Offset",MIN(Inputs!$B$25,Q25+T25),0))</f>
        <v>0</v>
      </c>
    </row>
    <row r="26" customFormat="false" ht="15" hidden="false" customHeight="false" outlineLevel="0" collapsed="false">
      <c r="A26" s="1" t="n">
        <f aca="false">IF(A25="","",IF(INT((C25+1)/12)+Inputs!$B$7&gt;MAX(MORTALITY!$A:$A),"",Inputs!$B$4))</f>
        <v>34</v>
      </c>
      <c r="B26" s="3" t="n">
        <f aca="false">IF(A26="","",EOMONTH(B25,1))</f>
        <v>22462</v>
      </c>
      <c r="C26" s="1" t="n">
        <f aca="false">IF(A26="","",C25+1)</f>
        <v>24</v>
      </c>
      <c r="D26" s="1" t="n">
        <f aca="false">IF(A26="","",INT(C26/12))</f>
        <v>2</v>
      </c>
      <c r="E26" s="1" t="n">
        <f aca="false">IF(A26="","",D26+Inputs!$B$7)</f>
        <v>18</v>
      </c>
      <c r="F26" s="3" t="n">
        <f aca="false">IF(A26="","",DATE(YEAR(B$2)+D26,MONTH(B$2),DAY(B$2)))</f>
        <v>22437</v>
      </c>
      <c r="G26" s="3" t="n">
        <f aca="false">IF(A26="","",DATE(YEAR(F26)+1,MONTH(F26),DAY(F26)))</f>
        <v>22802</v>
      </c>
      <c r="H26" s="10" t="n">
        <f aca="false">IF(A26="","",IF(G26&gt;F26,(B26-F26)/(G26-F26),0))</f>
        <v>0.0684931506849315</v>
      </c>
      <c r="I26" s="10" t="n">
        <f aca="false">IF(A26="","",IFERROR(INDEX(CV_RATES!$I:$I,MATCH(D26,CV_RATES!$C:$C,0)),0))</f>
        <v>50.6315899274474</v>
      </c>
      <c r="J26" s="10" t="n">
        <f aca="false">IF(A26="","",IFERROR(IF(E26=MAX(MORTALITY!$A:$A),1000,INDEX(CV_RATES!$J:$J,MATCH(D26,CV_RATES!$C:$C,0))),0))</f>
        <v>76.9131895757438</v>
      </c>
      <c r="K26" s="10" t="n">
        <f aca="false">IF(A26="","",IFERROR(I26+H26*(J26-I26),0))</f>
        <v>52.4316994923992</v>
      </c>
      <c r="L26" s="10" t="n">
        <f aca="false">IF(A26="","",IFERROR(K26*Inputs!$B$9,0))</f>
        <v>2621.58497461996</v>
      </c>
      <c r="M26" s="10" t="n">
        <f aca="false">IF(A26="","",IFERROR(K26*Inputs!$B$10,0))</f>
        <v>8388.91462368539</v>
      </c>
      <c r="N26" s="10" t="n">
        <f aca="false">IF(A26="","",Z25)</f>
        <v>0</v>
      </c>
      <c r="O26" s="6" t="n">
        <f aca="false">IF(A26="","",Inputs!$B$18+N26)</f>
        <v>50000</v>
      </c>
      <c r="P26" s="5" t="n">
        <f aca="false">IF(A26="","",VLOOKUP(D26,DIvidend_Assumption!$A$3:$CX$103,($E$2+2),0)/12)</f>
        <v>0</v>
      </c>
      <c r="Q26" s="10" t="n">
        <f aca="false">IF(A26="","",IFERROR(AB25*P26,""))</f>
        <v>0</v>
      </c>
      <c r="R26" s="10" t="n">
        <f aca="false">IF(A26="","",IFERROR(IF(Inputs!$B$22="Accumulate",T26+Q26,IF(Inputs!$B$22="Premium Offset",MAX(0,T26+Q26-Inputs!$B$25),T26)),""))</f>
        <v>0</v>
      </c>
      <c r="S26" s="10" t="n">
        <f aca="false">IF(A26="","",R25)</f>
        <v>0</v>
      </c>
      <c r="T26" s="10" t="n">
        <f aca="false">IF(A26="","",IFERROR(S26*(1+Inputs!$B$23/12),""))</f>
        <v>0</v>
      </c>
      <c r="U26" s="6" t="n">
        <f aca="false">IF(A26="","",IF(D26&lt;=Inputs!$B$8,IF(Inputs!$B$22="Premium Offset",MAX(0,Inputs!$B$25-(Q26+T26)),Inputs!$B$25),0))</f>
        <v>77</v>
      </c>
      <c r="V26" s="10" t="n">
        <f aca="false">IF(A26="","",IF(Inputs!$B$22="Cash",Q26,0))</f>
        <v>0</v>
      </c>
      <c r="W26" s="10" t="n">
        <f aca="false">IF(A26="","",IF(Inputs!$B$22="PUA",Q26,0))</f>
        <v>0</v>
      </c>
      <c r="X26" s="12" t="n">
        <f aca="false">IF(A26="","",IFERROR(INDEX(PUA_TABLE!$D$4:$D$105,MATCH(E26,PUA_TABLE!$C$4:$C$105,1)),0))</f>
        <v>0.325348690265143</v>
      </c>
      <c r="Y26" s="10" t="n">
        <f aca="false">IF(A26="","",IF(W26&gt;0,IF(X26&gt;0,W26/X26,0),0))</f>
        <v>0</v>
      </c>
      <c r="Z26" s="10" t="n">
        <f aca="false">IF(A26="","",N26+Y26)</f>
        <v>0</v>
      </c>
      <c r="AA26" s="10" t="n">
        <f aca="false">IF(A26="","",IFERROR(Z26*INDEX(PUA_TABLE!$I$4:$I$105,MATCH(E26,PUA_TABLE!$C$4:$C$105,1))/1000,0))</f>
        <v>0</v>
      </c>
      <c r="AB26" s="10" t="n">
        <f aca="false">IF(A26="","",IFERROR(L26+AA26,0))</f>
        <v>2621.58497461996</v>
      </c>
      <c r="AC26" s="10" t="n">
        <f aca="false">IF(A26="","",IF(Inputs!$B$22="Premium Offset",MIN(Inputs!$B$25,Q26+T26),0))</f>
        <v>0</v>
      </c>
    </row>
    <row r="27" customFormat="false" ht="15" hidden="false" customHeight="false" outlineLevel="0" collapsed="false">
      <c r="A27" s="1" t="n">
        <f aca="false">IF(A26="","",IF(INT((C26+1)/12)+Inputs!$B$7&gt;MAX(MORTALITY!$A:$A),"",Inputs!$B$4))</f>
        <v>34</v>
      </c>
      <c r="B27" s="3" t="n">
        <f aca="false">IF(A27="","",EOMONTH(B26,1))</f>
        <v>22493</v>
      </c>
      <c r="C27" s="1" t="n">
        <f aca="false">IF(A27="","",C26+1)</f>
        <v>25</v>
      </c>
      <c r="D27" s="1" t="n">
        <f aca="false">IF(A27="","",INT(C27/12))</f>
        <v>2</v>
      </c>
      <c r="E27" s="1" t="n">
        <f aca="false">IF(A27="","",D27+Inputs!$B$7)</f>
        <v>18</v>
      </c>
      <c r="F27" s="3" t="n">
        <f aca="false">IF(A27="","",DATE(YEAR(B$2)+D27,MONTH(B$2),DAY(B$2)))</f>
        <v>22437</v>
      </c>
      <c r="G27" s="3" t="n">
        <f aca="false">IF(A27="","",DATE(YEAR(F27)+1,MONTH(F27),DAY(F27)))</f>
        <v>22802</v>
      </c>
      <c r="H27" s="10" t="n">
        <f aca="false">IF(A27="","",IF(G27&gt;F27,(B27-F27)/(G27-F27),0))</f>
        <v>0.153424657534247</v>
      </c>
      <c r="I27" s="10" t="n">
        <f aca="false">IF(A27="","",IFERROR(INDEX(CV_RATES!$I:$I,MATCH(D27,CV_RATES!$C:$C,0)),0))</f>
        <v>50.6315899274474</v>
      </c>
      <c r="J27" s="10" t="n">
        <f aca="false">IF(A27="","",IFERROR(IF(E27=MAX(MORTALITY!$A:$A),1000,INDEX(CV_RATES!$J:$J,MATCH(D27,CV_RATES!$C:$C,0))),0))</f>
        <v>76.9131895757438</v>
      </c>
      <c r="K27" s="10" t="n">
        <f aca="false">IF(A27="","",IFERROR(I27+H27*(J27-I27),0))</f>
        <v>54.6638353529394</v>
      </c>
      <c r="L27" s="10" t="n">
        <f aca="false">IF(A27="","",IFERROR(K27*Inputs!$B$9,0))</f>
        <v>2733.19176764697</v>
      </c>
      <c r="M27" s="10" t="n">
        <f aca="false">IF(A27="","",IFERROR(K27*Inputs!$B$10,0))</f>
        <v>8746.04966496425</v>
      </c>
      <c r="N27" s="10" t="n">
        <f aca="false">IF(A27="","",Z26)</f>
        <v>0</v>
      </c>
      <c r="O27" s="6" t="n">
        <f aca="false">IF(A27="","",Inputs!$B$18+N27)</f>
        <v>50000</v>
      </c>
      <c r="P27" s="5" t="n">
        <f aca="false">IF(A27="","",VLOOKUP(D27,DIvidend_Assumption!$A$3:$CX$103,($E$2+2),0)/12)</f>
        <v>0</v>
      </c>
      <c r="Q27" s="10" t="n">
        <f aca="false">IF(A27="","",IFERROR(AB26*P27,""))</f>
        <v>0</v>
      </c>
      <c r="R27" s="10" t="n">
        <f aca="false">IF(A27="","",IFERROR(IF(Inputs!$B$22="Accumulate",T27+Q27,IF(Inputs!$B$22="Premium Offset",MAX(0,T27+Q27-Inputs!$B$25),T27)),""))</f>
        <v>0</v>
      </c>
      <c r="S27" s="10" t="n">
        <f aca="false">IF(A27="","",R26)</f>
        <v>0</v>
      </c>
      <c r="T27" s="10" t="n">
        <f aca="false">IF(A27="","",IFERROR(S27*(1+Inputs!$B$23/12),""))</f>
        <v>0</v>
      </c>
      <c r="U27" s="6" t="n">
        <f aca="false">IF(A27="","",IF(D27&lt;=Inputs!$B$8,IF(Inputs!$B$22="Premium Offset",MAX(0,Inputs!$B$25-(Q27+T27)),Inputs!$B$25),0))</f>
        <v>77</v>
      </c>
      <c r="V27" s="10" t="n">
        <f aca="false">IF(A27="","",IF(Inputs!$B$22="Cash",Q27,0))</f>
        <v>0</v>
      </c>
      <c r="W27" s="10" t="n">
        <f aca="false">IF(A27="","",IF(Inputs!$B$22="PUA",Q27,0))</f>
        <v>0</v>
      </c>
      <c r="X27" s="12" t="n">
        <f aca="false">IF(A27="","",IFERROR(INDEX(PUA_TABLE!$D$4:$D$105,MATCH(E27,PUA_TABLE!$C$4:$C$105,1)),0))</f>
        <v>0.325348690265143</v>
      </c>
      <c r="Y27" s="10" t="n">
        <f aca="false">IF(A27="","",IF(W27&gt;0,IF(X27&gt;0,W27/X27,0),0))</f>
        <v>0</v>
      </c>
      <c r="Z27" s="10" t="n">
        <f aca="false">IF(A27="","",N27+Y27)</f>
        <v>0</v>
      </c>
      <c r="AA27" s="10" t="n">
        <f aca="false">IF(A27="","",IFERROR(Z27*INDEX(PUA_TABLE!$I$4:$I$105,MATCH(E27,PUA_TABLE!$C$4:$C$105,1))/1000,0))</f>
        <v>0</v>
      </c>
      <c r="AB27" s="10" t="n">
        <f aca="false">IF(A27="","",IFERROR(L27+AA27,0))</f>
        <v>2733.19176764697</v>
      </c>
      <c r="AC27" s="10" t="n">
        <f aca="false">IF(A27="","",IF(Inputs!$B$22="Premium Offset",MIN(Inputs!$B$25,Q27+T27),0))</f>
        <v>0</v>
      </c>
    </row>
    <row r="28" customFormat="false" ht="15" hidden="false" customHeight="false" outlineLevel="0" collapsed="false">
      <c r="A28" s="1" t="n">
        <f aca="false">IF(A27="","",IF(INT((C27+1)/12)+Inputs!$B$7&gt;MAX(MORTALITY!$A:$A),"",Inputs!$B$4))</f>
        <v>34</v>
      </c>
      <c r="B28" s="3" t="n">
        <f aca="false">IF(A28="","",EOMONTH(B27,1))</f>
        <v>22524</v>
      </c>
      <c r="C28" s="1" t="n">
        <f aca="false">IF(A28="","",C27+1)</f>
        <v>26</v>
      </c>
      <c r="D28" s="1" t="n">
        <f aca="false">IF(A28="","",INT(C28/12))</f>
        <v>2</v>
      </c>
      <c r="E28" s="1" t="n">
        <f aca="false">IF(A28="","",D28+Inputs!$B$7)</f>
        <v>18</v>
      </c>
      <c r="F28" s="3" t="n">
        <f aca="false">IF(A28="","",DATE(YEAR(B$2)+D28,MONTH(B$2),DAY(B$2)))</f>
        <v>22437</v>
      </c>
      <c r="G28" s="3" t="n">
        <f aca="false">IF(A28="","",DATE(YEAR(F28)+1,MONTH(F28),DAY(F28)))</f>
        <v>22802</v>
      </c>
      <c r="H28" s="10" t="n">
        <f aca="false">IF(A28="","",IF(G28&gt;F28,(B28-F28)/(G28-F28),0))</f>
        <v>0.238356164383562</v>
      </c>
      <c r="I28" s="10" t="n">
        <f aca="false">IF(A28="","",IFERROR(INDEX(CV_RATES!$I:$I,MATCH(D28,CV_RATES!$C:$C,0)),0))</f>
        <v>50.6315899274474</v>
      </c>
      <c r="J28" s="10" t="n">
        <f aca="false">IF(A28="","",IFERROR(IF(E28=MAX(MORTALITY!$A:$A),1000,INDEX(CV_RATES!$J:$J,MATCH(D28,CV_RATES!$C:$C,0))),0))</f>
        <v>76.9131895757438</v>
      </c>
      <c r="K28" s="10" t="n">
        <f aca="false">IF(A28="","",IFERROR(I28+H28*(J28-I28),0))</f>
        <v>56.8959712134797</v>
      </c>
      <c r="L28" s="10" t="n">
        <f aca="false">IF(A28="","",IFERROR(K28*Inputs!$B$9,0))</f>
        <v>2844.79856067398</v>
      </c>
      <c r="M28" s="10" t="n">
        <f aca="false">IF(A28="","",IFERROR(K28*Inputs!$B$10,0))</f>
        <v>9103.18470624311</v>
      </c>
      <c r="N28" s="10" t="n">
        <f aca="false">IF(A28="","",Z27)</f>
        <v>0</v>
      </c>
      <c r="O28" s="6" t="n">
        <f aca="false">IF(A28="","",Inputs!$B$18+N28)</f>
        <v>50000</v>
      </c>
      <c r="P28" s="5" t="n">
        <f aca="false">IF(A28="","",VLOOKUP(D28,DIvidend_Assumption!$A$3:$CX$103,($E$2+2),0)/12)</f>
        <v>0</v>
      </c>
      <c r="Q28" s="10" t="n">
        <f aca="false">IF(A28="","",IFERROR(AB27*P28,""))</f>
        <v>0</v>
      </c>
      <c r="R28" s="10" t="n">
        <f aca="false">IF(A28="","",IFERROR(IF(Inputs!$B$22="Accumulate",T28+Q28,IF(Inputs!$B$22="Premium Offset",MAX(0,T28+Q28-Inputs!$B$25),T28)),""))</f>
        <v>0</v>
      </c>
      <c r="S28" s="10" t="n">
        <f aca="false">IF(A28="","",R27)</f>
        <v>0</v>
      </c>
      <c r="T28" s="10" t="n">
        <f aca="false">IF(A28="","",IFERROR(S28*(1+Inputs!$B$23/12),""))</f>
        <v>0</v>
      </c>
      <c r="U28" s="6" t="n">
        <f aca="false">IF(A28="","",IF(D28&lt;=Inputs!$B$8,IF(Inputs!$B$22="Premium Offset",MAX(0,Inputs!$B$25-(Q28+T28)),Inputs!$B$25),0))</f>
        <v>77</v>
      </c>
      <c r="V28" s="10" t="n">
        <f aca="false">IF(A28="","",IF(Inputs!$B$22="Cash",Q28,0))</f>
        <v>0</v>
      </c>
      <c r="W28" s="10" t="n">
        <f aca="false">IF(A28="","",IF(Inputs!$B$22="PUA",Q28,0))</f>
        <v>0</v>
      </c>
      <c r="X28" s="12" t="n">
        <f aca="false">IF(A28="","",IFERROR(INDEX(PUA_TABLE!$D$4:$D$105,MATCH(E28,PUA_TABLE!$C$4:$C$105,1)),0))</f>
        <v>0.325348690265143</v>
      </c>
      <c r="Y28" s="10" t="n">
        <f aca="false">IF(A28="","",IF(W28&gt;0,IF(X28&gt;0,W28/X28,0),0))</f>
        <v>0</v>
      </c>
      <c r="Z28" s="10" t="n">
        <f aca="false">IF(A28="","",N28+Y28)</f>
        <v>0</v>
      </c>
      <c r="AA28" s="10" t="n">
        <f aca="false">IF(A28="","",IFERROR(Z28*INDEX(PUA_TABLE!$I$4:$I$105,MATCH(E28,PUA_TABLE!$C$4:$C$105,1))/1000,0))</f>
        <v>0</v>
      </c>
      <c r="AB28" s="10" t="n">
        <f aca="false">IF(A28="","",IFERROR(L28+AA28,0))</f>
        <v>2844.79856067398</v>
      </c>
      <c r="AC28" s="10" t="n">
        <f aca="false">IF(A28="","",IF(Inputs!$B$22="Premium Offset",MIN(Inputs!$B$25,Q28+T28),0))</f>
        <v>0</v>
      </c>
    </row>
    <row r="29" customFormat="false" ht="15" hidden="false" customHeight="false" outlineLevel="0" collapsed="false">
      <c r="A29" s="1" t="n">
        <f aca="false">IF(A28="","",IF(INT((C28+1)/12)+Inputs!$B$7&gt;MAX(MORTALITY!$A:$A),"",Inputs!$B$4))</f>
        <v>34</v>
      </c>
      <c r="B29" s="3" t="n">
        <f aca="false">IF(A29="","",EOMONTH(B28,1))</f>
        <v>22554</v>
      </c>
      <c r="C29" s="1" t="n">
        <f aca="false">IF(A29="","",C28+1)</f>
        <v>27</v>
      </c>
      <c r="D29" s="1" t="n">
        <f aca="false">IF(A29="","",INT(C29/12))</f>
        <v>2</v>
      </c>
      <c r="E29" s="1" t="n">
        <f aca="false">IF(A29="","",D29+Inputs!$B$7)</f>
        <v>18</v>
      </c>
      <c r="F29" s="3" t="n">
        <f aca="false">IF(A29="","",DATE(YEAR(B$2)+D29,MONTH(B$2),DAY(B$2)))</f>
        <v>22437</v>
      </c>
      <c r="G29" s="3" t="n">
        <f aca="false">IF(A29="","",DATE(YEAR(F29)+1,MONTH(F29),DAY(F29)))</f>
        <v>22802</v>
      </c>
      <c r="H29" s="10" t="n">
        <f aca="false">IF(A29="","",IF(G29&gt;F29,(B29-F29)/(G29-F29),0))</f>
        <v>0.320547945205479</v>
      </c>
      <c r="I29" s="10" t="n">
        <f aca="false">IF(A29="","",IFERROR(INDEX(CV_RATES!$I:$I,MATCH(D29,CV_RATES!$C:$C,0)),0))</f>
        <v>50.6315899274474</v>
      </c>
      <c r="J29" s="10" t="n">
        <f aca="false">IF(A29="","",IFERROR(IF(E29=MAX(MORTALITY!$A:$A),1000,INDEX(CV_RATES!$J:$J,MATCH(D29,CV_RATES!$C:$C,0))),0))</f>
        <v>76.9131895757438</v>
      </c>
      <c r="K29" s="10" t="n">
        <f aca="false">IF(A29="","",IFERROR(I29+H29*(J29-I29),0))</f>
        <v>59.0561026914218</v>
      </c>
      <c r="L29" s="10" t="n">
        <f aca="false">IF(A29="","",IFERROR(K29*Inputs!$B$9,0))</f>
        <v>2952.80513457109</v>
      </c>
      <c r="M29" s="10" t="n">
        <f aca="false">IF(A29="","",IFERROR(K29*Inputs!$B$10,0))</f>
        <v>9448.79926231942</v>
      </c>
      <c r="N29" s="10" t="n">
        <f aca="false">IF(A29="","",Z28)</f>
        <v>0</v>
      </c>
      <c r="O29" s="6" t="n">
        <f aca="false">IF(A29="","",Inputs!$B$18+N29)</f>
        <v>50000</v>
      </c>
      <c r="P29" s="5" t="n">
        <f aca="false">IF(A29="","",VLOOKUP(D29,DIvidend_Assumption!$A$3:$CX$103,($E$2+2),0)/12)</f>
        <v>0</v>
      </c>
      <c r="Q29" s="10" t="n">
        <f aca="false">IF(A29="","",IFERROR(AB28*P29,""))</f>
        <v>0</v>
      </c>
      <c r="R29" s="10" t="n">
        <f aca="false">IF(A29="","",IFERROR(IF(Inputs!$B$22="Accumulate",T29+Q29,IF(Inputs!$B$22="Premium Offset",MAX(0,T29+Q29-Inputs!$B$25),T29)),""))</f>
        <v>0</v>
      </c>
      <c r="S29" s="10" t="n">
        <f aca="false">IF(A29="","",R28)</f>
        <v>0</v>
      </c>
      <c r="T29" s="10" t="n">
        <f aca="false">IF(A29="","",IFERROR(S29*(1+Inputs!$B$23/12),""))</f>
        <v>0</v>
      </c>
      <c r="U29" s="6" t="n">
        <f aca="false">IF(A29="","",IF(D29&lt;=Inputs!$B$8,IF(Inputs!$B$22="Premium Offset",MAX(0,Inputs!$B$25-(Q29+T29)),Inputs!$B$25),0))</f>
        <v>77</v>
      </c>
      <c r="V29" s="10" t="n">
        <f aca="false">IF(A29="","",IF(Inputs!$B$22="Cash",Q29,0))</f>
        <v>0</v>
      </c>
      <c r="W29" s="10" t="n">
        <f aca="false">IF(A29="","",IF(Inputs!$B$22="PUA",Q29,0))</f>
        <v>0</v>
      </c>
      <c r="X29" s="12" t="n">
        <f aca="false">IF(A29="","",IFERROR(INDEX(PUA_TABLE!$D$4:$D$105,MATCH(E29,PUA_TABLE!$C$4:$C$105,1)),0))</f>
        <v>0.325348690265143</v>
      </c>
      <c r="Y29" s="10" t="n">
        <f aca="false">IF(A29="","",IF(W29&gt;0,IF(X29&gt;0,W29/X29,0),0))</f>
        <v>0</v>
      </c>
      <c r="Z29" s="10" t="n">
        <f aca="false">IF(A29="","",N29+Y29)</f>
        <v>0</v>
      </c>
      <c r="AA29" s="10" t="n">
        <f aca="false">IF(A29="","",IFERROR(Z29*INDEX(PUA_TABLE!$I$4:$I$105,MATCH(E29,PUA_TABLE!$C$4:$C$105,1))/1000,0))</f>
        <v>0</v>
      </c>
      <c r="AB29" s="10" t="n">
        <f aca="false">IF(A29="","",IFERROR(L29+AA29,0))</f>
        <v>2952.80513457109</v>
      </c>
      <c r="AC29" s="10" t="n">
        <f aca="false">IF(A29="","",IF(Inputs!$B$22="Premium Offset",MIN(Inputs!$B$25,Q29+T29),0))</f>
        <v>0</v>
      </c>
    </row>
    <row r="30" customFormat="false" ht="15" hidden="false" customHeight="false" outlineLevel="0" collapsed="false">
      <c r="A30" s="1" t="n">
        <f aca="false">IF(A29="","",IF(INT((C29+1)/12)+Inputs!$B$7&gt;MAX(MORTALITY!$A:$A),"",Inputs!$B$4))</f>
        <v>34</v>
      </c>
      <c r="B30" s="3" t="n">
        <f aca="false">IF(A30="","",EOMONTH(B29,1))</f>
        <v>22585</v>
      </c>
      <c r="C30" s="1" t="n">
        <f aca="false">IF(A30="","",C29+1)</f>
        <v>28</v>
      </c>
      <c r="D30" s="1" t="n">
        <f aca="false">IF(A30="","",INT(C30/12))</f>
        <v>2</v>
      </c>
      <c r="E30" s="1" t="n">
        <f aca="false">IF(A30="","",D30+Inputs!$B$7)</f>
        <v>18</v>
      </c>
      <c r="F30" s="3" t="n">
        <f aca="false">IF(A30="","",DATE(YEAR(B$2)+D30,MONTH(B$2),DAY(B$2)))</f>
        <v>22437</v>
      </c>
      <c r="G30" s="3" t="n">
        <f aca="false">IF(A30="","",DATE(YEAR(F30)+1,MONTH(F30),DAY(F30)))</f>
        <v>22802</v>
      </c>
      <c r="H30" s="10" t="n">
        <f aca="false">IF(A30="","",IF(G30&gt;F30,(B30-F30)/(G30-F30),0))</f>
        <v>0.405479452054795</v>
      </c>
      <c r="I30" s="10" t="n">
        <f aca="false">IF(A30="","",IFERROR(INDEX(CV_RATES!$I:$I,MATCH(D30,CV_RATES!$C:$C,0)),0))</f>
        <v>50.6315899274474</v>
      </c>
      <c r="J30" s="10" t="n">
        <f aca="false">IF(A30="","",IFERROR(IF(E30=MAX(MORTALITY!$A:$A),1000,INDEX(CV_RATES!$J:$J,MATCH(D30,CV_RATES!$C:$C,0))),0))</f>
        <v>76.9131895757438</v>
      </c>
      <c r="K30" s="10" t="n">
        <f aca="false">IF(A30="","",IFERROR(I30+H30*(J30-I30),0))</f>
        <v>61.2882385519621</v>
      </c>
      <c r="L30" s="10" t="n">
        <f aca="false">IF(A30="","",IFERROR(K30*Inputs!$B$9,0))</f>
        <v>3064.4119275981</v>
      </c>
      <c r="M30" s="10" t="n">
        <f aca="false">IF(A30="","",IFERROR(K30*Inputs!$B$10,0))</f>
        <v>9805.93430359828</v>
      </c>
      <c r="N30" s="10" t="n">
        <f aca="false">IF(A30="","",Z29)</f>
        <v>0</v>
      </c>
      <c r="O30" s="6" t="n">
        <f aca="false">IF(A30="","",Inputs!$B$18+N30)</f>
        <v>50000</v>
      </c>
      <c r="P30" s="5" t="n">
        <f aca="false">IF(A30="","",VLOOKUP(D30,DIvidend_Assumption!$A$3:$CX$103,($E$2+2),0)/12)</f>
        <v>0</v>
      </c>
      <c r="Q30" s="10" t="n">
        <f aca="false">IF(A30="","",IFERROR(AB29*P30,""))</f>
        <v>0</v>
      </c>
      <c r="R30" s="10" t="n">
        <f aca="false">IF(A30="","",IFERROR(IF(Inputs!$B$22="Accumulate",T30+Q30,IF(Inputs!$B$22="Premium Offset",MAX(0,T30+Q30-Inputs!$B$25),T30)),""))</f>
        <v>0</v>
      </c>
      <c r="S30" s="10" t="n">
        <f aca="false">IF(A30="","",R29)</f>
        <v>0</v>
      </c>
      <c r="T30" s="10" t="n">
        <f aca="false">IF(A30="","",IFERROR(S30*(1+Inputs!$B$23/12),""))</f>
        <v>0</v>
      </c>
      <c r="U30" s="6" t="n">
        <f aca="false">IF(A30="","",IF(D30&lt;=Inputs!$B$8,IF(Inputs!$B$22="Premium Offset",MAX(0,Inputs!$B$25-(Q30+T30)),Inputs!$B$25),0))</f>
        <v>77</v>
      </c>
      <c r="V30" s="10" t="n">
        <f aca="false">IF(A30="","",IF(Inputs!$B$22="Cash",Q30,0))</f>
        <v>0</v>
      </c>
      <c r="W30" s="10" t="n">
        <f aca="false">IF(A30="","",IF(Inputs!$B$22="PUA",Q30,0))</f>
        <v>0</v>
      </c>
      <c r="X30" s="12" t="n">
        <f aca="false">IF(A30="","",IFERROR(INDEX(PUA_TABLE!$D$4:$D$105,MATCH(E30,PUA_TABLE!$C$4:$C$105,1)),0))</f>
        <v>0.325348690265143</v>
      </c>
      <c r="Y30" s="10" t="n">
        <f aca="false">IF(A30="","",IF(W30&gt;0,IF(X30&gt;0,W30/X30,0),0))</f>
        <v>0</v>
      </c>
      <c r="Z30" s="10" t="n">
        <f aca="false">IF(A30="","",N30+Y30)</f>
        <v>0</v>
      </c>
      <c r="AA30" s="10" t="n">
        <f aca="false">IF(A30="","",IFERROR(Z30*INDEX(PUA_TABLE!$I$4:$I$105,MATCH(E30,PUA_TABLE!$C$4:$C$105,1))/1000,0))</f>
        <v>0</v>
      </c>
      <c r="AB30" s="10" t="n">
        <f aca="false">IF(A30="","",IFERROR(L30+AA30,0))</f>
        <v>3064.4119275981</v>
      </c>
      <c r="AC30" s="10" t="n">
        <f aca="false">IF(A30="","",IF(Inputs!$B$22="Premium Offset",MIN(Inputs!$B$25,Q30+T30),0))</f>
        <v>0</v>
      </c>
    </row>
    <row r="31" customFormat="false" ht="15" hidden="false" customHeight="false" outlineLevel="0" collapsed="false">
      <c r="A31" s="1" t="n">
        <f aca="false">IF(A30="","",IF(INT((C30+1)/12)+Inputs!$B$7&gt;MAX(MORTALITY!$A:$A),"",Inputs!$B$4))</f>
        <v>34</v>
      </c>
      <c r="B31" s="3" t="n">
        <f aca="false">IF(A31="","",EOMONTH(B30,1))</f>
        <v>22615</v>
      </c>
      <c r="C31" s="1" t="n">
        <f aca="false">IF(A31="","",C30+1)</f>
        <v>29</v>
      </c>
      <c r="D31" s="1" t="n">
        <f aca="false">IF(A31="","",INT(C31/12))</f>
        <v>2</v>
      </c>
      <c r="E31" s="1" t="n">
        <f aca="false">IF(A31="","",D31+Inputs!$B$7)</f>
        <v>18</v>
      </c>
      <c r="F31" s="3" t="n">
        <f aca="false">IF(A31="","",DATE(YEAR(B$2)+D31,MONTH(B$2),DAY(B$2)))</f>
        <v>22437</v>
      </c>
      <c r="G31" s="3" t="n">
        <f aca="false">IF(A31="","",DATE(YEAR(F31)+1,MONTH(F31),DAY(F31)))</f>
        <v>22802</v>
      </c>
      <c r="H31" s="10" t="n">
        <f aca="false">IF(A31="","",IF(G31&gt;F31,(B31-F31)/(G31-F31),0))</f>
        <v>0.487671232876712</v>
      </c>
      <c r="I31" s="10" t="n">
        <f aca="false">IF(A31="","",IFERROR(INDEX(CV_RATES!$I:$I,MATCH(D31,CV_RATES!$C:$C,0)),0))</f>
        <v>50.6315899274474</v>
      </c>
      <c r="J31" s="10" t="n">
        <f aca="false">IF(A31="","",IFERROR(IF(E31=MAX(MORTALITY!$A:$A),1000,INDEX(CV_RATES!$J:$J,MATCH(D31,CV_RATES!$C:$C,0))),0))</f>
        <v>76.9131895757438</v>
      </c>
      <c r="K31" s="10" t="n">
        <f aca="false">IF(A31="","",IFERROR(I31+H31*(J31-I31),0))</f>
        <v>63.4483700299043</v>
      </c>
      <c r="L31" s="10" t="n">
        <f aca="false">IF(A31="","",IFERROR(K31*Inputs!$B$9,0))</f>
        <v>3172.41850149521</v>
      </c>
      <c r="M31" s="10" t="n">
        <f aca="false">IF(A31="","",IFERROR(K31*Inputs!$B$10,0))</f>
        <v>10151.5488596746</v>
      </c>
      <c r="N31" s="10" t="n">
        <f aca="false">IF(A31="","",Z30)</f>
        <v>0</v>
      </c>
      <c r="O31" s="6" t="n">
        <f aca="false">IF(A31="","",Inputs!$B$18+N31)</f>
        <v>50000</v>
      </c>
      <c r="P31" s="5" t="n">
        <f aca="false">IF(A31="","",VLOOKUP(D31,DIvidend_Assumption!$A$3:$CX$103,($E$2+2),0)/12)</f>
        <v>0</v>
      </c>
      <c r="Q31" s="10" t="n">
        <f aca="false">IF(A31="","",IFERROR(AB30*P31,""))</f>
        <v>0</v>
      </c>
      <c r="R31" s="10" t="n">
        <f aca="false">IF(A31="","",IFERROR(IF(Inputs!$B$22="Accumulate",T31+Q31,IF(Inputs!$B$22="Premium Offset",MAX(0,T31+Q31-Inputs!$B$25),T31)),""))</f>
        <v>0</v>
      </c>
      <c r="S31" s="10" t="n">
        <f aca="false">IF(A31="","",R30)</f>
        <v>0</v>
      </c>
      <c r="T31" s="10" t="n">
        <f aca="false">IF(A31="","",IFERROR(S31*(1+Inputs!$B$23/12),""))</f>
        <v>0</v>
      </c>
      <c r="U31" s="6" t="n">
        <f aca="false">IF(A31="","",IF(D31&lt;=Inputs!$B$8,IF(Inputs!$B$22="Premium Offset",MAX(0,Inputs!$B$25-(Q31+T31)),Inputs!$B$25),0))</f>
        <v>77</v>
      </c>
      <c r="V31" s="10" t="n">
        <f aca="false">IF(A31="","",IF(Inputs!$B$22="Cash",Q31,0))</f>
        <v>0</v>
      </c>
      <c r="W31" s="10" t="n">
        <f aca="false">IF(A31="","",IF(Inputs!$B$22="PUA",Q31,0))</f>
        <v>0</v>
      </c>
      <c r="X31" s="12" t="n">
        <f aca="false">IF(A31="","",IFERROR(INDEX(PUA_TABLE!$D$4:$D$105,MATCH(E31,PUA_TABLE!$C$4:$C$105,1)),0))</f>
        <v>0.325348690265143</v>
      </c>
      <c r="Y31" s="10" t="n">
        <f aca="false">IF(A31="","",IF(W31&gt;0,IF(X31&gt;0,W31/X31,0),0))</f>
        <v>0</v>
      </c>
      <c r="Z31" s="10" t="n">
        <f aca="false">IF(A31="","",N31+Y31)</f>
        <v>0</v>
      </c>
      <c r="AA31" s="10" t="n">
        <f aca="false">IF(A31="","",IFERROR(Z31*INDEX(PUA_TABLE!$I$4:$I$105,MATCH(E31,PUA_TABLE!$C$4:$C$105,1))/1000,0))</f>
        <v>0</v>
      </c>
      <c r="AB31" s="10" t="n">
        <f aca="false">IF(A31="","",IFERROR(L31+AA31,0))</f>
        <v>3172.41850149521</v>
      </c>
      <c r="AC31" s="10" t="n">
        <f aca="false">IF(A31="","",IF(Inputs!$B$22="Premium Offset",MIN(Inputs!$B$25,Q31+T31),0))</f>
        <v>0</v>
      </c>
    </row>
    <row r="32" customFormat="false" ht="15" hidden="false" customHeight="false" outlineLevel="0" collapsed="false">
      <c r="A32" s="1" t="n">
        <f aca="false">IF(A31="","",IF(INT((C31+1)/12)+Inputs!$B$7&gt;MAX(MORTALITY!$A:$A),"",Inputs!$B$4))</f>
        <v>34</v>
      </c>
      <c r="B32" s="3" t="n">
        <f aca="false">IF(A32="","",EOMONTH(B31,1))</f>
        <v>22646</v>
      </c>
      <c r="C32" s="1" t="n">
        <f aca="false">IF(A32="","",C31+1)</f>
        <v>30</v>
      </c>
      <c r="D32" s="1" t="n">
        <f aca="false">IF(A32="","",INT(C32/12))</f>
        <v>2</v>
      </c>
      <c r="E32" s="1" t="n">
        <f aca="false">IF(A32="","",D32+Inputs!$B$7)</f>
        <v>18</v>
      </c>
      <c r="F32" s="3" t="n">
        <f aca="false">IF(A32="","",DATE(YEAR(B$2)+D32,MONTH(B$2),DAY(B$2)))</f>
        <v>22437</v>
      </c>
      <c r="G32" s="3" t="n">
        <f aca="false">IF(A32="","",DATE(YEAR(F32)+1,MONTH(F32),DAY(F32)))</f>
        <v>22802</v>
      </c>
      <c r="H32" s="10" t="n">
        <f aca="false">IF(A32="","",IF(G32&gt;F32,(B32-F32)/(G32-F32),0))</f>
        <v>0.572602739726027</v>
      </c>
      <c r="I32" s="10" t="n">
        <f aca="false">IF(A32="","",IFERROR(INDEX(CV_RATES!$I:$I,MATCH(D32,CV_RATES!$C:$C,0)),0))</f>
        <v>50.6315899274474</v>
      </c>
      <c r="J32" s="10" t="n">
        <f aca="false">IF(A32="","",IFERROR(IF(E32=MAX(MORTALITY!$A:$A),1000,INDEX(CV_RATES!$J:$J,MATCH(D32,CV_RATES!$C:$C,0))),0))</f>
        <v>76.9131895757438</v>
      </c>
      <c r="K32" s="10" t="n">
        <f aca="false">IF(A32="","",IFERROR(I32+H32*(J32-I32),0))</f>
        <v>65.6805058904445</v>
      </c>
      <c r="L32" s="10" t="n">
        <f aca="false">IF(A32="","",IFERROR(K32*Inputs!$B$9,0))</f>
        <v>3284.02529452222</v>
      </c>
      <c r="M32" s="10" t="n">
        <f aca="false">IF(A32="","",IFERROR(K32*Inputs!$B$10,0))</f>
        <v>10508.6839009534</v>
      </c>
      <c r="N32" s="10" t="n">
        <f aca="false">IF(A32="","",Z31)</f>
        <v>0</v>
      </c>
      <c r="O32" s="6" t="n">
        <f aca="false">IF(A32="","",Inputs!$B$18+N32)</f>
        <v>50000</v>
      </c>
      <c r="P32" s="5" t="n">
        <f aca="false">IF(A32="","",VLOOKUP(D32,DIvidend_Assumption!$A$3:$CX$103,($E$2+2),0)/12)</f>
        <v>0</v>
      </c>
      <c r="Q32" s="10" t="n">
        <f aca="false">IF(A32="","",IFERROR(AB31*P32,""))</f>
        <v>0</v>
      </c>
      <c r="R32" s="10" t="n">
        <f aca="false">IF(A32="","",IFERROR(IF(Inputs!$B$22="Accumulate",T32+Q32,IF(Inputs!$B$22="Premium Offset",MAX(0,T32+Q32-Inputs!$B$25),T32)),""))</f>
        <v>0</v>
      </c>
      <c r="S32" s="10" t="n">
        <f aca="false">IF(A32="","",R31)</f>
        <v>0</v>
      </c>
      <c r="T32" s="10" t="n">
        <f aca="false">IF(A32="","",IFERROR(S32*(1+Inputs!$B$23/12),""))</f>
        <v>0</v>
      </c>
      <c r="U32" s="6" t="n">
        <f aca="false">IF(A32="","",IF(D32&lt;=Inputs!$B$8,IF(Inputs!$B$22="Premium Offset",MAX(0,Inputs!$B$25-(Q32+T32)),Inputs!$B$25),0))</f>
        <v>77</v>
      </c>
      <c r="V32" s="10" t="n">
        <f aca="false">IF(A32="","",IF(Inputs!$B$22="Cash",Q32,0))</f>
        <v>0</v>
      </c>
      <c r="W32" s="10" t="n">
        <f aca="false">IF(A32="","",IF(Inputs!$B$22="PUA",Q32,0))</f>
        <v>0</v>
      </c>
      <c r="X32" s="12" t="n">
        <f aca="false">IF(A32="","",IFERROR(INDEX(PUA_TABLE!$D$4:$D$105,MATCH(E32,PUA_TABLE!$C$4:$C$105,1)),0))</f>
        <v>0.325348690265143</v>
      </c>
      <c r="Y32" s="10" t="n">
        <f aca="false">IF(A32="","",IF(W32&gt;0,IF(X32&gt;0,W32/X32,0),0))</f>
        <v>0</v>
      </c>
      <c r="Z32" s="10" t="n">
        <f aca="false">IF(A32="","",N32+Y32)</f>
        <v>0</v>
      </c>
      <c r="AA32" s="10" t="n">
        <f aca="false">IF(A32="","",IFERROR(Z32*INDEX(PUA_TABLE!$I$4:$I$105,MATCH(E32,PUA_TABLE!$C$4:$C$105,1))/1000,0))</f>
        <v>0</v>
      </c>
      <c r="AB32" s="10" t="n">
        <f aca="false">IF(A32="","",IFERROR(L32+AA32,0))</f>
        <v>3284.02529452222</v>
      </c>
      <c r="AC32" s="10" t="n">
        <f aca="false">IF(A32="","",IF(Inputs!$B$22="Premium Offset",MIN(Inputs!$B$25,Q32+T32),0))</f>
        <v>0</v>
      </c>
    </row>
    <row r="33" customFormat="false" ht="15" hidden="false" customHeight="false" outlineLevel="0" collapsed="false">
      <c r="A33" s="1" t="n">
        <f aca="false">IF(A32="","",IF(INT((C32+1)/12)+Inputs!$B$7&gt;MAX(MORTALITY!$A:$A),"",Inputs!$B$4))</f>
        <v>34</v>
      </c>
      <c r="B33" s="3" t="n">
        <f aca="false">IF(A33="","",EOMONTH(B32,1))</f>
        <v>22677</v>
      </c>
      <c r="C33" s="1" t="n">
        <f aca="false">IF(A33="","",C32+1)</f>
        <v>31</v>
      </c>
      <c r="D33" s="1" t="n">
        <f aca="false">IF(A33="","",INT(C33/12))</f>
        <v>2</v>
      </c>
      <c r="E33" s="1" t="n">
        <f aca="false">IF(A33="","",D33+Inputs!$B$7)</f>
        <v>18</v>
      </c>
      <c r="F33" s="3" t="n">
        <f aca="false">IF(A33="","",DATE(YEAR(B$2)+D33,MONTH(B$2),DAY(B$2)))</f>
        <v>22437</v>
      </c>
      <c r="G33" s="3" t="n">
        <f aca="false">IF(A33="","",DATE(YEAR(F33)+1,MONTH(F33),DAY(F33)))</f>
        <v>22802</v>
      </c>
      <c r="H33" s="10" t="n">
        <f aca="false">IF(A33="","",IF(G33&gt;F33,(B33-F33)/(G33-F33),0))</f>
        <v>0.657534246575342</v>
      </c>
      <c r="I33" s="10" t="n">
        <f aca="false">IF(A33="","",IFERROR(INDEX(CV_RATES!$I:$I,MATCH(D33,CV_RATES!$C:$C,0)),0))</f>
        <v>50.6315899274474</v>
      </c>
      <c r="J33" s="10" t="n">
        <f aca="false">IF(A33="","",IFERROR(IF(E33=MAX(MORTALITY!$A:$A),1000,INDEX(CV_RATES!$J:$J,MATCH(D33,CV_RATES!$C:$C,0))),0))</f>
        <v>76.9131895757438</v>
      </c>
      <c r="K33" s="10" t="n">
        <f aca="false">IF(A33="","",IFERROR(I33+H33*(J33-I33),0))</f>
        <v>67.9126417509847</v>
      </c>
      <c r="L33" s="10" t="n">
        <f aca="false">IF(A33="","",IFERROR(K33*Inputs!$B$9,0))</f>
        <v>3395.63208754924</v>
      </c>
      <c r="M33" s="10" t="n">
        <f aca="false">IF(A33="","",IFERROR(K33*Inputs!$B$10,0))</f>
        <v>10865.8189422323</v>
      </c>
      <c r="N33" s="10" t="n">
        <f aca="false">IF(A33="","",Z32)</f>
        <v>0</v>
      </c>
      <c r="O33" s="6" t="n">
        <f aca="false">IF(A33="","",Inputs!$B$18+N33)</f>
        <v>50000</v>
      </c>
      <c r="P33" s="5" t="n">
        <f aca="false">IF(A33="","",VLOOKUP(D33,DIvidend_Assumption!$A$3:$CX$103,($E$2+2),0)/12)</f>
        <v>0</v>
      </c>
      <c r="Q33" s="10" t="n">
        <f aca="false">IF(A33="","",IFERROR(AB32*P33,""))</f>
        <v>0</v>
      </c>
      <c r="R33" s="10" t="n">
        <f aca="false">IF(A33="","",IFERROR(IF(Inputs!$B$22="Accumulate",T33+Q33,IF(Inputs!$B$22="Premium Offset",MAX(0,T33+Q33-Inputs!$B$25),T33)),""))</f>
        <v>0</v>
      </c>
      <c r="S33" s="10" t="n">
        <f aca="false">IF(A33="","",R32)</f>
        <v>0</v>
      </c>
      <c r="T33" s="10" t="n">
        <f aca="false">IF(A33="","",IFERROR(S33*(1+Inputs!$B$23/12),""))</f>
        <v>0</v>
      </c>
      <c r="U33" s="6" t="n">
        <f aca="false">IF(A33="","",IF(D33&lt;=Inputs!$B$8,IF(Inputs!$B$22="Premium Offset",MAX(0,Inputs!$B$25-(Q33+T33)),Inputs!$B$25),0))</f>
        <v>77</v>
      </c>
      <c r="V33" s="10" t="n">
        <f aca="false">IF(A33="","",IF(Inputs!$B$22="Cash",Q33,0))</f>
        <v>0</v>
      </c>
      <c r="W33" s="10" t="n">
        <f aca="false">IF(A33="","",IF(Inputs!$B$22="PUA",Q33,0))</f>
        <v>0</v>
      </c>
      <c r="X33" s="12" t="n">
        <f aca="false">IF(A33="","",IFERROR(INDEX(PUA_TABLE!$D$4:$D$105,MATCH(E33,PUA_TABLE!$C$4:$C$105,1)),0))</f>
        <v>0.325348690265143</v>
      </c>
      <c r="Y33" s="10" t="n">
        <f aca="false">IF(A33="","",IF(W33&gt;0,IF(X33&gt;0,W33/X33,0),0))</f>
        <v>0</v>
      </c>
      <c r="Z33" s="10" t="n">
        <f aca="false">IF(A33="","",N33+Y33)</f>
        <v>0</v>
      </c>
      <c r="AA33" s="10" t="n">
        <f aca="false">IF(A33="","",IFERROR(Z33*INDEX(PUA_TABLE!$I$4:$I$105,MATCH(E33,PUA_TABLE!$C$4:$C$105,1))/1000,0))</f>
        <v>0</v>
      </c>
      <c r="AB33" s="10" t="n">
        <f aca="false">IF(A33="","",IFERROR(L33+AA33,0))</f>
        <v>3395.63208754924</v>
      </c>
      <c r="AC33" s="10" t="n">
        <f aca="false">IF(A33="","",IF(Inputs!$B$22="Premium Offset",MIN(Inputs!$B$25,Q33+T33),0))</f>
        <v>0</v>
      </c>
    </row>
    <row r="34" customFormat="false" ht="15" hidden="false" customHeight="false" outlineLevel="0" collapsed="false">
      <c r="A34" s="1" t="n">
        <f aca="false">IF(A33="","",IF(INT((C33+1)/12)+Inputs!$B$7&gt;MAX(MORTALITY!$A:$A),"",Inputs!$B$4))</f>
        <v>34</v>
      </c>
      <c r="B34" s="3" t="n">
        <f aca="false">IF(A34="","",EOMONTH(B33,1))</f>
        <v>22705</v>
      </c>
      <c r="C34" s="1" t="n">
        <f aca="false">IF(A34="","",C33+1)</f>
        <v>32</v>
      </c>
      <c r="D34" s="1" t="n">
        <f aca="false">IF(A34="","",INT(C34/12))</f>
        <v>2</v>
      </c>
      <c r="E34" s="1" t="n">
        <f aca="false">IF(A34="","",D34+Inputs!$B$7)</f>
        <v>18</v>
      </c>
      <c r="F34" s="3" t="n">
        <f aca="false">IF(A34="","",DATE(YEAR(B$2)+D34,MONTH(B$2),DAY(B$2)))</f>
        <v>22437</v>
      </c>
      <c r="G34" s="3" t="n">
        <f aca="false">IF(A34="","",DATE(YEAR(F34)+1,MONTH(F34),DAY(F34)))</f>
        <v>22802</v>
      </c>
      <c r="H34" s="10" t="n">
        <f aca="false">IF(A34="","",IF(G34&gt;F34,(B34-F34)/(G34-F34),0))</f>
        <v>0.734246575342466</v>
      </c>
      <c r="I34" s="10" t="n">
        <f aca="false">IF(A34="","",IFERROR(INDEX(CV_RATES!$I:$I,MATCH(D34,CV_RATES!$C:$C,0)),0))</f>
        <v>50.6315899274474</v>
      </c>
      <c r="J34" s="10" t="n">
        <f aca="false">IF(A34="","",IFERROR(IF(E34=MAX(MORTALITY!$A:$A),1000,INDEX(CV_RATES!$J:$J,MATCH(D34,CV_RATES!$C:$C,0))),0))</f>
        <v>76.9131895757438</v>
      </c>
      <c r="K34" s="10" t="n">
        <f aca="false">IF(A34="","",IFERROR(I34+H34*(J34-I34),0))</f>
        <v>69.9287644637308</v>
      </c>
      <c r="L34" s="10" t="n">
        <f aca="false">IF(A34="","",IFERROR(K34*Inputs!$B$9,0))</f>
        <v>3496.43822318654</v>
      </c>
      <c r="M34" s="10" t="n">
        <f aca="false">IF(A34="","",IFERROR(K34*Inputs!$B$10,0))</f>
        <v>11188.3925279035</v>
      </c>
      <c r="N34" s="10" t="n">
        <f aca="false">IF(A34="","",Z33)</f>
        <v>0</v>
      </c>
      <c r="O34" s="6" t="n">
        <f aca="false">IF(A34="","",Inputs!$B$18+N34)</f>
        <v>50000</v>
      </c>
      <c r="P34" s="5" t="n">
        <f aca="false">IF(A34="","",VLOOKUP(D34,DIvidend_Assumption!$A$3:$CX$103,($E$2+2),0)/12)</f>
        <v>0</v>
      </c>
      <c r="Q34" s="10" t="n">
        <f aca="false">IF(A34="","",IFERROR(AB33*P34,""))</f>
        <v>0</v>
      </c>
      <c r="R34" s="10" t="n">
        <f aca="false">IF(A34="","",IFERROR(IF(Inputs!$B$22="Accumulate",T34+Q34,IF(Inputs!$B$22="Premium Offset",MAX(0,T34+Q34-Inputs!$B$25),T34)),""))</f>
        <v>0</v>
      </c>
      <c r="S34" s="10" t="n">
        <f aca="false">IF(A34="","",R33)</f>
        <v>0</v>
      </c>
      <c r="T34" s="10" t="n">
        <f aca="false">IF(A34="","",IFERROR(S34*(1+Inputs!$B$23/12),""))</f>
        <v>0</v>
      </c>
      <c r="U34" s="6" t="n">
        <f aca="false">IF(A34="","",IF(D34&lt;=Inputs!$B$8,IF(Inputs!$B$22="Premium Offset",MAX(0,Inputs!$B$25-(Q34+T34)),Inputs!$B$25),0))</f>
        <v>77</v>
      </c>
      <c r="V34" s="10" t="n">
        <f aca="false">IF(A34="","",IF(Inputs!$B$22="Cash",Q34,0))</f>
        <v>0</v>
      </c>
      <c r="W34" s="10" t="n">
        <f aca="false">IF(A34="","",IF(Inputs!$B$22="PUA",Q34,0))</f>
        <v>0</v>
      </c>
      <c r="X34" s="12" t="n">
        <f aca="false">IF(A34="","",IFERROR(INDEX(PUA_TABLE!$D$4:$D$105,MATCH(E34,PUA_TABLE!$C$4:$C$105,1)),0))</f>
        <v>0.325348690265143</v>
      </c>
      <c r="Y34" s="10" t="n">
        <f aca="false">IF(A34="","",IF(W34&gt;0,IF(X34&gt;0,W34/X34,0),0))</f>
        <v>0</v>
      </c>
      <c r="Z34" s="10" t="n">
        <f aca="false">IF(A34="","",N34+Y34)</f>
        <v>0</v>
      </c>
      <c r="AA34" s="10" t="n">
        <f aca="false">IF(A34="","",IFERROR(Z34*INDEX(PUA_TABLE!$I$4:$I$105,MATCH(E34,PUA_TABLE!$C$4:$C$105,1))/1000,0))</f>
        <v>0</v>
      </c>
      <c r="AB34" s="10" t="n">
        <f aca="false">IF(A34="","",IFERROR(L34+AA34,0))</f>
        <v>3496.43822318654</v>
      </c>
      <c r="AC34" s="10" t="n">
        <f aca="false">IF(A34="","",IF(Inputs!$B$22="Premium Offset",MIN(Inputs!$B$25,Q34+T34),0))</f>
        <v>0</v>
      </c>
    </row>
    <row r="35" customFormat="false" ht="15" hidden="false" customHeight="false" outlineLevel="0" collapsed="false">
      <c r="A35" s="1" t="n">
        <f aca="false">IF(A34="","",IF(INT((C34+1)/12)+Inputs!$B$7&gt;MAX(MORTALITY!$A:$A),"",Inputs!$B$4))</f>
        <v>34</v>
      </c>
      <c r="B35" s="3" t="n">
        <f aca="false">IF(A35="","",EOMONTH(B34,1))</f>
        <v>22736</v>
      </c>
      <c r="C35" s="1" t="n">
        <f aca="false">IF(A35="","",C34+1)</f>
        <v>33</v>
      </c>
      <c r="D35" s="1" t="n">
        <f aca="false">IF(A35="","",INT(C35/12))</f>
        <v>2</v>
      </c>
      <c r="E35" s="1" t="n">
        <f aca="false">IF(A35="","",D35+Inputs!$B$7)</f>
        <v>18</v>
      </c>
      <c r="F35" s="3" t="n">
        <f aca="false">IF(A35="","",DATE(YEAR(B$2)+D35,MONTH(B$2),DAY(B$2)))</f>
        <v>22437</v>
      </c>
      <c r="G35" s="3" t="n">
        <f aca="false">IF(A35="","",DATE(YEAR(F35)+1,MONTH(F35),DAY(F35)))</f>
        <v>22802</v>
      </c>
      <c r="H35" s="10" t="n">
        <f aca="false">IF(A35="","",IF(G35&gt;F35,(B35-F35)/(G35-F35),0))</f>
        <v>0.819178082191781</v>
      </c>
      <c r="I35" s="10" t="n">
        <f aca="false">IF(A35="","",IFERROR(INDEX(CV_RATES!$I:$I,MATCH(D35,CV_RATES!$C:$C,0)),0))</f>
        <v>50.6315899274474</v>
      </c>
      <c r="J35" s="10" t="n">
        <f aca="false">IF(A35="","",IFERROR(IF(E35=MAX(MORTALITY!$A:$A),1000,INDEX(CV_RATES!$J:$J,MATCH(D35,CV_RATES!$C:$C,0))),0))</f>
        <v>76.9131895757438</v>
      </c>
      <c r="K35" s="10" t="n">
        <f aca="false">IF(A35="","",IFERROR(I35+H35*(J35-I35),0))</f>
        <v>72.160900324271</v>
      </c>
      <c r="L35" s="10" t="n">
        <f aca="false">IF(A35="","",IFERROR(K35*Inputs!$B$9,0))</f>
        <v>3608.04501621355</v>
      </c>
      <c r="M35" s="10" t="n">
        <f aca="false">IF(A35="","",IFERROR(K35*Inputs!$B$10,0))</f>
        <v>11545.5275691824</v>
      </c>
      <c r="N35" s="10" t="n">
        <f aca="false">IF(A35="","",Z34)</f>
        <v>0</v>
      </c>
      <c r="O35" s="6" t="n">
        <f aca="false">IF(A35="","",Inputs!$B$18+N35)</f>
        <v>50000</v>
      </c>
      <c r="P35" s="5" t="n">
        <f aca="false">IF(A35="","",VLOOKUP(D35,DIvidend_Assumption!$A$3:$CX$103,($E$2+2),0)/12)</f>
        <v>0</v>
      </c>
      <c r="Q35" s="10" t="n">
        <f aca="false">IF(A35="","",IFERROR(AB34*P35,""))</f>
        <v>0</v>
      </c>
      <c r="R35" s="10" t="n">
        <f aca="false">IF(A35="","",IFERROR(IF(Inputs!$B$22="Accumulate",T35+Q35,IF(Inputs!$B$22="Premium Offset",MAX(0,T35+Q35-Inputs!$B$25),T35)),""))</f>
        <v>0</v>
      </c>
      <c r="S35" s="10" t="n">
        <f aca="false">IF(A35="","",R34)</f>
        <v>0</v>
      </c>
      <c r="T35" s="10" t="n">
        <f aca="false">IF(A35="","",IFERROR(S35*(1+Inputs!$B$23/12),""))</f>
        <v>0</v>
      </c>
      <c r="U35" s="6" t="n">
        <f aca="false">IF(A35="","",IF(D35&lt;=Inputs!$B$8,IF(Inputs!$B$22="Premium Offset",MAX(0,Inputs!$B$25-(Q35+T35)),Inputs!$B$25),0))</f>
        <v>77</v>
      </c>
      <c r="V35" s="10" t="n">
        <f aca="false">IF(A35="","",IF(Inputs!$B$22="Cash",Q35,0))</f>
        <v>0</v>
      </c>
      <c r="W35" s="10" t="n">
        <f aca="false">IF(A35="","",IF(Inputs!$B$22="PUA",Q35,0))</f>
        <v>0</v>
      </c>
      <c r="X35" s="12" t="n">
        <f aca="false">IF(A35="","",IFERROR(INDEX(PUA_TABLE!$D$4:$D$105,MATCH(E35,PUA_TABLE!$C$4:$C$105,1)),0))</f>
        <v>0.325348690265143</v>
      </c>
      <c r="Y35" s="10" t="n">
        <f aca="false">IF(A35="","",IF(W35&gt;0,IF(X35&gt;0,W35/X35,0),0))</f>
        <v>0</v>
      </c>
      <c r="Z35" s="10" t="n">
        <f aca="false">IF(A35="","",N35+Y35)</f>
        <v>0</v>
      </c>
      <c r="AA35" s="10" t="n">
        <f aca="false">IF(A35="","",IFERROR(Z35*INDEX(PUA_TABLE!$I$4:$I$105,MATCH(E35,PUA_TABLE!$C$4:$C$105,1))/1000,0))</f>
        <v>0</v>
      </c>
      <c r="AB35" s="10" t="n">
        <f aca="false">IF(A35="","",IFERROR(L35+AA35,0))</f>
        <v>3608.04501621355</v>
      </c>
      <c r="AC35" s="10" t="n">
        <f aca="false">IF(A35="","",IF(Inputs!$B$22="Premium Offset",MIN(Inputs!$B$25,Q35+T35),0))</f>
        <v>0</v>
      </c>
    </row>
    <row r="36" customFormat="false" ht="15" hidden="false" customHeight="false" outlineLevel="0" collapsed="false">
      <c r="A36" s="1" t="n">
        <f aca="false">IF(A35="","",IF(INT((C35+1)/12)+Inputs!$B$7&gt;MAX(MORTALITY!$A:$A),"",Inputs!$B$4))</f>
        <v>34</v>
      </c>
      <c r="B36" s="3" t="n">
        <f aca="false">IF(A36="","",EOMONTH(B35,1))</f>
        <v>22766</v>
      </c>
      <c r="C36" s="1" t="n">
        <f aca="false">IF(A36="","",C35+1)</f>
        <v>34</v>
      </c>
      <c r="D36" s="1" t="n">
        <f aca="false">IF(A36="","",INT(C36/12))</f>
        <v>2</v>
      </c>
      <c r="E36" s="1" t="n">
        <f aca="false">IF(A36="","",D36+Inputs!$B$7)</f>
        <v>18</v>
      </c>
      <c r="F36" s="3" t="n">
        <f aca="false">IF(A36="","",DATE(YEAR(B$2)+D36,MONTH(B$2),DAY(B$2)))</f>
        <v>22437</v>
      </c>
      <c r="G36" s="3" t="n">
        <f aca="false">IF(A36="","",DATE(YEAR(F36)+1,MONTH(F36),DAY(F36)))</f>
        <v>22802</v>
      </c>
      <c r="H36" s="10" t="n">
        <f aca="false">IF(A36="","",IF(G36&gt;F36,(B36-F36)/(G36-F36),0))</f>
        <v>0.901369863013699</v>
      </c>
      <c r="I36" s="10" t="n">
        <f aca="false">IF(A36="","",IFERROR(INDEX(CV_RATES!$I:$I,MATCH(D36,CV_RATES!$C:$C,0)),0))</f>
        <v>50.6315899274474</v>
      </c>
      <c r="J36" s="10" t="n">
        <f aca="false">IF(A36="","",IFERROR(IF(E36=MAX(MORTALITY!$A:$A),1000,INDEX(CV_RATES!$J:$J,MATCH(D36,CV_RATES!$C:$C,0))),0))</f>
        <v>76.9131895757438</v>
      </c>
      <c r="K36" s="10" t="n">
        <f aca="false">IF(A36="","",IFERROR(I36+H36*(J36-I36),0))</f>
        <v>74.3210318022132</v>
      </c>
      <c r="L36" s="10" t="n">
        <f aca="false">IF(A36="","",IFERROR(K36*Inputs!$B$9,0))</f>
        <v>3716.05159011066</v>
      </c>
      <c r="M36" s="10" t="n">
        <f aca="false">IF(A36="","",IFERROR(K36*Inputs!$B$10,0))</f>
        <v>11891.1421252587</v>
      </c>
      <c r="N36" s="10" t="n">
        <f aca="false">IF(A36="","",Z35)</f>
        <v>0</v>
      </c>
      <c r="O36" s="6" t="n">
        <f aca="false">IF(A36="","",Inputs!$B$18+N36)</f>
        <v>50000</v>
      </c>
      <c r="P36" s="5" t="n">
        <f aca="false">IF(A36="","",VLOOKUP(D36,DIvidend_Assumption!$A$3:$CX$103,($E$2+2),0)/12)</f>
        <v>0</v>
      </c>
      <c r="Q36" s="10" t="n">
        <f aca="false">IF(A36="","",IFERROR(AB35*P36,""))</f>
        <v>0</v>
      </c>
      <c r="R36" s="10" t="n">
        <f aca="false">IF(A36="","",IFERROR(IF(Inputs!$B$22="Accumulate",T36+Q36,IF(Inputs!$B$22="Premium Offset",MAX(0,T36+Q36-Inputs!$B$25),T36)),""))</f>
        <v>0</v>
      </c>
      <c r="S36" s="10" t="n">
        <f aca="false">IF(A36="","",R35)</f>
        <v>0</v>
      </c>
      <c r="T36" s="10" t="n">
        <f aca="false">IF(A36="","",IFERROR(S36*(1+Inputs!$B$23/12),""))</f>
        <v>0</v>
      </c>
      <c r="U36" s="6" t="n">
        <f aca="false">IF(A36="","",IF(D36&lt;=Inputs!$B$8,IF(Inputs!$B$22="Premium Offset",MAX(0,Inputs!$B$25-(Q36+T36)),Inputs!$B$25),0))</f>
        <v>77</v>
      </c>
      <c r="V36" s="10" t="n">
        <f aca="false">IF(A36="","",IF(Inputs!$B$22="Cash",Q36,0))</f>
        <v>0</v>
      </c>
      <c r="W36" s="10" t="n">
        <f aca="false">IF(A36="","",IF(Inputs!$B$22="PUA",Q36,0))</f>
        <v>0</v>
      </c>
      <c r="X36" s="12" t="n">
        <f aca="false">IF(A36="","",IFERROR(INDEX(PUA_TABLE!$D$4:$D$105,MATCH(E36,PUA_TABLE!$C$4:$C$105,1)),0))</f>
        <v>0.325348690265143</v>
      </c>
      <c r="Y36" s="10" t="n">
        <f aca="false">IF(A36="","",IF(W36&gt;0,IF(X36&gt;0,W36/X36,0),0))</f>
        <v>0</v>
      </c>
      <c r="Z36" s="10" t="n">
        <f aca="false">IF(A36="","",N36+Y36)</f>
        <v>0</v>
      </c>
      <c r="AA36" s="10" t="n">
        <f aca="false">IF(A36="","",IFERROR(Z36*INDEX(PUA_TABLE!$I$4:$I$105,MATCH(E36,PUA_TABLE!$C$4:$C$105,1))/1000,0))</f>
        <v>0</v>
      </c>
      <c r="AB36" s="10" t="n">
        <f aca="false">IF(A36="","",IFERROR(L36+AA36,0))</f>
        <v>3716.05159011066</v>
      </c>
      <c r="AC36" s="10" t="n">
        <f aca="false">IF(A36="","",IF(Inputs!$B$22="Premium Offset",MIN(Inputs!$B$25,Q36+T36),0))</f>
        <v>0</v>
      </c>
    </row>
    <row r="37" customFormat="false" ht="15" hidden="false" customHeight="false" outlineLevel="0" collapsed="false">
      <c r="A37" s="1" t="n">
        <f aca="false">IF(A36="","",IF(INT((C36+1)/12)+Inputs!$B$7&gt;MAX(MORTALITY!$A:$A),"",Inputs!$B$4))</f>
        <v>34</v>
      </c>
      <c r="B37" s="3" t="n">
        <f aca="false">IF(A37="","",EOMONTH(B36,1))</f>
        <v>22797</v>
      </c>
      <c r="C37" s="1" t="n">
        <f aca="false">IF(A37="","",C36+1)</f>
        <v>35</v>
      </c>
      <c r="D37" s="1" t="n">
        <f aca="false">IF(A37="","",INT(C37/12))</f>
        <v>2</v>
      </c>
      <c r="E37" s="1" t="n">
        <f aca="false">IF(A37="","",D37+Inputs!$B$7)</f>
        <v>18</v>
      </c>
      <c r="F37" s="3" t="n">
        <f aca="false">IF(A37="","",DATE(YEAR(B$2)+D37,MONTH(B$2),DAY(B$2)))</f>
        <v>22437</v>
      </c>
      <c r="G37" s="3" t="n">
        <f aca="false">IF(A37="","",DATE(YEAR(F37)+1,MONTH(F37),DAY(F37)))</f>
        <v>22802</v>
      </c>
      <c r="H37" s="10" t="n">
        <f aca="false">IF(A37="","",IF(G37&gt;F37,(B37-F37)/(G37-F37),0))</f>
        <v>0.986301369863014</v>
      </c>
      <c r="I37" s="10" t="n">
        <f aca="false">IF(A37="","",IFERROR(INDEX(CV_RATES!$I:$I,MATCH(D37,CV_RATES!$C:$C,0)),0))</f>
        <v>50.6315899274474</v>
      </c>
      <c r="J37" s="10" t="n">
        <f aca="false">IF(A37="","",IFERROR(IF(E37=MAX(MORTALITY!$A:$A),1000,INDEX(CV_RATES!$J:$J,MATCH(D37,CV_RATES!$C:$C,0))),0))</f>
        <v>76.9131895757438</v>
      </c>
      <c r="K37" s="10" t="n">
        <f aca="false">IF(A37="","",IFERROR(I37+H37*(J37-I37),0))</f>
        <v>76.5531676627534</v>
      </c>
      <c r="L37" s="10" t="n">
        <f aca="false">IF(A37="","",IFERROR(K37*Inputs!$B$9,0))</f>
        <v>3827.65838313767</v>
      </c>
      <c r="M37" s="10" t="n">
        <f aca="false">IF(A37="","",IFERROR(K37*Inputs!$B$10,0))</f>
        <v>12248.2771665376</v>
      </c>
      <c r="N37" s="10" t="n">
        <f aca="false">IF(A37="","",Z36)</f>
        <v>0</v>
      </c>
      <c r="O37" s="6" t="n">
        <f aca="false">IF(A37="","",Inputs!$B$18+N37)</f>
        <v>50000</v>
      </c>
      <c r="P37" s="5" t="n">
        <f aca="false">IF(A37="","",VLOOKUP(D37,DIvidend_Assumption!$A$3:$CX$103,($E$2+2),0)/12)</f>
        <v>0</v>
      </c>
      <c r="Q37" s="10" t="n">
        <f aca="false">IF(A37="","",IFERROR(AB36*P37,""))</f>
        <v>0</v>
      </c>
      <c r="R37" s="10" t="n">
        <f aca="false">IF(A37="","",IFERROR(IF(Inputs!$B$22="Accumulate",T37+Q37,IF(Inputs!$B$22="Premium Offset",MAX(0,T37+Q37-Inputs!$B$25),T37)),""))</f>
        <v>0</v>
      </c>
      <c r="S37" s="10" t="n">
        <f aca="false">IF(A37="","",R36)</f>
        <v>0</v>
      </c>
      <c r="T37" s="10" t="n">
        <f aca="false">IF(A37="","",IFERROR(S37*(1+Inputs!$B$23/12),""))</f>
        <v>0</v>
      </c>
      <c r="U37" s="6" t="n">
        <f aca="false">IF(A37="","",IF(D37&lt;=Inputs!$B$8,IF(Inputs!$B$22="Premium Offset",MAX(0,Inputs!$B$25-(Q37+T37)),Inputs!$B$25),0))</f>
        <v>77</v>
      </c>
      <c r="V37" s="10" t="n">
        <f aca="false">IF(A37="","",IF(Inputs!$B$22="Cash",Q37,0))</f>
        <v>0</v>
      </c>
      <c r="W37" s="10" t="n">
        <f aca="false">IF(A37="","",IF(Inputs!$B$22="PUA",Q37,0))</f>
        <v>0</v>
      </c>
      <c r="X37" s="12" t="n">
        <f aca="false">IF(A37="","",IFERROR(INDEX(PUA_TABLE!$D$4:$D$105,MATCH(E37,PUA_TABLE!$C$4:$C$105,1)),0))</f>
        <v>0.325348690265143</v>
      </c>
      <c r="Y37" s="10" t="n">
        <f aca="false">IF(A37="","",IF(W37&gt;0,IF(X37&gt;0,W37/X37,0),0))</f>
        <v>0</v>
      </c>
      <c r="Z37" s="10" t="n">
        <f aca="false">IF(A37="","",N37+Y37)</f>
        <v>0</v>
      </c>
      <c r="AA37" s="10" t="n">
        <f aca="false">IF(A37="","",IFERROR(Z37*INDEX(PUA_TABLE!$I$4:$I$105,MATCH(E37,PUA_TABLE!$C$4:$C$105,1))/1000,0))</f>
        <v>0</v>
      </c>
      <c r="AB37" s="10" t="n">
        <f aca="false">IF(A37="","",IFERROR(L37+AA37,0))</f>
        <v>3827.65838313767</v>
      </c>
      <c r="AC37" s="10" t="n">
        <f aca="false">IF(A37="","",IF(Inputs!$B$22="Premium Offset",MIN(Inputs!$B$25,Q37+T37),0))</f>
        <v>0</v>
      </c>
    </row>
    <row r="38" customFormat="false" ht="15" hidden="false" customHeight="false" outlineLevel="0" collapsed="false">
      <c r="A38" s="1" t="n">
        <f aca="false">IF(A37="","",IF(INT((C37+1)/12)+Inputs!$B$7&gt;MAX(MORTALITY!$A:$A),"",Inputs!$B$4))</f>
        <v>34</v>
      </c>
      <c r="B38" s="3" t="n">
        <f aca="false">IF(A38="","",EOMONTH(B37,1))</f>
        <v>22827</v>
      </c>
      <c r="C38" s="1" t="n">
        <f aca="false">IF(A38="","",C37+1)</f>
        <v>36</v>
      </c>
      <c r="D38" s="1" t="n">
        <f aca="false">IF(A38="","",INT(C38/12))</f>
        <v>3</v>
      </c>
      <c r="E38" s="1" t="n">
        <f aca="false">IF(A38="","",D38+Inputs!$B$7)</f>
        <v>19</v>
      </c>
      <c r="F38" s="3" t="n">
        <f aca="false">IF(A38="","",DATE(YEAR(B$2)+D38,MONTH(B$2),DAY(B$2)))</f>
        <v>22802</v>
      </c>
      <c r="G38" s="3" t="n">
        <f aca="false">IF(A38="","",DATE(YEAR(F38)+1,MONTH(F38),DAY(F38)))</f>
        <v>23167</v>
      </c>
      <c r="H38" s="10" t="n">
        <f aca="false">IF(A38="","",IF(G38&gt;F38,(B38-F38)/(G38-F38),0))</f>
        <v>0.0684931506849315</v>
      </c>
      <c r="I38" s="10" t="n">
        <f aca="false">IF(A38="","",IFERROR(INDEX(CV_RATES!$I:$I,MATCH(D38,CV_RATES!$C:$C,0)),0))</f>
        <v>76.9131895757438</v>
      </c>
      <c r="J38" s="10" t="n">
        <f aca="false">IF(A38="","",IFERROR(IF(E38=MAX(MORTALITY!$A:$A),1000,INDEX(CV_RATES!$J:$J,MATCH(D38,CV_RATES!$C:$C,0))),0))</f>
        <v>103.851055881663</v>
      </c>
      <c r="K38" s="10" t="n">
        <f aca="false">IF(A38="","",IFERROR(I38+H38*(J38-I38),0))</f>
        <v>78.7582489117657</v>
      </c>
      <c r="L38" s="10" t="n">
        <f aca="false">IF(A38="","",IFERROR(K38*Inputs!$B$9,0))</f>
        <v>3937.91244558828</v>
      </c>
      <c r="M38" s="10" t="n">
        <f aca="false">IF(A38="","",IFERROR(K38*Inputs!$B$10,0))</f>
        <v>12601.0835511358</v>
      </c>
      <c r="N38" s="10" t="n">
        <f aca="false">IF(A38="","",Z37)</f>
        <v>0</v>
      </c>
      <c r="O38" s="6" t="n">
        <f aca="false">IF(A38="","",Inputs!$B$18+N38)</f>
        <v>50000</v>
      </c>
      <c r="P38" s="5" t="n">
        <f aca="false">IF(A38="","",VLOOKUP(D38,DIvidend_Assumption!$A$3:$CX$103,($E$2+2),0)/12)</f>
        <v>0</v>
      </c>
      <c r="Q38" s="10" t="n">
        <f aca="false">IF(A38="","",IFERROR(AB37*P38,""))</f>
        <v>0</v>
      </c>
      <c r="R38" s="10" t="n">
        <f aca="false">IF(A38="","",IFERROR(IF(Inputs!$B$22="Accumulate",T38+Q38,IF(Inputs!$B$22="Premium Offset",MAX(0,T38+Q38-Inputs!$B$25),T38)),""))</f>
        <v>0</v>
      </c>
      <c r="S38" s="10" t="n">
        <f aca="false">IF(A38="","",R37)</f>
        <v>0</v>
      </c>
      <c r="T38" s="10" t="n">
        <f aca="false">IF(A38="","",IFERROR(S38*(1+Inputs!$B$23/12),""))</f>
        <v>0</v>
      </c>
      <c r="U38" s="6" t="n">
        <f aca="false">IF(A38="","",IF(D38&lt;=Inputs!$B$8,IF(Inputs!$B$22="Premium Offset",MAX(0,Inputs!$B$25-(Q38+T38)),Inputs!$B$25),0))</f>
        <v>77</v>
      </c>
      <c r="V38" s="10" t="n">
        <f aca="false">IF(A38="","",IF(Inputs!$B$22="Cash",Q38,0))</f>
        <v>0</v>
      </c>
      <c r="W38" s="10" t="n">
        <f aca="false">IF(A38="","",IF(Inputs!$B$22="PUA",Q38,0))</f>
        <v>0</v>
      </c>
      <c r="X38" s="12" t="n">
        <f aca="false">IF(A38="","",IFERROR(INDEX(PUA_TABLE!$D$4:$D$105,MATCH(E38,PUA_TABLE!$C$4:$C$105,1)),0))</f>
        <v>0.331945883052793</v>
      </c>
      <c r="Y38" s="10" t="n">
        <f aca="false">IF(A38="","",IF(W38&gt;0,IF(X38&gt;0,W38/X38,0),0))</f>
        <v>0</v>
      </c>
      <c r="Z38" s="10" t="n">
        <f aca="false">IF(A38="","",N38+Y38)</f>
        <v>0</v>
      </c>
      <c r="AA38" s="10" t="n">
        <f aca="false">IF(A38="","",IFERROR(Z38*INDEX(PUA_TABLE!$I$4:$I$105,MATCH(E38,PUA_TABLE!$C$4:$C$105,1))/1000,0))</f>
        <v>0</v>
      </c>
      <c r="AB38" s="10" t="n">
        <f aca="false">IF(A38="","",IFERROR(L38+AA38,0))</f>
        <v>3937.91244558828</v>
      </c>
      <c r="AC38" s="10" t="n">
        <f aca="false">IF(A38="","",IF(Inputs!$B$22="Premium Offset",MIN(Inputs!$B$25,Q38+T38),0))</f>
        <v>0</v>
      </c>
    </row>
    <row r="39" customFormat="false" ht="15" hidden="false" customHeight="false" outlineLevel="0" collapsed="false">
      <c r="A39" s="1" t="n">
        <f aca="false">IF(A38="","",IF(INT((C38+1)/12)+Inputs!$B$7&gt;MAX(MORTALITY!$A:$A),"",Inputs!$B$4))</f>
        <v>34</v>
      </c>
      <c r="B39" s="3" t="n">
        <f aca="false">IF(A39="","",EOMONTH(B38,1))</f>
        <v>22858</v>
      </c>
      <c r="C39" s="1" t="n">
        <f aca="false">IF(A39="","",C38+1)</f>
        <v>37</v>
      </c>
      <c r="D39" s="1" t="n">
        <f aca="false">IF(A39="","",INT(C39/12))</f>
        <v>3</v>
      </c>
      <c r="E39" s="1" t="n">
        <f aca="false">IF(A39="","",D39+Inputs!$B$7)</f>
        <v>19</v>
      </c>
      <c r="F39" s="3" t="n">
        <f aca="false">IF(A39="","",DATE(YEAR(B$2)+D39,MONTH(B$2),DAY(B$2)))</f>
        <v>22802</v>
      </c>
      <c r="G39" s="3" t="n">
        <f aca="false">IF(A39="","",DATE(YEAR(F39)+1,MONTH(F39),DAY(F39)))</f>
        <v>23167</v>
      </c>
      <c r="H39" s="10" t="n">
        <f aca="false">IF(A39="","",IF(G39&gt;F39,(B39-F39)/(G39-F39),0))</f>
        <v>0.153424657534247</v>
      </c>
      <c r="I39" s="10" t="n">
        <f aca="false">IF(A39="","",IFERROR(INDEX(CV_RATES!$I:$I,MATCH(D39,CV_RATES!$C:$C,0)),0))</f>
        <v>76.9131895757438</v>
      </c>
      <c r="J39" s="10" t="n">
        <f aca="false">IF(A39="","",IFERROR(IF(E39=MAX(MORTALITY!$A:$A),1000,INDEX(CV_RATES!$J:$J,MATCH(D39,CV_RATES!$C:$C,0))),0))</f>
        <v>103.851055881663</v>
      </c>
      <c r="K39" s="10" t="n">
        <f aca="false">IF(A39="","",IFERROR(I39+H39*(J39-I39),0))</f>
        <v>81.0461224884328</v>
      </c>
      <c r="L39" s="10" t="n">
        <f aca="false">IF(A39="","",IFERROR(K39*Inputs!$B$9,0))</f>
        <v>4052.30612442164</v>
      </c>
      <c r="M39" s="10" t="n">
        <f aca="false">IF(A39="","",IFERROR(K39*Inputs!$B$10,0))</f>
        <v>12967.1364597818</v>
      </c>
      <c r="N39" s="10" t="n">
        <f aca="false">IF(A39="","",Z38)</f>
        <v>0</v>
      </c>
      <c r="O39" s="6" t="n">
        <f aca="false">IF(A39="","",Inputs!$B$18+N39)</f>
        <v>50000</v>
      </c>
      <c r="P39" s="5" t="n">
        <f aca="false">IF(A39="","",VLOOKUP(D39,DIvidend_Assumption!$A$3:$CX$103,($E$2+2),0)/12)</f>
        <v>0</v>
      </c>
      <c r="Q39" s="10" t="n">
        <f aca="false">IF(A39="","",IFERROR(AB38*P39,""))</f>
        <v>0</v>
      </c>
      <c r="R39" s="10" t="n">
        <f aca="false">IF(A39="","",IFERROR(IF(Inputs!$B$22="Accumulate",T39+Q39,IF(Inputs!$B$22="Premium Offset",MAX(0,T39+Q39-Inputs!$B$25),T39)),""))</f>
        <v>0</v>
      </c>
      <c r="S39" s="10" t="n">
        <f aca="false">IF(A39="","",R38)</f>
        <v>0</v>
      </c>
      <c r="T39" s="10" t="n">
        <f aca="false">IF(A39="","",IFERROR(S39*(1+Inputs!$B$23/12),""))</f>
        <v>0</v>
      </c>
      <c r="U39" s="6" t="n">
        <f aca="false">IF(A39="","",IF(D39&lt;=Inputs!$B$8,IF(Inputs!$B$22="Premium Offset",MAX(0,Inputs!$B$25-(Q39+T39)),Inputs!$B$25),0))</f>
        <v>77</v>
      </c>
      <c r="V39" s="10" t="n">
        <f aca="false">IF(A39="","",IF(Inputs!$B$22="Cash",Q39,0))</f>
        <v>0</v>
      </c>
      <c r="W39" s="10" t="n">
        <f aca="false">IF(A39="","",IF(Inputs!$B$22="PUA",Q39,0))</f>
        <v>0</v>
      </c>
      <c r="X39" s="12" t="n">
        <f aca="false">IF(A39="","",IFERROR(INDEX(PUA_TABLE!$D$4:$D$105,MATCH(E39,PUA_TABLE!$C$4:$C$105,1)),0))</f>
        <v>0.331945883052793</v>
      </c>
      <c r="Y39" s="10" t="n">
        <f aca="false">IF(A39="","",IF(W39&gt;0,IF(X39&gt;0,W39/X39,0),0))</f>
        <v>0</v>
      </c>
      <c r="Z39" s="10" t="n">
        <f aca="false">IF(A39="","",N39+Y39)</f>
        <v>0</v>
      </c>
      <c r="AA39" s="10" t="n">
        <f aca="false">IF(A39="","",IFERROR(Z39*INDEX(PUA_TABLE!$I$4:$I$105,MATCH(E39,PUA_TABLE!$C$4:$C$105,1))/1000,0))</f>
        <v>0</v>
      </c>
      <c r="AB39" s="10" t="n">
        <f aca="false">IF(A39="","",IFERROR(L39+AA39,0))</f>
        <v>4052.30612442164</v>
      </c>
      <c r="AC39" s="10" t="n">
        <f aca="false">IF(A39="","",IF(Inputs!$B$22="Premium Offset",MIN(Inputs!$B$25,Q39+T39),0))</f>
        <v>0</v>
      </c>
    </row>
    <row r="40" customFormat="false" ht="15" hidden="false" customHeight="false" outlineLevel="0" collapsed="false">
      <c r="A40" s="1" t="n">
        <f aca="false">IF(A39="","",IF(INT((C39+1)/12)+Inputs!$B$7&gt;MAX(MORTALITY!$A:$A),"",Inputs!$B$4))</f>
        <v>34</v>
      </c>
      <c r="B40" s="3" t="n">
        <f aca="false">IF(A40="","",EOMONTH(B39,1))</f>
        <v>22889</v>
      </c>
      <c r="C40" s="1" t="n">
        <f aca="false">IF(A40="","",C39+1)</f>
        <v>38</v>
      </c>
      <c r="D40" s="1" t="n">
        <f aca="false">IF(A40="","",INT(C40/12))</f>
        <v>3</v>
      </c>
      <c r="E40" s="1" t="n">
        <f aca="false">IF(A40="","",D40+Inputs!$B$7)</f>
        <v>19</v>
      </c>
      <c r="F40" s="3" t="n">
        <f aca="false">IF(A40="","",DATE(YEAR(B$2)+D40,MONTH(B$2),DAY(B$2)))</f>
        <v>22802</v>
      </c>
      <c r="G40" s="3" t="n">
        <f aca="false">IF(A40="","",DATE(YEAR(F40)+1,MONTH(F40),DAY(F40)))</f>
        <v>23167</v>
      </c>
      <c r="H40" s="10" t="n">
        <f aca="false">IF(A40="","",IF(G40&gt;F40,(B40-F40)/(G40-F40),0))</f>
        <v>0.238356164383562</v>
      </c>
      <c r="I40" s="10" t="n">
        <f aca="false">IF(A40="","",IFERROR(INDEX(CV_RATES!$I:$I,MATCH(D40,CV_RATES!$C:$C,0)),0))</f>
        <v>76.9131895757438</v>
      </c>
      <c r="J40" s="10" t="n">
        <f aca="false">IF(A40="","",IFERROR(IF(E40=MAX(MORTALITY!$A:$A),1000,INDEX(CV_RATES!$J:$J,MATCH(D40,CV_RATES!$C:$C,0))),0))</f>
        <v>103.851055881663</v>
      </c>
      <c r="K40" s="10" t="n">
        <f aca="false">IF(A40="","",IFERROR(I40+H40*(J40-I40),0))</f>
        <v>83.3339960650999</v>
      </c>
      <c r="L40" s="10" t="n">
        <f aca="false">IF(A40="","",IFERROR(K40*Inputs!$B$9,0))</f>
        <v>4166.69980325499</v>
      </c>
      <c r="M40" s="10" t="n">
        <f aca="false">IF(A40="","",IFERROR(K40*Inputs!$B$10,0))</f>
        <v>13333.1893684278</v>
      </c>
      <c r="N40" s="10" t="n">
        <f aca="false">IF(A40="","",Z39)</f>
        <v>0</v>
      </c>
      <c r="O40" s="6" t="n">
        <f aca="false">IF(A40="","",Inputs!$B$18+N40)</f>
        <v>50000</v>
      </c>
      <c r="P40" s="5" t="n">
        <f aca="false">IF(A40="","",VLOOKUP(D40,DIvidend_Assumption!$A$3:$CX$103,($E$2+2),0)/12)</f>
        <v>0</v>
      </c>
      <c r="Q40" s="10" t="n">
        <f aca="false">IF(A40="","",IFERROR(AB39*P40,""))</f>
        <v>0</v>
      </c>
      <c r="R40" s="10" t="n">
        <f aca="false">IF(A40="","",IFERROR(IF(Inputs!$B$22="Accumulate",T40+Q40,IF(Inputs!$B$22="Premium Offset",MAX(0,T40+Q40-Inputs!$B$25),T40)),""))</f>
        <v>0</v>
      </c>
      <c r="S40" s="10" t="n">
        <f aca="false">IF(A40="","",R39)</f>
        <v>0</v>
      </c>
      <c r="T40" s="10" t="n">
        <f aca="false">IF(A40="","",IFERROR(S40*(1+Inputs!$B$23/12),""))</f>
        <v>0</v>
      </c>
      <c r="U40" s="6" t="n">
        <f aca="false">IF(A40="","",IF(D40&lt;=Inputs!$B$8,IF(Inputs!$B$22="Premium Offset",MAX(0,Inputs!$B$25-(Q40+T40)),Inputs!$B$25),0))</f>
        <v>77</v>
      </c>
      <c r="V40" s="10" t="n">
        <f aca="false">IF(A40="","",IF(Inputs!$B$22="Cash",Q40,0))</f>
        <v>0</v>
      </c>
      <c r="W40" s="10" t="n">
        <f aca="false">IF(A40="","",IF(Inputs!$B$22="PUA",Q40,0))</f>
        <v>0</v>
      </c>
      <c r="X40" s="12" t="n">
        <f aca="false">IF(A40="","",IFERROR(INDEX(PUA_TABLE!$D$4:$D$105,MATCH(E40,PUA_TABLE!$C$4:$C$105,1)),0))</f>
        <v>0.331945883052793</v>
      </c>
      <c r="Y40" s="10" t="n">
        <f aca="false">IF(A40="","",IF(W40&gt;0,IF(X40&gt;0,W40/X40,0),0))</f>
        <v>0</v>
      </c>
      <c r="Z40" s="10" t="n">
        <f aca="false">IF(A40="","",N40+Y40)</f>
        <v>0</v>
      </c>
      <c r="AA40" s="10" t="n">
        <f aca="false">IF(A40="","",IFERROR(Z40*INDEX(PUA_TABLE!$I$4:$I$105,MATCH(E40,PUA_TABLE!$C$4:$C$105,1))/1000,0))</f>
        <v>0</v>
      </c>
      <c r="AB40" s="10" t="n">
        <f aca="false">IF(A40="","",IFERROR(L40+AA40,0))</f>
        <v>4166.69980325499</v>
      </c>
      <c r="AC40" s="10" t="n">
        <f aca="false">IF(A40="","",IF(Inputs!$B$22="Premium Offset",MIN(Inputs!$B$25,Q40+T40),0))</f>
        <v>0</v>
      </c>
    </row>
    <row r="41" customFormat="false" ht="15" hidden="false" customHeight="false" outlineLevel="0" collapsed="false">
      <c r="A41" s="1" t="n">
        <f aca="false">IF(A40="","",IF(INT((C40+1)/12)+Inputs!$B$7&gt;MAX(MORTALITY!$A:$A),"",Inputs!$B$4))</f>
        <v>34</v>
      </c>
      <c r="B41" s="3" t="n">
        <f aca="false">IF(A41="","",EOMONTH(B40,1))</f>
        <v>22919</v>
      </c>
      <c r="C41" s="1" t="n">
        <f aca="false">IF(A41="","",C40+1)</f>
        <v>39</v>
      </c>
      <c r="D41" s="1" t="n">
        <f aca="false">IF(A41="","",INT(C41/12))</f>
        <v>3</v>
      </c>
      <c r="E41" s="1" t="n">
        <f aca="false">IF(A41="","",D41+Inputs!$B$7)</f>
        <v>19</v>
      </c>
      <c r="F41" s="3" t="n">
        <f aca="false">IF(A41="","",DATE(YEAR(B$2)+D41,MONTH(B$2),DAY(B$2)))</f>
        <v>22802</v>
      </c>
      <c r="G41" s="3" t="n">
        <f aca="false">IF(A41="","",DATE(YEAR(F41)+1,MONTH(F41),DAY(F41)))</f>
        <v>23167</v>
      </c>
      <c r="H41" s="10" t="n">
        <f aca="false">IF(A41="","",IF(G41&gt;F41,(B41-F41)/(G41-F41),0))</f>
        <v>0.320547945205479</v>
      </c>
      <c r="I41" s="10" t="n">
        <f aca="false">IF(A41="","",IFERROR(INDEX(CV_RATES!$I:$I,MATCH(D41,CV_RATES!$C:$C,0)),0))</f>
        <v>76.9131895757438</v>
      </c>
      <c r="J41" s="10" t="n">
        <f aca="false">IF(A41="","",IFERROR(IF(E41=MAX(MORTALITY!$A:$A),1000,INDEX(CV_RATES!$J:$J,MATCH(D41,CV_RATES!$C:$C,0))),0))</f>
        <v>103.851055881663</v>
      </c>
      <c r="K41" s="10" t="n">
        <f aca="false">IF(A41="","",IFERROR(I41+H41*(J41-I41),0))</f>
        <v>85.5480672683261</v>
      </c>
      <c r="L41" s="10" t="n">
        <f aca="false">IF(A41="","",IFERROR(K41*Inputs!$B$9,0))</f>
        <v>4277.40336341631</v>
      </c>
      <c r="M41" s="10" t="n">
        <f aca="false">IF(A41="","",IFERROR(K41*Inputs!$B$10,0))</f>
        <v>13687.4341187304</v>
      </c>
      <c r="N41" s="10" t="n">
        <f aca="false">IF(A41="","",Z40)</f>
        <v>0</v>
      </c>
      <c r="O41" s="6" t="n">
        <f aca="false">IF(A41="","",Inputs!$B$18+N41)</f>
        <v>50000</v>
      </c>
      <c r="P41" s="5" t="n">
        <f aca="false">IF(A41="","",VLOOKUP(D41,DIvidend_Assumption!$A$3:$CX$103,($E$2+2),0)/12)</f>
        <v>0</v>
      </c>
      <c r="Q41" s="10" t="n">
        <f aca="false">IF(A41="","",IFERROR(AB40*P41,""))</f>
        <v>0</v>
      </c>
      <c r="R41" s="10" t="n">
        <f aca="false">IF(A41="","",IFERROR(IF(Inputs!$B$22="Accumulate",T41+Q41,IF(Inputs!$B$22="Premium Offset",MAX(0,T41+Q41-Inputs!$B$25),T41)),""))</f>
        <v>0</v>
      </c>
      <c r="S41" s="10" t="n">
        <f aca="false">IF(A41="","",R40)</f>
        <v>0</v>
      </c>
      <c r="T41" s="10" t="n">
        <f aca="false">IF(A41="","",IFERROR(S41*(1+Inputs!$B$23/12),""))</f>
        <v>0</v>
      </c>
      <c r="U41" s="6" t="n">
        <f aca="false">IF(A41="","",IF(D41&lt;=Inputs!$B$8,IF(Inputs!$B$22="Premium Offset",MAX(0,Inputs!$B$25-(Q41+T41)),Inputs!$B$25),0))</f>
        <v>77</v>
      </c>
      <c r="V41" s="10" t="n">
        <f aca="false">IF(A41="","",IF(Inputs!$B$22="Cash",Q41,0))</f>
        <v>0</v>
      </c>
      <c r="W41" s="10" t="n">
        <f aca="false">IF(A41="","",IF(Inputs!$B$22="PUA",Q41,0))</f>
        <v>0</v>
      </c>
      <c r="X41" s="12" t="n">
        <f aca="false">IF(A41="","",IFERROR(INDEX(PUA_TABLE!$D$4:$D$105,MATCH(E41,PUA_TABLE!$C$4:$C$105,1)),0))</f>
        <v>0.331945883052793</v>
      </c>
      <c r="Y41" s="10" t="n">
        <f aca="false">IF(A41="","",IF(W41&gt;0,IF(X41&gt;0,W41/X41,0),0))</f>
        <v>0</v>
      </c>
      <c r="Z41" s="10" t="n">
        <f aca="false">IF(A41="","",N41+Y41)</f>
        <v>0</v>
      </c>
      <c r="AA41" s="10" t="n">
        <f aca="false">IF(A41="","",IFERROR(Z41*INDEX(PUA_TABLE!$I$4:$I$105,MATCH(E41,PUA_TABLE!$C$4:$C$105,1))/1000,0))</f>
        <v>0</v>
      </c>
      <c r="AB41" s="10" t="n">
        <f aca="false">IF(A41="","",IFERROR(L41+AA41,0))</f>
        <v>4277.40336341631</v>
      </c>
      <c r="AC41" s="10" t="n">
        <f aca="false">IF(A41="","",IF(Inputs!$B$22="Premium Offset",MIN(Inputs!$B$25,Q41+T41),0))</f>
        <v>0</v>
      </c>
    </row>
    <row r="42" customFormat="false" ht="15" hidden="false" customHeight="false" outlineLevel="0" collapsed="false">
      <c r="A42" s="1" t="n">
        <f aca="false">IF(A41="","",IF(INT((C41+1)/12)+Inputs!$B$7&gt;MAX(MORTALITY!$A:$A),"",Inputs!$B$4))</f>
        <v>34</v>
      </c>
      <c r="B42" s="3" t="n">
        <f aca="false">IF(A42="","",EOMONTH(B41,1))</f>
        <v>22950</v>
      </c>
      <c r="C42" s="1" t="n">
        <f aca="false">IF(A42="","",C41+1)</f>
        <v>40</v>
      </c>
      <c r="D42" s="1" t="n">
        <f aca="false">IF(A42="","",INT(C42/12))</f>
        <v>3</v>
      </c>
      <c r="E42" s="1" t="n">
        <f aca="false">IF(A42="","",D42+Inputs!$B$7)</f>
        <v>19</v>
      </c>
      <c r="F42" s="3" t="n">
        <f aca="false">IF(A42="","",DATE(YEAR(B$2)+D42,MONTH(B$2),DAY(B$2)))</f>
        <v>22802</v>
      </c>
      <c r="G42" s="3" t="n">
        <f aca="false">IF(A42="","",DATE(YEAR(F42)+1,MONTH(F42),DAY(F42)))</f>
        <v>23167</v>
      </c>
      <c r="H42" s="10" t="n">
        <f aca="false">IF(A42="","",IF(G42&gt;F42,(B42-F42)/(G42-F42),0))</f>
        <v>0.405479452054795</v>
      </c>
      <c r="I42" s="10" t="n">
        <f aca="false">IF(A42="","",IFERROR(INDEX(CV_RATES!$I:$I,MATCH(D42,CV_RATES!$C:$C,0)),0))</f>
        <v>76.9131895757438</v>
      </c>
      <c r="J42" s="10" t="n">
        <f aca="false">IF(A42="","",IFERROR(IF(E42=MAX(MORTALITY!$A:$A),1000,INDEX(CV_RATES!$J:$J,MATCH(D42,CV_RATES!$C:$C,0))),0))</f>
        <v>103.851055881663</v>
      </c>
      <c r="K42" s="10" t="n">
        <f aca="false">IF(A42="","",IFERROR(I42+H42*(J42-I42),0))</f>
        <v>87.8359408449932</v>
      </c>
      <c r="L42" s="10" t="n">
        <f aca="false">IF(A42="","",IFERROR(K42*Inputs!$B$9,0))</f>
        <v>4391.79704224966</v>
      </c>
      <c r="M42" s="10" t="n">
        <f aca="false">IF(A42="","",IFERROR(K42*Inputs!$B$10,0))</f>
        <v>14053.4870273764</v>
      </c>
      <c r="N42" s="10" t="n">
        <f aca="false">IF(A42="","",Z41)</f>
        <v>0</v>
      </c>
      <c r="O42" s="6" t="n">
        <f aca="false">IF(A42="","",Inputs!$B$18+N42)</f>
        <v>50000</v>
      </c>
      <c r="P42" s="5" t="n">
        <f aca="false">IF(A42="","",VLOOKUP(D42,DIvidend_Assumption!$A$3:$CX$103,($E$2+2),0)/12)</f>
        <v>0</v>
      </c>
      <c r="Q42" s="10" t="n">
        <f aca="false">IF(A42="","",IFERROR(AB41*P42,""))</f>
        <v>0</v>
      </c>
      <c r="R42" s="10" t="n">
        <f aca="false">IF(A42="","",IFERROR(IF(Inputs!$B$22="Accumulate",T42+Q42,IF(Inputs!$B$22="Premium Offset",MAX(0,T42+Q42-Inputs!$B$25),T42)),""))</f>
        <v>0</v>
      </c>
      <c r="S42" s="10" t="n">
        <f aca="false">IF(A42="","",R41)</f>
        <v>0</v>
      </c>
      <c r="T42" s="10" t="n">
        <f aca="false">IF(A42="","",IFERROR(S42*(1+Inputs!$B$23/12),""))</f>
        <v>0</v>
      </c>
      <c r="U42" s="6" t="n">
        <f aca="false">IF(A42="","",IF(D42&lt;=Inputs!$B$8,IF(Inputs!$B$22="Premium Offset",MAX(0,Inputs!$B$25-(Q42+T42)),Inputs!$B$25),0))</f>
        <v>77</v>
      </c>
      <c r="V42" s="10" t="n">
        <f aca="false">IF(A42="","",IF(Inputs!$B$22="Cash",Q42,0))</f>
        <v>0</v>
      </c>
      <c r="W42" s="10" t="n">
        <f aca="false">IF(A42="","",IF(Inputs!$B$22="PUA",Q42,0))</f>
        <v>0</v>
      </c>
      <c r="X42" s="12" t="n">
        <f aca="false">IF(A42="","",IFERROR(INDEX(PUA_TABLE!$D$4:$D$105,MATCH(E42,PUA_TABLE!$C$4:$C$105,1)),0))</f>
        <v>0.331945883052793</v>
      </c>
      <c r="Y42" s="10" t="n">
        <f aca="false">IF(A42="","",IF(W42&gt;0,IF(X42&gt;0,W42/X42,0),0))</f>
        <v>0</v>
      </c>
      <c r="Z42" s="10" t="n">
        <f aca="false">IF(A42="","",N42+Y42)</f>
        <v>0</v>
      </c>
      <c r="AA42" s="10" t="n">
        <f aca="false">IF(A42="","",IFERROR(Z42*INDEX(PUA_TABLE!$I$4:$I$105,MATCH(E42,PUA_TABLE!$C$4:$C$105,1))/1000,0))</f>
        <v>0</v>
      </c>
      <c r="AB42" s="10" t="n">
        <f aca="false">IF(A42="","",IFERROR(L42+AA42,0))</f>
        <v>4391.79704224966</v>
      </c>
      <c r="AC42" s="10" t="n">
        <f aca="false">IF(A42="","",IF(Inputs!$B$22="Premium Offset",MIN(Inputs!$B$25,Q42+T42),0))</f>
        <v>0</v>
      </c>
    </row>
    <row r="43" customFormat="false" ht="15" hidden="false" customHeight="false" outlineLevel="0" collapsed="false">
      <c r="A43" s="1" t="n">
        <f aca="false">IF(A42="","",IF(INT((C42+1)/12)+Inputs!$B$7&gt;MAX(MORTALITY!$A:$A),"",Inputs!$B$4))</f>
        <v>34</v>
      </c>
      <c r="B43" s="3" t="n">
        <f aca="false">IF(A43="","",EOMONTH(B42,1))</f>
        <v>22980</v>
      </c>
      <c r="C43" s="1" t="n">
        <f aca="false">IF(A43="","",C42+1)</f>
        <v>41</v>
      </c>
      <c r="D43" s="1" t="n">
        <f aca="false">IF(A43="","",INT(C43/12))</f>
        <v>3</v>
      </c>
      <c r="E43" s="1" t="n">
        <f aca="false">IF(A43="","",D43+Inputs!$B$7)</f>
        <v>19</v>
      </c>
      <c r="F43" s="3" t="n">
        <f aca="false">IF(A43="","",DATE(YEAR(B$2)+D43,MONTH(B$2),DAY(B$2)))</f>
        <v>22802</v>
      </c>
      <c r="G43" s="3" t="n">
        <f aca="false">IF(A43="","",DATE(YEAR(F43)+1,MONTH(F43),DAY(F43)))</f>
        <v>23167</v>
      </c>
      <c r="H43" s="10" t="n">
        <f aca="false">IF(A43="","",IF(G43&gt;F43,(B43-F43)/(G43-F43),0))</f>
        <v>0.487671232876712</v>
      </c>
      <c r="I43" s="10" t="n">
        <f aca="false">IF(A43="","",IFERROR(INDEX(CV_RATES!$I:$I,MATCH(D43,CV_RATES!$C:$C,0)),0))</f>
        <v>76.9131895757438</v>
      </c>
      <c r="J43" s="10" t="n">
        <f aca="false">IF(A43="","",IFERROR(IF(E43=MAX(MORTALITY!$A:$A),1000,INDEX(CV_RATES!$J:$J,MATCH(D43,CV_RATES!$C:$C,0))),0))</f>
        <v>103.851055881663</v>
      </c>
      <c r="K43" s="10" t="n">
        <f aca="false">IF(A43="","",IFERROR(I43+H43*(J43-I43),0))</f>
        <v>90.0500120482195</v>
      </c>
      <c r="L43" s="10" t="n">
        <f aca="false">IF(A43="","",IFERROR(K43*Inputs!$B$9,0))</f>
        <v>4502.50060241097</v>
      </c>
      <c r="M43" s="10" t="n">
        <f aca="false">IF(A43="","",IFERROR(K43*Inputs!$B$10,0))</f>
        <v>14407.731777679</v>
      </c>
      <c r="N43" s="10" t="n">
        <f aca="false">IF(A43="","",Z42)</f>
        <v>0</v>
      </c>
      <c r="O43" s="6" t="n">
        <f aca="false">IF(A43="","",Inputs!$B$18+N43)</f>
        <v>50000</v>
      </c>
      <c r="P43" s="5" t="n">
        <f aca="false">IF(A43="","",VLOOKUP(D43,DIvidend_Assumption!$A$3:$CX$103,($E$2+2),0)/12)</f>
        <v>0</v>
      </c>
      <c r="Q43" s="10" t="n">
        <f aca="false">IF(A43="","",IFERROR(AB42*P43,""))</f>
        <v>0</v>
      </c>
      <c r="R43" s="10" t="n">
        <f aca="false">IF(A43="","",IFERROR(IF(Inputs!$B$22="Accumulate",T43+Q43,IF(Inputs!$B$22="Premium Offset",MAX(0,T43+Q43-Inputs!$B$25),T43)),""))</f>
        <v>0</v>
      </c>
      <c r="S43" s="10" t="n">
        <f aca="false">IF(A43="","",R42)</f>
        <v>0</v>
      </c>
      <c r="T43" s="10" t="n">
        <f aca="false">IF(A43="","",IFERROR(S43*(1+Inputs!$B$23/12),""))</f>
        <v>0</v>
      </c>
      <c r="U43" s="6" t="n">
        <f aca="false">IF(A43="","",IF(D43&lt;=Inputs!$B$8,IF(Inputs!$B$22="Premium Offset",MAX(0,Inputs!$B$25-(Q43+T43)),Inputs!$B$25),0))</f>
        <v>77</v>
      </c>
      <c r="V43" s="10" t="n">
        <f aca="false">IF(A43="","",IF(Inputs!$B$22="Cash",Q43,0))</f>
        <v>0</v>
      </c>
      <c r="W43" s="10" t="n">
        <f aca="false">IF(A43="","",IF(Inputs!$B$22="PUA",Q43,0))</f>
        <v>0</v>
      </c>
      <c r="X43" s="12" t="n">
        <f aca="false">IF(A43="","",IFERROR(INDEX(PUA_TABLE!$D$4:$D$105,MATCH(E43,PUA_TABLE!$C$4:$C$105,1)),0))</f>
        <v>0.331945883052793</v>
      </c>
      <c r="Y43" s="10" t="n">
        <f aca="false">IF(A43="","",IF(W43&gt;0,IF(X43&gt;0,W43/X43,0),0))</f>
        <v>0</v>
      </c>
      <c r="Z43" s="10" t="n">
        <f aca="false">IF(A43="","",N43+Y43)</f>
        <v>0</v>
      </c>
      <c r="AA43" s="10" t="n">
        <f aca="false">IF(A43="","",IFERROR(Z43*INDEX(PUA_TABLE!$I$4:$I$105,MATCH(E43,PUA_TABLE!$C$4:$C$105,1))/1000,0))</f>
        <v>0</v>
      </c>
      <c r="AB43" s="10" t="n">
        <f aca="false">IF(A43="","",IFERROR(L43+AA43,0))</f>
        <v>4502.50060241097</v>
      </c>
      <c r="AC43" s="10" t="n">
        <f aca="false">IF(A43="","",IF(Inputs!$B$22="Premium Offset",MIN(Inputs!$B$25,Q43+T43),0))</f>
        <v>0</v>
      </c>
    </row>
    <row r="44" customFormat="false" ht="15" hidden="false" customHeight="false" outlineLevel="0" collapsed="false">
      <c r="A44" s="1" t="n">
        <f aca="false">IF(A43="","",IF(INT((C43+1)/12)+Inputs!$B$7&gt;MAX(MORTALITY!$A:$A),"",Inputs!$B$4))</f>
        <v>34</v>
      </c>
      <c r="B44" s="3" t="n">
        <f aca="false">IF(A44="","",EOMONTH(B43,1))</f>
        <v>23011</v>
      </c>
      <c r="C44" s="1" t="n">
        <f aca="false">IF(A44="","",C43+1)</f>
        <v>42</v>
      </c>
      <c r="D44" s="1" t="n">
        <f aca="false">IF(A44="","",INT(C44/12))</f>
        <v>3</v>
      </c>
      <c r="E44" s="1" t="n">
        <f aca="false">IF(A44="","",D44+Inputs!$B$7)</f>
        <v>19</v>
      </c>
      <c r="F44" s="3" t="n">
        <f aca="false">IF(A44="","",DATE(YEAR(B$2)+D44,MONTH(B$2),DAY(B$2)))</f>
        <v>22802</v>
      </c>
      <c r="G44" s="3" t="n">
        <f aca="false">IF(A44="","",DATE(YEAR(F44)+1,MONTH(F44),DAY(F44)))</f>
        <v>23167</v>
      </c>
      <c r="H44" s="10" t="n">
        <f aca="false">IF(A44="","",IF(G44&gt;F44,(B44-F44)/(G44-F44),0))</f>
        <v>0.572602739726027</v>
      </c>
      <c r="I44" s="10" t="n">
        <f aca="false">IF(A44="","",IFERROR(INDEX(CV_RATES!$I:$I,MATCH(D44,CV_RATES!$C:$C,0)),0))</f>
        <v>76.9131895757438</v>
      </c>
      <c r="J44" s="10" t="n">
        <f aca="false">IF(A44="","",IFERROR(IF(E44=MAX(MORTALITY!$A:$A),1000,INDEX(CV_RATES!$J:$J,MATCH(D44,CV_RATES!$C:$C,0))),0))</f>
        <v>103.851055881663</v>
      </c>
      <c r="K44" s="10" t="n">
        <f aca="false">IF(A44="","",IFERROR(I44+H44*(J44-I44),0))</f>
        <v>92.3378856248866</v>
      </c>
      <c r="L44" s="10" t="n">
        <f aca="false">IF(A44="","",IFERROR(K44*Inputs!$B$9,0))</f>
        <v>4616.89428124433</v>
      </c>
      <c r="M44" s="10" t="n">
        <f aca="false">IF(A44="","",IFERROR(K44*Inputs!$B$10,0))</f>
        <v>14773.784686325</v>
      </c>
      <c r="N44" s="10" t="n">
        <f aca="false">IF(A44="","",Z43)</f>
        <v>0</v>
      </c>
      <c r="O44" s="6" t="n">
        <f aca="false">IF(A44="","",Inputs!$B$18+N44)</f>
        <v>50000</v>
      </c>
      <c r="P44" s="5" t="n">
        <f aca="false">IF(A44="","",VLOOKUP(D44,DIvidend_Assumption!$A$3:$CX$103,($E$2+2),0)/12)</f>
        <v>0</v>
      </c>
      <c r="Q44" s="10" t="n">
        <f aca="false">IF(A44="","",IFERROR(AB43*P44,""))</f>
        <v>0</v>
      </c>
      <c r="R44" s="10" t="n">
        <f aca="false">IF(A44="","",IFERROR(IF(Inputs!$B$22="Accumulate",T44+Q44,IF(Inputs!$B$22="Premium Offset",MAX(0,T44+Q44-Inputs!$B$25),T44)),""))</f>
        <v>0</v>
      </c>
      <c r="S44" s="10" t="n">
        <f aca="false">IF(A44="","",R43)</f>
        <v>0</v>
      </c>
      <c r="T44" s="10" t="n">
        <f aca="false">IF(A44="","",IFERROR(S44*(1+Inputs!$B$23/12),""))</f>
        <v>0</v>
      </c>
      <c r="U44" s="6" t="n">
        <f aca="false">IF(A44="","",IF(D44&lt;=Inputs!$B$8,IF(Inputs!$B$22="Premium Offset",MAX(0,Inputs!$B$25-(Q44+T44)),Inputs!$B$25),0))</f>
        <v>77</v>
      </c>
      <c r="V44" s="10" t="n">
        <f aca="false">IF(A44="","",IF(Inputs!$B$22="Cash",Q44,0))</f>
        <v>0</v>
      </c>
      <c r="W44" s="10" t="n">
        <f aca="false">IF(A44="","",IF(Inputs!$B$22="PUA",Q44,0))</f>
        <v>0</v>
      </c>
      <c r="X44" s="12" t="n">
        <f aca="false">IF(A44="","",IFERROR(INDEX(PUA_TABLE!$D$4:$D$105,MATCH(E44,PUA_TABLE!$C$4:$C$105,1)),0))</f>
        <v>0.331945883052793</v>
      </c>
      <c r="Y44" s="10" t="n">
        <f aca="false">IF(A44="","",IF(W44&gt;0,IF(X44&gt;0,W44/X44,0),0))</f>
        <v>0</v>
      </c>
      <c r="Z44" s="10" t="n">
        <f aca="false">IF(A44="","",N44+Y44)</f>
        <v>0</v>
      </c>
      <c r="AA44" s="10" t="n">
        <f aca="false">IF(A44="","",IFERROR(Z44*INDEX(PUA_TABLE!$I$4:$I$105,MATCH(E44,PUA_TABLE!$C$4:$C$105,1))/1000,0))</f>
        <v>0</v>
      </c>
      <c r="AB44" s="10" t="n">
        <f aca="false">IF(A44="","",IFERROR(L44+AA44,0))</f>
        <v>4616.89428124433</v>
      </c>
      <c r="AC44" s="10" t="n">
        <f aca="false">IF(A44="","",IF(Inputs!$B$22="Premium Offset",MIN(Inputs!$B$25,Q44+T44),0))</f>
        <v>0</v>
      </c>
    </row>
    <row r="45" customFormat="false" ht="15" hidden="false" customHeight="false" outlineLevel="0" collapsed="false">
      <c r="A45" s="1" t="n">
        <f aca="false">IF(A44="","",IF(INT((C44+1)/12)+Inputs!$B$7&gt;MAX(MORTALITY!$A:$A),"",Inputs!$B$4))</f>
        <v>34</v>
      </c>
      <c r="B45" s="3" t="n">
        <f aca="false">IF(A45="","",EOMONTH(B44,1))</f>
        <v>23042</v>
      </c>
      <c r="C45" s="1" t="n">
        <f aca="false">IF(A45="","",C44+1)</f>
        <v>43</v>
      </c>
      <c r="D45" s="1" t="n">
        <f aca="false">IF(A45="","",INT(C45/12))</f>
        <v>3</v>
      </c>
      <c r="E45" s="1" t="n">
        <f aca="false">IF(A45="","",D45+Inputs!$B$7)</f>
        <v>19</v>
      </c>
      <c r="F45" s="3" t="n">
        <f aca="false">IF(A45="","",DATE(YEAR(B$2)+D45,MONTH(B$2),DAY(B$2)))</f>
        <v>22802</v>
      </c>
      <c r="G45" s="3" t="n">
        <f aca="false">IF(A45="","",DATE(YEAR(F45)+1,MONTH(F45),DAY(F45)))</f>
        <v>23167</v>
      </c>
      <c r="H45" s="10" t="n">
        <f aca="false">IF(A45="","",IF(G45&gt;F45,(B45-F45)/(G45-F45),0))</f>
        <v>0.657534246575342</v>
      </c>
      <c r="I45" s="10" t="n">
        <f aca="false">IF(A45="","",IFERROR(INDEX(CV_RATES!$I:$I,MATCH(D45,CV_RATES!$C:$C,0)),0))</f>
        <v>76.9131895757438</v>
      </c>
      <c r="J45" s="10" t="n">
        <f aca="false">IF(A45="","",IFERROR(IF(E45=MAX(MORTALITY!$A:$A),1000,INDEX(CV_RATES!$J:$J,MATCH(D45,CV_RATES!$C:$C,0))),0))</f>
        <v>103.851055881663</v>
      </c>
      <c r="K45" s="10" t="n">
        <f aca="false">IF(A45="","",IFERROR(I45+H45*(J45-I45),0))</f>
        <v>94.6257592015537</v>
      </c>
      <c r="L45" s="10" t="n">
        <f aca="false">IF(A45="","",IFERROR(K45*Inputs!$B$9,0))</f>
        <v>4731.28796007768</v>
      </c>
      <c r="M45" s="10" t="n">
        <f aca="false">IF(A45="","",IFERROR(K45*Inputs!$B$10,0))</f>
        <v>15139.837594971</v>
      </c>
      <c r="N45" s="10" t="n">
        <f aca="false">IF(A45="","",Z44)</f>
        <v>0</v>
      </c>
      <c r="O45" s="6" t="n">
        <f aca="false">IF(A45="","",Inputs!$B$18+N45)</f>
        <v>50000</v>
      </c>
      <c r="P45" s="5" t="n">
        <f aca="false">IF(A45="","",VLOOKUP(D45,DIvidend_Assumption!$A$3:$CX$103,($E$2+2),0)/12)</f>
        <v>0</v>
      </c>
      <c r="Q45" s="10" t="n">
        <f aca="false">IF(A45="","",IFERROR(AB44*P45,""))</f>
        <v>0</v>
      </c>
      <c r="R45" s="10" t="n">
        <f aca="false">IF(A45="","",IFERROR(IF(Inputs!$B$22="Accumulate",T45+Q45,IF(Inputs!$B$22="Premium Offset",MAX(0,T45+Q45-Inputs!$B$25),T45)),""))</f>
        <v>0</v>
      </c>
      <c r="S45" s="10" t="n">
        <f aca="false">IF(A45="","",R44)</f>
        <v>0</v>
      </c>
      <c r="T45" s="10" t="n">
        <f aca="false">IF(A45="","",IFERROR(S45*(1+Inputs!$B$23/12),""))</f>
        <v>0</v>
      </c>
      <c r="U45" s="6" t="n">
        <f aca="false">IF(A45="","",IF(D45&lt;=Inputs!$B$8,IF(Inputs!$B$22="Premium Offset",MAX(0,Inputs!$B$25-(Q45+T45)),Inputs!$B$25),0))</f>
        <v>77</v>
      </c>
      <c r="V45" s="10" t="n">
        <f aca="false">IF(A45="","",IF(Inputs!$B$22="Cash",Q45,0))</f>
        <v>0</v>
      </c>
      <c r="W45" s="10" t="n">
        <f aca="false">IF(A45="","",IF(Inputs!$B$22="PUA",Q45,0))</f>
        <v>0</v>
      </c>
      <c r="X45" s="12" t="n">
        <f aca="false">IF(A45="","",IFERROR(INDEX(PUA_TABLE!$D$4:$D$105,MATCH(E45,PUA_TABLE!$C$4:$C$105,1)),0))</f>
        <v>0.331945883052793</v>
      </c>
      <c r="Y45" s="10" t="n">
        <f aca="false">IF(A45="","",IF(W45&gt;0,IF(X45&gt;0,W45/X45,0),0))</f>
        <v>0</v>
      </c>
      <c r="Z45" s="10" t="n">
        <f aca="false">IF(A45="","",N45+Y45)</f>
        <v>0</v>
      </c>
      <c r="AA45" s="10" t="n">
        <f aca="false">IF(A45="","",IFERROR(Z45*INDEX(PUA_TABLE!$I$4:$I$105,MATCH(E45,PUA_TABLE!$C$4:$C$105,1))/1000,0))</f>
        <v>0</v>
      </c>
      <c r="AB45" s="10" t="n">
        <f aca="false">IF(A45="","",IFERROR(L45+AA45,0))</f>
        <v>4731.28796007768</v>
      </c>
      <c r="AC45" s="10" t="n">
        <f aca="false">IF(A45="","",IF(Inputs!$B$22="Premium Offset",MIN(Inputs!$B$25,Q45+T45),0))</f>
        <v>0</v>
      </c>
    </row>
    <row r="46" customFormat="false" ht="15" hidden="false" customHeight="false" outlineLevel="0" collapsed="false">
      <c r="A46" s="1" t="n">
        <f aca="false">IF(A45="","",IF(INT((C45+1)/12)+Inputs!$B$7&gt;MAX(MORTALITY!$A:$A),"",Inputs!$B$4))</f>
        <v>34</v>
      </c>
      <c r="B46" s="3" t="n">
        <f aca="false">IF(A46="","",EOMONTH(B45,1))</f>
        <v>23070</v>
      </c>
      <c r="C46" s="1" t="n">
        <f aca="false">IF(A46="","",C45+1)</f>
        <v>44</v>
      </c>
      <c r="D46" s="1" t="n">
        <f aca="false">IF(A46="","",INT(C46/12))</f>
        <v>3</v>
      </c>
      <c r="E46" s="1" t="n">
        <f aca="false">IF(A46="","",D46+Inputs!$B$7)</f>
        <v>19</v>
      </c>
      <c r="F46" s="3" t="n">
        <f aca="false">IF(A46="","",DATE(YEAR(B$2)+D46,MONTH(B$2),DAY(B$2)))</f>
        <v>22802</v>
      </c>
      <c r="G46" s="3" t="n">
        <f aca="false">IF(A46="","",DATE(YEAR(F46)+1,MONTH(F46),DAY(F46)))</f>
        <v>23167</v>
      </c>
      <c r="H46" s="10" t="n">
        <f aca="false">IF(A46="","",IF(G46&gt;F46,(B46-F46)/(G46-F46),0))</f>
        <v>0.734246575342466</v>
      </c>
      <c r="I46" s="10" t="n">
        <f aca="false">IF(A46="","",IFERROR(INDEX(CV_RATES!$I:$I,MATCH(D46,CV_RATES!$C:$C,0)),0))</f>
        <v>76.9131895757438</v>
      </c>
      <c r="J46" s="10" t="n">
        <f aca="false">IF(A46="","",IFERROR(IF(E46=MAX(MORTALITY!$A:$A),1000,INDEX(CV_RATES!$J:$J,MATCH(D46,CV_RATES!$C:$C,0))),0))</f>
        <v>103.851055881663</v>
      </c>
      <c r="K46" s="10" t="n">
        <f aca="false">IF(A46="","",IFERROR(I46+H46*(J46-I46),0))</f>
        <v>96.6922256578982</v>
      </c>
      <c r="L46" s="10" t="n">
        <f aca="false">IF(A46="","",IFERROR(K46*Inputs!$B$9,0))</f>
        <v>4834.61128289491</v>
      </c>
      <c r="M46" s="10" t="n">
        <f aca="false">IF(A46="","",IFERROR(K46*Inputs!$B$10,0))</f>
        <v>15470.4660285867</v>
      </c>
      <c r="N46" s="10" t="n">
        <f aca="false">IF(A46="","",Z45)</f>
        <v>0</v>
      </c>
      <c r="O46" s="6" t="n">
        <f aca="false">IF(A46="","",Inputs!$B$18+N46)</f>
        <v>50000</v>
      </c>
      <c r="P46" s="5" t="n">
        <f aca="false">IF(A46="","",VLOOKUP(D46,DIvidend_Assumption!$A$3:$CX$103,($E$2+2),0)/12)</f>
        <v>0</v>
      </c>
      <c r="Q46" s="10" t="n">
        <f aca="false">IF(A46="","",IFERROR(AB45*P46,""))</f>
        <v>0</v>
      </c>
      <c r="R46" s="10" t="n">
        <f aca="false">IF(A46="","",IFERROR(IF(Inputs!$B$22="Accumulate",T46+Q46,IF(Inputs!$B$22="Premium Offset",MAX(0,T46+Q46-Inputs!$B$25),T46)),""))</f>
        <v>0</v>
      </c>
      <c r="S46" s="10" t="n">
        <f aca="false">IF(A46="","",R45)</f>
        <v>0</v>
      </c>
      <c r="T46" s="10" t="n">
        <f aca="false">IF(A46="","",IFERROR(S46*(1+Inputs!$B$23/12),""))</f>
        <v>0</v>
      </c>
      <c r="U46" s="6" t="n">
        <f aca="false">IF(A46="","",IF(D46&lt;=Inputs!$B$8,IF(Inputs!$B$22="Premium Offset",MAX(0,Inputs!$B$25-(Q46+T46)),Inputs!$B$25),0))</f>
        <v>77</v>
      </c>
      <c r="V46" s="10" t="n">
        <f aca="false">IF(A46="","",IF(Inputs!$B$22="Cash",Q46,0))</f>
        <v>0</v>
      </c>
      <c r="W46" s="10" t="n">
        <f aca="false">IF(A46="","",IF(Inputs!$B$22="PUA",Q46,0))</f>
        <v>0</v>
      </c>
      <c r="X46" s="12" t="n">
        <f aca="false">IF(A46="","",IFERROR(INDEX(PUA_TABLE!$D$4:$D$105,MATCH(E46,PUA_TABLE!$C$4:$C$105,1)),0))</f>
        <v>0.331945883052793</v>
      </c>
      <c r="Y46" s="10" t="n">
        <f aca="false">IF(A46="","",IF(W46&gt;0,IF(X46&gt;0,W46/X46,0),0))</f>
        <v>0</v>
      </c>
      <c r="Z46" s="10" t="n">
        <f aca="false">IF(A46="","",N46+Y46)</f>
        <v>0</v>
      </c>
      <c r="AA46" s="10" t="n">
        <f aca="false">IF(A46="","",IFERROR(Z46*INDEX(PUA_TABLE!$I$4:$I$105,MATCH(E46,PUA_TABLE!$C$4:$C$105,1))/1000,0))</f>
        <v>0</v>
      </c>
      <c r="AB46" s="10" t="n">
        <f aca="false">IF(A46="","",IFERROR(L46+AA46,0))</f>
        <v>4834.61128289491</v>
      </c>
      <c r="AC46" s="10" t="n">
        <f aca="false">IF(A46="","",IF(Inputs!$B$22="Premium Offset",MIN(Inputs!$B$25,Q46+T46),0))</f>
        <v>0</v>
      </c>
    </row>
    <row r="47" customFormat="false" ht="15" hidden="false" customHeight="false" outlineLevel="0" collapsed="false">
      <c r="A47" s="1" t="n">
        <f aca="false">IF(A46="","",IF(INT((C46+1)/12)+Inputs!$B$7&gt;MAX(MORTALITY!$A:$A),"",Inputs!$B$4))</f>
        <v>34</v>
      </c>
      <c r="B47" s="3" t="n">
        <f aca="false">IF(A47="","",EOMONTH(B46,1))</f>
        <v>23101</v>
      </c>
      <c r="C47" s="1" t="n">
        <f aca="false">IF(A47="","",C46+1)</f>
        <v>45</v>
      </c>
      <c r="D47" s="1" t="n">
        <f aca="false">IF(A47="","",INT(C47/12))</f>
        <v>3</v>
      </c>
      <c r="E47" s="1" t="n">
        <f aca="false">IF(A47="","",D47+Inputs!$B$7)</f>
        <v>19</v>
      </c>
      <c r="F47" s="3" t="n">
        <f aca="false">IF(A47="","",DATE(YEAR(B$2)+D47,MONTH(B$2),DAY(B$2)))</f>
        <v>22802</v>
      </c>
      <c r="G47" s="3" t="n">
        <f aca="false">IF(A47="","",DATE(YEAR(F47)+1,MONTH(F47),DAY(F47)))</f>
        <v>23167</v>
      </c>
      <c r="H47" s="10" t="n">
        <f aca="false">IF(A47="","",IF(G47&gt;F47,(B47-F47)/(G47-F47),0))</f>
        <v>0.819178082191781</v>
      </c>
      <c r="I47" s="10" t="n">
        <f aca="false">IF(A47="","",IFERROR(INDEX(CV_RATES!$I:$I,MATCH(D47,CV_RATES!$C:$C,0)),0))</f>
        <v>76.9131895757438</v>
      </c>
      <c r="J47" s="10" t="n">
        <f aca="false">IF(A47="","",IFERROR(IF(E47=MAX(MORTALITY!$A:$A),1000,INDEX(CV_RATES!$J:$J,MATCH(D47,CV_RATES!$C:$C,0))),0))</f>
        <v>103.851055881663</v>
      </c>
      <c r="K47" s="10" t="n">
        <f aca="false">IF(A47="","",IFERROR(I47+H47*(J47-I47),0))</f>
        <v>98.9800992345653</v>
      </c>
      <c r="L47" s="10" t="n">
        <f aca="false">IF(A47="","",IFERROR(K47*Inputs!$B$9,0))</f>
        <v>4949.00496172826</v>
      </c>
      <c r="M47" s="10" t="n">
        <f aca="false">IF(A47="","",IFERROR(K47*Inputs!$B$10,0))</f>
        <v>15836.5189372327</v>
      </c>
      <c r="N47" s="10" t="n">
        <f aca="false">IF(A47="","",Z46)</f>
        <v>0</v>
      </c>
      <c r="O47" s="6" t="n">
        <f aca="false">IF(A47="","",Inputs!$B$18+N47)</f>
        <v>50000</v>
      </c>
      <c r="P47" s="5" t="n">
        <f aca="false">IF(A47="","",VLOOKUP(D47,DIvidend_Assumption!$A$3:$CX$103,($E$2+2),0)/12)</f>
        <v>0</v>
      </c>
      <c r="Q47" s="10" t="n">
        <f aca="false">IF(A47="","",IFERROR(AB46*P47,""))</f>
        <v>0</v>
      </c>
      <c r="R47" s="10" t="n">
        <f aca="false">IF(A47="","",IFERROR(IF(Inputs!$B$22="Accumulate",T47+Q47,IF(Inputs!$B$22="Premium Offset",MAX(0,T47+Q47-Inputs!$B$25),T47)),""))</f>
        <v>0</v>
      </c>
      <c r="S47" s="10" t="n">
        <f aca="false">IF(A47="","",R46)</f>
        <v>0</v>
      </c>
      <c r="T47" s="10" t="n">
        <f aca="false">IF(A47="","",IFERROR(S47*(1+Inputs!$B$23/12),""))</f>
        <v>0</v>
      </c>
      <c r="U47" s="6" t="n">
        <f aca="false">IF(A47="","",IF(D47&lt;=Inputs!$B$8,IF(Inputs!$B$22="Premium Offset",MAX(0,Inputs!$B$25-(Q47+T47)),Inputs!$B$25),0))</f>
        <v>77</v>
      </c>
      <c r="V47" s="10" t="n">
        <f aca="false">IF(A47="","",IF(Inputs!$B$22="Cash",Q47,0))</f>
        <v>0</v>
      </c>
      <c r="W47" s="10" t="n">
        <f aca="false">IF(A47="","",IF(Inputs!$B$22="PUA",Q47,0))</f>
        <v>0</v>
      </c>
      <c r="X47" s="12" t="n">
        <f aca="false">IF(A47="","",IFERROR(INDEX(PUA_TABLE!$D$4:$D$105,MATCH(E47,PUA_TABLE!$C$4:$C$105,1)),0))</f>
        <v>0.331945883052793</v>
      </c>
      <c r="Y47" s="10" t="n">
        <f aca="false">IF(A47="","",IF(W47&gt;0,IF(X47&gt;0,W47/X47,0),0))</f>
        <v>0</v>
      </c>
      <c r="Z47" s="10" t="n">
        <f aca="false">IF(A47="","",N47+Y47)</f>
        <v>0</v>
      </c>
      <c r="AA47" s="10" t="n">
        <f aca="false">IF(A47="","",IFERROR(Z47*INDEX(PUA_TABLE!$I$4:$I$105,MATCH(E47,PUA_TABLE!$C$4:$C$105,1))/1000,0))</f>
        <v>0</v>
      </c>
      <c r="AB47" s="10" t="n">
        <f aca="false">IF(A47="","",IFERROR(L47+AA47,0))</f>
        <v>4949.00496172826</v>
      </c>
      <c r="AC47" s="10" t="n">
        <f aca="false">IF(A47="","",IF(Inputs!$B$22="Premium Offset",MIN(Inputs!$B$25,Q47+T47),0))</f>
        <v>0</v>
      </c>
    </row>
    <row r="48" customFormat="false" ht="15" hidden="false" customHeight="false" outlineLevel="0" collapsed="false">
      <c r="A48" s="1" t="n">
        <f aca="false">IF(A47="","",IF(INT((C47+1)/12)+Inputs!$B$7&gt;MAX(MORTALITY!$A:$A),"",Inputs!$B$4))</f>
        <v>34</v>
      </c>
      <c r="B48" s="3" t="n">
        <f aca="false">IF(A48="","",EOMONTH(B47,1))</f>
        <v>23131</v>
      </c>
      <c r="C48" s="1" t="n">
        <f aca="false">IF(A48="","",C47+1)</f>
        <v>46</v>
      </c>
      <c r="D48" s="1" t="n">
        <f aca="false">IF(A48="","",INT(C48/12))</f>
        <v>3</v>
      </c>
      <c r="E48" s="1" t="n">
        <f aca="false">IF(A48="","",D48+Inputs!$B$7)</f>
        <v>19</v>
      </c>
      <c r="F48" s="3" t="n">
        <f aca="false">IF(A48="","",DATE(YEAR(B$2)+D48,MONTH(B$2),DAY(B$2)))</f>
        <v>22802</v>
      </c>
      <c r="G48" s="3" t="n">
        <f aca="false">IF(A48="","",DATE(YEAR(F48)+1,MONTH(F48),DAY(F48)))</f>
        <v>23167</v>
      </c>
      <c r="H48" s="10" t="n">
        <f aca="false">IF(A48="","",IF(G48&gt;F48,(B48-F48)/(G48-F48),0))</f>
        <v>0.901369863013699</v>
      </c>
      <c r="I48" s="10" t="n">
        <f aca="false">IF(A48="","",IFERROR(INDEX(CV_RATES!$I:$I,MATCH(D48,CV_RATES!$C:$C,0)),0))</f>
        <v>76.9131895757438</v>
      </c>
      <c r="J48" s="10" t="n">
        <f aca="false">IF(A48="","",IFERROR(IF(E48=MAX(MORTALITY!$A:$A),1000,INDEX(CV_RATES!$J:$J,MATCH(D48,CV_RATES!$C:$C,0))),0))</f>
        <v>103.851055881663</v>
      </c>
      <c r="K48" s="10" t="n">
        <f aca="false">IF(A48="","",IFERROR(I48+H48*(J48-I48),0))</f>
        <v>101.194170437792</v>
      </c>
      <c r="L48" s="10" t="n">
        <f aca="false">IF(A48="","",IFERROR(K48*Inputs!$B$9,0))</f>
        <v>5059.70852188957</v>
      </c>
      <c r="M48" s="10" t="n">
        <f aca="false">IF(A48="","",IFERROR(K48*Inputs!$B$10,0))</f>
        <v>16190.7636875353</v>
      </c>
      <c r="N48" s="10" t="n">
        <f aca="false">IF(A48="","",Z47)</f>
        <v>0</v>
      </c>
      <c r="O48" s="6" t="n">
        <f aca="false">IF(A48="","",Inputs!$B$18+N48)</f>
        <v>50000</v>
      </c>
      <c r="P48" s="5" t="n">
        <f aca="false">IF(A48="","",VLOOKUP(D48,DIvidend_Assumption!$A$3:$CX$103,($E$2+2),0)/12)</f>
        <v>0</v>
      </c>
      <c r="Q48" s="10" t="n">
        <f aca="false">IF(A48="","",IFERROR(AB47*P48,""))</f>
        <v>0</v>
      </c>
      <c r="R48" s="10" t="n">
        <f aca="false">IF(A48="","",IFERROR(IF(Inputs!$B$22="Accumulate",T48+Q48,IF(Inputs!$B$22="Premium Offset",MAX(0,T48+Q48-Inputs!$B$25),T48)),""))</f>
        <v>0</v>
      </c>
      <c r="S48" s="10" t="n">
        <f aca="false">IF(A48="","",R47)</f>
        <v>0</v>
      </c>
      <c r="T48" s="10" t="n">
        <f aca="false">IF(A48="","",IFERROR(S48*(1+Inputs!$B$23/12),""))</f>
        <v>0</v>
      </c>
      <c r="U48" s="6" t="n">
        <f aca="false">IF(A48="","",IF(D48&lt;=Inputs!$B$8,IF(Inputs!$B$22="Premium Offset",MAX(0,Inputs!$B$25-(Q48+T48)),Inputs!$B$25),0))</f>
        <v>77</v>
      </c>
      <c r="V48" s="10" t="n">
        <f aca="false">IF(A48="","",IF(Inputs!$B$22="Cash",Q48,0))</f>
        <v>0</v>
      </c>
      <c r="W48" s="10" t="n">
        <f aca="false">IF(A48="","",IF(Inputs!$B$22="PUA",Q48,0))</f>
        <v>0</v>
      </c>
      <c r="X48" s="12" t="n">
        <f aca="false">IF(A48="","",IFERROR(INDEX(PUA_TABLE!$D$4:$D$105,MATCH(E48,PUA_TABLE!$C$4:$C$105,1)),0))</f>
        <v>0.331945883052793</v>
      </c>
      <c r="Y48" s="10" t="n">
        <f aca="false">IF(A48="","",IF(W48&gt;0,IF(X48&gt;0,W48/X48,0),0))</f>
        <v>0</v>
      </c>
      <c r="Z48" s="10" t="n">
        <f aca="false">IF(A48="","",N48+Y48)</f>
        <v>0</v>
      </c>
      <c r="AA48" s="10" t="n">
        <f aca="false">IF(A48="","",IFERROR(Z48*INDEX(PUA_TABLE!$I$4:$I$105,MATCH(E48,PUA_TABLE!$C$4:$C$105,1))/1000,0))</f>
        <v>0</v>
      </c>
      <c r="AB48" s="10" t="n">
        <f aca="false">IF(A48="","",IFERROR(L48+AA48,0))</f>
        <v>5059.70852188957</v>
      </c>
      <c r="AC48" s="10" t="n">
        <f aca="false">IF(A48="","",IF(Inputs!$B$22="Premium Offset",MIN(Inputs!$B$25,Q48+T48),0))</f>
        <v>0</v>
      </c>
    </row>
    <row r="49" customFormat="false" ht="15" hidden="false" customHeight="false" outlineLevel="0" collapsed="false">
      <c r="A49" s="1" t="n">
        <f aca="false">IF(A48="","",IF(INT((C48+1)/12)+Inputs!$B$7&gt;MAX(MORTALITY!$A:$A),"",Inputs!$B$4))</f>
        <v>34</v>
      </c>
      <c r="B49" s="3" t="n">
        <f aca="false">IF(A49="","",EOMONTH(B48,1))</f>
        <v>23162</v>
      </c>
      <c r="C49" s="1" t="n">
        <f aca="false">IF(A49="","",C48+1)</f>
        <v>47</v>
      </c>
      <c r="D49" s="1" t="n">
        <f aca="false">IF(A49="","",INT(C49/12))</f>
        <v>3</v>
      </c>
      <c r="E49" s="1" t="n">
        <f aca="false">IF(A49="","",D49+Inputs!$B$7)</f>
        <v>19</v>
      </c>
      <c r="F49" s="3" t="n">
        <f aca="false">IF(A49="","",DATE(YEAR(B$2)+D49,MONTH(B$2),DAY(B$2)))</f>
        <v>22802</v>
      </c>
      <c r="G49" s="3" t="n">
        <f aca="false">IF(A49="","",DATE(YEAR(F49)+1,MONTH(F49),DAY(F49)))</f>
        <v>23167</v>
      </c>
      <c r="H49" s="10" t="n">
        <f aca="false">IF(A49="","",IF(G49&gt;F49,(B49-F49)/(G49-F49),0))</f>
        <v>0.986301369863014</v>
      </c>
      <c r="I49" s="10" t="n">
        <f aca="false">IF(A49="","",IFERROR(INDEX(CV_RATES!$I:$I,MATCH(D49,CV_RATES!$C:$C,0)),0))</f>
        <v>76.9131895757438</v>
      </c>
      <c r="J49" s="10" t="n">
        <f aca="false">IF(A49="","",IFERROR(IF(E49=MAX(MORTALITY!$A:$A),1000,INDEX(CV_RATES!$J:$J,MATCH(D49,CV_RATES!$C:$C,0))),0))</f>
        <v>103.851055881663</v>
      </c>
      <c r="K49" s="10" t="n">
        <f aca="false">IF(A49="","",IFERROR(I49+H49*(J49-I49),0))</f>
        <v>103.482044014459</v>
      </c>
      <c r="L49" s="10" t="n">
        <f aca="false">IF(A49="","",IFERROR(K49*Inputs!$B$9,0))</f>
        <v>5174.10220072293</v>
      </c>
      <c r="M49" s="10" t="n">
        <f aca="false">IF(A49="","",IFERROR(K49*Inputs!$B$10,0))</f>
        <v>16556.8165961813</v>
      </c>
      <c r="N49" s="10" t="n">
        <f aca="false">IF(A49="","",Z48)</f>
        <v>0</v>
      </c>
      <c r="O49" s="6" t="n">
        <f aca="false">IF(A49="","",Inputs!$B$18+N49)</f>
        <v>50000</v>
      </c>
      <c r="P49" s="5" t="n">
        <f aca="false">IF(A49="","",VLOOKUP(D49,DIvidend_Assumption!$A$3:$CX$103,($E$2+2),0)/12)</f>
        <v>0</v>
      </c>
      <c r="Q49" s="10" t="n">
        <f aca="false">IF(A49="","",IFERROR(AB48*P49,""))</f>
        <v>0</v>
      </c>
      <c r="R49" s="10" t="n">
        <f aca="false">IF(A49="","",IFERROR(IF(Inputs!$B$22="Accumulate",T49+Q49,IF(Inputs!$B$22="Premium Offset",MAX(0,T49+Q49-Inputs!$B$25),T49)),""))</f>
        <v>0</v>
      </c>
      <c r="S49" s="10" t="n">
        <f aca="false">IF(A49="","",R48)</f>
        <v>0</v>
      </c>
      <c r="T49" s="10" t="n">
        <f aca="false">IF(A49="","",IFERROR(S49*(1+Inputs!$B$23/12),""))</f>
        <v>0</v>
      </c>
      <c r="U49" s="6" t="n">
        <f aca="false">IF(A49="","",IF(D49&lt;=Inputs!$B$8,IF(Inputs!$B$22="Premium Offset",MAX(0,Inputs!$B$25-(Q49+T49)),Inputs!$B$25),0))</f>
        <v>77</v>
      </c>
      <c r="V49" s="10" t="n">
        <f aca="false">IF(A49="","",IF(Inputs!$B$22="Cash",Q49,0))</f>
        <v>0</v>
      </c>
      <c r="W49" s="10" t="n">
        <f aca="false">IF(A49="","",IF(Inputs!$B$22="PUA",Q49,0))</f>
        <v>0</v>
      </c>
      <c r="X49" s="12" t="n">
        <f aca="false">IF(A49="","",IFERROR(INDEX(PUA_TABLE!$D$4:$D$105,MATCH(E49,PUA_TABLE!$C$4:$C$105,1)),0))</f>
        <v>0.331945883052793</v>
      </c>
      <c r="Y49" s="10" t="n">
        <f aca="false">IF(A49="","",IF(W49&gt;0,IF(X49&gt;0,W49/X49,0),0))</f>
        <v>0</v>
      </c>
      <c r="Z49" s="10" t="n">
        <f aca="false">IF(A49="","",N49+Y49)</f>
        <v>0</v>
      </c>
      <c r="AA49" s="10" t="n">
        <f aca="false">IF(A49="","",IFERROR(Z49*INDEX(PUA_TABLE!$I$4:$I$105,MATCH(E49,PUA_TABLE!$C$4:$C$105,1))/1000,0))</f>
        <v>0</v>
      </c>
      <c r="AB49" s="10" t="n">
        <f aca="false">IF(A49="","",IFERROR(L49+AA49,0))</f>
        <v>5174.10220072293</v>
      </c>
      <c r="AC49" s="10" t="n">
        <f aca="false">IF(A49="","",IF(Inputs!$B$22="Premium Offset",MIN(Inputs!$B$25,Q49+T49),0))</f>
        <v>0</v>
      </c>
    </row>
    <row r="50" customFormat="false" ht="15" hidden="false" customHeight="false" outlineLevel="0" collapsed="false">
      <c r="A50" s="1" t="n">
        <f aca="false">IF(A49="","",IF(INT((C49+1)/12)+Inputs!$B$7&gt;MAX(MORTALITY!$A:$A),"",Inputs!$B$4))</f>
        <v>34</v>
      </c>
      <c r="B50" s="3" t="n">
        <f aca="false">IF(A50="","",EOMONTH(B49,1))</f>
        <v>23192</v>
      </c>
      <c r="C50" s="1" t="n">
        <f aca="false">IF(A50="","",C49+1)</f>
        <v>48</v>
      </c>
      <c r="D50" s="1" t="n">
        <f aca="false">IF(A50="","",INT(C50/12))</f>
        <v>4</v>
      </c>
      <c r="E50" s="1" t="n">
        <f aca="false">IF(A50="","",D50+Inputs!$B$7)</f>
        <v>20</v>
      </c>
      <c r="F50" s="3" t="n">
        <f aca="false">IF(A50="","",DATE(YEAR(B$2)+D50,MONTH(B$2),DAY(B$2)))</f>
        <v>23167</v>
      </c>
      <c r="G50" s="3" t="n">
        <f aca="false">IF(A50="","",DATE(YEAR(F50)+1,MONTH(F50),DAY(F50)))</f>
        <v>23533</v>
      </c>
      <c r="H50" s="10" t="n">
        <f aca="false">IF(A50="","",IF(G50&gt;F50,(B50-F50)/(G50-F50),0))</f>
        <v>0.0683060109289618</v>
      </c>
      <c r="I50" s="10" t="n">
        <f aca="false">IF(A50="","",IFERROR(INDEX(CV_RATES!$I:$I,MATCH(D50,CV_RATES!$C:$C,0)),0))</f>
        <v>103.851055881663</v>
      </c>
      <c r="J50" s="10" t="n">
        <f aca="false">IF(A50="","",IFERROR(IF(E50=MAX(MORTALITY!$A:$A),1000,INDEX(CV_RATES!$J:$J,MATCH(D50,CV_RATES!$C:$C,0))),0))</f>
        <v>131.475727861494</v>
      </c>
      <c r="K50" s="10" t="n">
        <f aca="false">IF(A50="","",IFERROR(I50+H50*(J50-I50),0))</f>
        <v>105.737987027826</v>
      </c>
      <c r="L50" s="10" t="n">
        <f aca="false">IF(A50="","",IFERROR(K50*Inputs!$B$9,0))</f>
        <v>5286.89935139132</v>
      </c>
      <c r="M50" s="10" t="n">
        <f aca="false">IF(A50="","",IFERROR(K50*Inputs!$B$10,0))</f>
        <v>16917.7607104911</v>
      </c>
      <c r="N50" s="10" t="n">
        <f aca="false">IF(A50="","",Z49)</f>
        <v>0</v>
      </c>
      <c r="O50" s="6" t="n">
        <f aca="false">IF(A50="","",Inputs!$B$18+N50)</f>
        <v>50000</v>
      </c>
      <c r="P50" s="5" t="n">
        <f aca="false">IF(A50="","",VLOOKUP(D50,DIvidend_Assumption!$A$3:$CX$103,($E$2+2),0)/12)</f>
        <v>0</v>
      </c>
      <c r="Q50" s="10" t="n">
        <f aca="false">IF(A50="","",IFERROR(AB49*P50,""))</f>
        <v>0</v>
      </c>
      <c r="R50" s="10" t="n">
        <f aca="false">IF(A50="","",IFERROR(IF(Inputs!$B$22="Accumulate",T50+Q50,IF(Inputs!$B$22="Premium Offset",MAX(0,T50+Q50-Inputs!$B$25),T50)),""))</f>
        <v>0</v>
      </c>
      <c r="S50" s="10" t="n">
        <f aca="false">IF(A50="","",R49)</f>
        <v>0</v>
      </c>
      <c r="T50" s="10" t="n">
        <f aca="false">IF(A50="","",IFERROR(S50*(1+Inputs!$B$23/12),""))</f>
        <v>0</v>
      </c>
      <c r="U50" s="6" t="n">
        <f aca="false">IF(A50="","",IF(D50&lt;=Inputs!$B$8,IF(Inputs!$B$22="Premium Offset",MAX(0,Inputs!$B$25-(Q50+T50)),Inputs!$B$25),0))</f>
        <v>77</v>
      </c>
      <c r="V50" s="10" t="n">
        <f aca="false">IF(A50="","",IF(Inputs!$B$22="Cash",Q50,0))</f>
        <v>0</v>
      </c>
      <c r="W50" s="10" t="n">
        <f aca="false">IF(A50="","",IF(Inputs!$B$22="PUA",Q50,0))</f>
        <v>0</v>
      </c>
      <c r="X50" s="12" t="n">
        <f aca="false">IF(A50="","",IFERROR(INDEX(PUA_TABLE!$D$4:$D$105,MATCH(E50,PUA_TABLE!$C$4:$C$105,1)),0))</f>
        <v>0.338677195081456</v>
      </c>
      <c r="Y50" s="10" t="n">
        <f aca="false">IF(A50="","",IF(W50&gt;0,IF(X50&gt;0,W50/X50,0),0))</f>
        <v>0</v>
      </c>
      <c r="Z50" s="10" t="n">
        <f aca="false">IF(A50="","",N50+Y50)</f>
        <v>0</v>
      </c>
      <c r="AA50" s="10" t="n">
        <f aca="false">IF(A50="","",IFERROR(Z50*INDEX(PUA_TABLE!$I$4:$I$105,MATCH(E50,PUA_TABLE!$C$4:$C$105,1))/1000,0))</f>
        <v>0</v>
      </c>
      <c r="AB50" s="10" t="n">
        <f aca="false">IF(A50="","",IFERROR(L50+AA50,0))</f>
        <v>5286.89935139132</v>
      </c>
      <c r="AC50" s="10" t="n">
        <f aca="false">IF(A50="","",IF(Inputs!$B$22="Premium Offset",MIN(Inputs!$B$25,Q50+T50),0))</f>
        <v>0</v>
      </c>
    </row>
    <row r="51" customFormat="false" ht="15" hidden="false" customHeight="false" outlineLevel="0" collapsed="false">
      <c r="A51" s="1" t="n">
        <f aca="false">IF(A50="","",IF(INT((C50+1)/12)+Inputs!$B$7&gt;MAX(MORTALITY!$A:$A),"",Inputs!$B$4))</f>
        <v>34</v>
      </c>
      <c r="B51" s="3" t="n">
        <f aca="false">IF(A51="","",EOMONTH(B50,1))</f>
        <v>23223</v>
      </c>
      <c r="C51" s="1" t="n">
        <f aca="false">IF(A51="","",C50+1)</f>
        <v>49</v>
      </c>
      <c r="D51" s="1" t="n">
        <f aca="false">IF(A51="","",INT(C51/12))</f>
        <v>4</v>
      </c>
      <c r="E51" s="1" t="n">
        <f aca="false">IF(A51="","",D51+Inputs!$B$7)</f>
        <v>20</v>
      </c>
      <c r="F51" s="3" t="n">
        <f aca="false">IF(A51="","",DATE(YEAR(B$2)+D51,MONTH(B$2),DAY(B$2)))</f>
        <v>23167</v>
      </c>
      <c r="G51" s="3" t="n">
        <f aca="false">IF(A51="","",DATE(YEAR(F51)+1,MONTH(F51),DAY(F51)))</f>
        <v>23533</v>
      </c>
      <c r="H51" s="10" t="n">
        <f aca="false">IF(A51="","",IF(G51&gt;F51,(B51-F51)/(G51-F51),0))</f>
        <v>0.153005464480874</v>
      </c>
      <c r="I51" s="10" t="n">
        <f aca="false">IF(A51="","",IFERROR(INDEX(CV_RATES!$I:$I,MATCH(D51,CV_RATES!$C:$C,0)),0))</f>
        <v>103.851055881663</v>
      </c>
      <c r="J51" s="10" t="n">
        <f aca="false">IF(A51="","",IFERROR(IF(E51=MAX(MORTALITY!$A:$A),1000,INDEX(CV_RATES!$J:$J,MATCH(D51,CV_RATES!$C:$C,0))),0))</f>
        <v>131.475727861494</v>
      </c>
      <c r="K51" s="10" t="n">
        <f aca="false">IF(A51="","",IFERROR(I51+H51*(J51-I51),0))</f>
        <v>108.077781649069</v>
      </c>
      <c r="L51" s="10" t="n">
        <f aca="false">IF(A51="","",IFERROR(K51*Inputs!$B$9,0))</f>
        <v>5403.88908245344</v>
      </c>
      <c r="M51" s="10" t="n">
        <f aca="false">IF(A51="","",IFERROR(K51*Inputs!$B$10,0))</f>
        <v>17292.1208305061</v>
      </c>
      <c r="N51" s="10" t="n">
        <f aca="false">IF(A51="","",Z50)</f>
        <v>0</v>
      </c>
      <c r="O51" s="6" t="n">
        <f aca="false">IF(A51="","",Inputs!$B$18+N51)</f>
        <v>50000</v>
      </c>
      <c r="P51" s="5" t="n">
        <f aca="false">IF(A51="","",VLOOKUP(D51,DIvidend_Assumption!$A$3:$CX$103,($E$2+2),0)/12)</f>
        <v>0</v>
      </c>
      <c r="Q51" s="10" t="n">
        <f aca="false">IF(A51="","",IFERROR(AB50*P51,""))</f>
        <v>0</v>
      </c>
      <c r="R51" s="10" t="n">
        <f aca="false">IF(A51="","",IFERROR(IF(Inputs!$B$22="Accumulate",T51+Q51,IF(Inputs!$B$22="Premium Offset",MAX(0,T51+Q51-Inputs!$B$25),T51)),""))</f>
        <v>0</v>
      </c>
      <c r="S51" s="10" t="n">
        <f aca="false">IF(A51="","",R50)</f>
        <v>0</v>
      </c>
      <c r="T51" s="10" t="n">
        <f aca="false">IF(A51="","",IFERROR(S51*(1+Inputs!$B$23/12),""))</f>
        <v>0</v>
      </c>
      <c r="U51" s="6" t="n">
        <f aca="false">IF(A51="","",IF(D51&lt;=Inputs!$B$8,IF(Inputs!$B$22="Premium Offset",MAX(0,Inputs!$B$25-(Q51+T51)),Inputs!$B$25),0))</f>
        <v>77</v>
      </c>
      <c r="V51" s="10" t="n">
        <f aca="false">IF(A51="","",IF(Inputs!$B$22="Cash",Q51,0))</f>
        <v>0</v>
      </c>
      <c r="W51" s="10" t="n">
        <f aca="false">IF(A51="","",IF(Inputs!$B$22="PUA",Q51,0))</f>
        <v>0</v>
      </c>
      <c r="X51" s="12" t="n">
        <f aca="false">IF(A51="","",IFERROR(INDEX(PUA_TABLE!$D$4:$D$105,MATCH(E51,PUA_TABLE!$C$4:$C$105,1)),0))</f>
        <v>0.338677195081456</v>
      </c>
      <c r="Y51" s="10" t="n">
        <f aca="false">IF(A51="","",IF(W51&gt;0,IF(X51&gt;0,W51/X51,0),0))</f>
        <v>0</v>
      </c>
      <c r="Z51" s="10" t="n">
        <f aca="false">IF(A51="","",N51+Y51)</f>
        <v>0</v>
      </c>
      <c r="AA51" s="10" t="n">
        <f aca="false">IF(A51="","",IFERROR(Z51*INDEX(PUA_TABLE!$I$4:$I$105,MATCH(E51,PUA_TABLE!$C$4:$C$105,1))/1000,0))</f>
        <v>0</v>
      </c>
      <c r="AB51" s="10" t="n">
        <f aca="false">IF(A51="","",IFERROR(L51+AA51,0))</f>
        <v>5403.88908245344</v>
      </c>
      <c r="AC51" s="10" t="n">
        <f aca="false">IF(A51="","",IF(Inputs!$B$22="Premium Offset",MIN(Inputs!$B$25,Q51+T51),0))</f>
        <v>0</v>
      </c>
    </row>
    <row r="52" customFormat="false" ht="15" hidden="false" customHeight="false" outlineLevel="0" collapsed="false">
      <c r="A52" s="1" t="n">
        <f aca="false">IF(A51="","",IF(INT((C51+1)/12)+Inputs!$B$7&gt;MAX(MORTALITY!$A:$A),"",Inputs!$B$4))</f>
        <v>34</v>
      </c>
      <c r="B52" s="3" t="n">
        <f aca="false">IF(A52="","",EOMONTH(B51,1))</f>
        <v>23254</v>
      </c>
      <c r="C52" s="1" t="n">
        <f aca="false">IF(A52="","",C51+1)</f>
        <v>50</v>
      </c>
      <c r="D52" s="1" t="n">
        <f aca="false">IF(A52="","",INT(C52/12))</f>
        <v>4</v>
      </c>
      <c r="E52" s="1" t="n">
        <f aca="false">IF(A52="","",D52+Inputs!$B$7)</f>
        <v>20</v>
      </c>
      <c r="F52" s="3" t="n">
        <f aca="false">IF(A52="","",DATE(YEAR(B$2)+D52,MONTH(B$2),DAY(B$2)))</f>
        <v>23167</v>
      </c>
      <c r="G52" s="3" t="n">
        <f aca="false">IF(A52="","",DATE(YEAR(F52)+1,MONTH(F52),DAY(F52)))</f>
        <v>23533</v>
      </c>
      <c r="H52" s="10" t="n">
        <f aca="false">IF(A52="","",IF(G52&gt;F52,(B52-F52)/(G52-F52),0))</f>
        <v>0.237704918032787</v>
      </c>
      <c r="I52" s="10" t="n">
        <f aca="false">IF(A52="","",IFERROR(INDEX(CV_RATES!$I:$I,MATCH(D52,CV_RATES!$C:$C,0)),0))</f>
        <v>103.851055881663</v>
      </c>
      <c r="J52" s="10" t="n">
        <f aca="false">IF(A52="","",IFERROR(IF(E52=MAX(MORTALITY!$A:$A),1000,INDEX(CV_RATES!$J:$J,MATCH(D52,CV_RATES!$C:$C,0))),0))</f>
        <v>131.475727861494</v>
      </c>
      <c r="K52" s="10" t="n">
        <f aca="false">IF(A52="","",IFERROR(I52+H52*(J52-I52),0))</f>
        <v>110.417576270311</v>
      </c>
      <c r="L52" s="10" t="n">
        <f aca="false">IF(A52="","",IFERROR(K52*Inputs!$B$9,0))</f>
        <v>5520.87881351557</v>
      </c>
      <c r="M52" s="10" t="n">
        <f aca="false">IF(A52="","",IFERROR(K52*Inputs!$B$10,0))</f>
        <v>17666.480950521</v>
      </c>
      <c r="N52" s="10" t="n">
        <f aca="false">IF(A52="","",Z51)</f>
        <v>0</v>
      </c>
      <c r="O52" s="6" t="n">
        <f aca="false">IF(A52="","",Inputs!$B$18+N52)</f>
        <v>50000</v>
      </c>
      <c r="P52" s="5" t="n">
        <f aca="false">IF(A52="","",VLOOKUP(D52,DIvidend_Assumption!$A$3:$CX$103,($E$2+2),0)/12)</f>
        <v>0</v>
      </c>
      <c r="Q52" s="10" t="n">
        <f aca="false">IF(A52="","",IFERROR(AB51*P52,""))</f>
        <v>0</v>
      </c>
      <c r="R52" s="10" t="n">
        <f aca="false">IF(A52="","",IFERROR(IF(Inputs!$B$22="Accumulate",T52+Q52,IF(Inputs!$B$22="Premium Offset",MAX(0,T52+Q52-Inputs!$B$25),T52)),""))</f>
        <v>0</v>
      </c>
      <c r="S52" s="10" t="n">
        <f aca="false">IF(A52="","",R51)</f>
        <v>0</v>
      </c>
      <c r="T52" s="10" t="n">
        <f aca="false">IF(A52="","",IFERROR(S52*(1+Inputs!$B$23/12),""))</f>
        <v>0</v>
      </c>
      <c r="U52" s="6" t="n">
        <f aca="false">IF(A52="","",IF(D52&lt;=Inputs!$B$8,IF(Inputs!$B$22="Premium Offset",MAX(0,Inputs!$B$25-(Q52+T52)),Inputs!$B$25),0))</f>
        <v>77</v>
      </c>
      <c r="V52" s="10" t="n">
        <f aca="false">IF(A52="","",IF(Inputs!$B$22="Cash",Q52,0))</f>
        <v>0</v>
      </c>
      <c r="W52" s="10" t="n">
        <f aca="false">IF(A52="","",IF(Inputs!$B$22="PUA",Q52,0))</f>
        <v>0</v>
      </c>
      <c r="X52" s="12" t="n">
        <f aca="false">IF(A52="","",IFERROR(INDEX(PUA_TABLE!$D$4:$D$105,MATCH(E52,PUA_TABLE!$C$4:$C$105,1)),0))</f>
        <v>0.338677195081456</v>
      </c>
      <c r="Y52" s="10" t="n">
        <f aca="false">IF(A52="","",IF(W52&gt;0,IF(X52&gt;0,W52/X52,0),0))</f>
        <v>0</v>
      </c>
      <c r="Z52" s="10" t="n">
        <f aca="false">IF(A52="","",N52+Y52)</f>
        <v>0</v>
      </c>
      <c r="AA52" s="10" t="n">
        <f aca="false">IF(A52="","",IFERROR(Z52*INDEX(PUA_TABLE!$I$4:$I$105,MATCH(E52,PUA_TABLE!$C$4:$C$105,1))/1000,0))</f>
        <v>0</v>
      </c>
      <c r="AB52" s="10" t="n">
        <f aca="false">IF(A52="","",IFERROR(L52+AA52,0))</f>
        <v>5520.87881351557</v>
      </c>
      <c r="AC52" s="10" t="n">
        <f aca="false">IF(A52="","",IF(Inputs!$B$22="Premium Offset",MIN(Inputs!$B$25,Q52+T52),0))</f>
        <v>0</v>
      </c>
    </row>
    <row r="53" customFormat="false" ht="15" hidden="false" customHeight="false" outlineLevel="0" collapsed="false">
      <c r="A53" s="1" t="n">
        <f aca="false">IF(A52="","",IF(INT((C52+1)/12)+Inputs!$B$7&gt;MAX(MORTALITY!$A:$A),"",Inputs!$B$4))</f>
        <v>34</v>
      </c>
      <c r="B53" s="3" t="n">
        <f aca="false">IF(A53="","",EOMONTH(B52,1))</f>
        <v>23284</v>
      </c>
      <c r="C53" s="1" t="n">
        <f aca="false">IF(A53="","",C52+1)</f>
        <v>51</v>
      </c>
      <c r="D53" s="1" t="n">
        <f aca="false">IF(A53="","",INT(C53/12))</f>
        <v>4</v>
      </c>
      <c r="E53" s="1" t="n">
        <f aca="false">IF(A53="","",D53+Inputs!$B$7)</f>
        <v>20</v>
      </c>
      <c r="F53" s="3" t="n">
        <f aca="false">IF(A53="","",DATE(YEAR(B$2)+D53,MONTH(B$2),DAY(B$2)))</f>
        <v>23167</v>
      </c>
      <c r="G53" s="3" t="n">
        <f aca="false">IF(A53="","",DATE(YEAR(F53)+1,MONTH(F53),DAY(F53)))</f>
        <v>23533</v>
      </c>
      <c r="H53" s="10" t="n">
        <f aca="false">IF(A53="","",IF(G53&gt;F53,(B53-F53)/(G53-F53),0))</f>
        <v>0.319672131147541</v>
      </c>
      <c r="I53" s="10" t="n">
        <f aca="false">IF(A53="","",IFERROR(INDEX(CV_RATES!$I:$I,MATCH(D53,CV_RATES!$C:$C,0)),0))</f>
        <v>103.851055881663</v>
      </c>
      <c r="J53" s="10" t="n">
        <f aca="false">IF(A53="","",IFERROR(IF(E53=MAX(MORTALITY!$A:$A),1000,INDEX(CV_RATES!$J:$J,MATCH(D53,CV_RATES!$C:$C,0))),0))</f>
        <v>131.475727861494</v>
      </c>
      <c r="K53" s="10" t="n">
        <f aca="false">IF(A53="","",IFERROR(I53+H53*(J53-I53),0))</f>
        <v>112.681893645707</v>
      </c>
      <c r="L53" s="10" t="n">
        <f aca="false">IF(A53="","",IFERROR(K53*Inputs!$B$9,0))</f>
        <v>5634.09468228537</v>
      </c>
      <c r="M53" s="10" t="n">
        <f aca="false">IF(A53="","",IFERROR(K53*Inputs!$B$10,0))</f>
        <v>18028.7649376322</v>
      </c>
      <c r="N53" s="10" t="n">
        <f aca="false">IF(A53="","",Z52)</f>
        <v>0</v>
      </c>
      <c r="O53" s="6" t="n">
        <f aca="false">IF(A53="","",Inputs!$B$18+N53)</f>
        <v>50000</v>
      </c>
      <c r="P53" s="5" t="n">
        <f aca="false">IF(A53="","",VLOOKUP(D53,DIvidend_Assumption!$A$3:$CX$103,($E$2+2),0)/12)</f>
        <v>0</v>
      </c>
      <c r="Q53" s="10" t="n">
        <f aca="false">IF(A53="","",IFERROR(AB52*P53,""))</f>
        <v>0</v>
      </c>
      <c r="R53" s="10" t="n">
        <f aca="false">IF(A53="","",IFERROR(IF(Inputs!$B$22="Accumulate",T53+Q53,IF(Inputs!$B$22="Premium Offset",MAX(0,T53+Q53-Inputs!$B$25),T53)),""))</f>
        <v>0</v>
      </c>
      <c r="S53" s="10" t="n">
        <f aca="false">IF(A53="","",R52)</f>
        <v>0</v>
      </c>
      <c r="T53" s="10" t="n">
        <f aca="false">IF(A53="","",IFERROR(S53*(1+Inputs!$B$23/12),""))</f>
        <v>0</v>
      </c>
      <c r="U53" s="6" t="n">
        <f aca="false">IF(A53="","",IF(D53&lt;=Inputs!$B$8,IF(Inputs!$B$22="Premium Offset",MAX(0,Inputs!$B$25-(Q53+T53)),Inputs!$B$25),0))</f>
        <v>77</v>
      </c>
      <c r="V53" s="10" t="n">
        <f aca="false">IF(A53="","",IF(Inputs!$B$22="Cash",Q53,0))</f>
        <v>0</v>
      </c>
      <c r="W53" s="10" t="n">
        <f aca="false">IF(A53="","",IF(Inputs!$B$22="PUA",Q53,0))</f>
        <v>0</v>
      </c>
      <c r="X53" s="12" t="n">
        <f aca="false">IF(A53="","",IFERROR(INDEX(PUA_TABLE!$D$4:$D$105,MATCH(E53,PUA_TABLE!$C$4:$C$105,1)),0))</f>
        <v>0.338677195081456</v>
      </c>
      <c r="Y53" s="10" t="n">
        <f aca="false">IF(A53="","",IF(W53&gt;0,IF(X53&gt;0,W53/X53,0),0))</f>
        <v>0</v>
      </c>
      <c r="Z53" s="10" t="n">
        <f aca="false">IF(A53="","",N53+Y53)</f>
        <v>0</v>
      </c>
      <c r="AA53" s="10" t="n">
        <f aca="false">IF(A53="","",IFERROR(Z53*INDEX(PUA_TABLE!$I$4:$I$105,MATCH(E53,PUA_TABLE!$C$4:$C$105,1))/1000,0))</f>
        <v>0</v>
      </c>
      <c r="AB53" s="10" t="n">
        <f aca="false">IF(A53="","",IFERROR(L53+AA53,0))</f>
        <v>5634.09468228537</v>
      </c>
      <c r="AC53" s="10" t="n">
        <f aca="false">IF(A53="","",IF(Inputs!$B$22="Premium Offset",MIN(Inputs!$B$25,Q53+T53),0))</f>
        <v>0</v>
      </c>
    </row>
    <row r="54" customFormat="false" ht="15" hidden="false" customHeight="false" outlineLevel="0" collapsed="false">
      <c r="A54" s="1" t="n">
        <f aca="false">IF(A53="","",IF(INT((C53+1)/12)+Inputs!$B$7&gt;MAX(MORTALITY!$A:$A),"",Inputs!$B$4))</f>
        <v>34</v>
      </c>
      <c r="B54" s="3" t="n">
        <f aca="false">IF(A54="","",EOMONTH(B53,1))</f>
        <v>23315</v>
      </c>
      <c r="C54" s="1" t="n">
        <f aca="false">IF(A54="","",C53+1)</f>
        <v>52</v>
      </c>
      <c r="D54" s="1" t="n">
        <f aca="false">IF(A54="","",INT(C54/12))</f>
        <v>4</v>
      </c>
      <c r="E54" s="1" t="n">
        <f aca="false">IF(A54="","",D54+Inputs!$B$7)</f>
        <v>20</v>
      </c>
      <c r="F54" s="3" t="n">
        <f aca="false">IF(A54="","",DATE(YEAR(B$2)+D54,MONTH(B$2),DAY(B$2)))</f>
        <v>23167</v>
      </c>
      <c r="G54" s="3" t="n">
        <f aca="false">IF(A54="","",DATE(YEAR(F54)+1,MONTH(F54),DAY(F54)))</f>
        <v>23533</v>
      </c>
      <c r="H54" s="10" t="n">
        <f aca="false">IF(A54="","",IF(G54&gt;F54,(B54-F54)/(G54-F54),0))</f>
        <v>0.404371584699454</v>
      </c>
      <c r="I54" s="10" t="n">
        <f aca="false">IF(A54="","",IFERROR(INDEX(CV_RATES!$I:$I,MATCH(D54,CV_RATES!$C:$C,0)),0))</f>
        <v>103.851055881663</v>
      </c>
      <c r="J54" s="10" t="n">
        <f aca="false">IF(A54="","",IFERROR(IF(E54=MAX(MORTALITY!$A:$A),1000,INDEX(CV_RATES!$J:$J,MATCH(D54,CV_RATES!$C:$C,0))),0))</f>
        <v>131.475727861494</v>
      </c>
      <c r="K54" s="10" t="n">
        <f aca="false">IF(A54="","",IFERROR(I54+H54*(J54-I54),0))</f>
        <v>115.02168826695</v>
      </c>
      <c r="L54" s="10" t="n">
        <f aca="false">IF(A54="","",IFERROR(K54*Inputs!$B$9,0))</f>
        <v>5751.08441334749</v>
      </c>
      <c r="M54" s="10" t="n">
        <f aca="false">IF(A54="","",IFERROR(K54*Inputs!$B$10,0))</f>
        <v>18403.1250576472</v>
      </c>
      <c r="N54" s="10" t="n">
        <f aca="false">IF(A54="","",Z53)</f>
        <v>0</v>
      </c>
      <c r="O54" s="6" t="n">
        <f aca="false">IF(A54="","",Inputs!$B$18+N54)</f>
        <v>50000</v>
      </c>
      <c r="P54" s="5" t="n">
        <f aca="false">IF(A54="","",VLOOKUP(D54,DIvidend_Assumption!$A$3:$CX$103,($E$2+2),0)/12)</f>
        <v>0</v>
      </c>
      <c r="Q54" s="10" t="n">
        <f aca="false">IF(A54="","",IFERROR(AB53*P54,""))</f>
        <v>0</v>
      </c>
      <c r="R54" s="10" t="n">
        <f aca="false">IF(A54="","",IFERROR(IF(Inputs!$B$22="Accumulate",T54+Q54,IF(Inputs!$B$22="Premium Offset",MAX(0,T54+Q54-Inputs!$B$25),T54)),""))</f>
        <v>0</v>
      </c>
      <c r="S54" s="10" t="n">
        <f aca="false">IF(A54="","",R53)</f>
        <v>0</v>
      </c>
      <c r="T54" s="10" t="n">
        <f aca="false">IF(A54="","",IFERROR(S54*(1+Inputs!$B$23/12),""))</f>
        <v>0</v>
      </c>
      <c r="U54" s="6" t="n">
        <f aca="false">IF(A54="","",IF(D54&lt;=Inputs!$B$8,IF(Inputs!$B$22="Premium Offset",MAX(0,Inputs!$B$25-(Q54+T54)),Inputs!$B$25),0))</f>
        <v>77</v>
      </c>
      <c r="V54" s="10" t="n">
        <f aca="false">IF(A54="","",IF(Inputs!$B$22="Cash",Q54,0))</f>
        <v>0</v>
      </c>
      <c r="W54" s="10" t="n">
        <f aca="false">IF(A54="","",IF(Inputs!$B$22="PUA",Q54,0))</f>
        <v>0</v>
      </c>
      <c r="X54" s="12" t="n">
        <f aca="false">IF(A54="","",IFERROR(INDEX(PUA_TABLE!$D$4:$D$105,MATCH(E54,PUA_TABLE!$C$4:$C$105,1)),0))</f>
        <v>0.338677195081456</v>
      </c>
      <c r="Y54" s="10" t="n">
        <f aca="false">IF(A54="","",IF(W54&gt;0,IF(X54&gt;0,W54/X54,0),0))</f>
        <v>0</v>
      </c>
      <c r="Z54" s="10" t="n">
        <f aca="false">IF(A54="","",N54+Y54)</f>
        <v>0</v>
      </c>
      <c r="AA54" s="10" t="n">
        <f aca="false">IF(A54="","",IFERROR(Z54*INDEX(PUA_TABLE!$I$4:$I$105,MATCH(E54,PUA_TABLE!$C$4:$C$105,1))/1000,0))</f>
        <v>0</v>
      </c>
      <c r="AB54" s="10" t="n">
        <f aca="false">IF(A54="","",IFERROR(L54+AA54,0))</f>
        <v>5751.08441334749</v>
      </c>
      <c r="AC54" s="10" t="n">
        <f aca="false">IF(A54="","",IF(Inputs!$B$22="Premium Offset",MIN(Inputs!$B$25,Q54+T54),0))</f>
        <v>0</v>
      </c>
    </row>
    <row r="55" customFormat="false" ht="15" hidden="false" customHeight="false" outlineLevel="0" collapsed="false">
      <c r="A55" s="1" t="n">
        <f aca="false">IF(A54="","",IF(INT((C54+1)/12)+Inputs!$B$7&gt;MAX(MORTALITY!$A:$A),"",Inputs!$B$4))</f>
        <v>34</v>
      </c>
      <c r="B55" s="3" t="n">
        <f aca="false">IF(A55="","",EOMONTH(B54,1))</f>
        <v>23345</v>
      </c>
      <c r="C55" s="1" t="n">
        <f aca="false">IF(A55="","",C54+1)</f>
        <v>53</v>
      </c>
      <c r="D55" s="1" t="n">
        <f aca="false">IF(A55="","",INT(C55/12))</f>
        <v>4</v>
      </c>
      <c r="E55" s="1" t="n">
        <f aca="false">IF(A55="","",D55+Inputs!$B$7)</f>
        <v>20</v>
      </c>
      <c r="F55" s="3" t="n">
        <f aca="false">IF(A55="","",DATE(YEAR(B$2)+D55,MONTH(B$2),DAY(B$2)))</f>
        <v>23167</v>
      </c>
      <c r="G55" s="3" t="n">
        <f aca="false">IF(A55="","",DATE(YEAR(F55)+1,MONTH(F55),DAY(F55)))</f>
        <v>23533</v>
      </c>
      <c r="H55" s="10" t="n">
        <f aca="false">IF(A55="","",IF(G55&gt;F55,(B55-F55)/(G55-F55),0))</f>
        <v>0.486338797814208</v>
      </c>
      <c r="I55" s="10" t="n">
        <f aca="false">IF(A55="","",IFERROR(INDEX(CV_RATES!$I:$I,MATCH(D55,CV_RATES!$C:$C,0)),0))</f>
        <v>103.851055881663</v>
      </c>
      <c r="J55" s="10" t="n">
        <f aca="false">IF(A55="","",IFERROR(IF(E55=MAX(MORTALITY!$A:$A),1000,INDEX(CV_RATES!$J:$J,MATCH(D55,CV_RATES!$C:$C,0))),0))</f>
        <v>131.475727861494</v>
      </c>
      <c r="K55" s="10" t="n">
        <f aca="false">IF(A55="","",IFERROR(I55+H55*(J55-I55),0))</f>
        <v>117.286005642346</v>
      </c>
      <c r="L55" s="10" t="n">
        <f aca="false">IF(A55="","",IFERROR(K55*Inputs!$B$9,0))</f>
        <v>5864.30028211729</v>
      </c>
      <c r="M55" s="10" t="n">
        <f aca="false">IF(A55="","",IFERROR(K55*Inputs!$B$10,0))</f>
        <v>18765.4090447584</v>
      </c>
      <c r="N55" s="10" t="n">
        <f aca="false">IF(A55="","",Z54)</f>
        <v>0</v>
      </c>
      <c r="O55" s="6" t="n">
        <f aca="false">IF(A55="","",Inputs!$B$18+N55)</f>
        <v>50000</v>
      </c>
      <c r="P55" s="5" t="n">
        <f aca="false">IF(A55="","",VLOOKUP(D55,DIvidend_Assumption!$A$3:$CX$103,($E$2+2),0)/12)</f>
        <v>0</v>
      </c>
      <c r="Q55" s="10" t="n">
        <f aca="false">IF(A55="","",IFERROR(AB54*P55,""))</f>
        <v>0</v>
      </c>
      <c r="R55" s="10" t="n">
        <f aca="false">IF(A55="","",IFERROR(IF(Inputs!$B$22="Accumulate",T55+Q55,IF(Inputs!$B$22="Premium Offset",MAX(0,T55+Q55-Inputs!$B$25),T55)),""))</f>
        <v>0</v>
      </c>
      <c r="S55" s="10" t="n">
        <f aca="false">IF(A55="","",R54)</f>
        <v>0</v>
      </c>
      <c r="T55" s="10" t="n">
        <f aca="false">IF(A55="","",IFERROR(S55*(1+Inputs!$B$23/12),""))</f>
        <v>0</v>
      </c>
      <c r="U55" s="6" t="n">
        <f aca="false">IF(A55="","",IF(D55&lt;=Inputs!$B$8,IF(Inputs!$B$22="Premium Offset",MAX(0,Inputs!$B$25-(Q55+T55)),Inputs!$B$25),0))</f>
        <v>77</v>
      </c>
      <c r="V55" s="10" t="n">
        <f aca="false">IF(A55="","",IF(Inputs!$B$22="Cash",Q55,0))</f>
        <v>0</v>
      </c>
      <c r="W55" s="10" t="n">
        <f aca="false">IF(A55="","",IF(Inputs!$B$22="PUA",Q55,0))</f>
        <v>0</v>
      </c>
      <c r="X55" s="12" t="n">
        <f aca="false">IF(A55="","",IFERROR(INDEX(PUA_TABLE!$D$4:$D$105,MATCH(E55,PUA_TABLE!$C$4:$C$105,1)),0))</f>
        <v>0.338677195081456</v>
      </c>
      <c r="Y55" s="10" t="n">
        <f aca="false">IF(A55="","",IF(W55&gt;0,IF(X55&gt;0,W55/X55,0),0))</f>
        <v>0</v>
      </c>
      <c r="Z55" s="10" t="n">
        <f aca="false">IF(A55="","",N55+Y55)</f>
        <v>0</v>
      </c>
      <c r="AA55" s="10" t="n">
        <f aca="false">IF(A55="","",IFERROR(Z55*INDEX(PUA_TABLE!$I$4:$I$105,MATCH(E55,PUA_TABLE!$C$4:$C$105,1))/1000,0))</f>
        <v>0</v>
      </c>
      <c r="AB55" s="10" t="n">
        <f aca="false">IF(A55="","",IFERROR(L55+AA55,0))</f>
        <v>5864.30028211729</v>
      </c>
      <c r="AC55" s="10" t="n">
        <f aca="false">IF(A55="","",IF(Inputs!$B$22="Premium Offset",MIN(Inputs!$B$25,Q55+T55),0))</f>
        <v>0</v>
      </c>
    </row>
    <row r="56" customFormat="false" ht="15" hidden="false" customHeight="false" outlineLevel="0" collapsed="false">
      <c r="A56" s="1" t="n">
        <f aca="false">IF(A55="","",IF(INT((C55+1)/12)+Inputs!$B$7&gt;MAX(MORTALITY!$A:$A),"",Inputs!$B$4))</f>
        <v>34</v>
      </c>
      <c r="B56" s="3" t="n">
        <f aca="false">IF(A56="","",EOMONTH(B55,1))</f>
        <v>23376</v>
      </c>
      <c r="C56" s="1" t="n">
        <f aca="false">IF(A56="","",C55+1)</f>
        <v>54</v>
      </c>
      <c r="D56" s="1" t="n">
        <f aca="false">IF(A56="","",INT(C56/12))</f>
        <v>4</v>
      </c>
      <c r="E56" s="1" t="n">
        <f aca="false">IF(A56="","",D56+Inputs!$B$7)</f>
        <v>20</v>
      </c>
      <c r="F56" s="3" t="n">
        <f aca="false">IF(A56="","",DATE(YEAR(B$2)+D56,MONTH(B$2),DAY(B$2)))</f>
        <v>23167</v>
      </c>
      <c r="G56" s="3" t="n">
        <f aca="false">IF(A56="","",DATE(YEAR(F56)+1,MONTH(F56),DAY(F56)))</f>
        <v>23533</v>
      </c>
      <c r="H56" s="10" t="n">
        <f aca="false">IF(A56="","",IF(G56&gt;F56,(B56-F56)/(G56-F56),0))</f>
        <v>0.57103825136612</v>
      </c>
      <c r="I56" s="10" t="n">
        <f aca="false">IF(A56="","",IFERROR(INDEX(CV_RATES!$I:$I,MATCH(D56,CV_RATES!$C:$C,0)),0))</f>
        <v>103.851055881663</v>
      </c>
      <c r="J56" s="10" t="n">
        <f aca="false">IF(A56="","",IFERROR(IF(E56=MAX(MORTALITY!$A:$A),1000,INDEX(CV_RATES!$J:$J,MATCH(D56,CV_RATES!$C:$C,0))),0))</f>
        <v>131.475727861494</v>
      </c>
      <c r="K56" s="10" t="n">
        <f aca="false">IF(A56="","",IFERROR(I56+H56*(J56-I56),0))</f>
        <v>119.625800263588</v>
      </c>
      <c r="L56" s="10" t="n">
        <f aca="false">IF(A56="","",IFERROR(K56*Inputs!$B$9,0))</f>
        <v>5981.29001317942</v>
      </c>
      <c r="M56" s="10" t="n">
        <f aca="false">IF(A56="","",IFERROR(K56*Inputs!$B$10,0))</f>
        <v>19139.7691647734</v>
      </c>
      <c r="N56" s="10" t="n">
        <f aca="false">IF(A56="","",Z55)</f>
        <v>0</v>
      </c>
      <c r="O56" s="6" t="n">
        <f aca="false">IF(A56="","",Inputs!$B$18+N56)</f>
        <v>50000</v>
      </c>
      <c r="P56" s="5" t="n">
        <f aca="false">IF(A56="","",VLOOKUP(D56,DIvidend_Assumption!$A$3:$CX$103,($E$2+2),0)/12)</f>
        <v>0</v>
      </c>
      <c r="Q56" s="10" t="n">
        <f aca="false">IF(A56="","",IFERROR(AB55*P56,""))</f>
        <v>0</v>
      </c>
      <c r="R56" s="10" t="n">
        <f aca="false">IF(A56="","",IFERROR(IF(Inputs!$B$22="Accumulate",T56+Q56,IF(Inputs!$B$22="Premium Offset",MAX(0,T56+Q56-Inputs!$B$25),T56)),""))</f>
        <v>0</v>
      </c>
      <c r="S56" s="10" t="n">
        <f aca="false">IF(A56="","",R55)</f>
        <v>0</v>
      </c>
      <c r="T56" s="10" t="n">
        <f aca="false">IF(A56="","",IFERROR(S56*(1+Inputs!$B$23/12),""))</f>
        <v>0</v>
      </c>
      <c r="U56" s="6" t="n">
        <f aca="false">IF(A56="","",IF(D56&lt;=Inputs!$B$8,IF(Inputs!$B$22="Premium Offset",MAX(0,Inputs!$B$25-(Q56+T56)),Inputs!$B$25),0))</f>
        <v>77</v>
      </c>
      <c r="V56" s="10" t="n">
        <f aca="false">IF(A56="","",IF(Inputs!$B$22="Cash",Q56,0))</f>
        <v>0</v>
      </c>
      <c r="W56" s="10" t="n">
        <f aca="false">IF(A56="","",IF(Inputs!$B$22="PUA",Q56,0))</f>
        <v>0</v>
      </c>
      <c r="X56" s="12" t="n">
        <f aca="false">IF(A56="","",IFERROR(INDEX(PUA_TABLE!$D$4:$D$105,MATCH(E56,PUA_TABLE!$C$4:$C$105,1)),0))</f>
        <v>0.338677195081456</v>
      </c>
      <c r="Y56" s="10" t="n">
        <f aca="false">IF(A56="","",IF(W56&gt;0,IF(X56&gt;0,W56/X56,0),0))</f>
        <v>0</v>
      </c>
      <c r="Z56" s="10" t="n">
        <f aca="false">IF(A56="","",N56+Y56)</f>
        <v>0</v>
      </c>
      <c r="AA56" s="10" t="n">
        <f aca="false">IF(A56="","",IFERROR(Z56*INDEX(PUA_TABLE!$I$4:$I$105,MATCH(E56,PUA_TABLE!$C$4:$C$105,1))/1000,0))</f>
        <v>0</v>
      </c>
      <c r="AB56" s="10" t="n">
        <f aca="false">IF(A56="","",IFERROR(L56+AA56,0))</f>
        <v>5981.29001317942</v>
      </c>
      <c r="AC56" s="10" t="n">
        <f aca="false">IF(A56="","",IF(Inputs!$B$22="Premium Offset",MIN(Inputs!$B$25,Q56+T56),0))</f>
        <v>0</v>
      </c>
    </row>
    <row r="57" customFormat="false" ht="15" hidden="false" customHeight="false" outlineLevel="0" collapsed="false">
      <c r="A57" s="1" t="n">
        <f aca="false">IF(A56="","",IF(INT((C56+1)/12)+Inputs!$B$7&gt;MAX(MORTALITY!$A:$A),"",Inputs!$B$4))</f>
        <v>34</v>
      </c>
      <c r="B57" s="3" t="n">
        <f aca="false">IF(A57="","",EOMONTH(B56,1))</f>
        <v>23407</v>
      </c>
      <c r="C57" s="1" t="n">
        <f aca="false">IF(A57="","",C56+1)</f>
        <v>55</v>
      </c>
      <c r="D57" s="1" t="n">
        <f aca="false">IF(A57="","",INT(C57/12))</f>
        <v>4</v>
      </c>
      <c r="E57" s="1" t="n">
        <f aca="false">IF(A57="","",D57+Inputs!$B$7)</f>
        <v>20</v>
      </c>
      <c r="F57" s="3" t="n">
        <f aca="false">IF(A57="","",DATE(YEAR(B$2)+D57,MONTH(B$2),DAY(B$2)))</f>
        <v>23167</v>
      </c>
      <c r="G57" s="3" t="n">
        <f aca="false">IF(A57="","",DATE(YEAR(F57)+1,MONTH(F57),DAY(F57)))</f>
        <v>23533</v>
      </c>
      <c r="H57" s="10" t="n">
        <f aca="false">IF(A57="","",IF(G57&gt;F57,(B57-F57)/(G57-F57),0))</f>
        <v>0.655737704918033</v>
      </c>
      <c r="I57" s="10" t="n">
        <f aca="false">IF(A57="","",IFERROR(INDEX(CV_RATES!$I:$I,MATCH(D57,CV_RATES!$C:$C,0)),0))</f>
        <v>103.851055881663</v>
      </c>
      <c r="J57" s="10" t="n">
        <f aca="false">IF(A57="","",IFERROR(IF(E57=MAX(MORTALITY!$A:$A),1000,INDEX(CV_RATES!$J:$J,MATCH(D57,CV_RATES!$C:$C,0))),0))</f>
        <v>131.475727861494</v>
      </c>
      <c r="K57" s="10" t="n">
        <f aca="false">IF(A57="","",IFERROR(I57+H57*(J57-I57),0))</f>
        <v>121.965594884831</v>
      </c>
      <c r="L57" s="10" t="n">
        <f aca="false">IF(A57="","",IFERROR(K57*Inputs!$B$9,0))</f>
        <v>6098.27974424155</v>
      </c>
      <c r="M57" s="10" t="n">
        <f aca="false">IF(A57="","",IFERROR(K57*Inputs!$B$10,0))</f>
        <v>19514.1292847883</v>
      </c>
      <c r="N57" s="10" t="n">
        <f aca="false">IF(A57="","",Z56)</f>
        <v>0</v>
      </c>
      <c r="O57" s="6" t="n">
        <f aca="false">IF(A57="","",Inputs!$B$18+N57)</f>
        <v>50000</v>
      </c>
      <c r="P57" s="5" t="n">
        <f aca="false">IF(A57="","",VLOOKUP(D57,DIvidend_Assumption!$A$3:$CX$103,($E$2+2),0)/12)</f>
        <v>0</v>
      </c>
      <c r="Q57" s="10" t="n">
        <f aca="false">IF(A57="","",IFERROR(AB56*P57,""))</f>
        <v>0</v>
      </c>
      <c r="R57" s="10" t="n">
        <f aca="false">IF(A57="","",IFERROR(IF(Inputs!$B$22="Accumulate",T57+Q57,IF(Inputs!$B$22="Premium Offset",MAX(0,T57+Q57-Inputs!$B$25),T57)),""))</f>
        <v>0</v>
      </c>
      <c r="S57" s="10" t="n">
        <f aca="false">IF(A57="","",R56)</f>
        <v>0</v>
      </c>
      <c r="T57" s="10" t="n">
        <f aca="false">IF(A57="","",IFERROR(S57*(1+Inputs!$B$23/12),""))</f>
        <v>0</v>
      </c>
      <c r="U57" s="6" t="n">
        <f aca="false">IF(A57="","",IF(D57&lt;=Inputs!$B$8,IF(Inputs!$B$22="Premium Offset",MAX(0,Inputs!$B$25-(Q57+T57)),Inputs!$B$25),0))</f>
        <v>77</v>
      </c>
      <c r="V57" s="10" t="n">
        <f aca="false">IF(A57="","",IF(Inputs!$B$22="Cash",Q57,0))</f>
        <v>0</v>
      </c>
      <c r="W57" s="10" t="n">
        <f aca="false">IF(A57="","",IF(Inputs!$B$22="PUA",Q57,0))</f>
        <v>0</v>
      </c>
      <c r="X57" s="12" t="n">
        <f aca="false">IF(A57="","",IFERROR(INDEX(PUA_TABLE!$D$4:$D$105,MATCH(E57,PUA_TABLE!$C$4:$C$105,1)),0))</f>
        <v>0.338677195081456</v>
      </c>
      <c r="Y57" s="10" t="n">
        <f aca="false">IF(A57="","",IF(W57&gt;0,IF(X57&gt;0,W57/X57,0),0))</f>
        <v>0</v>
      </c>
      <c r="Z57" s="10" t="n">
        <f aca="false">IF(A57="","",N57+Y57)</f>
        <v>0</v>
      </c>
      <c r="AA57" s="10" t="n">
        <f aca="false">IF(A57="","",IFERROR(Z57*INDEX(PUA_TABLE!$I$4:$I$105,MATCH(E57,PUA_TABLE!$C$4:$C$105,1))/1000,0))</f>
        <v>0</v>
      </c>
      <c r="AB57" s="10" t="n">
        <f aca="false">IF(A57="","",IFERROR(L57+AA57,0))</f>
        <v>6098.27974424155</v>
      </c>
      <c r="AC57" s="10" t="n">
        <f aca="false">IF(A57="","",IF(Inputs!$B$22="Premium Offset",MIN(Inputs!$B$25,Q57+T57),0))</f>
        <v>0</v>
      </c>
    </row>
    <row r="58" customFormat="false" ht="15" hidden="false" customHeight="false" outlineLevel="0" collapsed="false">
      <c r="A58" s="1" t="n">
        <f aca="false">IF(A57="","",IF(INT((C57+1)/12)+Inputs!$B$7&gt;MAX(MORTALITY!$A:$A),"",Inputs!$B$4))</f>
        <v>34</v>
      </c>
      <c r="B58" s="3" t="n">
        <f aca="false">IF(A58="","",EOMONTH(B57,1))</f>
        <v>23436</v>
      </c>
      <c r="C58" s="1" t="n">
        <f aca="false">IF(A58="","",C57+1)</f>
        <v>56</v>
      </c>
      <c r="D58" s="1" t="n">
        <f aca="false">IF(A58="","",INT(C58/12))</f>
        <v>4</v>
      </c>
      <c r="E58" s="1" t="n">
        <f aca="false">IF(A58="","",D58+Inputs!$B$7)</f>
        <v>20</v>
      </c>
      <c r="F58" s="3" t="n">
        <f aca="false">IF(A58="","",DATE(YEAR(B$2)+D58,MONTH(B$2),DAY(B$2)))</f>
        <v>23167</v>
      </c>
      <c r="G58" s="3" t="n">
        <f aca="false">IF(A58="","",DATE(YEAR(F58)+1,MONTH(F58),DAY(F58)))</f>
        <v>23533</v>
      </c>
      <c r="H58" s="10" t="n">
        <f aca="false">IF(A58="","",IF(G58&gt;F58,(B58-F58)/(G58-F58),0))</f>
        <v>0.734972677595629</v>
      </c>
      <c r="I58" s="10" t="n">
        <f aca="false">IF(A58="","",IFERROR(INDEX(CV_RATES!$I:$I,MATCH(D58,CV_RATES!$C:$C,0)),0))</f>
        <v>103.851055881663</v>
      </c>
      <c r="J58" s="10" t="n">
        <f aca="false">IF(A58="","",IFERROR(IF(E58=MAX(MORTALITY!$A:$A),1000,INDEX(CV_RATES!$J:$J,MATCH(D58,CV_RATES!$C:$C,0))),0))</f>
        <v>131.475727861494</v>
      </c>
      <c r="K58" s="10" t="n">
        <f aca="false">IF(A58="","",IFERROR(I58+H58*(J58-I58),0))</f>
        <v>124.15443501438</v>
      </c>
      <c r="L58" s="10" t="n">
        <f aca="false">IF(A58="","",IFERROR(K58*Inputs!$B$9,0))</f>
        <v>6207.72175071902</v>
      </c>
      <c r="M58" s="10" t="n">
        <f aca="false">IF(A58="","",IFERROR(K58*Inputs!$B$10,0))</f>
        <v>19864.3371389958</v>
      </c>
      <c r="N58" s="10" t="n">
        <f aca="false">IF(A58="","",Z57)</f>
        <v>0</v>
      </c>
      <c r="O58" s="6" t="n">
        <f aca="false">IF(A58="","",Inputs!$B$18+N58)</f>
        <v>50000</v>
      </c>
      <c r="P58" s="5" t="n">
        <f aca="false">IF(A58="","",VLOOKUP(D58,DIvidend_Assumption!$A$3:$CX$103,($E$2+2),0)/12)</f>
        <v>0</v>
      </c>
      <c r="Q58" s="10" t="n">
        <f aca="false">IF(A58="","",IFERROR(AB57*P58,""))</f>
        <v>0</v>
      </c>
      <c r="R58" s="10" t="n">
        <f aca="false">IF(A58="","",IFERROR(IF(Inputs!$B$22="Accumulate",T58+Q58,IF(Inputs!$B$22="Premium Offset",MAX(0,T58+Q58-Inputs!$B$25),T58)),""))</f>
        <v>0</v>
      </c>
      <c r="S58" s="10" t="n">
        <f aca="false">IF(A58="","",R57)</f>
        <v>0</v>
      </c>
      <c r="T58" s="10" t="n">
        <f aca="false">IF(A58="","",IFERROR(S58*(1+Inputs!$B$23/12),""))</f>
        <v>0</v>
      </c>
      <c r="U58" s="6" t="n">
        <f aca="false">IF(A58="","",IF(D58&lt;=Inputs!$B$8,IF(Inputs!$B$22="Premium Offset",MAX(0,Inputs!$B$25-(Q58+T58)),Inputs!$B$25),0))</f>
        <v>77</v>
      </c>
      <c r="V58" s="10" t="n">
        <f aca="false">IF(A58="","",IF(Inputs!$B$22="Cash",Q58,0))</f>
        <v>0</v>
      </c>
      <c r="W58" s="10" t="n">
        <f aca="false">IF(A58="","",IF(Inputs!$B$22="PUA",Q58,0))</f>
        <v>0</v>
      </c>
      <c r="X58" s="12" t="n">
        <f aca="false">IF(A58="","",IFERROR(INDEX(PUA_TABLE!$D$4:$D$105,MATCH(E58,PUA_TABLE!$C$4:$C$105,1)),0))</f>
        <v>0.338677195081456</v>
      </c>
      <c r="Y58" s="10" t="n">
        <f aca="false">IF(A58="","",IF(W58&gt;0,IF(X58&gt;0,W58/X58,0),0))</f>
        <v>0</v>
      </c>
      <c r="Z58" s="10" t="n">
        <f aca="false">IF(A58="","",N58+Y58)</f>
        <v>0</v>
      </c>
      <c r="AA58" s="10" t="n">
        <f aca="false">IF(A58="","",IFERROR(Z58*INDEX(PUA_TABLE!$I$4:$I$105,MATCH(E58,PUA_TABLE!$C$4:$C$105,1))/1000,0))</f>
        <v>0</v>
      </c>
      <c r="AB58" s="10" t="n">
        <f aca="false">IF(A58="","",IFERROR(L58+AA58,0))</f>
        <v>6207.72175071902</v>
      </c>
      <c r="AC58" s="10" t="n">
        <f aca="false">IF(A58="","",IF(Inputs!$B$22="Premium Offset",MIN(Inputs!$B$25,Q58+T58),0))</f>
        <v>0</v>
      </c>
    </row>
    <row r="59" customFormat="false" ht="15" hidden="false" customHeight="false" outlineLevel="0" collapsed="false">
      <c r="A59" s="1" t="n">
        <f aca="false">IF(A58="","",IF(INT((C58+1)/12)+Inputs!$B$7&gt;MAX(MORTALITY!$A:$A),"",Inputs!$B$4))</f>
        <v>34</v>
      </c>
      <c r="B59" s="3" t="n">
        <f aca="false">IF(A59="","",EOMONTH(B58,1))</f>
        <v>23467</v>
      </c>
      <c r="C59" s="1" t="n">
        <f aca="false">IF(A59="","",C58+1)</f>
        <v>57</v>
      </c>
      <c r="D59" s="1" t="n">
        <f aca="false">IF(A59="","",INT(C59/12))</f>
        <v>4</v>
      </c>
      <c r="E59" s="1" t="n">
        <f aca="false">IF(A59="","",D59+Inputs!$B$7)</f>
        <v>20</v>
      </c>
      <c r="F59" s="3" t="n">
        <f aca="false">IF(A59="","",DATE(YEAR(B$2)+D59,MONTH(B$2),DAY(B$2)))</f>
        <v>23167</v>
      </c>
      <c r="G59" s="3" t="n">
        <f aca="false">IF(A59="","",DATE(YEAR(F59)+1,MONTH(F59),DAY(F59)))</f>
        <v>23533</v>
      </c>
      <c r="H59" s="10" t="n">
        <f aca="false">IF(A59="","",IF(G59&gt;F59,(B59-F59)/(G59-F59),0))</f>
        <v>0.819672131147541</v>
      </c>
      <c r="I59" s="10" t="n">
        <f aca="false">IF(A59="","",IFERROR(INDEX(CV_RATES!$I:$I,MATCH(D59,CV_RATES!$C:$C,0)),0))</f>
        <v>103.851055881663</v>
      </c>
      <c r="J59" s="10" t="n">
        <f aca="false">IF(A59="","",IFERROR(IF(E59=MAX(MORTALITY!$A:$A),1000,INDEX(CV_RATES!$J:$J,MATCH(D59,CV_RATES!$C:$C,0))),0))</f>
        <v>131.475727861494</v>
      </c>
      <c r="K59" s="10" t="n">
        <f aca="false">IF(A59="","",IFERROR(I59+H59*(J59-I59),0))</f>
        <v>126.494229635623</v>
      </c>
      <c r="L59" s="10" t="n">
        <f aca="false">IF(A59="","",IFERROR(K59*Inputs!$B$9,0))</f>
        <v>6324.71148178114</v>
      </c>
      <c r="M59" s="10" t="n">
        <f aca="false">IF(A59="","",IFERROR(K59*Inputs!$B$10,0))</f>
        <v>20238.6972590108</v>
      </c>
      <c r="N59" s="10" t="n">
        <f aca="false">IF(A59="","",Z58)</f>
        <v>0</v>
      </c>
      <c r="O59" s="6" t="n">
        <f aca="false">IF(A59="","",Inputs!$B$18+N59)</f>
        <v>50000</v>
      </c>
      <c r="P59" s="5" t="n">
        <f aca="false">IF(A59="","",VLOOKUP(D59,DIvidend_Assumption!$A$3:$CX$103,($E$2+2),0)/12)</f>
        <v>0</v>
      </c>
      <c r="Q59" s="10" t="n">
        <f aca="false">IF(A59="","",IFERROR(AB58*P59,""))</f>
        <v>0</v>
      </c>
      <c r="R59" s="10" t="n">
        <f aca="false">IF(A59="","",IFERROR(IF(Inputs!$B$22="Accumulate",T59+Q59,IF(Inputs!$B$22="Premium Offset",MAX(0,T59+Q59-Inputs!$B$25),T59)),""))</f>
        <v>0</v>
      </c>
      <c r="S59" s="10" t="n">
        <f aca="false">IF(A59="","",R58)</f>
        <v>0</v>
      </c>
      <c r="T59" s="10" t="n">
        <f aca="false">IF(A59="","",IFERROR(S59*(1+Inputs!$B$23/12),""))</f>
        <v>0</v>
      </c>
      <c r="U59" s="6" t="n">
        <f aca="false">IF(A59="","",IF(D59&lt;=Inputs!$B$8,IF(Inputs!$B$22="Premium Offset",MAX(0,Inputs!$B$25-(Q59+T59)),Inputs!$B$25),0))</f>
        <v>77</v>
      </c>
      <c r="V59" s="10" t="n">
        <f aca="false">IF(A59="","",IF(Inputs!$B$22="Cash",Q59,0))</f>
        <v>0</v>
      </c>
      <c r="W59" s="10" t="n">
        <f aca="false">IF(A59="","",IF(Inputs!$B$22="PUA",Q59,0))</f>
        <v>0</v>
      </c>
      <c r="X59" s="12" t="n">
        <f aca="false">IF(A59="","",IFERROR(INDEX(PUA_TABLE!$D$4:$D$105,MATCH(E59,PUA_TABLE!$C$4:$C$105,1)),0))</f>
        <v>0.338677195081456</v>
      </c>
      <c r="Y59" s="10" t="n">
        <f aca="false">IF(A59="","",IF(W59&gt;0,IF(X59&gt;0,W59/X59,0),0))</f>
        <v>0</v>
      </c>
      <c r="Z59" s="10" t="n">
        <f aca="false">IF(A59="","",N59+Y59)</f>
        <v>0</v>
      </c>
      <c r="AA59" s="10" t="n">
        <f aca="false">IF(A59="","",IFERROR(Z59*INDEX(PUA_TABLE!$I$4:$I$105,MATCH(E59,PUA_TABLE!$C$4:$C$105,1))/1000,0))</f>
        <v>0</v>
      </c>
      <c r="AB59" s="10" t="n">
        <f aca="false">IF(A59="","",IFERROR(L59+AA59,0))</f>
        <v>6324.71148178114</v>
      </c>
      <c r="AC59" s="10" t="n">
        <f aca="false">IF(A59="","",IF(Inputs!$B$22="Premium Offset",MIN(Inputs!$B$25,Q59+T59),0))</f>
        <v>0</v>
      </c>
    </row>
    <row r="60" customFormat="false" ht="15" hidden="false" customHeight="false" outlineLevel="0" collapsed="false">
      <c r="A60" s="1" t="n">
        <f aca="false">IF(A59="","",IF(INT((C59+1)/12)+Inputs!$B$7&gt;MAX(MORTALITY!$A:$A),"",Inputs!$B$4))</f>
        <v>34</v>
      </c>
      <c r="B60" s="3" t="n">
        <f aca="false">IF(A60="","",EOMONTH(B59,1))</f>
        <v>23497</v>
      </c>
      <c r="C60" s="1" t="n">
        <f aca="false">IF(A60="","",C59+1)</f>
        <v>58</v>
      </c>
      <c r="D60" s="1" t="n">
        <f aca="false">IF(A60="","",INT(C60/12))</f>
        <v>4</v>
      </c>
      <c r="E60" s="1" t="n">
        <f aca="false">IF(A60="","",D60+Inputs!$B$7)</f>
        <v>20</v>
      </c>
      <c r="F60" s="3" t="n">
        <f aca="false">IF(A60="","",DATE(YEAR(B$2)+D60,MONTH(B$2),DAY(B$2)))</f>
        <v>23167</v>
      </c>
      <c r="G60" s="3" t="n">
        <f aca="false">IF(A60="","",DATE(YEAR(F60)+1,MONTH(F60),DAY(F60)))</f>
        <v>23533</v>
      </c>
      <c r="H60" s="10" t="n">
        <f aca="false">IF(A60="","",IF(G60&gt;F60,(B60-F60)/(G60-F60),0))</f>
        <v>0.901639344262295</v>
      </c>
      <c r="I60" s="10" t="n">
        <f aca="false">IF(A60="","",IFERROR(INDEX(CV_RATES!$I:$I,MATCH(D60,CV_RATES!$C:$C,0)),0))</f>
        <v>103.851055881663</v>
      </c>
      <c r="J60" s="10" t="n">
        <f aca="false">IF(A60="","",IFERROR(IF(E60=MAX(MORTALITY!$A:$A),1000,INDEX(CV_RATES!$J:$J,MATCH(D60,CV_RATES!$C:$C,0))),0))</f>
        <v>131.475727861494</v>
      </c>
      <c r="K60" s="10" t="n">
        <f aca="false">IF(A60="","",IFERROR(I60+H60*(J60-I60),0))</f>
        <v>128.758547011019</v>
      </c>
      <c r="L60" s="10" t="n">
        <f aca="false">IF(A60="","",IFERROR(K60*Inputs!$B$9,0))</f>
        <v>6437.92735055094</v>
      </c>
      <c r="M60" s="10" t="n">
        <f aca="false">IF(A60="","",IFERROR(K60*Inputs!$B$10,0))</f>
        <v>20600.981246122</v>
      </c>
      <c r="N60" s="10" t="n">
        <f aca="false">IF(A60="","",Z59)</f>
        <v>0</v>
      </c>
      <c r="O60" s="6" t="n">
        <f aca="false">IF(A60="","",Inputs!$B$18+N60)</f>
        <v>50000</v>
      </c>
      <c r="P60" s="5" t="n">
        <f aca="false">IF(A60="","",VLOOKUP(D60,DIvidend_Assumption!$A$3:$CX$103,($E$2+2),0)/12)</f>
        <v>0</v>
      </c>
      <c r="Q60" s="10" t="n">
        <f aca="false">IF(A60="","",IFERROR(AB59*P60,""))</f>
        <v>0</v>
      </c>
      <c r="R60" s="10" t="n">
        <f aca="false">IF(A60="","",IFERROR(IF(Inputs!$B$22="Accumulate",T60+Q60,IF(Inputs!$B$22="Premium Offset",MAX(0,T60+Q60-Inputs!$B$25),T60)),""))</f>
        <v>0</v>
      </c>
      <c r="S60" s="10" t="n">
        <f aca="false">IF(A60="","",R59)</f>
        <v>0</v>
      </c>
      <c r="T60" s="10" t="n">
        <f aca="false">IF(A60="","",IFERROR(S60*(1+Inputs!$B$23/12),""))</f>
        <v>0</v>
      </c>
      <c r="U60" s="6" t="n">
        <f aca="false">IF(A60="","",IF(D60&lt;=Inputs!$B$8,IF(Inputs!$B$22="Premium Offset",MAX(0,Inputs!$B$25-(Q60+T60)),Inputs!$B$25),0))</f>
        <v>77</v>
      </c>
      <c r="V60" s="10" t="n">
        <f aca="false">IF(A60="","",IF(Inputs!$B$22="Cash",Q60,0))</f>
        <v>0</v>
      </c>
      <c r="W60" s="10" t="n">
        <f aca="false">IF(A60="","",IF(Inputs!$B$22="PUA",Q60,0))</f>
        <v>0</v>
      </c>
      <c r="X60" s="12" t="n">
        <f aca="false">IF(A60="","",IFERROR(INDEX(PUA_TABLE!$D$4:$D$105,MATCH(E60,PUA_TABLE!$C$4:$C$105,1)),0))</f>
        <v>0.338677195081456</v>
      </c>
      <c r="Y60" s="10" t="n">
        <f aca="false">IF(A60="","",IF(W60&gt;0,IF(X60&gt;0,W60/X60,0),0))</f>
        <v>0</v>
      </c>
      <c r="Z60" s="10" t="n">
        <f aca="false">IF(A60="","",N60+Y60)</f>
        <v>0</v>
      </c>
      <c r="AA60" s="10" t="n">
        <f aca="false">IF(A60="","",IFERROR(Z60*INDEX(PUA_TABLE!$I$4:$I$105,MATCH(E60,PUA_TABLE!$C$4:$C$105,1))/1000,0))</f>
        <v>0</v>
      </c>
      <c r="AB60" s="10" t="n">
        <f aca="false">IF(A60="","",IFERROR(L60+AA60,0))</f>
        <v>6437.92735055094</v>
      </c>
      <c r="AC60" s="10" t="n">
        <f aca="false">IF(A60="","",IF(Inputs!$B$22="Premium Offset",MIN(Inputs!$B$25,Q60+T60),0))</f>
        <v>0</v>
      </c>
    </row>
    <row r="61" customFormat="false" ht="15" hidden="false" customHeight="false" outlineLevel="0" collapsed="false">
      <c r="A61" s="1" t="n">
        <f aca="false">IF(A60="","",IF(INT((C60+1)/12)+Inputs!$B$7&gt;MAX(MORTALITY!$A:$A),"",Inputs!$B$4))</f>
        <v>34</v>
      </c>
      <c r="B61" s="3" t="n">
        <f aca="false">IF(A61="","",EOMONTH(B60,1))</f>
        <v>23528</v>
      </c>
      <c r="C61" s="1" t="n">
        <f aca="false">IF(A61="","",C60+1)</f>
        <v>59</v>
      </c>
      <c r="D61" s="1" t="n">
        <f aca="false">IF(A61="","",INT(C61/12))</f>
        <v>4</v>
      </c>
      <c r="E61" s="1" t="n">
        <f aca="false">IF(A61="","",D61+Inputs!$B$7)</f>
        <v>20</v>
      </c>
      <c r="F61" s="3" t="n">
        <f aca="false">IF(A61="","",DATE(YEAR(B$2)+D61,MONTH(B$2),DAY(B$2)))</f>
        <v>23167</v>
      </c>
      <c r="G61" s="3" t="n">
        <f aca="false">IF(A61="","",DATE(YEAR(F61)+1,MONTH(F61),DAY(F61)))</f>
        <v>23533</v>
      </c>
      <c r="H61" s="10" t="n">
        <f aca="false">IF(A61="","",IF(G61&gt;F61,(B61-F61)/(G61-F61),0))</f>
        <v>0.986338797814208</v>
      </c>
      <c r="I61" s="10" t="n">
        <f aca="false">IF(A61="","",IFERROR(INDEX(CV_RATES!$I:$I,MATCH(D61,CV_RATES!$C:$C,0)),0))</f>
        <v>103.851055881663</v>
      </c>
      <c r="J61" s="10" t="n">
        <f aca="false">IF(A61="","",IFERROR(IF(E61=MAX(MORTALITY!$A:$A),1000,INDEX(CV_RATES!$J:$J,MATCH(D61,CV_RATES!$C:$C,0))),0))</f>
        <v>131.475727861494</v>
      </c>
      <c r="K61" s="10" t="n">
        <f aca="false">IF(A61="","",IFERROR(I61+H61*(J61-I61),0))</f>
        <v>131.098341632261</v>
      </c>
      <c r="L61" s="10" t="n">
        <f aca="false">IF(A61="","",IFERROR(K61*Inputs!$B$9,0))</f>
        <v>6554.91708161307</v>
      </c>
      <c r="M61" s="10" t="n">
        <f aca="false">IF(A61="","",IFERROR(K61*Inputs!$B$10,0))</f>
        <v>20975.3413661369</v>
      </c>
      <c r="N61" s="10" t="n">
        <f aca="false">IF(A61="","",Z60)</f>
        <v>0</v>
      </c>
      <c r="O61" s="6" t="n">
        <f aca="false">IF(A61="","",Inputs!$B$18+N61)</f>
        <v>50000</v>
      </c>
      <c r="P61" s="5" t="n">
        <f aca="false">IF(A61="","",VLOOKUP(D61,DIvidend_Assumption!$A$3:$CX$103,($E$2+2),0)/12)</f>
        <v>0</v>
      </c>
      <c r="Q61" s="10" t="n">
        <f aca="false">IF(A61="","",IFERROR(AB60*P61,""))</f>
        <v>0</v>
      </c>
      <c r="R61" s="10" t="n">
        <f aca="false">IF(A61="","",IFERROR(IF(Inputs!$B$22="Accumulate",T61+Q61,IF(Inputs!$B$22="Premium Offset",MAX(0,T61+Q61-Inputs!$B$25),T61)),""))</f>
        <v>0</v>
      </c>
      <c r="S61" s="10" t="n">
        <f aca="false">IF(A61="","",R60)</f>
        <v>0</v>
      </c>
      <c r="T61" s="10" t="n">
        <f aca="false">IF(A61="","",IFERROR(S61*(1+Inputs!$B$23/12),""))</f>
        <v>0</v>
      </c>
      <c r="U61" s="6" t="n">
        <f aca="false">IF(A61="","",IF(D61&lt;=Inputs!$B$8,IF(Inputs!$B$22="Premium Offset",MAX(0,Inputs!$B$25-(Q61+T61)),Inputs!$B$25),0))</f>
        <v>77</v>
      </c>
      <c r="V61" s="10" t="n">
        <f aca="false">IF(A61="","",IF(Inputs!$B$22="Cash",Q61,0))</f>
        <v>0</v>
      </c>
      <c r="W61" s="10" t="n">
        <f aca="false">IF(A61="","",IF(Inputs!$B$22="PUA",Q61,0))</f>
        <v>0</v>
      </c>
      <c r="X61" s="12" t="n">
        <f aca="false">IF(A61="","",IFERROR(INDEX(PUA_TABLE!$D$4:$D$105,MATCH(E61,PUA_TABLE!$C$4:$C$105,1)),0))</f>
        <v>0.338677195081456</v>
      </c>
      <c r="Y61" s="10" t="n">
        <f aca="false">IF(A61="","",IF(W61&gt;0,IF(X61&gt;0,W61/X61,0),0))</f>
        <v>0</v>
      </c>
      <c r="Z61" s="10" t="n">
        <f aca="false">IF(A61="","",N61+Y61)</f>
        <v>0</v>
      </c>
      <c r="AA61" s="10" t="n">
        <f aca="false">IF(A61="","",IFERROR(Z61*INDEX(PUA_TABLE!$I$4:$I$105,MATCH(E61,PUA_TABLE!$C$4:$C$105,1))/1000,0))</f>
        <v>0</v>
      </c>
      <c r="AB61" s="10" t="n">
        <f aca="false">IF(A61="","",IFERROR(L61+AA61,0))</f>
        <v>6554.91708161307</v>
      </c>
      <c r="AC61" s="10" t="n">
        <f aca="false">IF(A61="","",IF(Inputs!$B$22="Premium Offset",MIN(Inputs!$B$25,Q61+T61),0))</f>
        <v>0</v>
      </c>
    </row>
    <row r="62" customFormat="false" ht="15" hidden="false" customHeight="false" outlineLevel="0" collapsed="false">
      <c r="A62" s="1" t="n">
        <f aca="false">IF(A61="","",IF(INT((C61+1)/12)+Inputs!$B$7&gt;MAX(MORTALITY!$A:$A),"",Inputs!$B$4))</f>
        <v>34</v>
      </c>
      <c r="B62" s="3" t="n">
        <f aca="false">IF(A62="","",EOMONTH(B61,1))</f>
        <v>23558</v>
      </c>
      <c r="C62" s="1" t="n">
        <f aca="false">IF(A62="","",C61+1)</f>
        <v>60</v>
      </c>
      <c r="D62" s="1" t="n">
        <f aca="false">IF(A62="","",INT(C62/12))</f>
        <v>5</v>
      </c>
      <c r="E62" s="1" t="n">
        <f aca="false">IF(A62="","",D62+Inputs!$B$7)</f>
        <v>21</v>
      </c>
      <c r="F62" s="3" t="n">
        <f aca="false">IF(A62="","",DATE(YEAR(B$2)+D62,MONTH(B$2),DAY(B$2)))</f>
        <v>23533</v>
      </c>
      <c r="G62" s="3" t="n">
        <f aca="false">IF(A62="","",DATE(YEAR(F62)+1,MONTH(F62),DAY(F62)))</f>
        <v>23898</v>
      </c>
      <c r="H62" s="10" t="n">
        <f aca="false">IF(A62="","",IF(G62&gt;F62,(B62-F62)/(G62-F62),0))</f>
        <v>0.0684931506849315</v>
      </c>
      <c r="I62" s="10" t="n">
        <f aca="false">IF(A62="","",IFERROR(INDEX(CV_RATES!$I:$I,MATCH(D62,CV_RATES!$C:$C,0)),0))</f>
        <v>131.475727861494</v>
      </c>
      <c r="J62" s="10" t="n">
        <f aca="false">IF(A62="","",IFERROR(IF(E62=MAX(MORTALITY!$A:$A),1000,INDEX(CV_RATES!$J:$J,MATCH(D62,CV_RATES!$C:$C,0))),0))</f>
        <v>159.792610073402</v>
      </c>
      <c r="K62" s="10" t="n">
        <f aca="false">IF(A62="","",IFERROR(I62+H62*(J62-I62),0))</f>
        <v>133.415240341762</v>
      </c>
      <c r="L62" s="10" t="n">
        <f aca="false">IF(A62="","",IFERROR(K62*Inputs!$B$9,0))</f>
        <v>6670.76201708809</v>
      </c>
      <c r="M62" s="10" t="n">
        <f aca="false">IF(A62="","",IFERROR(K62*Inputs!$B$10,0))</f>
        <v>21346.0382089608</v>
      </c>
      <c r="N62" s="10" t="n">
        <f aca="false">IF(A62="","",Z61)</f>
        <v>0</v>
      </c>
      <c r="O62" s="6" t="n">
        <f aca="false">IF(A62="","",Inputs!$B$18+N62)</f>
        <v>50000</v>
      </c>
      <c r="P62" s="5" t="n">
        <f aca="false">IF(A62="","",VLOOKUP(D62,DIvidend_Assumption!$A$3:$CX$103,($E$2+2),0)/12)</f>
        <v>0</v>
      </c>
      <c r="Q62" s="10" t="n">
        <f aca="false">IF(A62="","",IFERROR(AB61*P62,""))</f>
        <v>0</v>
      </c>
      <c r="R62" s="10" t="n">
        <f aca="false">IF(A62="","",IFERROR(IF(Inputs!$B$22="Accumulate",T62+Q62,IF(Inputs!$B$22="Premium Offset",MAX(0,T62+Q62-Inputs!$B$25),T62)),""))</f>
        <v>0</v>
      </c>
      <c r="S62" s="10" t="n">
        <f aca="false">IF(A62="","",R61)</f>
        <v>0</v>
      </c>
      <c r="T62" s="10" t="n">
        <f aca="false">IF(A62="","",IFERROR(S62*(1+Inputs!$B$23/12),""))</f>
        <v>0</v>
      </c>
      <c r="U62" s="6" t="n">
        <f aca="false">IF(A62="","",IF(D62&lt;=Inputs!$B$8,IF(Inputs!$B$22="Premium Offset",MAX(0,Inputs!$B$25-(Q62+T62)),Inputs!$B$25),0))</f>
        <v>77</v>
      </c>
      <c r="V62" s="10" t="n">
        <f aca="false">IF(A62="","",IF(Inputs!$B$22="Cash",Q62,0))</f>
        <v>0</v>
      </c>
      <c r="W62" s="10" t="n">
        <f aca="false">IF(A62="","",IF(Inputs!$B$22="PUA",Q62,0))</f>
        <v>0</v>
      </c>
      <c r="X62" s="12" t="n">
        <f aca="false">IF(A62="","",IFERROR(INDEX(PUA_TABLE!$D$4:$D$105,MATCH(E62,PUA_TABLE!$C$4:$C$105,1)),0))</f>
        <v>0.345553820742898</v>
      </c>
      <c r="Y62" s="10" t="n">
        <f aca="false">IF(A62="","",IF(W62&gt;0,IF(X62&gt;0,W62/X62,0),0))</f>
        <v>0</v>
      </c>
      <c r="Z62" s="10" t="n">
        <f aca="false">IF(A62="","",N62+Y62)</f>
        <v>0</v>
      </c>
      <c r="AA62" s="10" t="n">
        <f aca="false">IF(A62="","",IFERROR(Z62*INDEX(PUA_TABLE!$I$4:$I$105,MATCH(E62,PUA_TABLE!$C$4:$C$105,1))/1000,0))</f>
        <v>0</v>
      </c>
      <c r="AB62" s="10" t="n">
        <f aca="false">IF(A62="","",IFERROR(L62+AA62,0))</f>
        <v>6670.76201708809</v>
      </c>
      <c r="AC62" s="10" t="n">
        <f aca="false">IF(A62="","",IF(Inputs!$B$22="Premium Offset",MIN(Inputs!$B$25,Q62+T62),0))</f>
        <v>0</v>
      </c>
    </row>
    <row r="63" customFormat="false" ht="15" hidden="false" customHeight="false" outlineLevel="0" collapsed="false">
      <c r="A63" s="1" t="n">
        <f aca="false">IF(A62="","",IF(INT((C62+1)/12)+Inputs!$B$7&gt;MAX(MORTALITY!$A:$A),"",Inputs!$B$4))</f>
        <v>34</v>
      </c>
      <c r="B63" s="3" t="n">
        <f aca="false">IF(A63="","",EOMONTH(B62,1))</f>
        <v>23589</v>
      </c>
      <c r="C63" s="1" t="n">
        <f aca="false">IF(A63="","",C62+1)</f>
        <v>61</v>
      </c>
      <c r="D63" s="1" t="n">
        <f aca="false">IF(A63="","",INT(C63/12))</f>
        <v>5</v>
      </c>
      <c r="E63" s="1" t="n">
        <f aca="false">IF(A63="","",D63+Inputs!$B$7)</f>
        <v>21</v>
      </c>
      <c r="F63" s="3" t="n">
        <f aca="false">IF(A63="","",DATE(YEAR(B$2)+D63,MONTH(B$2),DAY(B$2)))</f>
        <v>23533</v>
      </c>
      <c r="G63" s="3" t="n">
        <f aca="false">IF(A63="","",DATE(YEAR(F63)+1,MONTH(F63),DAY(F63)))</f>
        <v>23898</v>
      </c>
      <c r="H63" s="10" t="n">
        <f aca="false">IF(A63="","",IF(G63&gt;F63,(B63-F63)/(G63-F63),0))</f>
        <v>0.153424657534247</v>
      </c>
      <c r="I63" s="10" t="n">
        <f aca="false">IF(A63="","",IFERROR(INDEX(CV_RATES!$I:$I,MATCH(D63,CV_RATES!$C:$C,0)),0))</f>
        <v>131.475727861494</v>
      </c>
      <c r="J63" s="10" t="n">
        <f aca="false">IF(A63="","",IFERROR(IF(E63=MAX(MORTALITY!$A:$A),1000,INDEX(CV_RATES!$J:$J,MATCH(D63,CV_RATES!$C:$C,0))),0))</f>
        <v>159.792610073402</v>
      </c>
      <c r="K63" s="10" t="n">
        <f aca="false">IF(A63="","",IFERROR(I63+H63*(J63-I63),0))</f>
        <v>135.820235817294</v>
      </c>
      <c r="L63" s="10" t="n">
        <f aca="false">IF(A63="","",IFERROR(K63*Inputs!$B$9,0))</f>
        <v>6791.01179086468</v>
      </c>
      <c r="M63" s="10" t="n">
        <f aca="false">IF(A63="","",IFERROR(K63*Inputs!$B$10,0))</f>
        <v>21730.8302700595</v>
      </c>
      <c r="N63" s="10" t="n">
        <f aca="false">IF(A63="","",Z62)</f>
        <v>0</v>
      </c>
      <c r="O63" s="6" t="n">
        <f aca="false">IF(A63="","",Inputs!$B$18+N63)</f>
        <v>50000</v>
      </c>
      <c r="P63" s="5" t="n">
        <f aca="false">IF(A63="","",VLOOKUP(D63,DIvidend_Assumption!$A$3:$CX$103,($E$2+2),0)/12)</f>
        <v>0</v>
      </c>
      <c r="Q63" s="10" t="n">
        <f aca="false">IF(A63="","",IFERROR(AB62*P63,""))</f>
        <v>0</v>
      </c>
      <c r="R63" s="10" t="n">
        <f aca="false">IF(A63="","",IFERROR(IF(Inputs!$B$22="Accumulate",T63+Q63,IF(Inputs!$B$22="Premium Offset",MAX(0,T63+Q63-Inputs!$B$25),T63)),""))</f>
        <v>0</v>
      </c>
      <c r="S63" s="10" t="n">
        <f aca="false">IF(A63="","",R62)</f>
        <v>0</v>
      </c>
      <c r="T63" s="10" t="n">
        <f aca="false">IF(A63="","",IFERROR(S63*(1+Inputs!$B$23/12),""))</f>
        <v>0</v>
      </c>
      <c r="U63" s="6" t="n">
        <f aca="false">IF(A63="","",IF(D63&lt;=Inputs!$B$8,IF(Inputs!$B$22="Premium Offset",MAX(0,Inputs!$B$25-(Q63+T63)),Inputs!$B$25),0))</f>
        <v>77</v>
      </c>
      <c r="V63" s="10" t="n">
        <f aca="false">IF(A63="","",IF(Inputs!$B$22="Cash",Q63,0))</f>
        <v>0</v>
      </c>
      <c r="W63" s="10" t="n">
        <f aca="false">IF(A63="","",IF(Inputs!$B$22="PUA",Q63,0))</f>
        <v>0</v>
      </c>
      <c r="X63" s="12" t="n">
        <f aca="false">IF(A63="","",IFERROR(INDEX(PUA_TABLE!$D$4:$D$105,MATCH(E63,PUA_TABLE!$C$4:$C$105,1)),0))</f>
        <v>0.345553820742898</v>
      </c>
      <c r="Y63" s="10" t="n">
        <f aca="false">IF(A63="","",IF(W63&gt;0,IF(X63&gt;0,W63/X63,0),0))</f>
        <v>0</v>
      </c>
      <c r="Z63" s="10" t="n">
        <f aca="false">IF(A63="","",N63+Y63)</f>
        <v>0</v>
      </c>
      <c r="AA63" s="10" t="n">
        <f aca="false">IF(A63="","",IFERROR(Z63*INDEX(PUA_TABLE!$I$4:$I$105,MATCH(E63,PUA_TABLE!$C$4:$C$105,1))/1000,0))</f>
        <v>0</v>
      </c>
      <c r="AB63" s="10" t="n">
        <f aca="false">IF(A63="","",IFERROR(L63+AA63,0))</f>
        <v>6791.01179086468</v>
      </c>
      <c r="AC63" s="10" t="n">
        <f aca="false">IF(A63="","",IF(Inputs!$B$22="Premium Offset",MIN(Inputs!$B$25,Q63+T63),0))</f>
        <v>0</v>
      </c>
    </row>
    <row r="64" customFormat="false" ht="15" hidden="false" customHeight="false" outlineLevel="0" collapsed="false">
      <c r="A64" s="1" t="n">
        <f aca="false">IF(A63="","",IF(INT((C63+1)/12)+Inputs!$B$7&gt;MAX(MORTALITY!$A:$A),"",Inputs!$B$4))</f>
        <v>34</v>
      </c>
      <c r="B64" s="3" t="n">
        <f aca="false">IF(A64="","",EOMONTH(B63,1))</f>
        <v>23620</v>
      </c>
      <c r="C64" s="1" t="n">
        <f aca="false">IF(A64="","",C63+1)</f>
        <v>62</v>
      </c>
      <c r="D64" s="1" t="n">
        <f aca="false">IF(A64="","",INT(C64/12))</f>
        <v>5</v>
      </c>
      <c r="E64" s="1" t="n">
        <f aca="false">IF(A64="","",D64+Inputs!$B$7)</f>
        <v>21</v>
      </c>
      <c r="F64" s="3" t="n">
        <f aca="false">IF(A64="","",DATE(YEAR(B$2)+D64,MONTH(B$2),DAY(B$2)))</f>
        <v>23533</v>
      </c>
      <c r="G64" s="3" t="n">
        <f aca="false">IF(A64="","",DATE(YEAR(F64)+1,MONTH(F64),DAY(F64)))</f>
        <v>23898</v>
      </c>
      <c r="H64" s="10" t="n">
        <f aca="false">IF(A64="","",IF(G64&gt;F64,(B64-F64)/(G64-F64),0))</f>
        <v>0.238356164383562</v>
      </c>
      <c r="I64" s="10" t="n">
        <f aca="false">IF(A64="","",IFERROR(INDEX(CV_RATES!$I:$I,MATCH(D64,CV_RATES!$C:$C,0)),0))</f>
        <v>131.475727861494</v>
      </c>
      <c r="J64" s="10" t="n">
        <f aca="false">IF(A64="","",IFERROR(IF(E64=MAX(MORTALITY!$A:$A),1000,INDEX(CV_RATES!$J:$J,MATCH(D64,CV_RATES!$C:$C,0))),0))</f>
        <v>159.792610073402</v>
      </c>
      <c r="K64" s="10" t="n">
        <f aca="false">IF(A64="","",IFERROR(I64+H64*(J64-I64),0))</f>
        <v>138.225231292825</v>
      </c>
      <c r="L64" s="10" t="n">
        <f aca="false">IF(A64="","",IFERROR(K64*Inputs!$B$9,0))</f>
        <v>6911.26156464127</v>
      </c>
      <c r="M64" s="10" t="n">
        <f aca="false">IF(A64="","",IFERROR(K64*Inputs!$B$10,0))</f>
        <v>22115.6223311582</v>
      </c>
      <c r="N64" s="10" t="n">
        <f aca="false">IF(A64="","",Z63)</f>
        <v>0</v>
      </c>
      <c r="O64" s="6" t="n">
        <f aca="false">IF(A64="","",Inputs!$B$18+N64)</f>
        <v>50000</v>
      </c>
      <c r="P64" s="5" t="n">
        <f aca="false">IF(A64="","",VLOOKUP(D64,DIvidend_Assumption!$A$3:$CX$103,($E$2+2),0)/12)</f>
        <v>0</v>
      </c>
      <c r="Q64" s="10" t="n">
        <f aca="false">IF(A64="","",IFERROR(AB63*P64,""))</f>
        <v>0</v>
      </c>
      <c r="R64" s="10" t="n">
        <f aca="false">IF(A64="","",IFERROR(IF(Inputs!$B$22="Accumulate",T64+Q64,IF(Inputs!$B$22="Premium Offset",MAX(0,T64+Q64-Inputs!$B$25),T64)),""))</f>
        <v>0</v>
      </c>
      <c r="S64" s="10" t="n">
        <f aca="false">IF(A64="","",R63)</f>
        <v>0</v>
      </c>
      <c r="T64" s="10" t="n">
        <f aca="false">IF(A64="","",IFERROR(S64*(1+Inputs!$B$23/12),""))</f>
        <v>0</v>
      </c>
      <c r="U64" s="6" t="n">
        <f aca="false">IF(A64="","",IF(D64&lt;=Inputs!$B$8,IF(Inputs!$B$22="Premium Offset",MAX(0,Inputs!$B$25-(Q64+T64)),Inputs!$B$25),0))</f>
        <v>77</v>
      </c>
      <c r="V64" s="10" t="n">
        <f aca="false">IF(A64="","",IF(Inputs!$B$22="Cash",Q64,0))</f>
        <v>0</v>
      </c>
      <c r="W64" s="10" t="n">
        <f aca="false">IF(A64="","",IF(Inputs!$B$22="PUA",Q64,0))</f>
        <v>0</v>
      </c>
      <c r="X64" s="12" t="n">
        <f aca="false">IF(A64="","",IFERROR(INDEX(PUA_TABLE!$D$4:$D$105,MATCH(E64,PUA_TABLE!$C$4:$C$105,1)),0))</f>
        <v>0.345553820742898</v>
      </c>
      <c r="Y64" s="10" t="n">
        <f aca="false">IF(A64="","",IF(W64&gt;0,IF(X64&gt;0,W64/X64,0),0))</f>
        <v>0</v>
      </c>
      <c r="Z64" s="10" t="n">
        <f aca="false">IF(A64="","",N64+Y64)</f>
        <v>0</v>
      </c>
      <c r="AA64" s="10" t="n">
        <f aca="false">IF(A64="","",IFERROR(Z64*INDEX(PUA_TABLE!$I$4:$I$105,MATCH(E64,PUA_TABLE!$C$4:$C$105,1))/1000,0))</f>
        <v>0</v>
      </c>
      <c r="AB64" s="10" t="n">
        <f aca="false">IF(A64="","",IFERROR(L64+AA64,0))</f>
        <v>6911.26156464127</v>
      </c>
      <c r="AC64" s="10" t="n">
        <f aca="false">IF(A64="","",IF(Inputs!$B$22="Premium Offset",MIN(Inputs!$B$25,Q64+T64),0))</f>
        <v>0</v>
      </c>
    </row>
    <row r="65" customFormat="false" ht="15" hidden="false" customHeight="false" outlineLevel="0" collapsed="false">
      <c r="A65" s="1" t="n">
        <f aca="false">IF(A64="","",IF(INT((C64+1)/12)+Inputs!$B$7&gt;MAX(MORTALITY!$A:$A),"",Inputs!$B$4))</f>
        <v>34</v>
      </c>
      <c r="B65" s="3" t="n">
        <f aca="false">IF(A65="","",EOMONTH(B64,1))</f>
        <v>23650</v>
      </c>
      <c r="C65" s="1" t="n">
        <f aca="false">IF(A65="","",C64+1)</f>
        <v>63</v>
      </c>
      <c r="D65" s="1" t="n">
        <f aca="false">IF(A65="","",INT(C65/12))</f>
        <v>5</v>
      </c>
      <c r="E65" s="1" t="n">
        <f aca="false">IF(A65="","",D65+Inputs!$B$7)</f>
        <v>21</v>
      </c>
      <c r="F65" s="3" t="n">
        <f aca="false">IF(A65="","",DATE(YEAR(B$2)+D65,MONTH(B$2),DAY(B$2)))</f>
        <v>23533</v>
      </c>
      <c r="G65" s="3" t="n">
        <f aca="false">IF(A65="","",DATE(YEAR(F65)+1,MONTH(F65),DAY(F65)))</f>
        <v>23898</v>
      </c>
      <c r="H65" s="10" t="n">
        <f aca="false">IF(A65="","",IF(G65&gt;F65,(B65-F65)/(G65-F65),0))</f>
        <v>0.320547945205479</v>
      </c>
      <c r="I65" s="10" t="n">
        <f aca="false">IF(A65="","",IFERROR(INDEX(CV_RATES!$I:$I,MATCH(D65,CV_RATES!$C:$C,0)),0))</f>
        <v>131.475727861494</v>
      </c>
      <c r="J65" s="10" t="n">
        <f aca="false">IF(A65="","",IFERROR(IF(E65=MAX(MORTALITY!$A:$A),1000,INDEX(CV_RATES!$J:$J,MATCH(D65,CV_RATES!$C:$C,0))),0))</f>
        <v>159.792610073402</v>
      </c>
      <c r="K65" s="10" t="n">
        <f aca="false">IF(A65="","",IFERROR(I65+H65*(J65-I65),0))</f>
        <v>140.552646269147</v>
      </c>
      <c r="L65" s="10" t="n">
        <f aca="false">IF(A65="","",IFERROR(K65*Inputs!$B$9,0))</f>
        <v>7027.63231345733</v>
      </c>
      <c r="M65" s="10" t="n">
        <f aca="false">IF(A65="","",IFERROR(K65*Inputs!$B$10,0))</f>
        <v>22488.0017451247</v>
      </c>
      <c r="N65" s="10" t="n">
        <f aca="false">IF(A65="","",Z64)</f>
        <v>0</v>
      </c>
      <c r="O65" s="6" t="n">
        <f aca="false">IF(A65="","",Inputs!$B$18+N65)</f>
        <v>50000</v>
      </c>
      <c r="P65" s="5" t="n">
        <f aca="false">IF(A65="","",VLOOKUP(D65,DIvidend_Assumption!$A$3:$CX$103,($E$2+2),0)/12)</f>
        <v>0</v>
      </c>
      <c r="Q65" s="10" t="n">
        <f aca="false">IF(A65="","",IFERROR(AB64*P65,""))</f>
        <v>0</v>
      </c>
      <c r="R65" s="10" t="n">
        <f aca="false">IF(A65="","",IFERROR(IF(Inputs!$B$22="Accumulate",T65+Q65,IF(Inputs!$B$22="Premium Offset",MAX(0,T65+Q65-Inputs!$B$25),T65)),""))</f>
        <v>0</v>
      </c>
      <c r="S65" s="10" t="n">
        <f aca="false">IF(A65="","",R64)</f>
        <v>0</v>
      </c>
      <c r="T65" s="10" t="n">
        <f aca="false">IF(A65="","",IFERROR(S65*(1+Inputs!$B$23/12),""))</f>
        <v>0</v>
      </c>
      <c r="U65" s="6" t="n">
        <f aca="false">IF(A65="","",IF(D65&lt;=Inputs!$B$8,IF(Inputs!$B$22="Premium Offset",MAX(0,Inputs!$B$25-(Q65+T65)),Inputs!$B$25),0))</f>
        <v>77</v>
      </c>
      <c r="V65" s="10" t="n">
        <f aca="false">IF(A65="","",IF(Inputs!$B$22="Cash",Q65,0))</f>
        <v>0</v>
      </c>
      <c r="W65" s="10" t="n">
        <f aca="false">IF(A65="","",IF(Inputs!$B$22="PUA",Q65,0))</f>
        <v>0</v>
      </c>
      <c r="X65" s="12" t="n">
        <f aca="false">IF(A65="","",IFERROR(INDEX(PUA_TABLE!$D$4:$D$105,MATCH(E65,PUA_TABLE!$C$4:$C$105,1)),0))</f>
        <v>0.345553820742898</v>
      </c>
      <c r="Y65" s="10" t="n">
        <f aca="false">IF(A65="","",IF(W65&gt;0,IF(X65&gt;0,W65/X65,0),0))</f>
        <v>0</v>
      </c>
      <c r="Z65" s="10" t="n">
        <f aca="false">IF(A65="","",N65+Y65)</f>
        <v>0</v>
      </c>
      <c r="AA65" s="10" t="n">
        <f aca="false">IF(A65="","",IFERROR(Z65*INDEX(PUA_TABLE!$I$4:$I$105,MATCH(E65,PUA_TABLE!$C$4:$C$105,1))/1000,0))</f>
        <v>0</v>
      </c>
      <c r="AB65" s="10" t="n">
        <f aca="false">IF(A65="","",IFERROR(L65+AA65,0))</f>
        <v>7027.63231345733</v>
      </c>
      <c r="AC65" s="10" t="n">
        <f aca="false">IF(A65="","",IF(Inputs!$B$22="Premium Offset",MIN(Inputs!$B$25,Q65+T65),0))</f>
        <v>0</v>
      </c>
    </row>
    <row r="66" customFormat="false" ht="15" hidden="false" customHeight="false" outlineLevel="0" collapsed="false">
      <c r="A66" s="1" t="n">
        <f aca="false">IF(A65="","",IF(INT((C65+1)/12)+Inputs!$B$7&gt;MAX(MORTALITY!$A:$A),"",Inputs!$B$4))</f>
        <v>34</v>
      </c>
      <c r="B66" s="3" t="n">
        <f aca="false">IF(A66="","",EOMONTH(B65,1))</f>
        <v>23681</v>
      </c>
      <c r="C66" s="1" t="n">
        <f aca="false">IF(A66="","",C65+1)</f>
        <v>64</v>
      </c>
      <c r="D66" s="1" t="n">
        <f aca="false">IF(A66="","",INT(C66/12))</f>
        <v>5</v>
      </c>
      <c r="E66" s="1" t="n">
        <f aca="false">IF(A66="","",D66+Inputs!$B$7)</f>
        <v>21</v>
      </c>
      <c r="F66" s="3" t="n">
        <f aca="false">IF(A66="","",DATE(YEAR(B$2)+D66,MONTH(B$2),DAY(B$2)))</f>
        <v>23533</v>
      </c>
      <c r="G66" s="3" t="n">
        <f aca="false">IF(A66="","",DATE(YEAR(F66)+1,MONTH(F66),DAY(F66)))</f>
        <v>23898</v>
      </c>
      <c r="H66" s="10" t="n">
        <f aca="false">IF(A66="","",IF(G66&gt;F66,(B66-F66)/(G66-F66),0))</f>
        <v>0.405479452054795</v>
      </c>
      <c r="I66" s="10" t="n">
        <f aca="false">IF(A66="","",IFERROR(INDEX(CV_RATES!$I:$I,MATCH(D66,CV_RATES!$C:$C,0)),0))</f>
        <v>131.475727861494</v>
      </c>
      <c r="J66" s="10" t="n">
        <f aca="false">IF(A66="","",IFERROR(IF(E66=MAX(MORTALITY!$A:$A),1000,INDEX(CV_RATES!$J:$J,MATCH(D66,CV_RATES!$C:$C,0))),0))</f>
        <v>159.792610073402</v>
      </c>
      <c r="K66" s="10" t="n">
        <f aca="false">IF(A66="","",IFERROR(I66+H66*(J66-I66),0))</f>
        <v>142.957641744679</v>
      </c>
      <c r="L66" s="10" t="n">
        <f aca="false">IF(A66="","",IFERROR(K66*Inputs!$B$9,0))</f>
        <v>7147.88208723393</v>
      </c>
      <c r="M66" s="10" t="n">
        <f aca="false">IF(A66="","",IFERROR(K66*Inputs!$B$10,0))</f>
        <v>22872.7938062233</v>
      </c>
      <c r="N66" s="10" t="n">
        <f aca="false">IF(A66="","",Z65)</f>
        <v>0</v>
      </c>
      <c r="O66" s="6" t="n">
        <f aca="false">IF(A66="","",Inputs!$B$18+N66)</f>
        <v>50000</v>
      </c>
      <c r="P66" s="5" t="n">
        <f aca="false">IF(A66="","",VLOOKUP(D66,DIvidend_Assumption!$A$3:$CX$103,($E$2+2),0)/12)</f>
        <v>0</v>
      </c>
      <c r="Q66" s="10" t="n">
        <f aca="false">IF(A66="","",IFERROR(AB65*P66,""))</f>
        <v>0</v>
      </c>
      <c r="R66" s="10" t="n">
        <f aca="false">IF(A66="","",IFERROR(IF(Inputs!$B$22="Accumulate",T66+Q66,IF(Inputs!$B$22="Premium Offset",MAX(0,T66+Q66-Inputs!$B$25),T66)),""))</f>
        <v>0</v>
      </c>
      <c r="S66" s="10" t="n">
        <f aca="false">IF(A66="","",R65)</f>
        <v>0</v>
      </c>
      <c r="T66" s="10" t="n">
        <f aca="false">IF(A66="","",IFERROR(S66*(1+Inputs!$B$23/12),""))</f>
        <v>0</v>
      </c>
      <c r="U66" s="6" t="n">
        <f aca="false">IF(A66="","",IF(D66&lt;=Inputs!$B$8,IF(Inputs!$B$22="Premium Offset",MAX(0,Inputs!$B$25-(Q66+T66)),Inputs!$B$25),0))</f>
        <v>77</v>
      </c>
      <c r="V66" s="10" t="n">
        <f aca="false">IF(A66="","",IF(Inputs!$B$22="Cash",Q66,0))</f>
        <v>0</v>
      </c>
      <c r="W66" s="10" t="n">
        <f aca="false">IF(A66="","",IF(Inputs!$B$22="PUA",Q66,0))</f>
        <v>0</v>
      </c>
      <c r="X66" s="12" t="n">
        <f aca="false">IF(A66="","",IFERROR(INDEX(PUA_TABLE!$D$4:$D$105,MATCH(E66,PUA_TABLE!$C$4:$C$105,1)),0))</f>
        <v>0.345553820742898</v>
      </c>
      <c r="Y66" s="10" t="n">
        <f aca="false">IF(A66="","",IF(W66&gt;0,IF(X66&gt;0,W66/X66,0),0))</f>
        <v>0</v>
      </c>
      <c r="Z66" s="10" t="n">
        <f aca="false">IF(A66="","",N66+Y66)</f>
        <v>0</v>
      </c>
      <c r="AA66" s="10" t="n">
        <f aca="false">IF(A66="","",IFERROR(Z66*INDEX(PUA_TABLE!$I$4:$I$105,MATCH(E66,PUA_TABLE!$C$4:$C$105,1))/1000,0))</f>
        <v>0</v>
      </c>
      <c r="AB66" s="10" t="n">
        <f aca="false">IF(A66="","",IFERROR(L66+AA66,0))</f>
        <v>7147.88208723393</v>
      </c>
      <c r="AC66" s="10" t="n">
        <f aca="false">IF(A66="","",IF(Inputs!$B$22="Premium Offset",MIN(Inputs!$B$25,Q66+T66),0))</f>
        <v>0</v>
      </c>
    </row>
    <row r="67" customFormat="false" ht="15" hidden="false" customHeight="false" outlineLevel="0" collapsed="false">
      <c r="A67" s="1" t="n">
        <f aca="false">IF(A66="","",IF(INT((C66+1)/12)+Inputs!$B$7&gt;MAX(MORTALITY!$A:$A),"",Inputs!$B$4))</f>
        <v>34</v>
      </c>
      <c r="B67" s="3" t="n">
        <f aca="false">IF(A67="","",EOMONTH(B66,1))</f>
        <v>23711</v>
      </c>
      <c r="C67" s="1" t="n">
        <f aca="false">IF(A67="","",C66+1)</f>
        <v>65</v>
      </c>
      <c r="D67" s="1" t="n">
        <f aca="false">IF(A67="","",INT(C67/12))</f>
        <v>5</v>
      </c>
      <c r="E67" s="1" t="n">
        <f aca="false">IF(A67="","",D67+Inputs!$B$7)</f>
        <v>21</v>
      </c>
      <c r="F67" s="3" t="n">
        <f aca="false">IF(A67="","",DATE(YEAR(B$2)+D67,MONTH(B$2),DAY(B$2)))</f>
        <v>23533</v>
      </c>
      <c r="G67" s="3" t="n">
        <f aca="false">IF(A67="","",DATE(YEAR(F67)+1,MONTH(F67),DAY(F67)))</f>
        <v>23898</v>
      </c>
      <c r="H67" s="10" t="n">
        <f aca="false">IF(A67="","",IF(G67&gt;F67,(B67-F67)/(G67-F67),0))</f>
        <v>0.487671232876712</v>
      </c>
      <c r="I67" s="10" t="n">
        <f aca="false">IF(A67="","",IFERROR(INDEX(CV_RATES!$I:$I,MATCH(D67,CV_RATES!$C:$C,0)),0))</f>
        <v>131.475727861494</v>
      </c>
      <c r="J67" s="10" t="n">
        <f aca="false">IF(A67="","",IFERROR(IF(E67=MAX(MORTALITY!$A:$A),1000,INDEX(CV_RATES!$J:$J,MATCH(D67,CV_RATES!$C:$C,0))),0))</f>
        <v>159.792610073402</v>
      </c>
      <c r="K67" s="10" t="n">
        <f aca="false">IF(A67="","",IFERROR(I67+H67*(J67-I67),0))</f>
        <v>145.285056721</v>
      </c>
      <c r="L67" s="10" t="n">
        <f aca="false">IF(A67="","",IFERROR(K67*Inputs!$B$9,0))</f>
        <v>7264.25283604999</v>
      </c>
      <c r="M67" s="10" t="n">
        <f aca="false">IF(A67="","",IFERROR(K67*Inputs!$B$10,0))</f>
        <v>23245.1732201898</v>
      </c>
      <c r="N67" s="10" t="n">
        <f aca="false">IF(A67="","",Z66)</f>
        <v>0</v>
      </c>
      <c r="O67" s="6" t="n">
        <f aca="false">IF(A67="","",Inputs!$B$18+N67)</f>
        <v>50000</v>
      </c>
      <c r="P67" s="5" t="n">
        <f aca="false">IF(A67="","",VLOOKUP(D67,DIvidend_Assumption!$A$3:$CX$103,($E$2+2),0)/12)</f>
        <v>0</v>
      </c>
      <c r="Q67" s="10" t="n">
        <f aca="false">IF(A67="","",IFERROR(AB66*P67,""))</f>
        <v>0</v>
      </c>
      <c r="R67" s="10" t="n">
        <f aca="false">IF(A67="","",IFERROR(IF(Inputs!$B$22="Accumulate",T67+Q67,IF(Inputs!$B$22="Premium Offset",MAX(0,T67+Q67-Inputs!$B$25),T67)),""))</f>
        <v>0</v>
      </c>
      <c r="S67" s="10" t="n">
        <f aca="false">IF(A67="","",R66)</f>
        <v>0</v>
      </c>
      <c r="T67" s="10" t="n">
        <f aca="false">IF(A67="","",IFERROR(S67*(1+Inputs!$B$23/12),""))</f>
        <v>0</v>
      </c>
      <c r="U67" s="6" t="n">
        <f aca="false">IF(A67="","",IF(D67&lt;=Inputs!$B$8,IF(Inputs!$B$22="Premium Offset",MAX(0,Inputs!$B$25-(Q67+T67)),Inputs!$B$25),0))</f>
        <v>77</v>
      </c>
      <c r="V67" s="10" t="n">
        <f aca="false">IF(A67="","",IF(Inputs!$B$22="Cash",Q67,0))</f>
        <v>0</v>
      </c>
      <c r="W67" s="10" t="n">
        <f aca="false">IF(A67="","",IF(Inputs!$B$22="PUA",Q67,0))</f>
        <v>0</v>
      </c>
      <c r="X67" s="12" t="n">
        <f aca="false">IF(A67="","",IFERROR(INDEX(PUA_TABLE!$D$4:$D$105,MATCH(E67,PUA_TABLE!$C$4:$C$105,1)),0))</f>
        <v>0.345553820742898</v>
      </c>
      <c r="Y67" s="10" t="n">
        <f aca="false">IF(A67="","",IF(W67&gt;0,IF(X67&gt;0,W67/X67,0),0))</f>
        <v>0</v>
      </c>
      <c r="Z67" s="10" t="n">
        <f aca="false">IF(A67="","",N67+Y67)</f>
        <v>0</v>
      </c>
      <c r="AA67" s="10" t="n">
        <f aca="false">IF(A67="","",IFERROR(Z67*INDEX(PUA_TABLE!$I$4:$I$105,MATCH(E67,PUA_TABLE!$C$4:$C$105,1))/1000,0))</f>
        <v>0</v>
      </c>
      <c r="AB67" s="10" t="n">
        <f aca="false">IF(A67="","",IFERROR(L67+AA67,0))</f>
        <v>7264.25283604999</v>
      </c>
      <c r="AC67" s="10" t="n">
        <f aca="false">IF(A67="","",IF(Inputs!$B$22="Premium Offset",MIN(Inputs!$B$25,Q67+T67),0))</f>
        <v>0</v>
      </c>
    </row>
    <row r="68" customFormat="false" ht="15" hidden="false" customHeight="false" outlineLevel="0" collapsed="false">
      <c r="A68" s="1" t="n">
        <f aca="false">IF(A67="","",IF(INT((C67+1)/12)+Inputs!$B$7&gt;MAX(MORTALITY!$A:$A),"",Inputs!$B$4))</f>
        <v>34</v>
      </c>
      <c r="B68" s="3" t="n">
        <f aca="false">IF(A68="","",EOMONTH(B67,1))</f>
        <v>23742</v>
      </c>
      <c r="C68" s="1" t="n">
        <f aca="false">IF(A68="","",C67+1)</f>
        <v>66</v>
      </c>
      <c r="D68" s="1" t="n">
        <f aca="false">IF(A68="","",INT(C68/12))</f>
        <v>5</v>
      </c>
      <c r="E68" s="1" t="n">
        <f aca="false">IF(A68="","",D68+Inputs!$B$7)</f>
        <v>21</v>
      </c>
      <c r="F68" s="3" t="n">
        <f aca="false">IF(A68="","",DATE(YEAR(B$2)+D68,MONTH(B$2),DAY(B$2)))</f>
        <v>23533</v>
      </c>
      <c r="G68" s="3" t="n">
        <f aca="false">IF(A68="","",DATE(YEAR(F68)+1,MONTH(F68),DAY(F68)))</f>
        <v>23898</v>
      </c>
      <c r="H68" s="10" t="n">
        <f aca="false">IF(A68="","",IF(G68&gt;F68,(B68-F68)/(G68-F68),0))</f>
        <v>0.572602739726027</v>
      </c>
      <c r="I68" s="10" t="n">
        <f aca="false">IF(A68="","",IFERROR(INDEX(CV_RATES!$I:$I,MATCH(D68,CV_RATES!$C:$C,0)),0))</f>
        <v>131.475727861494</v>
      </c>
      <c r="J68" s="10" t="n">
        <f aca="false">IF(A68="","",IFERROR(IF(E68=MAX(MORTALITY!$A:$A),1000,INDEX(CV_RATES!$J:$J,MATCH(D68,CV_RATES!$C:$C,0))),0))</f>
        <v>159.792610073402</v>
      </c>
      <c r="K68" s="10" t="n">
        <f aca="false">IF(A68="","",IFERROR(I68+H68*(J68-I68),0))</f>
        <v>147.690052196532</v>
      </c>
      <c r="L68" s="10" t="n">
        <f aca="false">IF(A68="","",IFERROR(K68*Inputs!$B$9,0))</f>
        <v>7384.50260982658</v>
      </c>
      <c r="M68" s="10" t="n">
        <f aca="false">IF(A68="","",IFERROR(K68*Inputs!$B$10,0))</f>
        <v>23629.9652812885</v>
      </c>
      <c r="N68" s="10" t="n">
        <f aca="false">IF(A68="","",Z67)</f>
        <v>0</v>
      </c>
      <c r="O68" s="6" t="n">
        <f aca="false">IF(A68="","",Inputs!$B$18+N68)</f>
        <v>50000</v>
      </c>
      <c r="P68" s="5" t="n">
        <f aca="false">IF(A68="","",VLOOKUP(D68,DIvidend_Assumption!$A$3:$CX$103,($E$2+2),0)/12)</f>
        <v>0</v>
      </c>
      <c r="Q68" s="10" t="n">
        <f aca="false">IF(A68="","",IFERROR(AB67*P68,""))</f>
        <v>0</v>
      </c>
      <c r="R68" s="10" t="n">
        <f aca="false">IF(A68="","",IFERROR(IF(Inputs!$B$22="Accumulate",T68+Q68,IF(Inputs!$B$22="Premium Offset",MAX(0,T68+Q68-Inputs!$B$25),T68)),""))</f>
        <v>0</v>
      </c>
      <c r="S68" s="10" t="n">
        <f aca="false">IF(A68="","",R67)</f>
        <v>0</v>
      </c>
      <c r="T68" s="10" t="n">
        <f aca="false">IF(A68="","",IFERROR(S68*(1+Inputs!$B$23/12),""))</f>
        <v>0</v>
      </c>
      <c r="U68" s="6" t="n">
        <f aca="false">IF(A68="","",IF(D68&lt;=Inputs!$B$8,IF(Inputs!$B$22="Premium Offset",MAX(0,Inputs!$B$25-(Q68+T68)),Inputs!$B$25),0))</f>
        <v>77</v>
      </c>
      <c r="V68" s="10" t="n">
        <f aca="false">IF(A68="","",IF(Inputs!$B$22="Cash",Q68,0))</f>
        <v>0</v>
      </c>
      <c r="W68" s="10" t="n">
        <f aca="false">IF(A68="","",IF(Inputs!$B$22="PUA",Q68,0))</f>
        <v>0</v>
      </c>
      <c r="X68" s="12" t="n">
        <f aca="false">IF(A68="","",IFERROR(INDEX(PUA_TABLE!$D$4:$D$105,MATCH(E68,PUA_TABLE!$C$4:$C$105,1)),0))</f>
        <v>0.345553820742898</v>
      </c>
      <c r="Y68" s="10" t="n">
        <f aca="false">IF(A68="","",IF(W68&gt;0,IF(X68&gt;0,W68/X68,0),0))</f>
        <v>0</v>
      </c>
      <c r="Z68" s="10" t="n">
        <f aca="false">IF(A68="","",N68+Y68)</f>
        <v>0</v>
      </c>
      <c r="AA68" s="10" t="n">
        <f aca="false">IF(A68="","",IFERROR(Z68*INDEX(PUA_TABLE!$I$4:$I$105,MATCH(E68,PUA_TABLE!$C$4:$C$105,1))/1000,0))</f>
        <v>0</v>
      </c>
      <c r="AB68" s="10" t="n">
        <f aca="false">IF(A68="","",IFERROR(L68+AA68,0))</f>
        <v>7384.50260982658</v>
      </c>
      <c r="AC68" s="10" t="n">
        <f aca="false">IF(A68="","",IF(Inputs!$B$22="Premium Offset",MIN(Inputs!$B$25,Q68+T68),0))</f>
        <v>0</v>
      </c>
    </row>
    <row r="69" customFormat="false" ht="15" hidden="false" customHeight="false" outlineLevel="0" collapsed="false">
      <c r="A69" s="1" t="n">
        <f aca="false">IF(A68="","",IF(INT((C68+1)/12)+Inputs!$B$7&gt;MAX(MORTALITY!$A:$A),"",Inputs!$B$4))</f>
        <v>34</v>
      </c>
      <c r="B69" s="3" t="n">
        <f aca="false">IF(A69="","",EOMONTH(B68,1))</f>
        <v>23773</v>
      </c>
      <c r="C69" s="1" t="n">
        <f aca="false">IF(A69="","",C68+1)</f>
        <v>67</v>
      </c>
      <c r="D69" s="1" t="n">
        <f aca="false">IF(A69="","",INT(C69/12))</f>
        <v>5</v>
      </c>
      <c r="E69" s="1" t="n">
        <f aca="false">IF(A69="","",D69+Inputs!$B$7)</f>
        <v>21</v>
      </c>
      <c r="F69" s="3" t="n">
        <f aca="false">IF(A69="","",DATE(YEAR(B$2)+D69,MONTH(B$2),DAY(B$2)))</f>
        <v>23533</v>
      </c>
      <c r="G69" s="3" t="n">
        <f aca="false">IF(A69="","",DATE(YEAR(F69)+1,MONTH(F69),DAY(F69)))</f>
        <v>23898</v>
      </c>
      <c r="H69" s="10" t="n">
        <f aca="false">IF(A69="","",IF(G69&gt;F69,(B69-F69)/(G69-F69),0))</f>
        <v>0.657534246575342</v>
      </c>
      <c r="I69" s="10" t="n">
        <f aca="false">IF(A69="","",IFERROR(INDEX(CV_RATES!$I:$I,MATCH(D69,CV_RATES!$C:$C,0)),0))</f>
        <v>131.475727861494</v>
      </c>
      <c r="J69" s="10" t="n">
        <f aca="false">IF(A69="","",IFERROR(IF(E69=MAX(MORTALITY!$A:$A),1000,INDEX(CV_RATES!$J:$J,MATCH(D69,CV_RATES!$C:$C,0))),0))</f>
        <v>159.792610073402</v>
      </c>
      <c r="K69" s="10" t="n">
        <f aca="false">IF(A69="","",IFERROR(I69+H69*(J69-I69),0))</f>
        <v>150.095047672063</v>
      </c>
      <c r="L69" s="10" t="n">
        <f aca="false">IF(A69="","",IFERROR(K69*Inputs!$B$9,0))</f>
        <v>7504.75238360317</v>
      </c>
      <c r="M69" s="10" t="n">
        <f aca="false">IF(A69="","",IFERROR(K69*Inputs!$B$10,0))</f>
        <v>24014.7573423871</v>
      </c>
      <c r="N69" s="10" t="n">
        <f aca="false">IF(A69="","",Z68)</f>
        <v>0</v>
      </c>
      <c r="O69" s="6" t="n">
        <f aca="false">IF(A69="","",Inputs!$B$18+N69)</f>
        <v>50000</v>
      </c>
      <c r="P69" s="5" t="n">
        <f aca="false">IF(A69="","",VLOOKUP(D69,DIvidend_Assumption!$A$3:$CX$103,($E$2+2),0)/12)</f>
        <v>0</v>
      </c>
      <c r="Q69" s="10" t="n">
        <f aca="false">IF(A69="","",IFERROR(AB68*P69,""))</f>
        <v>0</v>
      </c>
      <c r="R69" s="10" t="n">
        <f aca="false">IF(A69="","",IFERROR(IF(Inputs!$B$22="Accumulate",T69+Q69,IF(Inputs!$B$22="Premium Offset",MAX(0,T69+Q69-Inputs!$B$25),T69)),""))</f>
        <v>0</v>
      </c>
      <c r="S69" s="10" t="n">
        <f aca="false">IF(A69="","",R68)</f>
        <v>0</v>
      </c>
      <c r="T69" s="10" t="n">
        <f aca="false">IF(A69="","",IFERROR(S69*(1+Inputs!$B$23/12),""))</f>
        <v>0</v>
      </c>
      <c r="U69" s="6" t="n">
        <f aca="false">IF(A69="","",IF(D69&lt;=Inputs!$B$8,IF(Inputs!$B$22="Premium Offset",MAX(0,Inputs!$B$25-(Q69+T69)),Inputs!$B$25),0))</f>
        <v>77</v>
      </c>
      <c r="V69" s="10" t="n">
        <f aca="false">IF(A69="","",IF(Inputs!$B$22="Cash",Q69,0))</f>
        <v>0</v>
      </c>
      <c r="W69" s="10" t="n">
        <f aca="false">IF(A69="","",IF(Inputs!$B$22="PUA",Q69,0))</f>
        <v>0</v>
      </c>
      <c r="X69" s="12" t="n">
        <f aca="false">IF(A69="","",IFERROR(INDEX(PUA_TABLE!$D$4:$D$105,MATCH(E69,PUA_TABLE!$C$4:$C$105,1)),0))</f>
        <v>0.345553820742898</v>
      </c>
      <c r="Y69" s="10" t="n">
        <f aca="false">IF(A69="","",IF(W69&gt;0,IF(X69&gt;0,W69/X69,0),0))</f>
        <v>0</v>
      </c>
      <c r="Z69" s="10" t="n">
        <f aca="false">IF(A69="","",N69+Y69)</f>
        <v>0</v>
      </c>
      <c r="AA69" s="10" t="n">
        <f aca="false">IF(A69="","",IFERROR(Z69*INDEX(PUA_TABLE!$I$4:$I$105,MATCH(E69,PUA_TABLE!$C$4:$C$105,1))/1000,0))</f>
        <v>0</v>
      </c>
      <c r="AB69" s="10" t="n">
        <f aca="false">IF(A69="","",IFERROR(L69+AA69,0))</f>
        <v>7504.75238360317</v>
      </c>
      <c r="AC69" s="10" t="n">
        <f aca="false">IF(A69="","",IF(Inputs!$B$22="Premium Offset",MIN(Inputs!$B$25,Q69+T69),0))</f>
        <v>0</v>
      </c>
    </row>
    <row r="70" customFormat="false" ht="15" hidden="false" customHeight="false" outlineLevel="0" collapsed="false">
      <c r="A70" s="1" t="n">
        <f aca="false">IF(A69="","",IF(INT((C69+1)/12)+Inputs!$B$7&gt;MAX(MORTALITY!$A:$A),"",Inputs!$B$4))</f>
        <v>34</v>
      </c>
      <c r="B70" s="3" t="n">
        <f aca="false">IF(A70="","",EOMONTH(B69,1))</f>
        <v>23801</v>
      </c>
      <c r="C70" s="1" t="n">
        <f aca="false">IF(A70="","",C69+1)</f>
        <v>68</v>
      </c>
      <c r="D70" s="1" t="n">
        <f aca="false">IF(A70="","",INT(C70/12))</f>
        <v>5</v>
      </c>
      <c r="E70" s="1" t="n">
        <f aca="false">IF(A70="","",D70+Inputs!$B$7)</f>
        <v>21</v>
      </c>
      <c r="F70" s="3" t="n">
        <f aca="false">IF(A70="","",DATE(YEAR(B$2)+D70,MONTH(B$2),DAY(B$2)))</f>
        <v>23533</v>
      </c>
      <c r="G70" s="3" t="n">
        <f aca="false">IF(A70="","",DATE(YEAR(F70)+1,MONTH(F70),DAY(F70)))</f>
        <v>23898</v>
      </c>
      <c r="H70" s="10" t="n">
        <f aca="false">IF(A70="","",IF(G70&gt;F70,(B70-F70)/(G70-F70),0))</f>
        <v>0.734246575342466</v>
      </c>
      <c r="I70" s="10" t="n">
        <f aca="false">IF(A70="","",IFERROR(INDEX(CV_RATES!$I:$I,MATCH(D70,CV_RATES!$C:$C,0)),0))</f>
        <v>131.475727861494</v>
      </c>
      <c r="J70" s="10" t="n">
        <f aca="false">IF(A70="","",IFERROR(IF(E70=MAX(MORTALITY!$A:$A),1000,INDEX(CV_RATES!$J:$J,MATCH(D70,CV_RATES!$C:$C,0))),0))</f>
        <v>159.792610073402</v>
      </c>
      <c r="K70" s="10" t="n">
        <f aca="false">IF(A70="","",IFERROR(I70+H70*(J70-I70),0))</f>
        <v>152.267301649963</v>
      </c>
      <c r="L70" s="10" t="n">
        <f aca="false">IF(A70="","",IFERROR(K70*Inputs!$B$9,0))</f>
        <v>7613.36508249816</v>
      </c>
      <c r="M70" s="10" t="n">
        <f aca="false">IF(A70="","",IFERROR(K70*Inputs!$B$10,0))</f>
        <v>24362.3114620892</v>
      </c>
      <c r="N70" s="10" t="n">
        <f aca="false">IF(A70="","",Z69)</f>
        <v>0</v>
      </c>
      <c r="O70" s="6" t="n">
        <f aca="false">IF(A70="","",Inputs!$B$18+N70)</f>
        <v>50000</v>
      </c>
      <c r="P70" s="5" t="n">
        <f aca="false">IF(A70="","",VLOOKUP(D70,DIvidend_Assumption!$A$3:$CX$103,($E$2+2),0)/12)</f>
        <v>0</v>
      </c>
      <c r="Q70" s="10" t="n">
        <f aca="false">IF(A70="","",IFERROR(AB69*P70,""))</f>
        <v>0</v>
      </c>
      <c r="R70" s="10" t="n">
        <f aca="false">IF(A70="","",IFERROR(IF(Inputs!$B$22="Accumulate",T70+Q70,IF(Inputs!$B$22="Premium Offset",MAX(0,T70+Q70-Inputs!$B$25),T70)),""))</f>
        <v>0</v>
      </c>
      <c r="S70" s="10" t="n">
        <f aca="false">IF(A70="","",R69)</f>
        <v>0</v>
      </c>
      <c r="T70" s="10" t="n">
        <f aca="false">IF(A70="","",IFERROR(S70*(1+Inputs!$B$23/12),""))</f>
        <v>0</v>
      </c>
      <c r="U70" s="6" t="n">
        <f aca="false">IF(A70="","",IF(D70&lt;=Inputs!$B$8,IF(Inputs!$B$22="Premium Offset",MAX(0,Inputs!$B$25-(Q70+T70)),Inputs!$B$25),0))</f>
        <v>77</v>
      </c>
      <c r="V70" s="10" t="n">
        <f aca="false">IF(A70="","",IF(Inputs!$B$22="Cash",Q70,0))</f>
        <v>0</v>
      </c>
      <c r="W70" s="10" t="n">
        <f aca="false">IF(A70="","",IF(Inputs!$B$22="PUA",Q70,0))</f>
        <v>0</v>
      </c>
      <c r="X70" s="12" t="n">
        <f aca="false">IF(A70="","",IFERROR(INDEX(PUA_TABLE!$D$4:$D$105,MATCH(E70,PUA_TABLE!$C$4:$C$105,1)),0))</f>
        <v>0.345553820742898</v>
      </c>
      <c r="Y70" s="10" t="n">
        <f aca="false">IF(A70="","",IF(W70&gt;0,IF(X70&gt;0,W70/X70,0),0))</f>
        <v>0</v>
      </c>
      <c r="Z70" s="10" t="n">
        <f aca="false">IF(A70="","",N70+Y70)</f>
        <v>0</v>
      </c>
      <c r="AA70" s="10" t="n">
        <f aca="false">IF(A70="","",IFERROR(Z70*INDEX(PUA_TABLE!$I$4:$I$105,MATCH(E70,PUA_TABLE!$C$4:$C$105,1))/1000,0))</f>
        <v>0</v>
      </c>
      <c r="AB70" s="10" t="n">
        <f aca="false">IF(A70="","",IFERROR(L70+AA70,0))</f>
        <v>7613.36508249816</v>
      </c>
      <c r="AC70" s="10" t="n">
        <f aca="false">IF(A70="","",IF(Inputs!$B$22="Premium Offset",MIN(Inputs!$B$25,Q70+T70),0))</f>
        <v>0</v>
      </c>
    </row>
    <row r="71" customFormat="false" ht="15" hidden="false" customHeight="false" outlineLevel="0" collapsed="false">
      <c r="A71" s="1" t="n">
        <f aca="false">IF(A70="","",IF(INT((C70+1)/12)+Inputs!$B$7&gt;MAX(MORTALITY!$A:$A),"",Inputs!$B$4))</f>
        <v>34</v>
      </c>
      <c r="B71" s="3" t="n">
        <f aca="false">IF(A71="","",EOMONTH(B70,1))</f>
        <v>23832</v>
      </c>
      <c r="C71" s="1" t="n">
        <f aca="false">IF(A71="","",C70+1)</f>
        <v>69</v>
      </c>
      <c r="D71" s="1" t="n">
        <f aca="false">IF(A71="","",INT(C71/12))</f>
        <v>5</v>
      </c>
      <c r="E71" s="1" t="n">
        <f aca="false">IF(A71="","",D71+Inputs!$B$7)</f>
        <v>21</v>
      </c>
      <c r="F71" s="3" t="n">
        <f aca="false">IF(A71="","",DATE(YEAR(B$2)+D71,MONTH(B$2),DAY(B$2)))</f>
        <v>23533</v>
      </c>
      <c r="G71" s="3" t="n">
        <f aca="false">IF(A71="","",DATE(YEAR(F71)+1,MONTH(F71),DAY(F71)))</f>
        <v>23898</v>
      </c>
      <c r="H71" s="10" t="n">
        <f aca="false">IF(A71="","",IF(G71&gt;F71,(B71-F71)/(G71-F71),0))</f>
        <v>0.819178082191781</v>
      </c>
      <c r="I71" s="10" t="n">
        <f aca="false">IF(A71="","",IFERROR(INDEX(CV_RATES!$I:$I,MATCH(D71,CV_RATES!$C:$C,0)),0))</f>
        <v>131.475727861494</v>
      </c>
      <c r="J71" s="10" t="n">
        <f aca="false">IF(A71="","",IFERROR(IF(E71=MAX(MORTALITY!$A:$A),1000,INDEX(CV_RATES!$J:$J,MATCH(D71,CV_RATES!$C:$C,0))),0))</f>
        <v>159.792610073402</v>
      </c>
      <c r="K71" s="10" t="n">
        <f aca="false">IF(A71="","",IFERROR(I71+H71*(J71-I71),0))</f>
        <v>154.672297125495</v>
      </c>
      <c r="L71" s="10" t="n">
        <f aca="false">IF(A71="","",IFERROR(K71*Inputs!$B$9,0))</f>
        <v>7733.61485627476</v>
      </c>
      <c r="M71" s="10" t="n">
        <f aca="false">IF(A71="","",IFERROR(K71*Inputs!$B$10,0))</f>
        <v>24747.1035231878</v>
      </c>
      <c r="N71" s="10" t="n">
        <f aca="false">IF(A71="","",Z70)</f>
        <v>0</v>
      </c>
      <c r="O71" s="6" t="n">
        <f aca="false">IF(A71="","",Inputs!$B$18+N71)</f>
        <v>50000</v>
      </c>
      <c r="P71" s="5" t="n">
        <f aca="false">IF(A71="","",VLOOKUP(D71,DIvidend_Assumption!$A$3:$CX$103,($E$2+2),0)/12)</f>
        <v>0</v>
      </c>
      <c r="Q71" s="10" t="n">
        <f aca="false">IF(A71="","",IFERROR(AB70*P71,""))</f>
        <v>0</v>
      </c>
      <c r="R71" s="10" t="n">
        <f aca="false">IF(A71="","",IFERROR(IF(Inputs!$B$22="Accumulate",T71+Q71,IF(Inputs!$B$22="Premium Offset",MAX(0,T71+Q71-Inputs!$B$25),T71)),""))</f>
        <v>0</v>
      </c>
      <c r="S71" s="10" t="n">
        <f aca="false">IF(A71="","",R70)</f>
        <v>0</v>
      </c>
      <c r="T71" s="10" t="n">
        <f aca="false">IF(A71="","",IFERROR(S71*(1+Inputs!$B$23/12),""))</f>
        <v>0</v>
      </c>
      <c r="U71" s="6" t="n">
        <f aca="false">IF(A71="","",IF(D71&lt;=Inputs!$B$8,IF(Inputs!$B$22="Premium Offset",MAX(0,Inputs!$B$25-(Q71+T71)),Inputs!$B$25),0))</f>
        <v>77</v>
      </c>
      <c r="V71" s="10" t="n">
        <f aca="false">IF(A71="","",IF(Inputs!$B$22="Cash",Q71,0))</f>
        <v>0</v>
      </c>
      <c r="W71" s="10" t="n">
        <f aca="false">IF(A71="","",IF(Inputs!$B$22="PUA",Q71,0))</f>
        <v>0</v>
      </c>
      <c r="X71" s="12" t="n">
        <f aca="false">IF(A71="","",IFERROR(INDEX(PUA_TABLE!$D$4:$D$105,MATCH(E71,PUA_TABLE!$C$4:$C$105,1)),0))</f>
        <v>0.345553820742898</v>
      </c>
      <c r="Y71" s="10" t="n">
        <f aca="false">IF(A71="","",IF(W71&gt;0,IF(X71&gt;0,W71/X71,0),0))</f>
        <v>0</v>
      </c>
      <c r="Z71" s="10" t="n">
        <f aca="false">IF(A71="","",N71+Y71)</f>
        <v>0</v>
      </c>
      <c r="AA71" s="10" t="n">
        <f aca="false">IF(A71="","",IFERROR(Z71*INDEX(PUA_TABLE!$I$4:$I$105,MATCH(E71,PUA_TABLE!$C$4:$C$105,1))/1000,0))</f>
        <v>0</v>
      </c>
      <c r="AB71" s="10" t="n">
        <f aca="false">IF(A71="","",IFERROR(L71+AA71,0))</f>
        <v>7733.61485627476</v>
      </c>
      <c r="AC71" s="10" t="n">
        <f aca="false">IF(A71="","",IF(Inputs!$B$22="Premium Offset",MIN(Inputs!$B$25,Q71+T71),0))</f>
        <v>0</v>
      </c>
    </row>
    <row r="72" customFormat="false" ht="15" hidden="false" customHeight="false" outlineLevel="0" collapsed="false">
      <c r="A72" s="1" t="n">
        <f aca="false">IF(A71="","",IF(INT((C71+1)/12)+Inputs!$B$7&gt;MAX(MORTALITY!$A:$A),"",Inputs!$B$4))</f>
        <v>34</v>
      </c>
      <c r="B72" s="3" t="n">
        <f aca="false">IF(A72="","",EOMONTH(B71,1))</f>
        <v>23862</v>
      </c>
      <c r="C72" s="1" t="n">
        <f aca="false">IF(A72="","",C71+1)</f>
        <v>70</v>
      </c>
      <c r="D72" s="1" t="n">
        <f aca="false">IF(A72="","",INT(C72/12))</f>
        <v>5</v>
      </c>
      <c r="E72" s="1" t="n">
        <f aca="false">IF(A72="","",D72+Inputs!$B$7)</f>
        <v>21</v>
      </c>
      <c r="F72" s="3" t="n">
        <f aca="false">IF(A72="","",DATE(YEAR(B$2)+D72,MONTH(B$2),DAY(B$2)))</f>
        <v>23533</v>
      </c>
      <c r="G72" s="3" t="n">
        <f aca="false">IF(A72="","",DATE(YEAR(F72)+1,MONTH(F72),DAY(F72)))</f>
        <v>23898</v>
      </c>
      <c r="H72" s="10" t="n">
        <f aca="false">IF(A72="","",IF(G72&gt;F72,(B72-F72)/(G72-F72),0))</f>
        <v>0.901369863013699</v>
      </c>
      <c r="I72" s="10" t="n">
        <f aca="false">IF(A72="","",IFERROR(INDEX(CV_RATES!$I:$I,MATCH(D72,CV_RATES!$C:$C,0)),0))</f>
        <v>131.475727861494</v>
      </c>
      <c r="J72" s="10" t="n">
        <f aca="false">IF(A72="","",IFERROR(IF(E72=MAX(MORTALITY!$A:$A),1000,INDEX(CV_RATES!$J:$J,MATCH(D72,CV_RATES!$C:$C,0))),0))</f>
        <v>159.792610073402</v>
      </c>
      <c r="K72" s="10" t="n">
        <f aca="false">IF(A72="","",IFERROR(I72+H72*(J72-I72),0))</f>
        <v>156.999712101816</v>
      </c>
      <c r="L72" s="10" t="n">
        <f aca="false">IF(A72="","",IFERROR(K72*Inputs!$B$9,0))</f>
        <v>7849.98560509082</v>
      </c>
      <c r="M72" s="10" t="n">
        <f aca="false">IF(A72="","",IFERROR(K72*Inputs!$B$10,0))</f>
        <v>25119.4829371543</v>
      </c>
      <c r="N72" s="10" t="n">
        <f aca="false">IF(A72="","",Z71)</f>
        <v>0</v>
      </c>
      <c r="O72" s="6" t="n">
        <f aca="false">IF(A72="","",Inputs!$B$18+N72)</f>
        <v>50000</v>
      </c>
      <c r="P72" s="5" t="n">
        <f aca="false">IF(A72="","",VLOOKUP(D72,DIvidend_Assumption!$A$3:$CX$103,($E$2+2),0)/12)</f>
        <v>0</v>
      </c>
      <c r="Q72" s="10" t="n">
        <f aca="false">IF(A72="","",IFERROR(AB71*P72,""))</f>
        <v>0</v>
      </c>
      <c r="R72" s="10" t="n">
        <f aca="false">IF(A72="","",IFERROR(IF(Inputs!$B$22="Accumulate",T72+Q72,IF(Inputs!$B$22="Premium Offset",MAX(0,T72+Q72-Inputs!$B$25),T72)),""))</f>
        <v>0</v>
      </c>
      <c r="S72" s="10" t="n">
        <f aca="false">IF(A72="","",R71)</f>
        <v>0</v>
      </c>
      <c r="T72" s="10" t="n">
        <f aca="false">IF(A72="","",IFERROR(S72*(1+Inputs!$B$23/12),""))</f>
        <v>0</v>
      </c>
      <c r="U72" s="6" t="n">
        <f aca="false">IF(A72="","",IF(D72&lt;=Inputs!$B$8,IF(Inputs!$B$22="Premium Offset",MAX(0,Inputs!$B$25-(Q72+T72)),Inputs!$B$25),0))</f>
        <v>77</v>
      </c>
      <c r="V72" s="10" t="n">
        <f aca="false">IF(A72="","",IF(Inputs!$B$22="Cash",Q72,0))</f>
        <v>0</v>
      </c>
      <c r="W72" s="10" t="n">
        <f aca="false">IF(A72="","",IF(Inputs!$B$22="PUA",Q72,0))</f>
        <v>0</v>
      </c>
      <c r="X72" s="12" t="n">
        <f aca="false">IF(A72="","",IFERROR(INDEX(PUA_TABLE!$D$4:$D$105,MATCH(E72,PUA_TABLE!$C$4:$C$105,1)),0))</f>
        <v>0.345553820742898</v>
      </c>
      <c r="Y72" s="10" t="n">
        <f aca="false">IF(A72="","",IF(W72&gt;0,IF(X72&gt;0,W72/X72,0),0))</f>
        <v>0</v>
      </c>
      <c r="Z72" s="10" t="n">
        <f aca="false">IF(A72="","",N72+Y72)</f>
        <v>0</v>
      </c>
      <c r="AA72" s="10" t="n">
        <f aca="false">IF(A72="","",IFERROR(Z72*INDEX(PUA_TABLE!$I$4:$I$105,MATCH(E72,PUA_TABLE!$C$4:$C$105,1))/1000,0))</f>
        <v>0</v>
      </c>
      <c r="AB72" s="10" t="n">
        <f aca="false">IF(A72="","",IFERROR(L72+AA72,0))</f>
        <v>7849.98560509082</v>
      </c>
      <c r="AC72" s="10" t="n">
        <f aca="false">IF(A72="","",IF(Inputs!$B$22="Premium Offset",MIN(Inputs!$B$25,Q72+T72),0))</f>
        <v>0</v>
      </c>
    </row>
    <row r="73" customFormat="false" ht="15" hidden="false" customHeight="false" outlineLevel="0" collapsed="false">
      <c r="A73" s="1" t="n">
        <f aca="false">IF(A72="","",IF(INT((C72+1)/12)+Inputs!$B$7&gt;MAX(MORTALITY!$A:$A),"",Inputs!$B$4))</f>
        <v>34</v>
      </c>
      <c r="B73" s="3" t="n">
        <f aca="false">IF(A73="","",EOMONTH(B72,1))</f>
        <v>23893</v>
      </c>
      <c r="C73" s="1" t="n">
        <f aca="false">IF(A73="","",C72+1)</f>
        <v>71</v>
      </c>
      <c r="D73" s="1" t="n">
        <f aca="false">IF(A73="","",INT(C73/12))</f>
        <v>5</v>
      </c>
      <c r="E73" s="1" t="n">
        <f aca="false">IF(A73="","",D73+Inputs!$B$7)</f>
        <v>21</v>
      </c>
      <c r="F73" s="3" t="n">
        <f aca="false">IF(A73="","",DATE(YEAR(B$2)+D73,MONTH(B$2),DAY(B$2)))</f>
        <v>23533</v>
      </c>
      <c r="G73" s="3" t="n">
        <f aca="false">IF(A73="","",DATE(YEAR(F73)+1,MONTH(F73),DAY(F73)))</f>
        <v>23898</v>
      </c>
      <c r="H73" s="10" t="n">
        <f aca="false">IF(A73="","",IF(G73&gt;F73,(B73-F73)/(G73-F73),0))</f>
        <v>0.986301369863014</v>
      </c>
      <c r="I73" s="10" t="n">
        <f aca="false">IF(A73="","",IFERROR(INDEX(CV_RATES!$I:$I,MATCH(D73,CV_RATES!$C:$C,0)),0))</f>
        <v>131.475727861494</v>
      </c>
      <c r="J73" s="10" t="n">
        <f aca="false">IF(A73="","",IFERROR(IF(E73=MAX(MORTALITY!$A:$A),1000,INDEX(CV_RATES!$J:$J,MATCH(D73,CV_RATES!$C:$C,0))),0))</f>
        <v>159.792610073402</v>
      </c>
      <c r="K73" s="10" t="n">
        <f aca="false">IF(A73="","",IFERROR(I73+H73*(J73-I73),0))</f>
        <v>159.404707577348</v>
      </c>
      <c r="L73" s="10" t="n">
        <f aca="false">IF(A73="","",IFERROR(K73*Inputs!$B$9,0))</f>
        <v>7970.23537886741</v>
      </c>
      <c r="M73" s="10" t="n">
        <f aca="false">IF(A73="","",IFERROR(K73*Inputs!$B$10,0))</f>
        <v>25504.274998253</v>
      </c>
      <c r="N73" s="10" t="n">
        <f aca="false">IF(A73="","",Z72)</f>
        <v>0</v>
      </c>
      <c r="O73" s="6" t="n">
        <f aca="false">IF(A73="","",Inputs!$B$18+N73)</f>
        <v>50000</v>
      </c>
      <c r="P73" s="5" t="n">
        <f aca="false">IF(A73="","",VLOOKUP(D73,DIvidend_Assumption!$A$3:$CX$103,($E$2+2),0)/12)</f>
        <v>0</v>
      </c>
      <c r="Q73" s="10" t="n">
        <f aca="false">IF(A73="","",IFERROR(AB72*P73,""))</f>
        <v>0</v>
      </c>
      <c r="R73" s="10" t="n">
        <f aca="false">IF(A73="","",IFERROR(IF(Inputs!$B$22="Accumulate",T73+Q73,IF(Inputs!$B$22="Premium Offset",MAX(0,T73+Q73-Inputs!$B$25),T73)),""))</f>
        <v>0</v>
      </c>
      <c r="S73" s="10" t="n">
        <f aca="false">IF(A73="","",R72)</f>
        <v>0</v>
      </c>
      <c r="T73" s="10" t="n">
        <f aca="false">IF(A73="","",IFERROR(S73*(1+Inputs!$B$23/12),""))</f>
        <v>0</v>
      </c>
      <c r="U73" s="6" t="n">
        <f aca="false">IF(A73="","",IF(D73&lt;=Inputs!$B$8,IF(Inputs!$B$22="Premium Offset",MAX(0,Inputs!$B$25-(Q73+T73)),Inputs!$B$25),0))</f>
        <v>77</v>
      </c>
      <c r="V73" s="10" t="n">
        <f aca="false">IF(A73="","",IF(Inputs!$B$22="Cash",Q73,0))</f>
        <v>0</v>
      </c>
      <c r="W73" s="10" t="n">
        <f aca="false">IF(A73="","",IF(Inputs!$B$22="PUA",Q73,0))</f>
        <v>0</v>
      </c>
      <c r="X73" s="12" t="n">
        <f aca="false">IF(A73="","",IFERROR(INDEX(PUA_TABLE!$D$4:$D$105,MATCH(E73,PUA_TABLE!$C$4:$C$105,1)),0))</f>
        <v>0.345553820742898</v>
      </c>
      <c r="Y73" s="10" t="n">
        <f aca="false">IF(A73="","",IF(W73&gt;0,IF(X73&gt;0,W73/X73,0),0))</f>
        <v>0</v>
      </c>
      <c r="Z73" s="10" t="n">
        <f aca="false">IF(A73="","",N73+Y73)</f>
        <v>0</v>
      </c>
      <c r="AA73" s="10" t="n">
        <f aca="false">IF(A73="","",IFERROR(Z73*INDEX(PUA_TABLE!$I$4:$I$105,MATCH(E73,PUA_TABLE!$C$4:$C$105,1))/1000,0))</f>
        <v>0</v>
      </c>
      <c r="AB73" s="10" t="n">
        <f aca="false">IF(A73="","",IFERROR(L73+AA73,0))</f>
        <v>7970.23537886741</v>
      </c>
      <c r="AC73" s="10" t="n">
        <f aca="false">IF(A73="","",IF(Inputs!$B$22="Premium Offset",MIN(Inputs!$B$25,Q73+T73),0))</f>
        <v>0</v>
      </c>
    </row>
    <row r="74" customFormat="false" ht="15" hidden="false" customHeight="false" outlineLevel="0" collapsed="false">
      <c r="A74" s="1" t="n">
        <f aca="false">IF(A73="","",IF(INT((C73+1)/12)+Inputs!$B$7&gt;MAX(MORTALITY!$A:$A),"",Inputs!$B$4))</f>
        <v>34</v>
      </c>
      <c r="B74" s="3" t="n">
        <f aca="false">IF(A74="","",EOMONTH(B73,1))</f>
        <v>23923</v>
      </c>
      <c r="C74" s="1" t="n">
        <f aca="false">IF(A74="","",C73+1)</f>
        <v>72</v>
      </c>
      <c r="D74" s="1" t="n">
        <f aca="false">IF(A74="","",INT(C74/12))</f>
        <v>6</v>
      </c>
      <c r="E74" s="1" t="n">
        <f aca="false">IF(A74="","",D74+Inputs!$B$7)</f>
        <v>22</v>
      </c>
      <c r="F74" s="3" t="n">
        <f aca="false">IF(A74="","",DATE(YEAR(B$2)+D74,MONTH(B$2),DAY(B$2)))</f>
        <v>23898</v>
      </c>
      <c r="G74" s="3" t="n">
        <f aca="false">IF(A74="","",DATE(YEAR(F74)+1,MONTH(F74),DAY(F74)))</f>
        <v>24263</v>
      </c>
      <c r="H74" s="10" t="n">
        <f aca="false">IF(A74="","",IF(G74&gt;F74,(B74-F74)/(G74-F74),0))</f>
        <v>0.0684931506849315</v>
      </c>
      <c r="I74" s="10" t="n">
        <f aca="false">IF(A74="","",IFERROR(INDEX(CV_RATES!$I:$I,MATCH(D74,CV_RATES!$C:$C,0)),0))</f>
        <v>159.792610073402</v>
      </c>
      <c r="J74" s="10" t="n">
        <f aca="false">IF(A74="","",IFERROR(IF(E74=MAX(MORTALITY!$A:$A),1000,INDEX(CV_RATES!$J:$J,MATCH(D74,CV_RATES!$C:$C,0))),0))</f>
        <v>188.825392656303</v>
      </c>
      <c r="K74" s="10" t="n">
        <f aca="false">IF(A74="","",IFERROR(I74+H74*(J74-I74),0))</f>
        <v>161.781156825655</v>
      </c>
      <c r="L74" s="10" t="n">
        <f aca="false">IF(A74="","",IFERROR(K74*Inputs!$B$9,0))</f>
        <v>8089.05784128276</v>
      </c>
      <c r="M74" s="10" t="n">
        <f aca="false">IF(A74="","",IFERROR(K74*Inputs!$B$10,0))</f>
        <v>25884.4997486344</v>
      </c>
      <c r="N74" s="10" t="n">
        <f aca="false">IF(A74="","",Z73)</f>
        <v>0</v>
      </c>
      <c r="O74" s="6" t="n">
        <f aca="false">IF(A74="","",Inputs!$B$18+N74)</f>
        <v>50000</v>
      </c>
      <c r="P74" s="5" t="n">
        <f aca="false">IF(A74="","",VLOOKUP(D74,DIvidend_Assumption!$A$3:$CX$103,($E$2+2),0)/12)</f>
        <v>0</v>
      </c>
      <c r="Q74" s="10" t="n">
        <f aca="false">IF(A74="","",IFERROR(AB73*P74,""))</f>
        <v>0</v>
      </c>
      <c r="R74" s="10" t="n">
        <f aca="false">IF(A74="","",IFERROR(IF(Inputs!$B$22="Accumulate",T74+Q74,IF(Inputs!$B$22="Premium Offset",MAX(0,T74+Q74-Inputs!$B$25),T74)),""))</f>
        <v>0</v>
      </c>
      <c r="S74" s="10" t="n">
        <f aca="false">IF(A74="","",R73)</f>
        <v>0</v>
      </c>
      <c r="T74" s="10" t="n">
        <f aca="false">IF(A74="","",IFERROR(S74*(1+Inputs!$B$23/12),""))</f>
        <v>0</v>
      </c>
      <c r="U74" s="6" t="n">
        <f aca="false">IF(A74="","",IF(D74&lt;=Inputs!$B$8,IF(Inputs!$B$22="Premium Offset",MAX(0,Inputs!$B$25-(Q74+T74)),Inputs!$B$25),0))</f>
        <v>77</v>
      </c>
      <c r="V74" s="10" t="n">
        <f aca="false">IF(A74="","",IF(Inputs!$B$22="Cash",Q74,0))</f>
        <v>0</v>
      </c>
      <c r="W74" s="10" t="n">
        <f aca="false">IF(A74="","",IF(Inputs!$B$22="PUA",Q74,0))</f>
        <v>0</v>
      </c>
      <c r="X74" s="12" t="n">
        <f aca="false">IF(A74="","",IFERROR(INDEX(PUA_TABLE!$D$4:$D$105,MATCH(E74,PUA_TABLE!$C$4:$C$105,1)),0))</f>
        <v>0.352567610964992</v>
      </c>
      <c r="Y74" s="10" t="n">
        <f aca="false">IF(A74="","",IF(W74&gt;0,IF(X74&gt;0,W74/X74,0),0))</f>
        <v>0</v>
      </c>
      <c r="Z74" s="10" t="n">
        <f aca="false">IF(A74="","",N74+Y74)</f>
        <v>0</v>
      </c>
      <c r="AA74" s="10" t="n">
        <f aca="false">IF(A74="","",IFERROR(Z74*INDEX(PUA_TABLE!$I$4:$I$105,MATCH(E74,PUA_TABLE!$C$4:$C$105,1))/1000,0))</f>
        <v>0</v>
      </c>
      <c r="AB74" s="10" t="n">
        <f aca="false">IF(A74="","",IFERROR(L74+AA74,0))</f>
        <v>8089.05784128276</v>
      </c>
      <c r="AC74" s="10" t="n">
        <f aca="false">IF(A74="","",IF(Inputs!$B$22="Premium Offset",MIN(Inputs!$B$25,Q74+T74),0))</f>
        <v>0</v>
      </c>
    </row>
    <row r="75" customFormat="false" ht="15" hidden="false" customHeight="false" outlineLevel="0" collapsed="false">
      <c r="A75" s="1" t="n">
        <f aca="false">IF(A74="","",IF(INT((C74+1)/12)+Inputs!$B$7&gt;MAX(MORTALITY!$A:$A),"",Inputs!$B$4))</f>
        <v>34</v>
      </c>
      <c r="B75" s="3" t="n">
        <f aca="false">IF(A75="","",EOMONTH(B74,1))</f>
        <v>23954</v>
      </c>
      <c r="C75" s="1" t="n">
        <f aca="false">IF(A75="","",C74+1)</f>
        <v>73</v>
      </c>
      <c r="D75" s="1" t="n">
        <f aca="false">IF(A75="","",INT(C75/12))</f>
        <v>6</v>
      </c>
      <c r="E75" s="1" t="n">
        <f aca="false">IF(A75="","",D75+Inputs!$B$7)</f>
        <v>22</v>
      </c>
      <c r="F75" s="3" t="n">
        <f aca="false">IF(A75="","",DATE(YEAR(B$2)+D75,MONTH(B$2),DAY(B$2)))</f>
        <v>23898</v>
      </c>
      <c r="G75" s="3" t="n">
        <f aca="false">IF(A75="","",DATE(YEAR(F75)+1,MONTH(F75),DAY(F75)))</f>
        <v>24263</v>
      </c>
      <c r="H75" s="10" t="n">
        <f aca="false">IF(A75="","",IF(G75&gt;F75,(B75-F75)/(G75-F75),0))</f>
        <v>0.153424657534247</v>
      </c>
      <c r="I75" s="10" t="n">
        <f aca="false">IF(A75="","",IFERROR(INDEX(CV_RATES!$I:$I,MATCH(D75,CV_RATES!$C:$C,0)),0))</f>
        <v>159.792610073402</v>
      </c>
      <c r="J75" s="10" t="n">
        <f aca="false">IF(A75="","",IFERROR(IF(E75=MAX(MORTALITY!$A:$A),1000,INDEX(CV_RATES!$J:$J,MATCH(D75,CV_RATES!$C:$C,0))),0))</f>
        <v>188.825392656303</v>
      </c>
      <c r="K75" s="10" t="n">
        <f aca="false">IF(A75="","",IFERROR(I75+H75*(J75-I75),0))</f>
        <v>164.24695479845</v>
      </c>
      <c r="L75" s="10" t="n">
        <f aca="false">IF(A75="","",IFERROR(K75*Inputs!$B$9,0))</f>
        <v>8212.34773992248</v>
      </c>
      <c r="M75" s="10" t="n">
        <f aca="false">IF(A75="","",IFERROR(K75*Inputs!$B$10,0))</f>
        <v>26279.0200268875</v>
      </c>
      <c r="N75" s="10" t="n">
        <f aca="false">IF(A75="","",Z74)</f>
        <v>0</v>
      </c>
      <c r="O75" s="6" t="n">
        <f aca="false">IF(A75="","",Inputs!$B$18+N75)</f>
        <v>50000</v>
      </c>
      <c r="P75" s="5" t="n">
        <f aca="false">IF(A75="","",VLOOKUP(D75,DIvidend_Assumption!$A$3:$CX$103,($E$2+2),0)/12)</f>
        <v>0</v>
      </c>
      <c r="Q75" s="10" t="n">
        <f aca="false">IF(A75="","",IFERROR(AB74*P75,""))</f>
        <v>0</v>
      </c>
      <c r="R75" s="10" t="n">
        <f aca="false">IF(A75="","",IFERROR(IF(Inputs!$B$22="Accumulate",T75+Q75,IF(Inputs!$B$22="Premium Offset",MAX(0,T75+Q75-Inputs!$B$25),T75)),""))</f>
        <v>0</v>
      </c>
      <c r="S75" s="10" t="n">
        <f aca="false">IF(A75="","",R74)</f>
        <v>0</v>
      </c>
      <c r="T75" s="10" t="n">
        <f aca="false">IF(A75="","",IFERROR(S75*(1+Inputs!$B$23/12),""))</f>
        <v>0</v>
      </c>
      <c r="U75" s="6" t="n">
        <f aca="false">IF(A75="","",IF(D75&lt;=Inputs!$B$8,IF(Inputs!$B$22="Premium Offset",MAX(0,Inputs!$B$25-(Q75+T75)),Inputs!$B$25),0))</f>
        <v>77</v>
      </c>
      <c r="V75" s="10" t="n">
        <f aca="false">IF(A75="","",IF(Inputs!$B$22="Cash",Q75,0))</f>
        <v>0</v>
      </c>
      <c r="W75" s="10" t="n">
        <f aca="false">IF(A75="","",IF(Inputs!$B$22="PUA",Q75,0))</f>
        <v>0</v>
      </c>
      <c r="X75" s="12" t="n">
        <f aca="false">IF(A75="","",IFERROR(INDEX(PUA_TABLE!$D$4:$D$105,MATCH(E75,PUA_TABLE!$C$4:$C$105,1)),0))</f>
        <v>0.352567610964992</v>
      </c>
      <c r="Y75" s="10" t="n">
        <f aca="false">IF(A75="","",IF(W75&gt;0,IF(X75&gt;0,W75/X75,0),0))</f>
        <v>0</v>
      </c>
      <c r="Z75" s="10" t="n">
        <f aca="false">IF(A75="","",N75+Y75)</f>
        <v>0</v>
      </c>
      <c r="AA75" s="10" t="n">
        <f aca="false">IF(A75="","",IFERROR(Z75*INDEX(PUA_TABLE!$I$4:$I$105,MATCH(E75,PUA_TABLE!$C$4:$C$105,1))/1000,0))</f>
        <v>0</v>
      </c>
      <c r="AB75" s="10" t="n">
        <f aca="false">IF(A75="","",IFERROR(L75+AA75,0))</f>
        <v>8212.34773992248</v>
      </c>
      <c r="AC75" s="10" t="n">
        <f aca="false">IF(A75="","",IF(Inputs!$B$22="Premium Offset",MIN(Inputs!$B$25,Q75+T75),0))</f>
        <v>0</v>
      </c>
    </row>
    <row r="76" customFormat="false" ht="15" hidden="false" customHeight="false" outlineLevel="0" collapsed="false">
      <c r="A76" s="1" t="n">
        <f aca="false">IF(A75="","",IF(INT((C75+1)/12)+Inputs!$B$7&gt;MAX(MORTALITY!$A:$A),"",Inputs!$B$4))</f>
        <v>34</v>
      </c>
      <c r="B76" s="3" t="n">
        <f aca="false">IF(A76="","",EOMONTH(B75,1))</f>
        <v>23985</v>
      </c>
      <c r="C76" s="1" t="n">
        <f aca="false">IF(A76="","",C75+1)</f>
        <v>74</v>
      </c>
      <c r="D76" s="1" t="n">
        <f aca="false">IF(A76="","",INT(C76/12))</f>
        <v>6</v>
      </c>
      <c r="E76" s="1" t="n">
        <f aca="false">IF(A76="","",D76+Inputs!$B$7)</f>
        <v>22</v>
      </c>
      <c r="F76" s="3" t="n">
        <f aca="false">IF(A76="","",DATE(YEAR(B$2)+D76,MONTH(B$2),DAY(B$2)))</f>
        <v>23898</v>
      </c>
      <c r="G76" s="3" t="n">
        <f aca="false">IF(A76="","",DATE(YEAR(F76)+1,MONTH(F76),DAY(F76)))</f>
        <v>24263</v>
      </c>
      <c r="H76" s="10" t="n">
        <f aca="false">IF(A76="","",IF(G76&gt;F76,(B76-F76)/(G76-F76),0))</f>
        <v>0.238356164383562</v>
      </c>
      <c r="I76" s="10" t="n">
        <f aca="false">IF(A76="","",IFERROR(INDEX(CV_RATES!$I:$I,MATCH(D76,CV_RATES!$C:$C,0)),0))</f>
        <v>159.792610073402</v>
      </c>
      <c r="J76" s="10" t="n">
        <f aca="false">IF(A76="","",IFERROR(IF(E76=MAX(MORTALITY!$A:$A),1000,INDEX(CV_RATES!$J:$J,MATCH(D76,CV_RATES!$C:$C,0))),0))</f>
        <v>188.825392656303</v>
      </c>
      <c r="K76" s="10" t="n">
        <f aca="false">IF(A76="","",IFERROR(I76+H76*(J76-I76),0))</f>
        <v>166.712752771244</v>
      </c>
      <c r="L76" s="10" t="n">
        <f aca="false">IF(A76="","",IFERROR(K76*Inputs!$B$9,0))</f>
        <v>8335.63763856219</v>
      </c>
      <c r="M76" s="10" t="n">
        <f aca="false">IF(A76="","",IFERROR(K76*Inputs!$B$10,0))</f>
        <v>26673.5403051407</v>
      </c>
      <c r="N76" s="10" t="n">
        <f aca="false">IF(A76="","",Z75)</f>
        <v>0</v>
      </c>
      <c r="O76" s="6" t="n">
        <f aca="false">IF(A76="","",Inputs!$B$18+N76)</f>
        <v>50000</v>
      </c>
      <c r="P76" s="5" t="n">
        <f aca="false">IF(A76="","",VLOOKUP(D76,DIvidend_Assumption!$A$3:$CX$103,($E$2+2),0)/12)</f>
        <v>0</v>
      </c>
      <c r="Q76" s="10" t="n">
        <f aca="false">IF(A76="","",IFERROR(AB75*P76,""))</f>
        <v>0</v>
      </c>
      <c r="R76" s="10" t="n">
        <f aca="false">IF(A76="","",IFERROR(IF(Inputs!$B$22="Accumulate",T76+Q76,IF(Inputs!$B$22="Premium Offset",MAX(0,T76+Q76-Inputs!$B$25),T76)),""))</f>
        <v>0</v>
      </c>
      <c r="S76" s="10" t="n">
        <f aca="false">IF(A76="","",R75)</f>
        <v>0</v>
      </c>
      <c r="T76" s="10" t="n">
        <f aca="false">IF(A76="","",IFERROR(S76*(1+Inputs!$B$23/12),""))</f>
        <v>0</v>
      </c>
      <c r="U76" s="6" t="n">
        <f aca="false">IF(A76="","",IF(D76&lt;=Inputs!$B$8,IF(Inputs!$B$22="Premium Offset",MAX(0,Inputs!$B$25-(Q76+T76)),Inputs!$B$25),0))</f>
        <v>77</v>
      </c>
      <c r="V76" s="10" t="n">
        <f aca="false">IF(A76="","",IF(Inputs!$B$22="Cash",Q76,0))</f>
        <v>0</v>
      </c>
      <c r="W76" s="10" t="n">
        <f aca="false">IF(A76="","",IF(Inputs!$B$22="PUA",Q76,0))</f>
        <v>0</v>
      </c>
      <c r="X76" s="12" t="n">
        <f aca="false">IF(A76="","",IFERROR(INDEX(PUA_TABLE!$D$4:$D$105,MATCH(E76,PUA_TABLE!$C$4:$C$105,1)),0))</f>
        <v>0.352567610964992</v>
      </c>
      <c r="Y76" s="10" t="n">
        <f aca="false">IF(A76="","",IF(W76&gt;0,IF(X76&gt;0,W76/X76,0),0))</f>
        <v>0</v>
      </c>
      <c r="Z76" s="10" t="n">
        <f aca="false">IF(A76="","",N76+Y76)</f>
        <v>0</v>
      </c>
      <c r="AA76" s="10" t="n">
        <f aca="false">IF(A76="","",IFERROR(Z76*INDEX(PUA_TABLE!$I$4:$I$105,MATCH(E76,PUA_TABLE!$C$4:$C$105,1))/1000,0))</f>
        <v>0</v>
      </c>
      <c r="AB76" s="10" t="n">
        <f aca="false">IF(A76="","",IFERROR(L76+AA76,0))</f>
        <v>8335.63763856219</v>
      </c>
      <c r="AC76" s="10" t="n">
        <f aca="false">IF(A76="","",IF(Inputs!$B$22="Premium Offset",MIN(Inputs!$B$25,Q76+T76),0))</f>
        <v>0</v>
      </c>
    </row>
    <row r="77" customFormat="false" ht="15" hidden="false" customHeight="false" outlineLevel="0" collapsed="false">
      <c r="A77" s="1" t="n">
        <f aca="false">IF(A76="","",IF(INT((C76+1)/12)+Inputs!$B$7&gt;MAX(MORTALITY!$A:$A),"",Inputs!$B$4))</f>
        <v>34</v>
      </c>
      <c r="B77" s="3" t="n">
        <f aca="false">IF(A77="","",EOMONTH(B76,1))</f>
        <v>24015</v>
      </c>
      <c r="C77" s="1" t="n">
        <f aca="false">IF(A77="","",C76+1)</f>
        <v>75</v>
      </c>
      <c r="D77" s="1" t="n">
        <f aca="false">IF(A77="","",INT(C77/12))</f>
        <v>6</v>
      </c>
      <c r="E77" s="1" t="n">
        <f aca="false">IF(A77="","",D77+Inputs!$B$7)</f>
        <v>22</v>
      </c>
      <c r="F77" s="3" t="n">
        <f aca="false">IF(A77="","",DATE(YEAR(B$2)+D77,MONTH(B$2),DAY(B$2)))</f>
        <v>23898</v>
      </c>
      <c r="G77" s="3" t="n">
        <f aca="false">IF(A77="","",DATE(YEAR(F77)+1,MONTH(F77),DAY(F77)))</f>
        <v>24263</v>
      </c>
      <c r="H77" s="10" t="n">
        <f aca="false">IF(A77="","",IF(G77&gt;F77,(B77-F77)/(G77-F77),0))</f>
        <v>0.320547945205479</v>
      </c>
      <c r="I77" s="10" t="n">
        <f aca="false">IF(A77="","",IFERROR(INDEX(CV_RATES!$I:$I,MATCH(D77,CV_RATES!$C:$C,0)),0))</f>
        <v>159.792610073402</v>
      </c>
      <c r="J77" s="10" t="n">
        <f aca="false">IF(A77="","",IFERROR(IF(E77=MAX(MORTALITY!$A:$A),1000,INDEX(CV_RATES!$J:$J,MATCH(D77,CV_RATES!$C:$C,0))),0))</f>
        <v>188.825392656303</v>
      </c>
      <c r="K77" s="10" t="n">
        <f aca="false">IF(A77="","",IFERROR(I77+H77*(J77-I77),0))</f>
        <v>169.099008873948</v>
      </c>
      <c r="L77" s="10" t="n">
        <f aca="false">IF(A77="","",IFERROR(K77*Inputs!$B$9,0))</f>
        <v>8454.9504436974</v>
      </c>
      <c r="M77" s="10" t="n">
        <f aca="false">IF(A77="","",IFERROR(K77*Inputs!$B$10,0))</f>
        <v>27055.3341228051</v>
      </c>
      <c r="N77" s="10" t="n">
        <f aca="false">IF(A77="","",Z76)</f>
        <v>0</v>
      </c>
      <c r="O77" s="6" t="n">
        <f aca="false">IF(A77="","",Inputs!$B$18+N77)</f>
        <v>50000</v>
      </c>
      <c r="P77" s="5" t="n">
        <f aca="false">IF(A77="","",VLOOKUP(D77,DIvidend_Assumption!$A$3:$CX$103,($E$2+2),0)/12)</f>
        <v>0</v>
      </c>
      <c r="Q77" s="10" t="n">
        <f aca="false">IF(A77="","",IFERROR(AB76*P77,""))</f>
        <v>0</v>
      </c>
      <c r="R77" s="10" t="n">
        <f aca="false">IF(A77="","",IFERROR(IF(Inputs!$B$22="Accumulate",T77+Q77,IF(Inputs!$B$22="Premium Offset",MAX(0,T77+Q77-Inputs!$B$25),T77)),""))</f>
        <v>0</v>
      </c>
      <c r="S77" s="10" t="n">
        <f aca="false">IF(A77="","",R76)</f>
        <v>0</v>
      </c>
      <c r="T77" s="10" t="n">
        <f aca="false">IF(A77="","",IFERROR(S77*(1+Inputs!$B$23/12),""))</f>
        <v>0</v>
      </c>
      <c r="U77" s="6" t="n">
        <f aca="false">IF(A77="","",IF(D77&lt;=Inputs!$B$8,IF(Inputs!$B$22="Premium Offset",MAX(0,Inputs!$B$25-(Q77+T77)),Inputs!$B$25),0))</f>
        <v>77</v>
      </c>
      <c r="V77" s="10" t="n">
        <f aca="false">IF(A77="","",IF(Inputs!$B$22="Cash",Q77,0))</f>
        <v>0</v>
      </c>
      <c r="W77" s="10" t="n">
        <f aca="false">IF(A77="","",IF(Inputs!$B$22="PUA",Q77,0))</f>
        <v>0</v>
      </c>
      <c r="X77" s="12" t="n">
        <f aca="false">IF(A77="","",IFERROR(INDEX(PUA_TABLE!$D$4:$D$105,MATCH(E77,PUA_TABLE!$C$4:$C$105,1)),0))</f>
        <v>0.352567610964992</v>
      </c>
      <c r="Y77" s="10" t="n">
        <f aca="false">IF(A77="","",IF(W77&gt;0,IF(X77&gt;0,W77/X77,0),0))</f>
        <v>0</v>
      </c>
      <c r="Z77" s="10" t="n">
        <f aca="false">IF(A77="","",N77+Y77)</f>
        <v>0</v>
      </c>
      <c r="AA77" s="10" t="n">
        <f aca="false">IF(A77="","",IFERROR(Z77*INDEX(PUA_TABLE!$I$4:$I$105,MATCH(E77,PUA_TABLE!$C$4:$C$105,1))/1000,0))</f>
        <v>0</v>
      </c>
      <c r="AB77" s="10" t="n">
        <f aca="false">IF(A77="","",IFERROR(L77+AA77,0))</f>
        <v>8454.9504436974</v>
      </c>
      <c r="AC77" s="10" t="n">
        <f aca="false">IF(A77="","",IF(Inputs!$B$22="Premium Offset",MIN(Inputs!$B$25,Q77+T77),0))</f>
        <v>0</v>
      </c>
    </row>
    <row r="78" customFormat="false" ht="15" hidden="false" customHeight="false" outlineLevel="0" collapsed="false">
      <c r="A78" s="1" t="n">
        <f aca="false">IF(A77="","",IF(INT((C77+1)/12)+Inputs!$B$7&gt;MAX(MORTALITY!$A:$A),"",Inputs!$B$4))</f>
        <v>34</v>
      </c>
      <c r="B78" s="3" t="n">
        <f aca="false">IF(A78="","",EOMONTH(B77,1))</f>
        <v>24046</v>
      </c>
      <c r="C78" s="1" t="n">
        <f aca="false">IF(A78="","",C77+1)</f>
        <v>76</v>
      </c>
      <c r="D78" s="1" t="n">
        <f aca="false">IF(A78="","",INT(C78/12))</f>
        <v>6</v>
      </c>
      <c r="E78" s="1" t="n">
        <f aca="false">IF(A78="","",D78+Inputs!$B$7)</f>
        <v>22</v>
      </c>
      <c r="F78" s="3" t="n">
        <f aca="false">IF(A78="","",DATE(YEAR(B$2)+D78,MONTH(B$2),DAY(B$2)))</f>
        <v>23898</v>
      </c>
      <c r="G78" s="3" t="n">
        <f aca="false">IF(A78="","",DATE(YEAR(F78)+1,MONTH(F78),DAY(F78)))</f>
        <v>24263</v>
      </c>
      <c r="H78" s="10" t="n">
        <f aca="false">IF(A78="","",IF(G78&gt;F78,(B78-F78)/(G78-F78),0))</f>
        <v>0.405479452054795</v>
      </c>
      <c r="I78" s="10" t="n">
        <f aca="false">IF(A78="","",IFERROR(INDEX(CV_RATES!$I:$I,MATCH(D78,CV_RATES!$C:$C,0)),0))</f>
        <v>159.792610073402</v>
      </c>
      <c r="J78" s="10" t="n">
        <f aca="false">IF(A78="","",IFERROR(IF(E78=MAX(MORTALITY!$A:$A),1000,INDEX(CV_RATES!$J:$J,MATCH(D78,CV_RATES!$C:$C,0))),0))</f>
        <v>188.825392656303</v>
      </c>
      <c r="K78" s="10" t="n">
        <f aca="false">IF(A78="","",IFERROR(I78+H78*(J78-I78),0))</f>
        <v>171.564806846742</v>
      </c>
      <c r="L78" s="10" t="n">
        <f aca="false">IF(A78="","",IFERROR(K78*Inputs!$B$9,0))</f>
        <v>8578.24034233711</v>
      </c>
      <c r="M78" s="10" t="n">
        <f aca="false">IF(A78="","",IFERROR(K78*Inputs!$B$10,0))</f>
        <v>27449.8544010582</v>
      </c>
      <c r="N78" s="10" t="n">
        <f aca="false">IF(A78="","",Z77)</f>
        <v>0</v>
      </c>
      <c r="O78" s="6" t="n">
        <f aca="false">IF(A78="","",Inputs!$B$18+N78)</f>
        <v>50000</v>
      </c>
      <c r="P78" s="5" t="n">
        <f aca="false">IF(A78="","",VLOOKUP(D78,DIvidend_Assumption!$A$3:$CX$103,($E$2+2),0)/12)</f>
        <v>0</v>
      </c>
      <c r="Q78" s="10" t="n">
        <f aca="false">IF(A78="","",IFERROR(AB77*P78,""))</f>
        <v>0</v>
      </c>
      <c r="R78" s="10" t="n">
        <f aca="false">IF(A78="","",IFERROR(IF(Inputs!$B$22="Accumulate",T78+Q78,IF(Inputs!$B$22="Premium Offset",MAX(0,T78+Q78-Inputs!$B$25),T78)),""))</f>
        <v>0</v>
      </c>
      <c r="S78" s="10" t="n">
        <f aca="false">IF(A78="","",R77)</f>
        <v>0</v>
      </c>
      <c r="T78" s="10" t="n">
        <f aca="false">IF(A78="","",IFERROR(S78*(1+Inputs!$B$23/12),""))</f>
        <v>0</v>
      </c>
      <c r="U78" s="6" t="n">
        <f aca="false">IF(A78="","",IF(D78&lt;=Inputs!$B$8,IF(Inputs!$B$22="Premium Offset",MAX(0,Inputs!$B$25-(Q78+T78)),Inputs!$B$25),0))</f>
        <v>77</v>
      </c>
      <c r="V78" s="10" t="n">
        <f aca="false">IF(A78="","",IF(Inputs!$B$22="Cash",Q78,0))</f>
        <v>0</v>
      </c>
      <c r="W78" s="10" t="n">
        <f aca="false">IF(A78="","",IF(Inputs!$B$22="PUA",Q78,0))</f>
        <v>0</v>
      </c>
      <c r="X78" s="12" t="n">
        <f aca="false">IF(A78="","",IFERROR(INDEX(PUA_TABLE!$D$4:$D$105,MATCH(E78,PUA_TABLE!$C$4:$C$105,1)),0))</f>
        <v>0.352567610964992</v>
      </c>
      <c r="Y78" s="10" t="n">
        <f aca="false">IF(A78="","",IF(W78&gt;0,IF(X78&gt;0,W78/X78,0),0))</f>
        <v>0</v>
      </c>
      <c r="Z78" s="10" t="n">
        <f aca="false">IF(A78="","",N78+Y78)</f>
        <v>0</v>
      </c>
      <c r="AA78" s="10" t="n">
        <f aca="false">IF(A78="","",IFERROR(Z78*INDEX(PUA_TABLE!$I$4:$I$105,MATCH(E78,PUA_TABLE!$C$4:$C$105,1))/1000,0))</f>
        <v>0</v>
      </c>
      <c r="AB78" s="10" t="n">
        <f aca="false">IF(A78="","",IFERROR(L78+AA78,0))</f>
        <v>8578.24034233711</v>
      </c>
      <c r="AC78" s="10" t="n">
        <f aca="false">IF(A78="","",IF(Inputs!$B$22="Premium Offset",MIN(Inputs!$B$25,Q78+T78),0))</f>
        <v>0</v>
      </c>
    </row>
    <row r="79" customFormat="false" ht="15" hidden="false" customHeight="false" outlineLevel="0" collapsed="false">
      <c r="A79" s="1" t="n">
        <f aca="false">IF(A78="","",IF(INT((C78+1)/12)+Inputs!$B$7&gt;MAX(MORTALITY!$A:$A),"",Inputs!$B$4))</f>
        <v>34</v>
      </c>
      <c r="B79" s="3" t="n">
        <f aca="false">IF(A79="","",EOMONTH(B78,1))</f>
        <v>24076</v>
      </c>
      <c r="C79" s="1" t="n">
        <f aca="false">IF(A79="","",C78+1)</f>
        <v>77</v>
      </c>
      <c r="D79" s="1" t="n">
        <f aca="false">IF(A79="","",INT(C79/12))</f>
        <v>6</v>
      </c>
      <c r="E79" s="1" t="n">
        <f aca="false">IF(A79="","",D79+Inputs!$B$7)</f>
        <v>22</v>
      </c>
      <c r="F79" s="3" t="n">
        <f aca="false">IF(A79="","",DATE(YEAR(B$2)+D79,MONTH(B$2),DAY(B$2)))</f>
        <v>23898</v>
      </c>
      <c r="G79" s="3" t="n">
        <f aca="false">IF(A79="","",DATE(YEAR(F79)+1,MONTH(F79),DAY(F79)))</f>
        <v>24263</v>
      </c>
      <c r="H79" s="10" t="n">
        <f aca="false">IF(A79="","",IF(G79&gt;F79,(B79-F79)/(G79-F79),0))</f>
        <v>0.487671232876712</v>
      </c>
      <c r="I79" s="10" t="n">
        <f aca="false">IF(A79="","",IFERROR(INDEX(CV_RATES!$I:$I,MATCH(D79,CV_RATES!$C:$C,0)),0))</f>
        <v>159.792610073402</v>
      </c>
      <c r="J79" s="10" t="n">
        <f aca="false">IF(A79="","",IFERROR(IF(E79=MAX(MORTALITY!$A:$A),1000,INDEX(CV_RATES!$J:$J,MATCH(D79,CV_RATES!$C:$C,0))),0))</f>
        <v>188.825392656303</v>
      </c>
      <c r="K79" s="10" t="n">
        <f aca="false">IF(A79="","",IFERROR(I79+H79*(J79-I79),0))</f>
        <v>173.951062949446</v>
      </c>
      <c r="L79" s="10" t="n">
        <f aca="false">IF(A79="","",IFERROR(K79*Inputs!$B$9,0))</f>
        <v>8697.55314747233</v>
      </c>
      <c r="M79" s="10" t="n">
        <f aca="false">IF(A79="","",IFERROR(K79*Inputs!$B$10,0))</f>
        <v>27831.6482187226</v>
      </c>
      <c r="N79" s="10" t="n">
        <f aca="false">IF(A79="","",Z78)</f>
        <v>0</v>
      </c>
      <c r="O79" s="6" t="n">
        <f aca="false">IF(A79="","",Inputs!$B$18+N79)</f>
        <v>50000</v>
      </c>
      <c r="P79" s="5" t="n">
        <f aca="false">IF(A79="","",VLOOKUP(D79,DIvidend_Assumption!$A$3:$CX$103,($E$2+2),0)/12)</f>
        <v>0</v>
      </c>
      <c r="Q79" s="10" t="n">
        <f aca="false">IF(A79="","",IFERROR(AB78*P79,""))</f>
        <v>0</v>
      </c>
      <c r="R79" s="10" t="n">
        <f aca="false">IF(A79="","",IFERROR(IF(Inputs!$B$22="Accumulate",T79+Q79,IF(Inputs!$B$22="Premium Offset",MAX(0,T79+Q79-Inputs!$B$25),T79)),""))</f>
        <v>0</v>
      </c>
      <c r="S79" s="10" t="n">
        <f aca="false">IF(A79="","",R78)</f>
        <v>0</v>
      </c>
      <c r="T79" s="10" t="n">
        <f aca="false">IF(A79="","",IFERROR(S79*(1+Inputs!$B$23/12),""))</f>
        <v>0</v>
      </c>
      <c r="U79" s="6" t="n">
        <f aca="false">IF(A79="","",IF(D79&lt;=Inputs!$B$8,IF(Inputs!$B$22="Premium Offset",MAX(0,Inputs!$B$25-(Q79+T79)),Inputs!$B$25),0))</f>
        <v>77</v>
      </c>
      <c r="V79" s="10" t="n">
        <f aca="false">IF(A79="","",IF(Inputs!$B$22="Cash",Q79,0))</f>
        <v>0</v>
      </c>
      <c r="W79" s="10" t="n">
        <f aca="false">IF(A79="","",IF(Inputs!$B$22="PUA",Q79,0))</f>
        <v>0</v>
      </c>
      <c r="X79" s="12" t="n">
        <f aca="false">IF(A79="","",IFERROR(INDEX(PUA_TABLE!$D$4:$D$105,MATCH(E79,PUA_TABLE!$C$4:$C$105,1)),0))</f>
        <v>0.352567610964992</v>
      </c>
      <c r="Y79" s="10" t="n">
        <f aca="false">IF(A79="","",IF(W79&gt;0,IF(X79&gt;0,W79/X79,0),0))</f>
        <v>0</v>
      </c>
      <c r="Z79" s="10" t="n">
        <f aca="false">IF(A79="","",N79+Y79)</f>
        <v>0</v>
      </c>
      <c r="AA79" s="10" t="n">
        <f aca="false">IF(A79="","",IFERROR(Z79*INDEX(PUA_TABLE!$I$4:$I$105,MATCH(E79,PUA_TABLE!$C$4:$C$105,1))/1000,0))</f>
        <v>0</v>
      </c>
      <c r="AB79" s="10" t="n">
        <f aca="false">IF(A79="","",IFERROR(L79+AA79,0))</f>
        <v>8697.55314747233</v>
      </c>
      <c r="AC79" s="10" t="n">
        <f aca="false">IF(A79="","",IF(Inputs!$B$22="Premium Offset",MIN(Inputs!$B$25,Q79+T79),0))</f>
        <v>0</v>
      </c>
    </row>
    <row r="80" customFormat="false" ht="15" hidden="false" customHeight="false" outlineLevel="0" collapsed="false">
      <c r="A80" s="1" t="n">
        <f aca="false">IF(A79="","",IF(INT((C79+1)/12)+Inputs!$B$7&gt;MAX(MORTALITY!$A:$A),"",Inputs!$B$4))</f>
        <v>34</v>
      </c>
      <c r="B80" s="3" t="n">
        <f aca="false">IF(A80="","",EOMONTH(B79,1))</f>
        <v>24107</v>
      </c>
      <c r="C80" s="1" t="n">
        <f aca="false">IF(A80="","",C79+1)</f>
        <v>78</v>
      </c>
      <c r="D80" s="1" t="n">
        <f aca="false">IF(A80="","",INT(C80/12))</f>
        <v>6</v>
      </c>
      <c r="E80" s="1" t="n">
        <f aca="false">IF(A80="","",D80+Inputs!$B$7)</f>
        <v>22</v>
      </c>
      <c r="F80" s="3" t="n">
        <f aca="false">IF(A80="","",DATE(YEAR(B$2)+D80,MONTH(B$2),DAY(B$2)))</f>
        <v>23898</v>
      </c>
      <c r="G80" s="3" t="n">
        <f aca="false">IF(A80="","",DATE(YEAR(F80)+1,MONTH(F80),DAY(F80)))</f>
        <v>24263</v>
      </c>
      <c r="H80" s="10" t="n">
        <f aca="false">IF(A80="","",IF(G80&gt;F80,(B80-F80)/(G80-F80),0))</f>
        <v>0.572602739726027</v>
      </c>
      <c r="I80" s="10" t="n">
        <f aca="false">IF(A80="","",IFERROR(INDEX(CV_RATES!$I:$I,MATCH(D80,CV_RATES!$C:$C,0)),0))</f>
        <v>159.792610073402</v>
      </c>
      <c r="J80" s="10" t="n">
        <f aca="false">IF(A80="","",IFERROR(IF(E80=MAX(MORTALITY!$A:$A),1000,INDEX(CV_RATES!$J:$J,MATCH(D80,CV_RATES!$C:$C,0))),0))</f>
        <v>188.825392656303</v>
      </c>
      <c r="K80" s="10" t="n">
        <f aca="false">IF(A80="","",IFERROR(I80+H80*(J80-I80),0))</f>
        <v>176.416860922241</v>
      </c>
      <c r="L80" s="10" t="n">
        <f aca="false">IF(A80="","",IFERROR(K80*Inputs!$B$9,0))</f>
        <v>8820.84304611204</v>
      </c>
      <c r="M80" s="10" t="n">
        <f aca="false">IF(A80="","",IFERROR(K80*Inputs!$B$10,0))</f>
        <v>28226.1684969758</v>
      </c>
      <c r="N80" s="10" t="n">
        <f aca="false">IF(A80="","",Z79)</f>
        <v>0</v>
      </c>
      <c r="O80" s="6" t="n">
        <f aca="false">IF(A80="","",Inputs!$B$18+N80)</f>
        <v>50000</v>
      </c>
      <c r="P80" s="5" t="n">
        <f aca="false">IF(A80="","",VLOOKUP(D80,DIvidend_Assumption!$A$3:$CX$103,($E$2+2),0)/12)</f>
        <v>0</v>
      </c>
      <c r="Q80" s="10" t="n">
        <f aca="false">IF(A80="","",IFERROR(AB79*P80,""))</f>
        <v>0</v>
      </c>
      <c r="R80" s="10" t="n">
        <f aca="false">IF(A80="","",IFERROR(IF(Inputs!$B$22="Accumulate",T80+Q80,IF(Inputs!$B$22="Premium Offset",MAX(0,T80+Q80-Inputs!$B$25),T80)),""))</f>
        <v>0</v>
      </c>
      <c r="S80" s="10" t="n">
        <f aca="false">IF(A80="","",R79)</f>
        <v>0</v>
      </c>
      <c r="T80" s="10" t="n">
        <f aca="false">IF(A80="","",IFERROR(S80*(1+Inputs!$B$23/12),""))</f>
        <v>0</v>
      </c>
      <c r="U80" s="6" t="n">
        <f aca="false">IF(A80="","",IF(D80&lt;=Inputs!$B$8,IF(Inputs!$B$22="Premium Offset",MAX(0,Inputs!$B$25-(Q80+T80)),Inputs!$B$25),0))</f>
        <v>77</v>
      </c>
      <c r="V80" s="10" t="n">
        <f aca="false">IF(A80="","",IF(Inputs!$B$22="Cash",Q80,0))</f>
        <v>0</v>
      </c>
      <c r="W80" s="10" t="n">
        <f aca="false">IF(A80="","",IF(Inputs!$B$22="PUA",Q80,0))</f>
        <v>0</v>
      </c>
      <c r="X80" s="12" t="n">
        <f aca="false">IF(A80="","",IFERROR(INDEX(PUA_TABLE!$D$4:$D$105,MATCH(E80,PUA_TABLE!$C$4:$C$105,1)),0))</f>
        <v>0.352567610964992</v>
      </c>
      <c r="Y80" s="10" t="n">
        <f aca="false">IF(A80="","",IF(W80&gt;0,IF(X80&gt;0,W80/X80,0),0))</f>
        <v>0</v>
      </c>
      <c r="Z80" s="10" t="n">
        <f aca="false">IF(A80="","",N80+Y80)</f>
        <v>0</v>
      </c>
      <c r="AA80" s="10" t="n">
        <f aca="false">IF(A80="","",IFERROR(Z80*INDEX(PUA_TABLE!$I$4:$I$105,MATCH(E80,PUA_TABLE!$C$4:$C$105,1))/1000,0))</f>
        <v>0</v>
      </c>
      <c r="AB80" s="10" t="n">
        <f aca="false">IF(A80="","",IFERROR(L80+AA80,0))</f>
        <v>8820.84304611204</v>
      </c>
      <c r="AC80" s="10" t="n">
        <f aca="false">IF(A80="","",IF(Inputs!$B$22="Premium Offset",MIN(Inputs!$B$25,Q80+T80),0))</f>
        <v>0</v>
      </c>
    </row>
    <row r="81" customFormat="false" ht="15" hidden="false" customHeight="false" outlineLevel="0" collapsed="false">
      <c r="A81" s="1" t="n">
        <f aca="false">IF(A80="","",IF(INT((C80+1)/12)+Inputs!$B$7&gt;MAX(MORTALITY!$A:$A),"",Inputs!$B$4))</f>
        <v>34</v>
      </c>
      <c r="B81" s="3" t="n">
        <f aca="false">IF(A81="","",EOMONTH(B80,1))</f>
        <v>24138</v>
      </c>
      <c r="C81" s="1" t="n">
        <f aca="false">IF(A81="","",C80+1)</f>
        <v>79</v>
      </c>
      <c r="D81" s="1" t="n">
        <f aca="false">IF(A81="","",INT(C81/12))</f>
        <v>6</v>
      </c>
      <c r="E81" s="1" t="n">
        <f aca="false">IF(A81="","",D81+Inputs!$B$7)</f>
        <v>22</v>
      </c>
      <c r="F81" s="3" t="n">
        <f aca="false">IF(A81="","",DATE(YEAR(B$2)+D81,MONTH(B$2),DAY(B$2)))</f>
        <v>23898</v>
      </c>
      <c r="G81" s="3" t="n">
        <f aca="false">IF(A81="","",DATE(YEAR(F81)+1,MONTH(F81),DAY(F81)))</f>
        <v>24263</v>
      </c>
      <c r="H81" s="10" t="n">
        <f aca="false">IF(A81="","",IF(G81&gt;F81,(B81-F81)/(G81-F81),0))</f>
        <v>0.657534246575342</v>
      </c>
      <c r="I81" s="10" t="n">
        <f aca="false">IF(A81="","",IFERROR(INDEX(CV_RATES!$I:$I,MATCH(D81,CV_RATES!$C:$C,0)),0))</f>
        <v>159.792610073402</v>
      </c>
      <c r="J81" s="10" t="n">
        <f aca="false">IF(A81="","",IFERROR(IF(E81=MAX(MORTALITY!$A:$A),1000,INDEX(CV_RATES!$J:$J,MATCH(D81,CV_RATES!$C:$C,0))),0))</f>
        <v>188.825392656303</v>
      </c>
      <c r="K81" s="10" t="n">
        <f aca="false">IF(A81="","",IFERROR(I81+H81*(J81-I81),0))</f>
        <v>178.882658895035</v>
      </c>
      <c r="L81" s="10" t="n">
        <f aca="false">IF(A81="","",IFERROR(K81*Inputs!$B$9,0))</f>
        <v>8944.13294475176</v>
      </c>
      <c r="M81" s="10" t="n">
        <f aca="false">IF(A81="","",IFERROR(K81*Inputs!$B$10,0))</f>
        <v>28620.6887752289</v>
      </c>
      <c r="N81" s="10" t="n">
        <f aca="false">IF(A81="","",Z80)</f>
        <v>0</v>
      </c>
      <c r="O81" s="6" t="n">
        <f aca="false">IF(A81="","",Inputs!$B$18+N81)</f>
        <v>50000</v>
      </c>
      <c r="P81" s="5" t="n">
        <f aca="false">IF(A81="","",VLOOKUP(D81,DIvidend_Assumption!$A$3:$CX$103,($E$2+2),0)/12)</f>
        <v>0</v>
      </c>
      <c r="Q81" s="10" t="n">
        <f aca="false">IF(A81="","",IFERROR(AB80*P81,""))</f>
        <v>0</v>
      </c>
      <c r="R81" s="10" t="n">
        <f aca="false">IF(A81="","",IFERROR(IF(Inputs!$B$22="Accumulate",T81+Q81,IF(Inputs!$B$22="Premium Offset",MAX(0,T81+Q81-Inputs!$B$25),T81)),""))</f>
        <v>0</v>
      </c>
      <c r="S81" s="10" t="n">
        <f aca="false">IF(A81="","",R80)</f>
        <v>0</v>
      </c>
      <c r="T81" s="10" t="n">
        <f aca="false">IF(A81="","",IFERROR(S81*(1+Inputs!$B$23/12),""))</f>
        <v>0</v>
      </c>
      <c r="U81" s="6" t="n">
        <f aca="false">IF(A81="","",IF(D81&lt;=Inputs!$B$8,IF(Inputs!$B$22="Premium Offset",MAX(0,Inputs!$B$25-(Q81+T81)),Inputs!$B$25),0))</f>
        <v>77</v>
      </c>
      <c r="V81" s="10" t="n">
        <f aca="false">IF(A81="","",IF(Inputs!$B$22="Cash",Q81,0))</f>
        <v>0</v>
      </c>
      <c r="W81" s="10" t="n">
        <f aca="false">IF(A81="","",IF(Inputs!$B$22="PUA",Q81,0))</f>
        <v>0</v>
      </c>
      <c r="X81" s="12" t="n">
        <f aca="false">IF(A81="","",IFERROR(INDEX(PUA_TABLE!$D$4:$D$105,MATCH(E81,PUA_TABLE!$C$4:$C$105,1)),0))</f>
        <v>0.352567610964992</v>
      </c>
      <c r="Y81" s="10" t="n">
        <f aca="false">IF(A81="","",IF(W81&gt;0,IF(X81&gt;0,W81/X81,0),0))</f>
        <v>0</v>
      </c>
      <c r="Z81" s="10" t="n">
        <f aca="false">IF(A81="","",N81+Y81)</f>
        <v>0</v>
      </c>
      <c r="AA81" s="10" t="n">
        <f aca="false">IF(A81="","",IFERROR(Z81*INDEX(PUA_TABLE!$I$4:$I$105,MATCH(E81,PUA_TABLE!$C$4:$C$105,1))/1000,0))</f>
        <v>0</v>
      </c>
      <c r="AB81" s="10" t="n">
        <f aca="false">IF(A81="","",IFERROR(L81+AA81,0))</f>
        <v>8944.13294475176</v>
      </c>
      <c r="AC81" s="10" t="n">
        <f aca="false">IF(A81="","",IF(Inputs!$B$22="Premium Offset",MIN(Inputs!$B$25,Q81+T81),0))</f>
        <v>0</v>
      </c>
    </row>
    <row r="82" customFormat="false" ht="15" hidden="false" customHeight="false" outlineLevel="0" collapsed="false">
      <c r="A82" s="1" t="n">
        <f aca="false">IF(A81="","",IF(INT((C81+1)/12)+Inputs!$B$7&gt;MAX(MORTALITY!$A:$A),"",Inputs!$B$4))</f>
        <v>34</v>
      </c>
      <c r="B82" s="3" t="n">
        <f aca="false">IF(A82="","",EOMONTH(B81,1))</f>
        <v>24166</v>
      </c>
      <c r="C82" s="1" t="n">
        <f aca="false">IF(A82="","",C81+1)</f>
        <v>80</v>
      </c>
      <c r="D82" s="1" t="n">
        <f aca="false">IF(A82="","",INT(C82/12))</f>
        <v>6</v>
      </c>
      <c r="E82" s="1" t="n">
        <f aca="false">IF(A82="","",D82+Inputs!$B$7)</f>
        <v>22</v>
      </c>
      <c r="F82" s="3" t="n">
        <f aca="false">IF(A82="","",DATE(YEAR(B$2)+D82,MONTH(B$2),DAY(B$2)))</f>
        <v>23898</v>
      </c>
      <c r="G82" s="3" t="n">
        <f aca="false">IF(A82="","",DATE(YEAR(F82)+1,MONTH(F82),DAY(F82)))</f>
        <v>24263</v>
      </c>
      <c r="H82" s="10" t="n">
        <f aca="false">IF(A82="","",IF(G82&gt;F82,(B82-F82)/(G82-F82),0))</f>
        <v>0.734246575342466</v>
      </c>
      <c r="I82" s="10" t="n">
        <f aca="false">IF(A82="","",IFERROR(INDEX(CV_RATES!$I:$I,MATCH(D82,CV_RATES!$C:$C,0)),0))</f>
        <v>159.792610073402</v>
      </c>
      <c r="J82" s="10" t="n">
        <f aca="false">IF(A82="","",IFERROR(IF(E82=MAX(MORTALITY!$A:$A),1000,INDEX(CV_RATES!$J:$J,MATCH(D82,CV_RATES!$C:$C,0))),0))</f>
        <v>188.825392656303</v>
      </c>
      <c r="K82" s="10" t="n">
        <f aca="false">IF(A82="","",IFERROR(I82+H82*(J82-I82),0))</f>
        <v>181.109831257559</v>
      </c>
      <c r="L82" s="10" t="n">
        <f aca="false">IF(A82="","",IFERROR(K82*Inputs!$B$9,0))</f>
        <v>9055.49156287795</v>
      </c>
      <c r="M82" s="10" t="n">
        <f aca="false">IF(A82="","",IFERROR(K82*Inputs!$B$10,0))</f>
        <v>28977.0296717157</v>
      </c>
      <c r="N82" s="10" t="n">
        <f aca="false">IF(A82="","",Z81)</f>
        <v>0</v>
      </c>
      <c r="O82" s="6" t="n">
        <f aca="false">IF(A82="","",Inputs!$B$18+N82)</f>
        <v>50000</v>
      </c>
      <c r="P82" s="5" t="n">
        <f aca="false">IF(A82="","",VLOOKUP(D82,DIvidend_Assumption!$A$3:$CX$103,($E$2+2),0)/12)</f>
        <v>0</v>
      </c>
      <c r="Q82" s="10" t="n">
        <f aca="false">IF(A82="","",IFERROR(AB81*P82,""))</f>
        <v>0</v>
      </c>
      <c r="R82" s="10" t="n">
        <f aca="false">IF(A82="","",IFERROR(IF(Inputs!$B$22="Accumulate",T82+Q82,IF(Inputs!$B$22="Premium Offset",MAX(0,T82+Q82-Inputs!$B$25),T82)),""))</f>
        <v>0</v>
      </c>
      <c r="S82" s="10" t="n">
        <f aca="false">IF(A82="","",R81)</f>
        <v>0</v>
      </c>
      <c r="T82" s="10" t="n">
        <f aca="false">IF(A82="","",IFERROR(S82*(1+Inputs!$B$23/12),""))</f>
        <v>0</v>
      </c>
      <c r="U82" s="6" t="n">
        <f aca="false">IF(A82="","",IF(D82&lt;=Inputs!$B$8,IF(Inputs!$B$22="Premium Offset",MAX(0,Inputs!$B$25-(Q82+T82)),Inputs!$B$25),0))</f>
        <v>77</v>
      </c>
      <c r="V82" s="10" t="n">
        <f aca="false">IF(A82="","",IF(Inputs!$B$22="Cash",Q82,0))</f>
        <v>0</v>
      </c>
      <c r="W82" s="10" t="n">
        <f aca="false">IF(A82="","",IF(Inputs!$B$22="PUA",Q82,0))</f>
        <v>0</v>
      </c>
      <c r="X82" s="12" t="n">
        <f aca="false">IF(A82="","",IFERROR(INDEX(PUA_TABLE!$D$4:$D$105,MATCH(E82,PUA_TABLE!$C$4:$C$105,1)),0))</f>
        <v>0.352567610964992</v>
      </c>
      <c r="Y82" s="10" t="n">
        <f aca="false">IF(A82="","",IF(W82&gt;0,IF(X82&gt;0,W82/X82,0),0))</f>
        <v>0</v>
      </c>
      <c r="Z82" s="10" t="n">
        <f aca="false">IF(A82="","",N82+Y82)</f>
        <v>0</v>
      </c>
      <c r="AA82" s="10" t="n">
        <f aca="false">IF(A82="","",IFERROR(Z82*INDEX(PUA_TABLE!$I$4:$I$105,MATCH(E82,PUA_TABLE!$C$4:$C$105,1))/1000,0))</f>
        <v>0</v>
      </c>
      <c r="AB82" s="10" t="n">
        <f aca="false">IF(A82="","",IFERROR(L82+AA82,0))</f>
        <v>9055.49156287795</v>
      </c>
      <c r="AC82" s="10" t="n">
        <f aca="false">IF(A82="","",IF(Inputs!$B$22="Premium Offset",MIN(Inputs!$B$25,Q82+T82),0))</f>
        <v>0</v>
      </c>
    </row>
    <row r="83" customFormat="false" ht="15" hidden="false" customHeight="false" outlineLevel="0" collapsed="false">
      <c r="A83" s="1" t="n">
        <f aca="false">IF(A82="","",IF(INT((C82+1)/12)+Inputs!$B$7&gt;MAX(MORTALITY!$A:$A),"",Inputs!$B$4))</f>
        <v>34</v>
      </c>
      <c r="B83" s="3" t="n">
        <f aca="false">IF(A83="","",EOMONTH(B82,1))</f>
        <v>24197</v>
      </c>
      <c r="C83" s="1" t="n">
        <f aca="false">IF(A83="","",C82+1)</f>
        <v>81</v>
      </c>
      <c r="D83" s="1" t="n">
        <f aca="false">IF(A83="","",INT(C83/12))</f>
        <v>6</v>
      </c>
      <c r="E83" s="1" t="n">
        <f aca="false">IF(A83="","",D83+Inputs!$B$7)</f>
        <v>22</v>
      </c>
      <c r="F83" s="3" t="n">
        <f aca="false">IF(A83="","",DATE(YEAR(B$2)+D83,MONTH(B$2),DAY(B$2)))</f>
        <v>23898</v>
      </c>
      <c r="G83" s="3" t="n">
        <f aca="false">IF(A83="","",DATE(YEAR(F83)+1,MONTH(F83),DAY(F83)))</f>
        <v>24263</v>
      </c>
      <c r="H83" s="10" t="n">
        <f aca="false">IF(A83="","",IF(G83&gt;F83,(B83-F83)/(G83-F83),0))</f>
        <v>0.819178082191781</v>
      </c>
      <c r="I83" s="10" t="n">
        <f aca="false">IF(A83="","",IFERROR(INDEX(CV_RATES!$I:$I,MATCH(D83,CV_RATES!$C:$C,0)),0))</f>
        <v>159.792610073402</v>
      </c>
      <c r="J83" s="10" t="n">
        <f aca="false">IF(A83="","",IFERROR(IF(E83=MAX(MORTALITY!$A:$A),1000,INDEX(CV_RATES!$J:$J,MATCH(D83,CV_RATES!$C:$C,0))),0))</f>
        <v>188.825392656303</v>
      </c>
      <c r="K83" s="10" t="n">
        <f aca="false">IF(A83="","",IFERROR(I83+H83*(J83-I83),0))</f>
        <v>183.575629230353</v>
      </c>
      <c r="L83" s="10" t="n">
        <f aca="false">IF(A83="","",IFERROR(K83*Inputs!$B$9,0))</f>
        <v>9178.78146151767</v>
      </c>
      <c r="M83" s="10" t="n">
        <f aca="false">IF(A83="","",IFERROR(K83*Inputs!$B$10,0))</f>
        <v>29371.5499499688</v>
      </c>
      <c r="N83" s="10" t="n">
        <f aca="false">IF(A83="","",Z82)</f>
        <v>0</v>
      </c>
      <c r="O83" s="6" t="n">
        <f aca="false">IF(A83="","",Inputs!$B$18+N83)</f>
        <v>50000</v>
      </c>
      <c r="P83" s="5" t="n">
        <f aca="false">IF(A83="","",VLOOKUP(D83,DIvidend_Assumption!$A$3:$CX$103,($E$2+2),0)/12)</f>
        <v>0</v>
      </c>
      <c r="Q83" s="10" t="n">
        <f aca="false">IF(A83="","",IFERROR(AB82*P83,""))</f>
        <v>0</v>
      </c>
      <c r="R83" s="10" t="n">
        <f aca="false">IF(A83="","",IFERROR(IF(Inputs!$B$22="Accumulate",T83+Q83,IF(Inputs!$B$22="Premium Offset",MAX(0,T83+Q83-Inputs!$B$25),T83)),""))</f>
        <v>0</v>
      </c>
      <c r="S83" s="10" t="n">
        <f aca="false">IF(A83="","",R82)</f>
        <v>0</v>
      </c>
      <c r="T83" s="10" t="n">
        <f aca="false">IF(A83="","",IFERROR(S83*(1+Inputs!$B$23/12),""))</f>
        <v>0</v>
      </c>
      <c r="U83" s="6" t="n">
        <f aca="false">IF(A83="","",IF(D83&lt;=Inputs!$B$8,IF(Inputs!$B$22="Premium Offset",MAX(0,Inputs!$B$25-(Q83+T83)),Inputs!$B$25),0))</f>
        <v>77</v>
      </c>
      <c r="V83" s="10" t="n">
        <f aca="false">IF(A83="","",IF(Inputs!$B$22="Cash",Q83,0))</f>
        <v>0</v>
      </c>
      <c r="W83" s="10" t="n">
        <f aca="false">IF(A83="","",IF(Inputs!$B$22="PUA",Q83,0))</f>
        <v>0</v>
      </c>
      <c r="X83" s="12" t="n">
        <f aca="false">IF(A83="","",IFERROR(INDEX(PUA_TABLE!$D$4:$D$105,MATCH(E83,PUA_TABLE!$C$4:$C$105,1)),0))</f>
        <v>0.352567610964992</v>
      </c>
      <c r="Y83" s="10" t="n">
        <f aca="false">IF(A83="","",IF(W83&gt;0,IF(X83&gt;0,W83/X83,0),0))</f>
        <v>0</v>
      </c>
      <c r="Z83" s="10" t="n">
        <f aca="false">IF(A83="","",N83+Y83)</f>
        <v>0</v>
      </c>
      <c r="AA83" s="10" t="n">
        <f aca="false">IF(A83="","",IFERROR(Z83*INDEX(PUA_TABLE!$I$4:$I$105,MATCH(E83,PUA_TABLE!$C$4:$C$105,1))/1000,0))</f>
        <v>0</v>
      </c>
      <c r="AB83" s="10" t="n">
        <f aca="false">IF(A83="","",IFERROR(L83+AA83,0))</f>
        <v>9178.78146151767</v>
      </c>
      <c r="AC83" s="10" t="n">
        <f aca="false">IF(A83="","",IF(Inputs!$B$22="Premium Offset",MIN(Inputs!$B$25,Q83+T83),0))</f>
        <v>0</v>
      </c>
    </row>
    <row r="84" customFormat="false" ht="15" hidden="false" customHeight="false" outlineLevel="0" collapsed="false">
      <c r="A84" s="1" t="n">
        <f aca="false">IF(A83="","",IF(INT((C83+1)/12)+Inputs!$B$7&gt;MAX(MORTALITY!$A:$A),"",Inputs!$B$4))</f>
        <v>34</v>
      </c>
      <c r="B84" s="3" t="n">
        <f aca="false">IF(A84="","",EOMONTH(B83,1))</f>
        <v>24227</v>
      </c>
      <c r="C84" s="1" t="n">
        <f aca="false">IF(A84="","",C83+1)</f>
        <v>82</v>
      </c>
      <c r="D84" s="1" t="n">
        <f aca="false">IF(A84="","",INT(C84/12))</f>
        <v>6</v>
      </c>
      <c r="E84" s="1" t="n">
        <f aca="false">IF(A84="","",D84+Inputs!$B$7)</f>
        <v>22</v>
      </c>
      <c r="F84" s="3" t="n">
        <f aca="false">IF(A84="","",DATE(YEAR(B$2)+D84,MONTH(B$2),DAY(B$2)))</f>
        <v>23898</v>
      </c>
      <c r="G84" s="3" t="n">
        <f aca="false">IF(A84="","",DATE(YEAR(F84)+1,MONTH(F84),DAY(F84)))</f>
        <v>24263</v>
      </c>
      <c r="H84" s="10" t="n">
        <f aca="false">IF(A84="","",IF(G84&gt;F84,(B84-F84)/(G84-F84),0))</f>
        <v>0.901369863013699</v>
      </c>
      <c r="I84" s="10" t="n">
        <f aca="false">IF(A84="","",IFERROR(INDEX(CV_RATES!$I:$I,MATCH(D84,CV_RATES!$C:$C,0)),0))</f>
        <v>159.792610073402</v>
      </c>
      <c r="J84" s="10" t="n">
        <f aca="false">IF(A84="","",IFERROR(IF(E84=MAX(MORTALITY!$A:$A),1000,INDEX(CV_RATES!$J:$J,MATCH(D84,CV_RATES!$C:$C,0))),0))</f>
        <v>188.825392656303</v>
      </c>
      <c r="K84" s="10" t="n">
        <f aca="false">IF(A84="","",IFERROR(I84+H84*(J84-I84),0))</f>
        <v>185.961885333058</v>
      </c>
      <c r="L84" s="10" t="n">
        <f aca="false">IF(A84="","",IFERROR(K84*Inputs!$B$9,0))</f>
        <v>9298.09426665288</v>
      </c>
      <c r="M84" s="10" t="n">
        <f aca="false">IF(A84="","",IFERROR(K84*Inputs!$B$10,0))</f>
        <v>29753.3437676332</v>
      </c>
      <c r="N84" s="10" t="n">
        <f aca="false">IF(A84="","",Z83)</f>
        <v>0</v>
      </c>
      <c r="O84" s="6" t="n">
        <f aca="false">IF(A84="","",Inputs!$B$18+N84)</f>
        <v>50000</v>
      </c>
      <c r="P84" s="5" t="n">
        <f aca="false">IF(A84="","",VLOOKUP(D84,DIvidend_Assumption!$A$3:$CX$103,($E$2+2),0)/12)</f>
        <v>0</v>
      </c>
      <c r="Q84" s="10" t="n">
        <f aca="false">IF(A84="","",IFERROR(AB83*P84,""))</f>
        <v>0</v>
      </c>
      <c r="R84" s="10" t="n">
        <f aca="false">IF(A84="","",IFERROR(IF(Inputs!$B$22="Accumulate",T84+Q84,IF(Inputs!$B$22="Premium Offset",MAX(0,T84+Q84-Inputs!$B$25),T84)),""))</f>
        <v>0</v>
      </c>
      <c r="S84" s="10" t="n">
        <f aca="false">IF(A84="","",R83)</f>
        <v>0</v>
      </c>
      <c r="T84" s="10" t="n">
        <f aca="false">IF(A84="","",IFERROR(S84*(1+Inputs!$B$23/12),""))</f>
        <v>0</v>
      </c>
      <c r="U84" s="6" t="n">
        <f aca="false">IF(A84="","",IF(D84&lt;=Inputs!$B$8,IF(Inputs!$B$22="Premium Offset",MAX(0,Inputs!$B$25-(Q84+T84)),Inputs!$B$25),0))</f>
        <v>77</v>
      </c>
      <c r="V84" s="10" t="n">
        <f aca="false">IF(A84="","",IF(Inputs!$B$22="Cash",Q84,0))</f>
        <v>0</v>
      </c>
      <c r="W84" s="10" t="n">
        <f aca="false">IF(A84="","",IF(Inputs!$B$22="PUA",Q84,0))</f>
        <v>0</v>
      </c>
      <c r="X84" s="12" t="n">
        <f aca="false">IF(A84="","",IFERROR(INDEX(PUA_TABLE!$D$4:$D$105,MATCH(E84,PUA_TABLE!$C$4:$C$105,1)),0))</f>
        <v>0.352567610964992</v>
      </c>
      <c r="Y84" s="10" t="n">
        <f aca="false">IF(A84="","",IF(W84&gt;0,IF(X84&gt;0,W84/X84,0),0))</f>
        <v>0</v>
      </c>
      <c r="Z84" s="10" t="n">
        <f aca="false">IF(A84="","",N84+Y84)</f>
        <v>0</v>
      </c>
      <c r="AA84" s="10" t="n">
        <f aca="false">IF(A84="","",IFERROR(Z84*INDEX(PUA_TABLE!$I$4:$I$105,MATCH(E84,PUA_TABLE!$C$4:$C$105,1))/1000,0))</f>
        <v>0</v>
      </c>
      <c r="AB84" s="10" t="n">
        <f aca="false">IF(A84="","",IFERROR(L84+AA84,0))</f>
        <v>9298.09426665288</v>
      </c>
      <c r="AC84" s="10" t="n">
        <f aca="false">IF(A84="","",IF(Inputs!$B$22="Premium Offset",MIN(Inputs!$B$25,Q84+T84),0))</f>
        <v>0</v>
      </c>
    </row>
    <row r="85" customFormat="false" ht="15" hidden="false" customHeight="false" outlineLevel="0" collapsed="false">
      <c r="A85" s="1" t="n">
        <f aca="false">IF(A84="","",IF(INT((C84+1)/12)+Inputs!$B$7&gt;MAX(MORTALITY!$A:$A),"",Inputs!$B$4))</f>
        <v>34</v>
      </c>
      <c r="B85" s="3" t="n">
        <f aca="false">IF(A85="","",EOMONTH(B84,1))</f>
        <v>24258</v>
      </c>
      <c r="C85" s="1" t="n">
        <f aca="false">IF(A85="","",C84+1)</f>
        <v>83</v>
      </c>
      <c r="D85" s="1" t="n">
        <f aca="false">IF(A85="","",INT(C85/12))</f>
        <v>6</v>
      </c>
      <c r="E85" s="1" t="n">
        <f aca="false">IF(A85="","",D85+Inputs!$B$7)</f>
        <v>22</v>
      </c>
      <c r="F85" s="3" t="n">
        <f aca="false">IF(A85="","",DATE(YEAR(B$2)+D85,MONTH(B$2),DAY(B$2)))</f>
        <v>23898</v>
      </c>
      <c r="G85" s="3" t="n">
        <f aca="false">IF(A85="","",DATE(YEAR(F85)+1,MONTH(F85),DAY(F85)))</f>
        <v>24263</v>
      </c>
      <c r="H85" s="10" t="n">
        <f aca="false">IF(A85="","",IF(G85&gt;F85,(B85-F85)/(G85-F85),0))</f>
        <v>0.986301369863014</v>
      </c>
      <c r="I85" s="10" t="n">
        <f aca="false">IF(A85="","",IFERROR(INDEX(CV_RATES!$I:$I,MATCH(D85,CV_RATES!$C:$C,0)),0))</f>
        <v>159.792610073402</v>
      </c>
      <c r="J85" s="10" t="n">
        <f aca="false">IF(A85="","",IFERROR(IF(E85=MAX(MORTALITY!$A:$A),1000,INDEX(CV_RATES!$J:$J,MATCH(D85,CV_RATES!$C:$C,0))),0))</f>
        <v>188.825392656303</v>
      </c>
      <c r="K85" s="10" t="n">
        <f aca="false">IF(A85="","",IFERROR(I85+H85*(J85-I85),0))</f>
        <v>188.427683305852</v>
      </c>
      <c r="L85" s="10" t="n">
        <f aca="false">IF(A85="","",IFERROR(K85*Inputs!$B$9,0))</f>
        <v>9421.38416529259</v>
      </c>
      <c r="M85" s="10" t="n">
        <f aca="false">IF(A85="","",IFERROR(K85*Inputs!$B$10,0))</f>
        <v>30147.8640458864</v>
      </c>
      <c r="N85" s="10" t="n">
        <f aca="false">IF(A85="","",Z84)</f>
        <v>0</v>
      </c>
      <c r="O85" s="6" t="n">
        <f aca="false">IF(A85="","",Inputs!$B$18+N85)</f>
        <v>50000</v>
      </c>
      <c r="P85" s="5" t="n">
        <f aca="false">IF(A85="","",VLOOKUP(D85,DIvidend_Assumption!$A$3:$CX$103,($E$2+2),0)/12)</f>
        <v>0</v>
      </c>
      <c r="Q85" s="10" t="n">
        <f aca="false">IF(A85="","",IFERROR(AB84*P85,""))</f>
        <v>0</v>
      </c>
      <c r="R85" s="10" t="n">
        <f aca="false">IF(A85="","",IFERROR(IF(Inputs!$B$22="Accumulate",T85+Q85,IF(Inputs!$B$22="Premium Offset",MAX(0,T85+Q85-Inputs!$B$25),T85)),""))</f>
        <v>0</v>
      </c>
      <c r="S85" s="10" t="n">
        <f aca="false">IF(A85="","",R84)</f>
        <v>0</v>
      </c>
      <c r="T85" s="10" t="n">
        <f aca="false">IF(A85="","",IFERROR(S85*(1+Inputs!$B$23/12),""))</f>
        <v>0</v>
      </c>
      <c r="U85" s="6" t="n">
        <f aca="false">IF(A85="","",IF(D85&lt;=Inputs!$B$8,IF(Inputs!$B$22="Premium Offset",MAX(0,Inputs!$B$25-(Q85+T85)),Inputs!$B$25),0))</f>
        <v>77</v>
      </c>
      <c r="V85" s="10" t="n">
        <f aca="false">IF(A85="","",IF(Inputs!$B$22="Cash",Q85,0))</f>
        <v>0</v>
      </c>
      <c r="W85" s="10" t="n">
        <f aca="false">IF(A85="","",IF(Inputs!$B$22="PUA",Q85,0))</f>
        <v>0</v>
      </c>
      <c r="X85" s="12" t="n">
        <f aca="false">IF(A85="","",IFERROR(INDEX(PUA_TABLE!$D$4:$D$105,MATCH(E85,PUA_TABLE!$C$4:$C$105,1)),0))</f>
        <v>0.352567610964992</v>
      </c>
      <c r="Y85" s="10" t="n">
        <f aca="false">IF(A85="","",IF(W85&gt;0,IF(X85&gt;0,W85/X85,0),0))</f>
        <v>0</v>
      </c>
      <c r="Z85" s="10" t="n">
        <f aca="false">IF(A85="","",N85+Y85)</f>
        <v>0</v>
      </c>
      <c r="AA85" s="10" t="n">
        <f aca="false">IF(A85="","",IFERROR(Z85*INDEX(PUA_TABLE!$I$4:$I$105,MATCH(E85,PUA_TABLE!$C$4:$C$105,1))/1000,0))</f>
        <v>0</v>
      </c>
      <c r="AB85" s="10" t="n">
        <f aca="false">IF(A85="","",IFERROR(L85+AA85,0))</f>
        <v>9421.38416529259</v>
      </c>
      <c r="AC85" s="10" t="n">
        <f aca="false">IF(A85="","",IF(Inputs!$B$22="Premium Offset",MIN(Inputs!$B$25,Q85+T85),0))</f>
        <v>0</v>
      </c>
    </row>
    <row r="86" customFormat="false" ht="15" hidden="false" customHeight="false" outlineLevel="0" collapsed="false">
      <c r="A86" s="1" t="n">
        <f aca="false">IF(A85="","",IF(INT((C85+1)/12)+Inputs!$B$7&gt;MAX(MORTALITY!$A:$A),"",Inputs!$B$4))</f>
        <v>34</v>
      </c>
      <c r="B86" s="3" t="n">
        <f aca="false">IF(A86="","",EOMONTH(B85,1))</f>
        <v>24288</v>
      </c>
      <c r="C86" s="1" t="n">
        <f aca="false">IF(A86="","",C85+1)</f>
        <v>84</v>
      </c>
      <c r="D86" s="1" t="n">
        <f aca="false">IF(A86="","",INT(C86/12))</f>
        <v>7</v>
      </c>
      <c r="E86" s="1" t="n">
        <f aca="false">IF(A86="","",D86+Inputs!$B$7)</f>
        <v>23</v>
      </c>
      <c r="F86" s="3" t="n">
        <f aca="false">IF(A86="","",DATE(YEAR(B$2)+D86,MONTH(B$2),DAY(B$2)))</f>
        <v>24263</v>
      </c>
      <c r="G86" s="3" t="n">
        <f aca="false">IF(A86="","",DATE(YEAR(F86)+1,MONTH(F86),DAY(F86)))</f>
        <v>24628</v>
      </c>
      <c r="H86" s="10" t="n">
        <f aca="false">IF(A86="","",IF(G86&gt;F86,(B86-F86)/(G86-F86),0))</f>
        <v>0.0684931506849315</v>
      </c>
      <c r="I86" s="10" t="n">
        <f aca="false">IF(A86="","",IFERROR(INDEX(CV_RATES!$I:$I,MATCH(D86,CV_RATES!$C:$C,0)),0))</f>
        <v>188.825392656303</v>
      </c>
      <c r="J86" s="10" t="n">
        <f aca="false">IF(A86="","",IFERROR(IF(E86=MAX(MORTALITY!$A:$A),1000,INDEX(CV_RATES!$J:$J,MATCH(D86,CV_RATES!$C:$C,0))),0))</f>
        <v>218.590760274331</v>
      </c>
      <c r="K86" s="10" t="n">
        <f aca="false">IF(A86="","",IFERROR(I86+H86*(J86-I86),0))</f>
        <v>190.864116465757</v>
      </c>
      <c r="L86" s="10" t="n">
        <f aca="false">IF(A86="","",IFERROR(K86*Inputs!$B$9,0))</f>
        <v>9543.20582328783</v>
      </c>
      <c r="M86" s="10" t="n">
        <f aca="false">IF(A86="","",IFERROR(K86*Inputs!$B$10,0))</f>
        <v>30537.6860421717</v>
      </c>
      <c r="N86" s="10" t="n">
        <f aca="false">IF(A86="","",Z85)</f>
        <v>0</v>
      </c>
      <c r="O86" s="6" t="n">
        <f aca="false">IF(A86="","",Inputs!$B$18+N86)</f>
        <v>50000</v>
      </c>
      <c r="P86" s="5" t="n">
        <f aca="false">IF(A86="","",VLOOKUP(D86,DIvidend_Assumption!$A$3:$CX$103,($E$2+2),0)/12)</f>
        <v>0</v>
      </c>
      <c r="Q86" s="10" t="n">
        <f aca="false">IF(A86="","",IFERROR(AB85*P86,""))</f>
        <v>0</v>
      </c>
      <c r="R86" s="10" t="n">
        <f aca="false">IF(A86="","",IFERROR(IF(Inputs!$B$22="Accumulate",T86+Q86,IF(Inputs!$B$22="Premium Offset",MAX(0,T86+Q86-Inputs!$B$25),T86)),""))</f>
        <v>0</v>
      </c>
      <c r="S86" s="10" t="n">
        <f aca="false">IF(A86="","",R85)</f>
        <v>0</v>
      </c>
      <c r="T86" s="10" t="n">
        <f aca="false">IF(A86="","",IFERROR(S86*(1+Inputs!$B$23/12),""))</f>
        <v>0</v>
      </c>
      <c r="U86" s="6" t="n">
        <f aca="false">IF(A86="","",IF(D86&lt;=Inputs!$B$8,IF(Inputs!$B$22="Premium Offset",MAX(0,Inputs!$B$25-(Q86+T86)),Inputs!$B$25),0))</f>
        <v>77</v>
      </c>
      <c r="V86" s="10" t="n">
        <f aca="false">IF(A86="","",IF(Inputs!$B$22="Cash",Q86,0))</f>
        <v>0</v>
      </c>
      <c r="W86" s="10" t="n">
        <f aca="false">IF(A86="","",IF(Inputs!$B$22="PUA",Q86,0))</f>
        <v>0</v>
      </c>
      <c r="X86" s="12" t="n">
        <f aca="false">IF(A86="","",IFERROR(INDEX(PUA_TABLE!$D$4:$D$105,MATCH(E86,PUA_TABLE!$C$4:$C$105,1)),0))</f>
        <v>0.359723485065437</v>
      </c>
      <c r="Y86" s="10" t="n">
        <f aca="false">IF(A86="","",IF(W86&gt;0,IF(X86&gt;0,W86/X86,0),0))</f>
        <v>0</v>
      </c>
      <c r="Z86" s="10" t="n">
        <f aca="false">IF(A86="","",N86+Y86)</f>
        <v>0</v>
      </c>
      <c r="AA86" s="10" t="n">
        <f aca="false">IF(A86="","",IFERROR(Z86*INDEX(PUA_TABLE!$I$4:$I$105,MATCH(E86,PUA_TABLE!$C$4:$C$105,1))/1000,0))</f>
        <v>0</v>
      </c>
      <c r="AB86" s="10" t="n">
        <f aca="false">IF(A86="","",IFERROR(L86+AA86,0))</f>
        <v>9543.20582328783</v>
      </c>
      <c r="AC86" s="10" t="n">
        <f aca="false">IF(A86="","",IF(Inputs!$B$22="Premium Offset",MIN(Inputs!$B$25,Q86+T86),0))</f>
        <v>0</v>
      </c>
    </row>
    <row r="87" customFormat="false" ht="15" hidden="false" customHeight="false" outlineLevel="0" collapsed="false">
      <c r="A87" s="1" t="n">
        <f aca="false">IF(A86="","",IF(INT((C86+1)/12)+Inputs!$B$7&gt;MAX(MORTALITY!$A:$A),"",Inputs!$B$4))</f>
        <v>34</v>
      </c>
      <c r="B87" s="3" t="n">
        <f aca="false">IF(A87="","",EOMONTH(B86,1))</f>
        <v>24319</v>
      </c>
      <c r="C87" s="1" t="n">
        <f aca="false">IF(A87="","",C86+1)</f>
        <v>85</v>
      </c>
      <c r="D87" s="1" t="n">
        <f aca="false">IF(A87="","",INT(C87/12))</f>
        <v>7</v>
      </c>
      <c r="E87" s="1" t="n">
        <f aca="false">IF(A87="","",D87+Inputs!$B$7)</f>
        <v>23</v>
      </c>
      <c r="F87" s="3" t="n">
        <f aca="false">IF(A87="","",DATE(YEAR(B$2)+D87,MONTH(B$2),DAY(B$2)))</f>
        <v>24263</v>
      </c>
      <c r="G87" s="3" t="n">
        <f aca="false">IF(A87="","",DATE(YEAR(F87)+1,MONTH(F87),DAY(F87)))</f>
        <v>24628</v>
      </c>
      <c r="H87" s="10" t="n">
        <f aca="false">IF(A87="","",IF(G87&gt;F87,(B87-F87)/(G87-F87),0))</f>
        <v>0.153424657534247</v>
      </c>
      <c r="I87" s="10" t="n">
        <f aca="false">IF(A87="","",IFERROR(INDEX(CV_RATES!$I:$I,MATCH(D87,CV_RATES!$C:$C,0)),0))</f>
        <v>188.825392656303</v>
      </c>
      <c r="J87" s="10" t="n">
        <f aca="false">IF(A87="","",IFERROR(IF(E87=MAX(MORTALITY!$A:$A),1000,INDEX(CV_RATES!$J:$J,MATCH(D87,CV_RATES!$C:$C,0))),0))</f>
        <v>218.590760274331</v>
      </c>
      <c r="K87" s="10" t="n">
        <f aca="false">IF(A87="","",IFERROR(I87+H87*(J87-I87),0))</f>
        <v>193.39213398948</v>
      </c>
      <c r="L87" s="10" t="n">
        <f aca="false">IF(A87="","",IFERROR(K87*Inputs!$B$9,0))</f>
        <v>9669.60669947398</v>
      </c>
      <c r="M87" s="10" t="n">
        <f aca="false">IF(A87="","",IFERROR(K87*Inputs!$B$10,0))</f>
        <v>30942.1612619148</v>
      </c>
      <c r="N87" s="10" t="n">
        <f aca="false">IF(A87="","",Z86)</f>
        <v>0</v>
      </c>
      <c r="O87" s="6" t="n">
        <f aca="false">IF(A87="","",Inputs!$B$18+N87)</f>
        <v>50000</v>
      </c>
      <c r="P87" s="5" t="n">
        <f aca="false">IF(A87="","",VLOOKUP(D87,DIvidend_Assumption!$A$3:$CX$103,($E$2+2),0)/12)</f>
        <v>0</v>
      </c>
      <c r="Q87" s="10" t="n">
        <f aca="false">IF(A87="","",IFERROR(AB86*P87,""))</f>
        <v>0</v>
      </c>
      <c r="R87" s="10" t="n">
        <f aca="false">IF(A87="","",IFERROR(IF(Inputs!$B$22="Accumulate",T87+Q87,IF(Inputs!$B$22="Premium Offset",MAX(0,T87+Q87-Inputs!$B$25),T87)),""))</f>
        <v>0</v>
      </c>
      <c r="S87" s="10" t="n">
        <f aca="false">IF(A87="","",R86)</f>
        <v>0</v>
      </c>
      <c r="T87" s="10" t="n">
        <f aca="false">IF(A87="","",IFERROR(S87*(1+Inputs!$B$23/12),""))</f>
        <v>0</v>
      </c>
      <c r="U87" s="6" t="n">
        <f aca="false">IF(A87="","",IF(D87&lt;=Inputs!$B$8,IF(Inputs!$B$22="Premium Offset",MAX(0,Inputs!$B$25-(Q87+T87)),Inputs!$B$25),0))</f>
        <v>77</v>
      </c>
      <c r="V87" s="10" t="n">
        <f aca="false">IF(A87="","",IF(Inputs!$B$22="Cash",Q87,0))</f>
        <v>0</v>
      </c>
      <c r="W87" s="10" t="n">
        <f aca="false">IF(A87="","",IF(Inputs!$B$22="PUA",Q87,0))</f>
        <v>0</v>
      </c>
      <c r="X87" s="12" t="n">
        <f aca="false">IF(A87="","",IFERROR(INDEX(PUA_TABLE!$D$4:$D$105,MATCH(E87,PUA_TABLE!$C$4:$C$105,1)),0))</f>
        <v>0.359723485065437</v>
      </c>
      <c r="Y87" s="10" t="n">
        <f aca="false">IF(A87="","",IF(W87&gt;0,IF(X87&gt;0,W87/X87,0),0))</f>
        <v>0</v>
      </c>
      <c r="Z87" s="10" t="n">
        <f aca="false">IF(A87="","",N87+Y87)</f>
        <v>0</v>
      </c>
      <c r="AA87" s="10" t="n">
        <f aca="false">IF(A87="","",IFERROR(Z87*INDEX(PUA_TABLE!$I$4:$I$105,MATCH(E87,PUA_TABLE!$C$4:$C$105,1))/1000,0))</f>
        <v>0</v>
      </c>
      <c r="AB87" s="10" t="n">
        <f aca="false">IF(A87="","",IFERROR(L87+AA87,0))</f>
        <v>9669.60669947398</v>
      </c>
      <c r="AC87" s="10" t="n">
        <f aca="false">IF(A87="","",IF(Inputs!$B$22="Premium Offset",MIN(Inputs!$B$25,Q87+T87),0))</f>
        <v>0</v>
      </c>
    </row>
    <row r="88" customFormat="false" ht="15" hidden="false" customHeight="false" outlineLevel="0" collapsed="false">
      <c r="A88" s="1" t="n">
        <f aca="false">IF(A87="","",IF(INT((C87+1)/12)+Inputs!$B$7&gt;MAX(MORTALITY!$A:$A),"",Inputs!$B$4))</f>
        <v>34</v>
      </c>
      <c r="B88" s="3" t="n">
        <f aca="false">IF(A88="","",EOMONTH(B87,1))</f>
        <v>24350</v>
      </c>
      <c r="C88" s="1" t="n">
        <f aca="false">IF(A88="","",C87+1)</f>
        <v>86</v>
      </c>
      <c r="D88" s="1" t="n">
        <f aca="false">IF(A88="","",INT(C88/12))</f>
        <v>7</v>
      </c>
      <c r="E88" s="1" t="n">
        <f aca="false">IF(A88="","",D88+Inputs!$B$7)</f>
        <v>23</v>
      </c>
      <c r="F88" s="3" t="n">
        <f aca="false">IF(A88="","",DATE(YEAR(B$2)+D88,MONTH(B$2),DAY(B$2)))</f>
        <v>24263</v>
      </c>
      <c r="G88" s="3" t="n">
        <f aca="false">IF(A88="","",DATE(YEAR(F88)+1,MONTH(F88),DAY(F88)))</f>
        <v>24628</v>
      </c>
      <c r="H88" s="10" t="n">
        <f aca="false">IF(A88="","",IF(G88&gt;F88,(B88-F88)/(G88-F88),0))</f>
        <v>0.238356164383562</v>
      </c>
      <c r="I88" s="10" t="n">
        <f aca="false">IF(A88="","",IFERROR(INDEX(CV_RATES!$I:$I,MATCH(D88,CV_RATES!$C:$C,0)),0))</f>
        <v>188.825392656303</v>
      </c>
      <c r="J88" s="10" t="n">
        <f aca="false">IF(A88="","",IFERROR(IF(E88=MAX(MORTALITY!$A:$A),1000,INDEX(CV_RATES!$J:$J,MATCH(D88,CV_RATES!$C:$C,0))),0))</f>
        <v>218.590760274331</v>
      </c>
      <c r="K88" s="10" t="n">
        <f aca="false">IF(A88="","",IFERROR(I88+H88*(J88-I88),0))</f>
        <v>195.920151513203</v>
      </c>
      <c r="L88" s="10" t="n">
        <f aca="false">IF(A88="","",IFERROR(K88*Inputs!$B$9,0))</f>
        <v>9796.00757566013</v>
      </c>
      <c r="M88" s="10" t="n">
        <f aca="false">IF(A88="","",IFERROR(K88*Inputs!$B$10,0))</f>
        <v>31346.6364816579</v>
      </c>
      <c r="N88" s="10" t="n">
        <f aca="false">IF(A88="","",Z87)</f>
        <v>0</v>
      </c>
      <c r="O88" s="6" t="n">
        <f aca="false">IF(A88="","",Inputs!$B$18+N88)</f>
        <v>50000</v>
      </c>
      <c r="P88" s="5" t="n">
        <f aca="false">IF(A88="","",VLOOKUP(D88,DIvidend_Assumption!$A$3:$CX$103,($E$2+2),0)/12)</f>
        <v>0</v>
      </c>
      <c r="Q88" s="10" t="n">
        <f aca="false">IF(A88="","",IFERROR(AB87*P88,""))</f>
        <v>0</v>
      </c>
      <c r="R88" s="10" t="n">
        <f aca="false">IF(A88="","",IFERROR(IF(Inputs!$B$22="Accumulate",T88+Q88,IF(Inputs!$B$22="Premium Offset",MAX(0,T88+Q88-Inputs!$B$25),T88)),""))</f>
        <v>0</v>
      </c>
      <c r="S88" s="10" t="n">
        <f aca="false">IF(A88="","",R87)</f>
        <v>0</v>
      </c>
      <c r="T88" s="10" t="n">
        <f aca="false">IF(A88="","",IFERROR(S88*(1+Inputs!$B$23/12),""))</f>
        <v>0</v>
      </c>
      <c r="U88" s="6" t="n">
        <f aca="false">IF(A88="","",IF(D88&lt;=Inputs!$B$8,IF(Inputs!$B$22="Premium Offset",MAX(0,Inputs!$B$25-(Q88+T88)),Inputs!$B$25),0))</f>
        <v>77</v>
      </c>
      <c r="V88" s="10" t="n">
        <f aca="false">IF(A88="","",IF(Inputs!$B$22="Cash",Q88,0))</f>
        <v>0</v>
      </c>
      <c r="W88" s="10" t="n">
        <f aca="false">IF(A88="","",IF(Inputs!$B$22="PUA",Q88,0))</f>
        <v>0</v>
      </c>
      <c r="X88" s="12" t="n">
        <f aca="false">IF(A88="","",IFERROR(INDEX(PUA_TABLE!$D$4:$D$105,MATCH(E88,PUA_TABLE!$C$4:$C$105,1)),0))</f>
        <v>0.359723485065437</v>
      </c>
      <c r="Y88" s="10" t="n">
        <f aca="false">IF(A88="","",IF(W88&gt;0,IF(X88&gt;0,W88/X88,0),0))</f>
        <v>0</v>
      </c>
      <c r="Z88" s="10" t="n">
        <f aca="false">IF(A88="","",N88+Y88)</f>
        <v>0</v>
      </c>
      <c r="AA88" s="10" t="n">
        <f aca="false">IF(A88="","",IFERROR(Z88*INDEX(PUA_TABLE!$I$4:$I$105,MATCH(E88,PUA_TABLE!$C$4:$C$105,1))/1000,0))</f>
        <v>0</v>
      </c>
      <c r="AB88" s="10" t="n">
        <f aca="false">IF(A88="","",IFERROR(L88+AA88,0))</f>
        <v>9796.00757566013</v>
      </c>
      <c r="AC88" s="10" t="n">
        <f aca="false">IF(A88="","",IF(Inputs!$B$22="Premium Offset",MIN(Inputs!$B$25,Q88+T88),0))</f>
        <v>0</v>
      </c>
    </row>
    <row r="89" customFormat="false" ht="15" hidden="false" customHeight="false" outlineLevel="0" collapsed="false">
      <c r="A89" s="1" t="n">
        <f aca="false">IF(A88="","",IF(INT((C88+1)/12)+Inputs!$B$7&gt;MAX(MORTALITY!$A:$A),"",Inputs!$B$4))</f>
        <v>34</v>
      </c>
      <c r="B89" s="3" t="n">
        <f aca="false">IF(A89="","",EOMONTH(B88,1))</f>
        <v>24380</v>
      </c>
      <c r="C89" s="1" t="n">
        <f aca="false">IF(A89="","",C88+1)</f>
        <v>87</v>
      </c>
      <c r="D89" s="1" t="n">
        <f aca="false">IF(A89="","",INT(C89/12))</f>
        <v>7</v>
      </c>
      <c r="E89" s="1" t="n">
        <f aca="false">IF(A89="","",D89+Inputs!$B$7)</f>
        <v>23</v>
      </c>
      <c r="F89" s="3" t="n">
        <f aca="false">IF(A89="","",DATE(YEAR(B$2)+D89,MONTH(B$2),DAY(B$2)))</f>
        <v>24263</v>
      </c>
      <c r="G89" s="3" t="n">
        <f aca="false">IF(A89="","",DATE(YEAR(F89)+1,MONTH(F89),DAY(F89)))</f>
        <v>24628</v>
      </c>
      <c r="H89" s="10" t="n">
        <f aca="false">IF(A89="","",IF(G89&gt;F89,(B89-F89)/(G89-F89),0))</f>
        <v>0.320547945205479</v>
      </c>
      <c r="I89" s="10" t="n">
        <f aca="false">IF(A89="","",IFERROR(INDEX(CV_RATES!$I:$I,MATCH(D89,CV_RATES!$C:$C,0)),0))</f>
        <v>188.825392656303</v>
      </c>
      <c r="J89" s="10" t="n">
        <f aca="false">IF(A89="","",IFERROR(IF(E89=MAX(MORTALITY!$A:$A),1000,INDEX(CV_RATES!$J:$J,MATCH(D89,CV_RATES!$C:$C,0))),0))</f>
        <v>218.590760274331</v>
      </c>
      <c r="K89" s="10" t="n">
        <f aca="false">IF(A89="","",IFERROR(I89+H89*(J89-I89),0))</f>
        <v>198.366620084547</v>
      </c>
      <c r="L89" s="10" t="n">
        <f aca="false">IF(A89="","",IFERROR(K89*Inputs!$B$9,0))</f>
        <v>9918.33100422737</v>
      </c>
      <c r="M89" s="10" t="n">
        <f aca="false">IF(A89="","",IFERROR(K89*Inputs!$B$10,0))</f>
        <v>31738.0641136673</v>
      </c>
      <c r="N89" s="10" t="n">
        <f aca="false">IF(A89="","",Z88)</f>
        <v>0</v>
      </c>
      <c r="O89" s="6" t="n">
        <f aca="false">IF(A89="","",Inputs!$B$18+N89)</f>
        <v>50000</v>
      </c>
      <c r="P89" s="5" t="n">
        <f aca="false">IF(A89="","",VLOOKUP(D89,DIvidend_Assumption!$A$3:$CX$103,($E$2+2),0)/12)</f>
        <v>0</v>
      </c>
      <c r="Q89" s="10" t="n">
        <f aca="false">IF(A89="","",IFERROR(AB88*P89,""))</f>
        <v>0</v>
      </c>
      <c r="R89" s="10" t="n">
        <f aca="false">IF(A89="","",IFERROR(IF(Inputs!$B$22="Accumulate",T89+Q89,IF(Inputs!$B$22="Premium Offset",MAX(0,T89+Q89-Inputs!$B$25),T89)),""))</f>
        <v>0</v>
      </c>
      <c r="S89" s="10" t="n">
        <f aca="false">IF(A89="","",R88)</f>
        <v>0</v>
      </c>
      <c r="T89" s="10" t="n">
        <f aca="false">IF(A89="","",IFERROR(S89*(1+Inputs!$B$23/12),""))</f>
        <v>0</v>
      </c>
      <c r="U89" s="6" t="n">
        <f aca="false">IF(A89="","",IF(D89&lt;=Inputs!$B$8,IF(Inputs!$B$22="Premium Offset",MAX(0,Inputs!$B$25-(Q89+T89)),Inputs!$B$25),0))</f>
        <v>77</v>
      </c>
      <c r="V89" s="10" t="n">
        <f aca="false">IF(A89="","",IF(Inputs!$B$22="Cash",Q89,0))</f>
        <v>0</v>
      </c>
      <c r="W89" s="10" t="n">
        <f aca="false">IF(A89="","",IF(Inputs!$B$22="PUA",Q89,0))</f>
        <v>0</v>
      </c>
      <c r="X89" s="12" t="n">
        <f aca="false">IF(A89="","",IFERROR(INDEX(PUA_TABLE!$D$4:$D$105,MATCH(E89,PUA_TABLE!$C$4:$C$105,1)),0))</f>
        <v>0.359723485065437</v>
      </c>
      <c r="Y89" s="10" t="n">
        <f aca="false">IF(A89="","",IF(W89&gt;0,IF(X89&gt;0,W89/X89,0),0))</f>
        <v>0</v>
      </c>
      <c r="Z89" s="10" t="n">
        <f aca="false">IF(A89="","",N89+Y89)</f>
        <v>0</v>
      </c>
      <c r="AA89" s="10" t="n">
        <f aca="false">IF(A89="","",IFERROR(Z89*INDEX(PUA_TABLE!$I$4:$I$105,MATCH(E89,PUA_TABLE!$C$4:$C$105,1))/1000,0))</f>
        <v>0</v>
      </c>
      <c r="AB89" s="10" t="n">
        <f aca="false">IF(A89="","",IFERROR(L89+AA89,0))</f>
        <v>9918.33100422737</v>
      </c>
      <c r="AC89" s="10" t="n">
        <f aca="false">IF(A89="","",IF(Inputs!$B$22="Premium Offset",MIN(Inputs!$B$25,Q89+T89),0))</f>
        <v>0</v>
      </c>
    </row>
    <row r="90" customFormat="false" ht="15" hidden="false" customHeight="false" outlineLevel="0" collapsed="false">
      <c r="A90" s="1" t="n">
        <f aca="false">IF(A89="","",IF(INT((C89+1)/12)+Inputs!$B$7&gt;MAX(MORTALITY!$A:$A),"",Inputs!$B$4))</f>
        <v>34</v>
      </c>
      <c r="B90" s="3" t="n">
        <f aca="false">IF(A90="","",EOMONTH(B89,1))</f>
        <v>24411</v>
      </c>
      <c r="C90" s="1" t="n">
        <f aca="false">IF(A90="","",C89+1)</f>
        <v>88</v>
      </c>
      <c r="D90" s="1" t="n">
        <f aca="false">IF(A90="","",INT(C90/12))</f>
        <v>7</v>
      </c>
      <c r="E90" s="1" t="n">
        <f aca="false">IF(A90="","",D90+Inputs!$B$7)</f>
        <v>23</v>
      </c>
      <c r="F90" s="3" t="n">
        <f aca="false">IF(A90="","",DATE(YEAR(B$2)+D90,MONTH(B$2),DAY(B$2)))</f>
        <v>24263</v>
      </c>
      <c r="G90" s="3" t="n">
        <f aca="false">IF(A90="","",DATE(YEAR(F90)+1,MONTH(F90),DAY(F90)))</f>
        <v>24628</v>
      </c>
      <c r="H90" s="10" t="n">
        <f aca="false">IF(A90="","",IF(G90&gt;F90,(B90-F90)/(G90-F90),0))</f>
        <v>0.405479452054795</v>
      </c>
      <c r="I90" s="10" t="n">
        <f aca="false">IF(A90="","",IFERROR(INDEX(CV_RATES!$I:$I,MATCH(D90,CV_RATES!$C:$C,0)),0))</f>
        <v>188.825392656303</v>
      </c>
      <c r="J90" s="10" t="n">
        <f aca="false">IF(A90="","",IFERROR(IF(E90=MAX(MORTALITY!$A:$A),1000,INDEX(CV_RATES!$J:$J,MATCH(D90,CV_RATES!$C:$C,0))),0))</f>
        <v>218.590760274331</v>
      </c>
      <c r="K90" s="10" t="n">
        <f aca="false">IF(A90="","",IFERROR(I90+H90*(J90-I90),0))</f>
        <v>200.89463760827</v>
      </c>
      <c r="L90" s="10" t="n">
        <f aca="false">IF(A90="","",IFERROR(K90*Inputs!$B$9,0))</f>
        <v>10044.7318804135</v>
      </c>
      <c r="M90" s="10" t="n">
        <f aca="false">IF(A90="","",IFERROR(K90*Inputs!$B$10,0))</f>
        <v>32142.5393334104</v>
      </c>
      <c r="N90" s="10" t="n">
        <f aca="false">IF(A90="","",Z89)</f>
        <v>0</v>
      </c>
      <c r="O90" s="6" t="n">
        <f aca="false">IF(A90="","",Inputs!$B$18+N90)</f>
        <v>50000</v>
      </c>
      <c r="P90" s="5" t="n">
        <f aca="false">IF(A90="","",VLOOKUP(D90,DIvidend_Assumption!$A$3:$CX$103,($E$2+2),0)/12)</f>
        <v>0</v>
      </c>
      <c r="Q90" s="10" t="n">
        <f aca="false">IF(A90="","",IFERROR(AB89*P90,""))</f>
        <v>0</v>
      </c>
      <c r="R90" s="10" t="n">
        <f aca="false">IF(A90="","",IFERROR(IF(Inputs!$B$22="Accumulate",T90+Q90,IF(Inputs!$B$22="Premium Offset",MAX(0,T90+Q90-Inputs!$B$25),T90)),""))</f>
        <v>0</v>
      </c>
      <c r="S90" s="10" t="n">
        <f aca="false">IF(A90="","",R89)</f>
        <v>0</v>
      </c>
      <c r="T90" s="10" t="n">
        <f aca="false">IF(A90="","",IFERROR(S90*(1+Inputs!$B$23/12),""))</f>
        <v>0</v>
      </c>
      <c r="U90" s="6" t="n">
        <f aca="false">IF(A90="","",IF(D90&lt;=Inputs!$B$8,IF(Inputs!$B$22="Premium Offset",MAX(0,Inputs!$B$25-(Q90+T90)),Inputs!$B$25),0))</f>
        <v>77</v>
      </c>
      <c r="V90" s="10" t="n">
        <f aca="false">IF(A90="","",IF(Inputs!$B$22="Cash",Q90,0))</f>
        <v>0</v>
      </c>
      <c r="W90" s="10" t="n">
        <f aca="false">IF(A90="","",IF(Inputs!$B$22="PUA",Q90,0))</f>
        <v>0</v>
      </c>
      <c r="X90" s="12" t="n">
        <f aca="false">IF(A90="","",IFERROR(INDEX(PUA_TABLE!$D$4:$D$105,MATCH(E90,PUA_TABLE!$C$4:$C$105,1)),0))</f>
        <v>0.359723485065437</v>
      </c>
      <c r="Y90" s="10" t="n">
        <f aca="false">IF(A90="","",IF(W90&gt;0,IF(X90&gt;0,W90/X90,0),0))</f>
        <v>0</v>
      </c>
      <c r="Z90" s="10" t="n">
        <f aca="false">IF(A90="","",N90+Y90)</f>
        <v>0</v>
      </c>
      <c r="AA90" s="10" t="n">
        <f aca="false">IF(A90="","",IFERROR(Z90*INDEX(PUA_TABLE!$I$4:$I$105,MATCH(E90,PUA_TABLE!$C$4:$C$105,1))/1000,0))</f>
        <v>0</v>
      </c>
      <c r="AB90" s="10" t="n">
        <f aca="false">IF(A90="","",IFERROR(L90+AA90,0))</f>
        <v>10044.7318804135</v>
      </c>
      <c r="AC90" s="10" t="n">
        <f aca="false">IF(A90="","",IF(Inputs!$B$22="Premium Offset",MIN(Inputs!$B$25,Q90+T90),0))</f>
        <v>0</v>
      </c>
    </row>
    <row r="91" customFormat="false" ht="15" hidden="false" customHeight="false" outlineLevel="0" collapsed="false">
      <c r="A91" s="1" t="n">
        <f aca="false">IF(A90="","",IF(INT((C90+1)/12)+Inputs!$B$7&gt;MAX(MORTALITY!$A:$A),"",Inputs!$B$4))</f>
        <v>34</v>
      </c>
      <c r="B91" s="3" t="n">
        <f aca="false">IF(A91="","",EOMONTH(B90,1))</f>
        <v>24441</v>
      </c>
      <c r="C91" s="1" t="n">
        <f aca="false">IF(A91="","",C90+1)</f>
        <v>89</v>
      </c>
      <c r="D91" s="1" t="n">
        <f aca="false">IF(A91="","",INT(C91/12))</f>
        <v>7</v>
      </c>
      <c r="E91" s="1" t="n">
        <f aca="false">IF(A91="","",D91+Inputs!$B$7)</f>
        <v>23</v>
      </c>
      <c r="F91" s="3" t="n">
        <f aca="false">IF(A91="","",DATE(YEAR(B$2)+D91,MONTH(B$2),DAY(B$2)))</f>
        <v>24263</v>
      </c>
      <c r="G91" s="3" t="n">
        <f aca="false">IF(A91="","",DATE(YEAR(F91)+1,MONTH(F91),DAY(F91)))</f>
        <v>24628</v>
      </c>
      <c r="H91" s="10" t="n">
        <f aca="false">IF(A91="","",IF(G91&gt;F91,(B91-F91)/(G91-F91),0))</f>
        <v>0.487671232876712</v>
      </c>
      <c r="I91" s="10" t="n">
        <f aca="false">IF(A91="","",IFERROR(INDEX(CV_RATES!$I:$I,MATCH(D91,CV_RATES!$C:$C,0)),0))</f>
        <v>188.825392656303</v>
      </c>
      <c r="J91" s="10" t="n">
        <f aca="false">IF(A91="","",IFERROR(IF(E91=MAX(MORTALITY!$A:$A),1000,INDEX(CV_RATES!$J:$J,MATCH(D91,CV_RATES!$C:$C,0))),0))</f>
        <v>218.590760274331</v>
      </c>
      <c r="K91" s="10" t="n">
        <f aca="false">IF(A91="","",IFERROR(I91+H91*(J91-I91),0))</f>
        <v>203.341106179615</v>
      </c>
      <c r="L91" s="10" t="n">
        <f aca="false">IF(A91="","",IFERROR(K91*Inputs!$B$9,0))</f>
        <v>10167.0553089808</v>
      </c>
      <c r="M91" s="10" t="n">
        <f aca="false">IF(A91="","",IFERROR(K91*Inputs!$B$10,0))</f>
        <v>32533.9669654199</v>
      </c>
      <c r="N91" s="10" t="n">
        <f aca="false">IF(A91="","",Z90)</f>
        <v>0</v>
      </c>
      <c r="O91" s="6" t="n">
        <f aca="false">IF(A91="","",Inputs!$B$18+N91)</f>
        <v>50000</v>
      </c>
      <c r="P91" s="5" t="n">
        <f aca="false">IF(A91="","",VLOOKUP(D91,DIvidend_Assumption!$A$3:$CX$103,($E$2+2),0)/12)</f>
        <v>0</v>
      </c>
      <c r="Q91" s="10" t="n">
        <f aca="false">IF(A91="","",IFERROR(AB90*P91,""))</f>
        <v>0</v>
      </c>
      <c r="R91" s="10" t="n">
        <f aca="false">IF(A91="","",IFERROR(IF(Inputs!$B$22="Accumulate",T91+Q91,IF(Inputs!$B$22="Premium Offset",MAX(0,T91+Q91-Inputs!$B$25),T91)),""))</f>
        <v>0</v>
      </c>
      <c r="S91" s="10" t="n">
        <f aca="false">IF(A91="","",R90)</f>
        <v>0</v>
      </c>
      <c r="T91" s="10" t="n">
        <f aca="false">IF(A91="","",IFERROR(S91*(1+Inputs!$B$23/12),""))</f>
        <v>0</v>
      </c>
      <c r="U91" s="6" t="n">
        <f aca="false">IF(A91="","",IF(D91&lt;=Inputs!$B$8,IF(Inputs!$B$22="Premium Offset",MAX(0,Inputs!$B$25-(Q91+T91)),Inputs!$B$25),0))</f>
        <v>77</v>
      </c>
      <c r="V91" s="10" t="n">
        <f aca="false">IF(A91="","",IF(Inputs!$B$22="Cash",Q91,0))</f>
        <v>0</v>
      </c>
      <c r="W91" s="10" t="n">
        <f aca="false">IF(A91="","",IF(Inputs!$B$22="PUA",Q91,0))</f>
        <v>0</v>
      </c>
      <c r="X91" s="12" t="n">
        <f aca="false">IF(A91="","",IFERROR(INDEX(PUA_TABLE!$D$4:$D$105,MATCH(E91,PUA_TABLE!$C$4:$C$105,1)),0))</f>
        <v>0.359723485065437</v>
      </c>
      <c r="Y91" s="10" t="n">
        <f aca="false">IF(A91="","",IF(W91&gt;0,IF(X91&gt;0,W91/X91,0),0))</f>
        <v>0</v>
      </c>
      <c r="Z91" s="10" t="n">
        <f aca="false">IF(A91="","",N91+Y91)</f>
        <v>0</v>
      </c>
      <c r="AA91" s="10" t="n">
        <f aca="false">IF(A91="","",IFERROR(Z91*INDEX(PUA_TABLE!$I$4:$I$105,MATCH(E91,PUA_TABLE!$C$4:$C$105,1))/1000,0))</f>
        <v>0</v>
      </c>
      <c r="AB91" s="10" t="n">
        <f aca="false">IF(A91="","",IFERROR(L91+AA91,0))</f>
        <v>10167.0553089808</v>
      </c>
      <c r="AC91" s="10" t="n">
        <f aca="false">IF(A91="","",IF(Inputs!$B$22="Premium Offset",MIN(Inputs!$B$25,Q91+T91),0))</f>
        <v>0</v>
      </c>
    </row>
    <row r="92" customFormat="false" ht="15" hidden="false" customHeight="false" outlineLevel="0" collapsed="false">
      <c r="A92" s="1" t="n">
        <f aca="false">IF(A91="","",IF(INT((C91+1)/12)+Inputs!$B$7&gt;MAX(MORTALITY!$A:$A),"",Inputs!$B$4))</f>
        <v>34</v>
      </c>
      <c r="B92" s="3" t="n">
        <f aca="false">IF(A92="","",EOMONTH(B91,1))</f>
        <v>24472</v>
      </c>
      <c r="C92" s="1" t="n">
        <f aca="false">IF(A92="","",C91+1)</f>
        <v>90</v>
      </c>
      <c r="D92" s="1" t="n">
        <f aca="false">IF(A92="","",INT(C92/12))</f>
        <v>7</v>
      </c>
      <c r="E92" s="1" t="n">
        <f aca="false">IF(A92="","",D92+Inputs!$B$7)</f>
        <v>23</v>
      </c>
      <c r="F92" s="3" t="n">
        <f aca="false">IF(A92="","",DATE(YEAR(B$2)+D92,MONTH(B$2),DAY(B$2)))</f>
        <v>24263</v>
      </c>
      <c r="G92" s="3" t="n">
        <f aca="false">IF(A92="","",DATE(YEAR(F92)+1,MONTH(F92),DAY(F92)))</f>
        <v>24628</v>
      </c>
      <c r="H92" s="10" t="n">
        <f aca="false">IF(A92="","",IF(G92&gt;F92,(B92-F92)/(G92-F92),0))</f>
        <v>0.572602739726027</v>
      </c>
      <c r="I92" s="10" t="n">
        <f aca="false">IF(A92="","",IFERROR(INDEX(CV_RATES!$I:$I,MATCH(D92,CV_RATES!$C:$C,0)),0))</f>
        <v>188.825392656303</v>
      </c>
      <c r="J92" s="10" t="n">
        <f aca="false">IF(A92="","",IFERROR(IF(E92=MAX(MORTALITY!$A:$A),1000,INDEX(CV_RATES!$J:$J,MATCH(D92,CV_RATES!$C:$C,0))),0))</f>
        <v>218.590760274331</v>
      </c>
      <c r="K92" s="10" t="n">
        <f aca="false">IF(A92="","",IFERROR(I92+H92*(J92-I92),0))</f>
        <v>205.869123703338</v>
      </c>
      <c r="L92" s="10" t="n">
        <f aca="false">IF(A92="","",IFERROR(K92*Inputs!$B$9,0))</f>
        <v>10293.4561851669</v>
      </c>
      <c r="M92" s="10" t="n">
        <f aca="false">IF(A92="","",IFERROR(K92*Inputs!$B$10,0))</f>
        <v>32938.442185163</v>
      </c>
      <c r="N92" s="10" t="n">
        <f aca="false">IF(A92="","",Z91)</f>
        <v>0</v>
      </c>
      <c r="O92" s="6" t="n">
        <f aca="false">IF(A92="","",Inputs!$B$18+N92)</f>
        <v>50000</v>
      </c>
      <c r="P92" s="5" t="n">
        <f aca="false">IF(A92="","",VLOOKUP(D92,DIvidend_Assumption!$A$3:$CX$103,($E$2+2),0)/12)</f>
        <v>0</v>
      </c>
      <c r="Q92" s="10" t="n">
        <f aca="false">IF(A92="","",IFERROR(AB91*P92,""))</f>
        <v>0</v>
      </c>
      <c r="R92" s="10" t="n">
        <f aca="false">IF(A92="","",IFERROR(IF(Inputs!$B$22="Accumulate",T92+Q92,IF(Inputs!$B$22="Premium Offset",MAX(0,T92+Q92-Inputs!$B$25),T92)),""))</f>
        <v>0</v>
      </c>
      <c r="S92" s="10" t="n">
        <f aca="false">IF(A92="","",R91)</f>
        <v>0</v>
      </c>
      <c r="T92" s="10" t="n">
        <f aca="false">IF(A92="","",IFERROR(S92*(1+Inputs!$B$23/12),""))</f>
        <v>0</v>
      </c>
      <c r="U92" s="6" t="n">
        <f aca="false">IF(A92="","",IF(D92&lt;=Inputs!$B$8,IF(Inputs!$B$22="Premium Offset",MAX(0,Inputs!$B$25-(Q92+T92)),Inputs!$B$25),0))</f>
        <v>77</v>
      </c>
      <c r="V92" s="10" t="n">
        <f aca="false">IF(A92="","",IF(Inputs!$B$22="Cash",Q92,0))</f>
        <v>0</v>
      </c>
      <c r="W92" s="10" t="n">
        <f aca="false">IF(A92="","",IF(Inputs!$B$22="PUA",Q92,0))</f>
        <v>0</v>
      </c>
      <c r="X92" s="12" t="n">
        <f aca="false">IF(A92="","",IFERROR(INDEX(PUA_TABLE!$D$4:$D$105,MATCH(E92,PUA_TABLE!$C$4:$C$105,1)),0))</f>
        <v>0.359723485065437</v>
      </c>
      <c r="Y92" s="10" t="n">
        <f aca="false">IF(A92="","",IF(W92&gt;0,IF(X92&gt;0,W92/X92,0),0))</f>
        <v>0</v>
      </c>
      <c r="Z92" s="10" t="n">
        <f aca="false">IF(A92="","",N92+Y92)</f>
        <v>0</v>
      </c>
      <c r="AA92" s="10" t="n">
        <f aca="false">IF(A92="","",IFERROR(Z92*INDEX(PUA_TABLE!$I$4:$I$105,MATCH(E92,PUA_TABLE!$C$4:$C$105,1))/1000,0))</f>
        <v>0</v>
      </c>
      <c r="AB92" s="10" t="n">
        <f aca="false">IF(A92="","",IFERROR(L92+AA92,0))</f>
        <v>10293.4561851669</v>
      </c>
      <c r="AC92" s="10" t="n">
        <f aca="false">IF(A92="","",IF(Inputs!$B$22="Premium Offset",MIN(Inputs!$B$25,Q92+T92),0))</f>
        <v>0</v>
      </c>
    </row>
    <row r="93" customFormat="false" ht="15" hidden="false" customHeight="false" outlineLevel="0" collapsed="false">
      <c r="A93" s="1" t="n">
        <f aca="false">IF(A92="","",IF(INT((C92+1)/12)+Inputs!$B$7&gt;MAX(MORTALITY!$A:$A),"",Inputs!$B$4))</f>
        <v>34</v>
      </c>
      <c r="B93" s="3" t="n">
        <f aca="false">IF(A93="","",EOMONTH(B92,1))</f>
        <v>24503</v>
      </c>
      <c r="C93" s="1" t="n">
        <f aca="false">IF(A93="","",C92+1)</f>
        <v>91</v>
      </c>
      <c r="D93" s="1" t="n">
        <f aca="false">IF(A93="","",INT(C93/12))</f>
        <v>7</v>
      </c>
      <c r="E93" s="1" t="n">
        <f aca="false">IF(A93="","",D93+Inputs!$B$7)</f>
        <v>23</v>
      </c>
      <c r="F93" s="3" t="n">
        <f aca="false">IF(A93="","",DATE(YEAR(B$2)+D93,MONTH(B$2),DAY(B$2)))</f>
        <v>24263</v>
      </c>
      <c r="G93" s="3" t="n">
        <f aca="false">IF(A93="","",DATE(YEAR(F93)+1,MONTH(F93),DAY(F93)))</f>
        <v>24628</v>
      </c>
      <c r="H93" s="10" t="n">
        <f aca="false">IF(A93="","",IF(G93&gt;F93,(B93-F93)/(G93-F93),0))</f>
        <v>0.657534246575342</v>
      </c>
      <c r="I93" s="10" t="n">
        <f aca="false">IF(A93="","",IFERROR(INDEX(CV_RATES!$I:$I,MATCH(D93,CV_RATES!$C:$C,0)),0))</f>
        <v>188.825392656303</v>
      </c>
      <c r="J93" s="10" t="n">
        <f aca="false">IF(A93="","",IFERROR(IF(E93=MAX(MORTALITY!$A:$A),1000,INDEX(CV_RATES!$J:$J,MATCH(D93,CV_RATES!$C:$C,0))),0))</f>
        <v>218.590760274331</v>
      </c>
      <c r="K93" s="10" t="n">
        <f aca="false">IF(A93="","",IFERROR(I93+H93*(J93-I93),0))</f>
        <v>208.397141227061</v>
      </c>
      <c r="L93" s="10" t="n">
        <f aca="false">IF(A93="","",IFERROR(K93*Inputs!$B$9,0))</f>
        <v>10419.8570613531</v>
      </c>
      <c r="M93" s="10" t="n">
        <f aca="false">IF(A93="","",IFERROR(K93*Inputs!$B$10,0))</f>
        <v>33342.9174049061</v>
      </c>
      <c r="N93" s="10" t="n">
        <f aca="false">IF(A93="","",Z92)</f>
        <v>0</v>
      </c>
      <c r="O93" s="6" t="n">
        <f aca="false">IF(A93="","",Inputs!$B$18+N93)</f>
        <v>50000</v>
      </c>
      <c r="P93" s="5" t="n">
        <f aca="false">IF(A93="","",VLOOKUP(D93,DIvidend_Assumption!$A$3:$CX$103,($E$2+2),0)/12)</f>
        <v>0</v>
      </c>
      <c r="Q93" s="10" t="n">
        <f aca="false">IF(A93="","",IFERROR(AB92*P93,""))</f>
        <v>0</v>
      </c>
      <c r="R93" s="10" t="n">
        <f aca="false">IF(A93="","",IFERROR(IF(Inputs!$B$22="Accumulate",T93+Q93,IF(Inputs!$B$22="Premium Offset",MAX(0,T93+Q93-Inputs!$B$25),T93)),""))</f>
        <v>0</v>
      </c>
      <c r="S93" s="10" t="n">
        <f aca="false">IF(A93="","",R92)</f>
        <v>0</v>
      </c>
      <c r="T93" s="10" t="n">
        <f aca="false">IF(A93="","",IFERROR(S93*(1+Inputs!$B$23/12),""))</f>
        <v>0</v>
      </c>
      <c r="U93" s="6" t="n">
        <f aca="false">IF(A93="","",IF(D93&lt;=Inputs!$B$8,IF(Inputs!$B$22="Premium Offset",MAX(0,Inputs!$B$25-(Q93+T93)),Inputs!$B$25),0))</f>
        <v>77</v>
      </c>
      <c r="V93" s="10" t="n">
        <f aca="false">IF(A93="","",IF(Inputs!$B$22="Cash",Q93,0))</f>
        <v>0</v>
      </c>
      <c r="W93" s="10" t="n">
        <f aca="false">IF(A93="","",IF(Inputs!$B$22="PUA",Q93,0))</f>
        <v>0</v>
      </c>
      <c r="X93" s="12" t="n">
        <f aca="false">IF(A93="","",IFERROR(INDEX(PUA_TABLE!$D$4:$D$105,MATCH(E93,PUA_TABLE!$C$4:$C$105,1)),0))</f>
        <v>0.359723485065437</v>
      </c>
      <c r="Y93" s="10" t="n">
        <f aca="false">IF(A93="","",IF(W93&gt;0,IF(X93&gt;0,W93/X93,0),0))</f>
        <v>0</v>
      </c>
      <c r="Z93" s="10" t="n">
        <f aca="false">IF(A93="","",N93+Y93)</f>
        <v>0</v>
      </c>
      <c r="AA93" s="10" t="n">
        <f aca="false">IF(A93="","",IFERROR(Z93*INDEX(PUA_TABLE!$I$4:$I$105,MATCH(E93,PUA_TABLE!$C$4:$C$105,1))/1000,0))</f>
        <v>0</v>
      </c>
      <c r="AB93" s="10" t="n">
        <f aca="false">IF(A93="","",IFERROR(L93+AA93,0))</f>
        <v>10419.8570613531</v>
      </c>
      <c r="AC93" s="10" t="n">
        <f aca="false">IF(A93="","",IF(Inputs!$B$22="Premium Offset",MIN(Inputs!$B$25,Q93+T93),0))</f>
        <v>0</v>
      </c>
    </row>
    <row r="94" customFormat="false" ht="15" hidden="false" customHeight="false" outlineLevel="0" collapsed="false">
      <c r="A94" s="1" t="n">
        <f aca="false">IF(A93="","",IF(INT((C93+1)/12)+Inputs!$B$7&gt;MAX(MORTALITY!$A:$A),"",Inputs!$B$4))</f>
        <v>34</v>
      </c>
      <c r="B94" s="3" t="n">
        <f aca="false">IF(A94="","",EOMONTH(B93,1))</f>
        <v>24531</v>
      </c>
      <c r="C94" s="1" t="n">
        <f aca="false">IF(A94="","",C93+1)</f>
        <v>92</v>
      </c>
      <c r="D94" s="1" t="n">
        <f aca="false">IF(A94="","",INT(C94/12))</f>
        <v>7</v>
      </c>
      <c r="E94" s="1" t="n">
        <f aca="false">IF(A94="","",D94+Inputs!$B$7)</f>
        <v>23</v>
      </c>
      <c r="F94" s="3" t="n">
        <f aca="false">IF(A94="","",DATE(YEAR(B$2)+D94,MONTH(B$2),DAY(B$2)))</f>
        <v>24263</v>
      </c>
      <c r="G94" s="3" t="n">
        <f aca="false">IF(A94="","",DATE(YEAR(F94)+1,MONTH(F94),DAY(F94)))</f>
        <v>24628</v>
      </c>
      <c r="H94" s="10" t="n">
        <f aca="false">IF(A94="","",IF(G94&gt;F94,(B94-F94)/(G94-F94),0))</f>
        <v>0.734246575342466</v>
      </c>
      <c r="I94" s="10" t="n">
        <f aca="false">IF(A94="","",IFERROR(INDEX(CV_RATES!$I:$I,MATCH(D94,CV_RATES!$C:$C,0)),0))</f>
        <v>188.825392656303</v>
      </c>
      <c r="J94" s="10" t="n">
        <f aca="false">IF(A94="","",IFERROR(IF(E94=MAX(MORTALITY!$A:$A),1000,INDEX(CV_RATES!$J:$J,MATCH(D94,CV_RATES!$C:$C,0))),0))</f>
        <v>218.590760274331</v>
      </c>
      <c r="K94" s="10" t="n">
        <f aca="false">IF(A94="","",IFERROR(I94+H94*(J94-I94),0))</f>
        <v>210.68051189365</v>
      </c>
      <c r="L94" s="10" t="n">
        <f aca="false">IF(A94="","",IFERROR(K94*Inputs!$B$9,0))</f>
        <v>10534.0255946825</v>
      </c>
      <c r="M94" s="10" t="n">
        <f aca="false">IF(A94="","",IFERROR(K94*Inputs!$B$10,0))</f>
        <v>33708.2498614483</v>
      </c>
      <c r="N94" s="10" t="n">
        <f aca="false">IF(A94="","",Z93)</f>
        <v>0</v>
      </c>
      <c r="O94" s="6" t="n">
        <f aca="false">IF(A94="","",Inputs!$B$18+N94)</f>
        <v>50000</v>
      </c>
      <c r="P94" s="5" t="n">
        <f aca="false">IF(A94="","",VLOOKUP(D94,DIvidend_Assumption!$A$3:$CX$103,($E$2+2),0)/12)</f>
        <v>0</v>
      </c>
      <c r="Q94" s="10" t="n">
        <f aca="false">IF(A94="","",IFERROR(AB93*P94,""))</f>
        <v>0</v>
      </c>
      <c r="R94" s="10" t="n">
        <f aca="false">IF(A94="","",IFERROR(IF(Inputs!$B$22="Accumulate",T94+Q94,IF(Inputs!$B$22="Premium Offset",MAX(0,T94+Q94-Inputs!$B$25),T94)),""))</f>
        <v>0</v>
      </c>
      <c r="S94" s="10" t="n">
        <f aca="false">IF(A94="","",R93)</f>
        <v>0</v>
      </c>
      <c r="T94" s="10" t="n">
        <f aca="false">IF(A94="","",IFERROR(S94*(1+Inputs!$B$23/12),""))</f>
        <v>0</v>
      </c>
      <c r="U94" s="6" t="n">
        <f aca="false">IF(A94="","",IF(D94&lt;=Inputs!$B$8,IF(Inputs!$B$22="Premium Offset",MAX(0,Inputs!$B$25-(Q94+T94)),Inputs!$B$25),0))</f>
        <v>77</v>
      </c>
      <c r="V94" s="10" t="n">
        <f aca="false">IF(A94="","",IF(Inputs!$B$22="Cash",Q94,0))</f>
        <v>0</v>
      </c>
      <c r="W94" s="10" t="n">
        <f aca="false">IF(A94="","",IF(Inputs!$B$22="PUA",Q94,0))</f>
        <v>0</v>
      </c>
      <c r="X94" s="12" t="n">
        <f aca="false">IF(A94="","",IFERROR(INDEX(PUA_TABLE!$D$4:$D$105,MATCH(E94,PUA_TABLE!$C$4:$C$105,1)),0))</f>
        <v>0.359723485065437</v>
      </c>
      <c r="Y94" s="10" t="n">
        <f aca="false">IF(A94="","",IF(W94&gt;0,IF(X94&gt;0,W94/X94,0),0))</f>
        <v>0</v>
      </c>
      <c r="Z94" s="10" t="n">
        <f aca="false">IF(A94="","",N94+Y94)</f>
        <v>0</v>
      </c>
      <c r="AA94" s="10" t="n">
        <f aca="false">IF(A94="","",IFERROR(Z94*INDEX(PUA_TABLE!$I$4:$I$105,MATCH(E94,PUA_TABLE!$C$4:$C$105,1))/1000,0))</f>
        <v>0</v>
      </c>
      <c r="AB94" s="10" t="n">
        <f aca="false">IF(A94="","",IFERROR(L94+AA94,0))</f>
        <v>10534.0255946825</v>
      </c>
      <c r="AC94" s="10" t="n">
        <f aca="false">IF(A94="","",IF(Inputs!$B$22="Premium Offset",MIN(Inputs!$B$25,Q94+T94),0))</f>
        <v>0</v>
      </c>
    </row>
    <row r="95" customFormat="false" ht="15" hidden="false" customHeight="false" outlineLevel="0" collapsed="false">
      <c r="A95" s="1" t="n">
        <f aca="false">IF(A94="","",IF(INT((C94+1)/12)+Inputs!$B$7&gt;MAX(MORTALITY!$A:$A),"",Inputs!$B$4))</f>
        <v>34</v>
      </c>
      <c r="B95" s="3" t="n">
        <f aca="false">IF(A95="","",EOMONTH(B94,1))</f>
        <v>24562</v>
      </c>
      <c r="C95" s="1" t="n">
        <f aca="false">IF(A95="","",C94+1)</f>
        <v>93</v>
      </c>
      <c r="D95" s="1" t="n">
        <f aca="false">IF(A95="","",INT(C95/12))</f>
        <v>7</v>
      </c>
      <c r="E95" s="1" t="n">
        <f aca="false">IF(A95="","",D95+Inputs!$B$7)</f>
        <v>23</v>
      </c>
      <c r="F95" s="3" t="n">
        <f aca="false">IF(A95="","",DATE(YEAR(B$2)+D95,MONTH(B$2),DAY(B$2)))</f>
        <v>24263</v>
      </c>
      <c r="G95" s="3" t="n">
        <f aca="false">IF(A95="","",DATE(YEAR(F95)+1,MONTH(F95),DAY(F95)))</f>
        <v>24628</v>
      </c>
      <c r="H95" s="10" t="n">
        <f aca="false">IF(A95="","",IF(G95&gt;F95,(B95-F95)/(G95-F95),0))</f>
        <v>0.819178082191781</v>
      </c>
      <c r="I95" s="10" t="n">
        <f aca="false">IF(A95="","",IFERROR(INDEX(CV_RATES!$I:$I,MATCH(D95,CV_RATES!$C:$C,0)),0))</f>
        <v>188.825392656303</v>
      </c>
      <c r="J95" s="10" t="n">
        <f aca="false">IF(A95="","",IFERROR(IF(E95=MAX(MORTALITY!$A:$A),1000,INDEX(CV_RATES!$J:$J,MATCH(D95,CV_RATES!$C:$C,0))),0))</f>
        <v>218.590760274331</v>
      </c>
      <c r="K95" s="10" t="n">
        <f aca="false">IF(A95="","",IFERROR(I95+H95*(J95-I95),0))</f>
        <v>213.208529417373</v>
      </c>
      <c r="L95" s="10" t="n">
        <f aca="false">IF(A95="","",IFERROR(K95*Inputs!$B$9,0))</f>
        <v>10660.4264708686</v>
      </c>
      <c r="M95" s="10" t="n">
        <f aca="false">IF(A95="","",IFERROR(K95*Inputs!$B$10,0))</f>
        <v>34112.7250811914</v>
      </c>
      <c r="N95" s="10" t="n">
        <f aca="false">IF(A95="","",Z94)</f>
        <v>0</v>
      </c>
      <c r="O95" s="6" t="n">
        <f aca="false">IF(A95="","",Inputs!$B$18+N95)</f>
        <v>50000</v>
      </c>
      <c r="P95" s="5" t="n">
        <f aca="false">IF(A95="","",VLOOKUP(D95,DIvidend_Assumption!$A$3:$CX$103,($E$2+2),0)/12)</f>
        <v>0</v>
      </c>
      <c r="Q95" s="10" t="n">
        <f aca="false">IF(A95="","",IFERROR(AB94*P95,""))</f>
        <v>0</v>
      </c>
      <c r="R95" s="10" t="n">
        <f aca="false">IF(A95="","",IFERROR(IF(Inputs!$B$22="Accumulate",T95+Q95,IF(Inputs!$B$22="Premium Offset",MAX(0,T95+Q95-Inputs!$B$25),T95)),""))</f>
        <v>0</v>
      </c>
      <c r="S95" s="10" t="n">
        <f aca="false">IF(A95="","",R94)</f>
        <v>0</v>
      </c>
      <c r="T95" s="10" t="n">
        <f aca="false">IF(A95="","",IFERROR(S95*(1+Inputs!$B$23/12),""))</f>
        <v>0</v>
      </c>
      <c r="U95" s="6" t="n">
        <f aca="false">IF(A95="","",IF(D95&lt;=Inputs!$B$8,IF(Inputs!$B$22="Premium Offset",MAX(0,Inputs!$B$25-(Q95+T95)),Inputs!$B$25),0))</f>
        <v>77</v>
      </c>
      <c r="V95" s="10" t="n">
        <f aca="false">IF(A95="","",IF(Inputs!$B$22="Cash",Q95,0))</f>
        <v>0</v>
      </c>
      <c r="W95" s="10" t="n">
        <f aca="false">IF(A95="","",IF(Inputs!$B$22="PUA",Q95,0))</f>
        <v>0</v>
      </c>
      <c r="X95" s="12" t="n">
        <f aca="false">IF(A95="","",IFERROR(INDEX(PUA_TABLE!$D$4:$D$105,MATCH(E95,PUA_TABLE!$C$4:$C$105,1)),0))</f>
        <v>0.359723485065437</v>
      </c>
      <c r="Y95" s="10" t="n">
        <f aca="false">IF(A95="","",IF(W95&gt;0,IF(X95&gt;0,W95/X95,0),0))</f>
        <v>0</v>
      </c>
      <c r="Z95" s="10" t="n">
        <f aca="false">IF(A95="","",N95+Y95)</f>
        <v>0</v>
      </c>
      <c r="AA95" s="10" t="n">
        <f aca="false">IF(A95="","",IFERROR(Z95*INDEX(PUA_TABLE!$I$4:$I$105,MATCH(E95,PUA_TABLE!$C$4:$C$105,1))/1000,0))</f>
        <v>0</v>
      </c>
      <c r="AB95" s="10" t="n">
        <f aca="false">IF(A95="","",IFERROR(L95+AA95,0))</f>
        <v>10660.4264708686</v>
      </c>
      <c r="AC95" s="10" t="n">
        <f aca="false">IF(A95="","",IF(Inputs!$B$22="Premium Offset",MIN(Inputs!$B$25,Q95+T95),0))</f>
        <v>0</v>
      </c>
    </row>
    <row r="96" customFormat="false" ht="15" hidden="false" customHeight="false" outlineLevel="0" collapsed="false">
      <c r="A96" s="1" t="n">
        <f aca="false">IF(A95="","",IF(INT((C95+1)/12)+Inputs!$B$7&gt;MAX(MORTALITY!$A:$A),"",Inputs!$B$4))</f>
        <v>34</v>
      </c>
      <c r="B96" s="3" t="n">
        <f aca="false">IF(A96="","",EOMONTH(B95,1))</f>
        <v>24592</v>
      </c>
      <c r="C96" s="1" t="n">
        <f aca="false">IF(A96="","",C95+1)</f>
        <v>94</v>
      </c>
      <c r="D96" s="1" t="n">
        <f aca="false">IF(A96="","",INT(C96/12))</f>
        <v>7</v>
      </c>
      <c r="E96" s="1" t="n">
        <f aca="false">IF(A96="","",D96+Inputs!$B$7)</f>
        <v>23</v>
      </c>
      <c r="F96" s="3" t="n">
        <f aca="false">IF(A96="","",DATE(YEAR(B$2)+D96,MONTH(B$2),DAY(B$2)))</f>
        <v>24263</v>
      </c>
      <c r="G96" s="3" t="n">
        <f aca="false">IF(A96="","",DATE(YEAR(F96)+1,MONTH(F96),DAY(F96)))</f>
        <v>24628</v>
      </c>
      <c r="H96" s="10" t="n">
        <f aca="false">IF(A96="","",IF(G96&gt;F96,(B96-F96)/(G96-F96),0))</f>
        <v>0.901369863013699</v>
      </c>
      <c r="I96" s="10" t="n">
        <f aca="false">IF(A96="","",IFERROR(INDEX(CV_RATES!$I:$I,MATCH(D96,CV_RATES!$C:$C,0)),0))</f>
        <v>188.825392656303</v>
      </c>
      <c r="J96" s="10" t="n">
        <f aca="false">IF(A96="","",IFERROR(IF(E96=MAX(MORTALITY!$A:$A),1000,INDEX(CV_RATES!$J:$J,MATCH(D96,CV_RATES!$C:$C,0))),0))</f>
        <v>218.590760274331</v>
      </c>
      <c r="K96" s="10" t="n">
        <f aca="false">IF(A96="","",IFERROR(I96+H96*(J96-I96),0))</f>
        <v>215.654997988718</v>
      </c>
      <c r="L96" s="10" t="n">
        <f aca="false">IF(A96="","",IFERROR(K96*Inputs!$B$9,0))</f>
        <v>10782.7498994359</v>
      </c>
      <c r="M96" s="10" t="n">
        <f aca="false">IF(A96="","",IFERROR(K96*Inputs!$B$10,0))</f>
        <v>34504.1527132008</v>
      </c>
      <c r="N96" s="10" t="n">
        <f aca="false">IF(A96="","",Z95)</f>
        <v>0</v>
      </c>
      <c r="O96" s="6" t="n">
        <f aca="false">IF(A96="","",Inputs!$B$18+N96)</f>
        <v>50000</v>
      </c>
      <c r="P96" s="5" t="n">
        <f aca="false">IF(A96="","",VLOOKUP(D96,DIvidend_Assumption!$A$3:$CX$103,($E$2+2),0)/12)</f>
        <v>0</v>
      </c>
      <c r="Q96" s="10" t="n">
        <f aca="false">IF(A96="","",IFERROR(AB95*P96,""))</f>
        <v>0</v>
      </c>
      <c r="R96" s="10" t="n">
        <f aca="false">IF(A96="","",IFERROR(IF(Inputs!$B$22="Accumulate",T96+Q96,IF(Inputs!$B$22="Premium Offset",MAX(0,T96+Q96-Inputs!$B$25),T96)),""))</f>
        <v>0</v>
      </c>
      <c r="S96" s="10" t="n">
        <f aca="false">IF(A96="","",R95)</f>
        <v>0</v>
      </c>
      <c r="T96" s="10" t="n">
        <f aca="false">IF(A96="","",IFERROR(S96*(1+Inputs!$B$23/12),""))</f>
        <v>0</v>
      </c>
      <c r="U96" s="6" t="n">
        <f aca="false">IF(A96="","",IF(D96&lt;=Inputs!$B$8,IF(Inputs!$B$22="Premium Offset",MAX(0,Inputs!$B$25-(Q96+T96)),Inputs!$B$25),0))</f>
        <v>77</v>
      </c>
      <c r="V96" s="10" t="n">
        <f aca="false">IF(A96="","",IF(Inputs!$B$22="Cash",Q96,0))</f>
        <v>0</v>
      </c>
      <c r="W96" s="10" t="n">
        <f aca="false">IF(A96="","",IF(Inputs!$B$22="PUA",Q96,0))</f>
        <v>0</v>
      </c>
      <c r="X96" s="12" t="n">
        <f aca="false">IF(A96="","",IFERROR(INDEX(PUA_TABLE!$D$4:$D$105,MATCH(E96,PUA_TABLE!$C$4:$C$105,1)),0))</f>
        <v>0.359723485065437</v>
      </c>
      <c r="Y96" s="10" t="n">
        <f aca="false">IF(A96="","",IF(W96&gt;0,IF(X96&gt;0,W96/X96,0),0))</f>
        <v>0</v>
      </c>
      <c r="Z96" s="10" t="n">
        <f aca="false">IF(A96="","",N96+Y96)</f>
        <v>0</v>
      </c>
      <c r="AA96" s="10" t="n">
        <f aca="false">IF(A96="","",IFERROR(Z96*INDEX(PUA_TABLE!$I$4:$I$105,MATCH(E96,PUA_TABLE!$C$4:$C$105,1))/1000,0))</f>
        <v>0</v>
      </c>
      <c r="AB96" s="10" t="n">
        <f aca="false">IF(A96="","",IFERROR(L96+AA96,0))</f>
        <v>10782.7498994359</v>
      </c>
      <c r="AC96" s="10" t="n">
        <f aca="false">IF(A96="","",IF(Inputs!$B$22="Premium Offset",MIN(Inputs!$B$25,Q96+T96),0))</f>
        <v>0</v>
      </c>
    </row>
    <row r="97" customFormat="false" ht="15" hidden="false" customHeight="false" outlineLevel="0" collapsed="false">
      <c r="A97" s="1" t="n">
        <f aca="false">IF(A96="","",IF(INT((C96+1)/12)+Inputs!$B$7&gt;MAX(MORTALITY!$A:$A),"",Inputs!$B$4))</f>
        <v>34</v>
      </c>
      <c r="B97" s="3" t="n">
        <f aca="false">IF(A97="","",EOMONTH(B96,1))</f>
        <v>24623</v>
      </c>
      <c r="C97" s="1" t="n">
        <f aca="false">IF(A97="","",C96+1)</f>
        <v>95</v>
      </c>
      <c r="D97" s="1" t="n">
        <f aca="false">IF(A97="","",INT(C97/12))</f>
        <v>7</v>
      </c>
      <c r="E97" s="1" t="n">
        <f aca="false">IF(A97="","",D97+Inputs!$B$7)</f>
        <v>23</v>
      </c>
      <c r="F97" s="3" t="n">
        <f aca="false">IF(A97="","",DATE(YEAR(B$2)+D97,MONTH(B$2),DAY(B$2)))</f>
        <v>24263</v>
      </c>
      <c r="G97" s="3" t="n">
        <f aca="false">IF(A97="","",DATE(YEAR(F97)+1,MONTH(F97),DAY(F97)))</f>
        <v>24628</v>
      </c>
      <c r="H97" s="10" t="n">
        <f aca="false">IF(A97="","",IF(G97&gt;F97,(B97-F97)/(G97-F97),0))</f>
        <v>0.986301369863014</v>
      </c>
      <c r="I97" s="10" t="n">
        <f aca="false">IF(A97="","",IFERROR(INDEX(CV_RATES!$I:$I,MATCH(D97,CV_RATES!$C:$C,0)),0))</f>
        <v>188.825392656303</v>
      </c>
      <c r="J97" s="10" t="n">
        <f aca="false">IF(A97="","",IFERROR(IF(E97=MAX(MORTALITY!$A:$A),1000,INDEX(CV_RATES!$J:$J,MATCH(D97,CV_RATES!$C:$C,0))),0))</f>
        <v>218.590760274331</v>
      </c>
      <c r="K97" s="10" t="n">
        <f aca="false">IF(A97="","",IFERROR(I97+H97*(J97-I97),0))</f>
        <v>218.183015512441</v>
      </c>
      <c r="L97" s="10" t="n">
        <f aca="false">IF(A97="","",IFERROR(K97*Inputs!$B$9,0))</f>
        <v>10909.150775622</v>
      </c>
      <c r="M97" s="10" t="n">
        <f aca="false">IF(A97="","",IFERROR(K97*Inputs!$B$10,0))</f>
        <v>34908.627932944</v>
      </c>
      <c r="N97" s="10" t="n">
        <f aca="false">IF(A97="","",Z96)</f>
        <v>0</v>
      </c>
      <c r="O97" s="6" t="n">
        <f aca="false">IF(A97="","",Inputs!$B$18+N97)</f>
        <v>50000</v>
      </c>
      <c r="P97" s="5" t="n">
        <f aca="false">IF(A97="","",VLOOKUP(D97,DIvidend_Assumption!$A$3:$CX$103,($E$2+2),0)/12)</f>
        <v>0</v>
      </c>
      <c r="Q97" s="10" t="n">
        <f aca="false">IF(A97="","",IFERROR(AB96*P97,""))</f>
        <v>0</v>
      </c>
      <c r="R97" s="10" t="n">
        <f aca="false">IF(A97="","",IFERROR(IF(Inputs!$B$22="Accumulate",T97+Q97,IF(Inputs!$B$22="Premium Offset",MAX(0,T97+Q97-Inputs!$B$25),T97)),""))</f>
        <v>0</v>
      </c>
      <c r="S97" s="10" t="n">
        <f aca="false">IF(A97="","",R96)</f>
        <v>0</v>
      </c>
      <c r="T97" s="10" t="n">
        <f aca="false">IF(A97="","",IFERROR(S97*(1+Inputs!$B$23/12),""))</f>
        <v>0</v>
      </c>
      <c r="U97" s="6" t="n">
        <f aca="false">IF(A97="","",IF(D97&lt;=Inputs!$B$8,IF(Inputs!$B$22="Premium Offset",MAX(0,Inputs!$B$25-(Q97+T97)),Inputs!$B$25),0))</f>
        <v>77</v>
      </c>
      <c r="V97" s="10" t="n">
        <f aca="false">IF(A97="","",IF(Inputs!$B$22="Cash",Q97,0))</f>
        <v>0</v>
      </c>
      <c r="W97" s="10" t="n">
        <f aca="false">IF(A97="","",IF(Inputs!$B$22="PUA",Q97,0))</f>
        <v>0</v>
      </c>
      <c r="X97" s="12" t="n">
        <f aca="false">IF(A97="","",IFERROR(INDEX(PUA_TABLE!$D$4:$D$105,MATCH(E97,PUA_TABLE!$C$4:$C$105,1)),0))</f>
        <v>0.359723485065437</v>
      </c>
      <c r="Y97" s="10" t="n">
        <f aca="false">IF(A97="","",IF(W97&gt;0,IF(X97&gt;0,W97/X97,0),0))</f>
        <v>0</v>
      </c>
      <c r="Z97" s="10" t="n">
        <f aca="false">IF(A97="","",N97+Y97)</f>
        <v>0</v>
      </c>
      <c r="AA97" s="10" t="n">
        <f aca="false">IF(A97="","",IFERROR(Z97*INDEX(PUA_TABLE!$I$4:$I$105,MATCH(E97,PUA_TABLE!$C$4:$C$105,1))/1000,0))</f>
        <v>0</v>
      </c>
      <c r="AB97" s="10" t="n">
        <f aca="false">IF(A97="","",IFERROR(L97+AA97,0))</f>
        <v>10909.150775622</v>
      </c>
      <c r="AC97" s="10" t="n">
        <f aca="false">IF(A97="","",IF(Inputs!$B$22="Premium Offset",MIN(Inputs!$B$25,Q97+T97),0))</f>
        <v>0</v>
      </c>
    </row>
    <row r="98" customFormat="false" ht="15" hidden="false" customHeight="false" outlineLevel="0" collapsed="false">
      <c r="A98" s="1" t="n">
        <f aca="false">IF(A97="","",IF(INT((C97+1)/12)+Inputs!$B$7&gt;MAX(MORTALITY!$A:$A),"",Inputs!$B$4))</f>
        <v>34</v>
      </c>
      <c r="B98" s="3" t="n">
        <f aca="false">IF(A98="","",EOMONTH(B97,1))</f>
        <v>24653</v>
      </c>
      <c r="C98" s="1" t="n">
        <f aca="false">IF(A98="","",C97+1)</f>
        <v>96</v>
      </c>
      <c r="D98" s="1" t="n">
        <f aca="false">IF(A98="","",INT(C98/12))</f>
        <v>8</v>
      </c>
      <c r="E98" s="1" t="n">
        <f aca="false">IF(A98="","",D98+Inputs!$B$7)</f>
        <v>24</v>
      </c>
      <c r="F98" s="3" t="n">
        <f aca="false">IF(A98="","",DATE(YEAR(B$2)+D98,MONTH(B$2),DAY(B$2)))</f>
        <v>24628</v>
      </c>
      <c r="G98" s="3" t="n">
        <f aca="false">IF(A98="","",DATE(YEAR(F98)+1,MONTH(F98),DAY(F98)))</f>
        <v>24994</v>
      </c>
      <c r="H98" s="10" t="n">
        <f aca="false">IF(A98="","",IF(G98&gt;F98,(B98-F98)/(G98-F98),0))</f>
        <v>0.0683060109289618</v>
      </c>
      <c r="I98" s="10" t="n">
        <f aca="false">IF(A98="","",IFERROR(INDEX(CV_RATES!$I:$I,MATCH(D98,CV_RATES!$C:$C,0)),0))</f>
        <v>218.590760274331</v>
      </c>
      <c r="J98" s="10" t="n">
        <f aca="false">IF(A98="","",IFERROR(IF(E98=MAX(MORTALITY!$A:$A),1000,INDEX(CV_RATES!$J:$J,MATCH(D98,CV_RATES!$C:$C,0))),0))</f>
        <v>249.114485971416</v>
      </c>
      <c r="K98" s="10" t="n">
        <f aca="false">IF(A98="","",IFERROR(I98+H98*(J98-I98),0))</f>
        <v>220.675714215389</v>
      </c>
      <c r="L98" s="10" t="n">
        <f aca="false">IF(A98="","",IFERROR(K98*Inputs!$B$9,0))</f>
        <v>11033.7857107695</v>
      </c>
      <c r="M98" s="10" t="n">
        <f aca="false">IF(A98="","",IFERROR(K98*Inputs!$B$10,0))</f>
        <v>35307.4522473196</v>
      </c>
      <c r="N98" s="10" t="n">
        <f aca="false">IF(A98="","",Z97)</f>
        <v>0</v>
      </c>
      <c r="O98" s="6" t="n">
        <f aca="false">IF(A98="","",Inputs!$B$18+N98)</f>
        <v>50000</v>
      </c>
      <c r="P98" s="5" t="n">
        <f aca="false">IF(A98="","",VLOOKUP(D98,DIvidend_Assumption!$A$3:$CX$103,($E$2+2),0)/12)</f>
        <v>0</v>
      </c>
      <c r="Q98" s="10" t="n">
        <f aca="false">IF(A98="","",IFERROR(AB97*P98,""))</f>
        <v>0</v>
      </c>
      <c r="R98" s="10" t="n">
        <f aca="false">IF(A98="","",IFERROR(IF(Inputs!$B$22="Accumulate",T98+Q98,IF(Inputs!$B$22="Premium Offset",MAX(0,T98+Q98-Inputs!$B$25),T98)),""))</f>
        <v>0</v>
      </c>
      <c r="S98" s="10" t="n">
        <f aca="false">IF(A98="","",R97)</f>
        <v>0</v>
      </c>
      <c r="T98" s="10" t="n">
        <f aca="false">IF(A98="","",IFERROR(S98*(1+Inputs!$B$23/12),""))</f>
        <v>0</v>
      </c>
      <c r="U98" s="6" t="n">
        <f aca="false">IF(A98="","",IF(D98&lt;=Inputs!$B$8,IF(Inputs!$B$22="Premium Offset",MAX(0,Inputs!$B$25-(Q98+T98)),Inputs!$B$25),0))</f>
        <v>77</v>
      </c>
      <c r="V98" s="10" t="n">
        <f aca="false">IF(A98="","",IF(Inputs!$B$22="Cash",Q98,0))</f>
        <v>0</v>
      </c>
      <c r="W98" s="10" t="n">
        <f aca="false">IF(A98="","",IF(Inputs!$B$22="PUA",Q98,0))</f>
        <v>0</v>
      </c>
      <c r="X98" s="12" t="n">
        <f aca="false">IF(A98="","",IFERROR(INDEX(PUA_TABLE!$D$4:$D$105,MATCH(E98,PUA_TABLE!$C$4:$C$105,1)),0))</f>
        <v>0.367020186291333</v>
      </c>
      <c r="Y98" s="10" t="n">
        <f aca="false">IF(A98="","",IF(W98&gt;0,IF(X98&gt;0,W98/X98,0),0))</f>
        <v>0</v>
      </c>
      <c r="Z98" s="10" t="n">
        <f aca="false">IF(A98="","",N98+Y98)</f>
        <v>0</v>
      </c>
      <c r="AA98" s="10" t="n">
        <f aca="false">IF(A98="","",IFERROR(Z98*INDEX(PUA_TABLE!$I$4:$I$105,MATCH(E98,PUA_TABLE!$C$4:$C$105,1))/1000,0))</f>
        <v>0</v>
      </c>
      <c r="AB98" s="10" t="n">
        <f aca="false">IF(A98="","",IFERROR(L98+AA98,0))</f>
        <v>11033.7857107695</v>
      </c>
      <c r="AC98" s="10" t="n">
        <f aca="false">IF(A98="","",IF(Inputs!$B$22="Premium Offset",MIN(Inputs!$B$25,Q98+T98),0))</f>
        <v>0</v>
      </c>
    </row>
    <row r="99" customFormat="false" ht="15" hidden="false" customHeight="false" outlineLevel="0" collapsed="false">
      <c r="A99" s="1" t="n">
        <f aca="false">IF(A98="","",IF(INT((C98+1)/12)+Inputs!$B$7&gt;MAX(MORTALITY!$A:$A),"",Inputs!$B$4))</f>
        <v>34</v>
      </c>
      <c r="B99" s="3" t="n">
        <f aca="false">IF(A99="","",EOMONTH(B98,1))</f>
        <v>24684</v>
      </c>
      <c r="C99" s="1" t="n">
        <f aca="false">IF(A99="","",C98+1)</f>
        <v>97</v>
      </c>
      <c r="D99" s="1" t="n">
        <f aca="false">IF(A99="","",INT(C99/12))</f>
        <v>8</v>
      </c>
      <c r="E99" s="1" t="n">
        <f aca="false">IF(A99="","",D99+Inputs!$B$7)</f>
        <v>24</v>
      </c>
      <c r="F99" s="3" t="n">
        <f aca="false">IF(A99="","",DATE(YEAR(B$2)+D99,MONTH(B$2),DAY(B$2)))</f>
        <v>24628</v>
      </c>
      <c r="G99" s="3" t="n">
        <f aca="false">IF(A99="","",DATE(YEAR(F99)+1,MONTH(F99),DAY(F99)))</f>
        <v>24994</v>
      </c>
      <c r="H99" s="10" t="n">
        <f aca="false">IF(A99="","",IF(G99&gt;F99,(B99-F99)/(G99-F99),0))</f>
        <v>0.153005464480874</v>
      </c>
      <c r="I99" s="10" t="n">
        <f aca="false">IF(A99="","",IFERROR(INDEX(CV_RATES!$I:$I,MATCH(D99,CV_RATES!$C:$C,0)),0))</f>
        <v>218.590760274331</v>
      </c>
      <c r="J99" s="10" t="n">
        <f aca="false">IF(A99="","",IFERROR(IF(E99=MAX(MORTALITY!$A:$A),1000,INDEX(CV_RATES!$J:$J,MATCH(D99,CV_RATES!$C:$C,0))),0))</f>
        <v>249.114485971416</v>
      </c>
      <c r="K99" s="10" t="n">
        <f aca="false">IF(A99="","",IFERROR(I99+H99*(J99-I99),0))</f>
        <v>223.261057102301</v>
      </c>
      <c r="L99" s="10" t="n">
        <f aca="false">IF(A99="","",IFERROR(K99*Inputs!$B$9,0))</f>
        <v>11163.052855115</v>
      </c>
      <c r="M99" s="10" t="n">
        <f aca="false">IF(A99="","",IFERROR(K99*Inputs!$B$10,0))</f>
        <v>35721.0993531968</v>
      </c>
      <c r="N99" s="10" t="n">
        <f aca="false">IF(A99="","",Z98)</f>
        <v>0</v>
      </c>
      <c r="O99" s="6" t="n">
        <f aca="false">IF(A99="","",Inputs!$B$18+N99)</f>
        <v>50000</v>
      </c>
      <c r="P99" s="5" t="n">
        <f aca="false">IF(A99="","",VLOOKUP(D99,DIvidend_Assumption!$A$3:$CX$103,($E$2+2),0)/12)</f>
        <v>0</v>
      </c>
      <c r="Q99" s="10" t="n">
        <f aca="false">IF(A99="","",IFERROR(AB98*P99,""))</f>
        <v>0</v>
      </c>
      <c r="R99" s="10" t="n">
        <f aca="false">IF(A99="","",IFERROR(IF(Inputs!$B$22="Accumulate",T99+Q99,IF(Inputs!$B$22="Premium Offset",MAX(0,T99+Q99-Inputs!$B$25),T99)),""))</f>
        <v>0</v>
      </c>
      <c r="S99" s="10" t="n">
        <f aca="false">IF(A99="","",R98)</f>
        <v>0</v>
      </c>
      <c r="T99" s="10" t="n">
        <f aca="false">IF(A99="","",IFERROR(S99*(1+Inputs!$B$23/12),""))</f>
        <v>0</v>
      </c>
      <c r="U99" s="6" t="n">
        <f aca="false">IF(A99="","",IF(D99&lt;=Inputs!$B$8,IF(Inputs!$B$22="Premium Offset",MAX(0,Inputs!$B$25-(Q99+T99)),Inputs!$B$25),0))</f>
        <v>77</v>
      </c>
      <c r="V99" s="10" t="n">
        <f aca="false">IF(A99="","",IF(Inputs!$B$22="Cash",Q99,0))</f>
        <v>0</v>
      </c>
      <c r="W99" s="10" t="n">
        <f aca="false">IF(A99="","",IF(Inputs!$B$22="PUA",Q99,0))</f>
        <v>0</v>
      </c>
      <c r="X99" s="12" t="n">
        <f aca="false">IF(A99="","",IFERROR(INDEX(PUA_TABLE!$D$4:$D$105,MATCH(E99,PUA_TABLE!$C$4:$C$105,1)),0))</f>
        <v>0.367020186291333</v>
      </c>
      <c r="Y99" s="10" t="n">
        <f aca="false">IF(A99="","",IF(W99&gt;0,IF(X99&gt;0,W99/X99,0),0))</f>
        <v>0</v>
      </c>
      <c r="Z99" s="10" t="n">
        <f aca="false">IF(A99="","",N99+Y99)</f>
        <v>0</v>
      </c>
      <c r="AA99" s="10" t="n">
        <f aca="false">IF(A99="","",IFERROR(Z99*INDEX(PUA_TABLE!$I$4:$I$105,MATCH(E99,PUA_TABLE!$C$4:$C$105,1))/1000,0))</f>
        <v>0</v>
      </c>
      <c r="AB99" s="10" t="n">
        <f aca="false">IF(A99="","",IFERROR(L99+AA99,0))</f>
        <v>11163.052855115</v>
      </c>
      <c r="AC99" s="10" t="n">
        <f aca="false">IF(A99="","",IF(Inputs!$B$22="Premium Offset",MIN(Inputs!$B$25,Q99+T99),0))</f>
        <v>0</v>
      </c>
    </row>
    <row r="100" customFormat="false" ht="15" hidden="false" customHeight="false" outlineLevel="0" collapsed="false">
      <c r="A100" s="1" t="n">
        <f aca="false">IF(A99="","",IF(INT((C99+1)/12)+Inputs!$B$7&gt;MAX(MORTALITY!$A:$A),"",Inputs!$B$4))</f>
        <v>34</v>
      </c>
      <c r="B100" s="3" t="n">
        <f aca="false">IF(A100="","",EOMONTH(B99,1))</f>
        <v>24715</v>
      </c>
      <c r="C100" s="1" t="n">
        <f aca="false">IF(A100="","",C99+1)</f>
        <v>98</v>
      </c>
      <c r="D100" s="1" t="n">
        <f aca="false">IF(A100="","",INT(C100/12))</f>
        <v>8</v>
      </c>
      <c r="E100" s="1" t="n">
        <f aca="false">IF(A100="","",D100+Inputs!$B$7)</f>
        <v>24</v>
      </c>
      <c r="F100" s="3" t="n">
        <f aca="false">IF(A100="","",DATE(YEAR(B$2)+D100,MONTH(B$2),DAY(B$2)))</f>
        <v>24628</v>
      </c>
      <c r="G100" s="3" t="n">
        <f aca="false">IF(A100="","",DATE(YEAR(F100)+1,MONTH(F100),DAY(F100)))</f>
        <v>24994</v>
      </c>
      <c r="H100" s="10" t="n">
        <f aca="false">IF(A100="","",IF(G100&gt;F100,(B100-F100)/(G100-F100),0))</f>
        <v>0.237704918032787</v>
      </c>
      <c r="I100" s="10" t="n">
        <f aca="false">IF(A100="","",IFERROR(INDEX(CV_RATES!$I:$I,MATCH(D100,CV_RATES!$C:$C,0)),0))</f>
        <v>218.590760274331</v>
      </c>
      <c r="J100" s="10" t="n">
        <f aca="false">IF(A100="","",IFERROR(IF(E100=MAX(MORTALITY!$A:$A),1000,INDEX(CV_RATES!$J:$J,MATCH(D100,CV_RATES!$C:$C,0))),0))</f>
        <v>249.114485971416</v>
      </c>
      <c r="K100" s="10" t="n">
        <f aca="false">IF(A100="","",IFERROR(I100+H100*(J100-I100),0))</f>
        <v>225.846399989212</v>
      </c>
      <c r="L100" s="10" t="n">
        <f aca="false">IF(A100="","",IFERROR(K100*Inputs!$B$9,0))</f>
        <v>11292.3199994606</v>
      </c>
      <c r="M100" s="10" t="n">
        <f aca="false">IF(A100="","",IFERROR(K100*Inputs!$B$10,0))</f>
        <v>36134.746459074</v>
      </c>
      <c r="N100" s="10" t="n">
        <f aca="false">IF(A100="","",Z99)</f>
        <v>0</v>
      </c>
      <c r="O100" s="6" t="n">
        <f aca="false">IF(A100="","",Inputs!$B$18+N100)</f>
        <v>50000</v>
      </c>
      <c r="P100" s="5" t="n">
        <f aca="false">IF(A100="","",VLOOKUP(D100,DIvidend_Assumption!$A$3:$CX$103,($E$2+2),0)/12)</f>
        <v>0</v>
      </c>
      <c r="Q100" s="10" t="n">
        <f aca="false">IF(A100="","",IFERROR(AB99*P100,""))</f>
        <v>0</v>
      </c>
      <c r="R100" s="10" t="n">
        <f aca="false">IF(A100="","",IFERROR(IF(Inputs!$B$22="Accumulate",T100+Q100,IF(Inputs!$B$22="Premium Offset",MAX(0,T100+Q100-Inputs!$B$25),T100)),""))</f>
        <v>0</v>
      </c>
      <c r="S100" s="10" t="n">
        <f aca="false">IF(A100="","",R99)</f>
        <v>0</v>
      </c>
      <c r="T100" s="10" t="n">
        <f aca="false">IF(A100="","",IFERROR(S100*(1+Inputs!$B$23/12),""))</f>
        <v>0</v>
      </c>
      <c r="U100" s="6" t="n">
        <f aca="false">IF(A100="","",IF(D100&lt;=Inputs!$B$8,IF(Inputs!$B$22="Premium Offset",MAX(0,Inputs!$B$25-(Q100+T100)),Inputs!$B$25),0))</f>
        <v>77</v>
      </c>
      <c r="V100" s="10" t="n">
        <f aca="false">IF(A100="","",IF(Inputs!$B$22="Cash",Q100,0))</f>
        <v>0</v>
      </c>
      <c r="W100" s="10" t="n">
        <f aca="false">IF(A100="","",IF(Inputs!$B$22="PUA",Q100,0))</f>
        <v>0</v>
      </c>
      <c r="X100" s="12" t="n">
        <f aca="false">IF(A100="","",IFERROR(INDEX(PUA_TABLE!$D$4:$D$105,MATCH(E100,PUA_TABLE!$C$4:$C$105,1)),0))</f>
        <v>0.367020186291333</v>
      </c>
      <c r="Y100" s="10" t="n">
        <f aca="false">IF(A100="","",IF(W100&gt;0,IF(X100&gt;0,W100/X100,0),0))</f>
        <v>0</v>
      </c>
      <c r="Z100" s="10" t="n">
        <f aca="false">IF(A100="","",N100+Y100)</f>
        <v>0</v>
      </c>
      <c r="AA100" s="10" t="n">
        <f aca="false">IF(A100="","",IFERROR(Z100*INDEX(PUA_TABLE!$I$4:$I$105,MATCH(E100,PUA_TABLE!$C$4:$C$105,1))/1000,0))</f>
        <v>0</v>
      </c>
      <c r="AB100" s="10" t="n">
        <f aca="false">IF(A100="","",IFERROR(L100+AA100,0))</f>
        <v>11292.3199994606</v>
      </c>
      <c r="AC100" s="10" t="n">
        <f aca="false">IF(A100="","",IF(Inputs!$B$22="Premium Offset",MIN(Inputs!$B$25,Q100+T100),0))</f>
        <v>0</v>
      </c>
    </row>
    <row r="101" customFormat="false" ht="15" hidden="false" customHeight="false" outlineLevel="0" collapsed="false">
      <c r="A101" s="1" t="n">
        <f aca="false">IF(A100="","",IF(INT((C100+1)/12)+Inputs!$B$7&gt;MAX(MORTALITY!$A:$A),"",Inputs!$B$4))</f>
        <v>34</v>
      </c>
      <c r="B101" s="3" t="n">
        <f aca="false">IF(A101="","",EOMONTH(B100,1))</f>
        <v>24745</v>
      </c>
      <c r="C101" s="1" t="n">
        <f aca="false">IF(A101="","",C100+1)</f>
        <v>99</v>
      </c>
      <c r="D101" s="1" t="n">
        <f aca="false">IF(A101="","",INT(C101/12))</f>
        <v>8</v>
      </c>
      <c r="E101" s="1" t="n">
        <f aca="false">IF(A101="","",D101+Inputs!$B$7)</f>
        <v>24</v>
      </c>
      <c r="F101" s="3" t="n">
        <f aca="false">IF(A101="","",DATE(YEAR(B$2)+D101,MONTH(B$2),DAY(B$2)))</f>
        <v>24628</v>
      </c>
      <c r="G101" s="3" t="n">
        <f aca="false">IF(A101="","",DATE(YEAR(F101)+1,MONTH(F101),DAY(F101)))</f>
        <v>24994</v>
      </c>
      <c r="H101" s="10" t="n">
        <f aca="false">IF(A101="","",IF(G101&gt;F101,(B101-F101)/(G101-F101),0))</f>
        <v>0.319672131147541</v>
      </c>
      <c r="I101" s="10" t="n">
        <f aca="false">IF(A101="","",IFERROR(INDEX(CV_RATES!$I:$I,MATCH(D101,CV_RATES!$C:$C,0)),0))</f>
        <v>218.590760274331</v>
      </c>
      <c r="J101" s="10" t="n">
        <f aca="false">IF(A101="","",IFERROR(IF(E101=MAX(MORTALITY!$A:$A),1000,INDEX(CV_RATES!$J:$J,MATCH(D101,CV_RATES!$C:$C,0))),0))</f>
        <v>249.114485971416</v>
      </c>
      <c r="K101" s="10" t="n">
        <f aca="false">IF(A101="","",IFERROR(I101+H101*(J101-I101),0))</f>
        <v>228.348344718481</v>
      </c>
      <c r="L101" s="10" t="n">
        <f aca="false">IF(A101="","",IFERROR(K101*Inputs!$B$9,0))</f>
        <v>11417.4172359241</v>
      </c>
      <c r="M101" s="10" t="n">
        <f aca="false">IF(A101="","",IFERROR(K101*Inputs!$B$10,0))</f>
        <v>36535.0501099229</v>
      </c>
      <c r="N101" s="10" t="n">
        <f aca="false">IF(A101="","",Z100)</f>
        <v>0</v>
      </c>
      <c r="O101" s="6" t="n">
        <f aca="false">IF(A101="","",Inputs!$B$18+N101)</f>
        <v>50000</v>
      </c>
      <c r="P101" s="5" t="n">
        <f aca="false">IF(A101="","",VLOOKUP(D101,DIvidend_Assumption!$A$3:$CX$103,($E$2+2),0)/12)</f>
        <v>0</v>
      </c>
      <c r="Q101" s="10" t="n">
        <f aca="false">IF(A101="","",IFERROR(AB100*P101,""))</f>
        <v>0</v>
      </c>
      <c r="R101" s="10" t="n">
        <f aca="false">IF(A101="","",IFERROR(IF(Inputs!$B$22="Accumulate",T101+Q101,IF(Inputs!$B$22="Premium Offset",MAX(0,T101+Q101-Inputs!$B$25),T101)),""))</f>
        <v>0</v>
      </c>
      <c r="S101" s="10" t="n">
        <f aca="false">IF(A101="","",R100)</f>
        <v>0</v>
      </c>
      <c r="T101" s="10" t="n">
        <f aca="false">IF(A101="","",IFERROR(S101*(1+Inputs!$B$23/12),""))</f>
        <v>0</v>
      </c>
      <c r="U101" s="6" t="n">
        <f aca="false">IF(A101="","",IF(D101&lt;=Inputs!$B$8,IF(Inputs!$B$22="Premium Offset",MAX(0,Inputs!$B$25-(Q101+T101)),Inputs!$B$25),0))</f>
        <v>77</v>
      </c>
      <c r="V101" s="10" t="n">
        <f aca="false">IF(A101="","",IF(Inputs!$B$22="Cash",Q101,0))</f>
        <v>0</v>
      </c>
      <c r="W101" s="10" t="n">
        <f aca="false">IF(A101="","",IF(Inputs!$B$22="PUA",Q101,0))</f>
        <v>0</v>
      </c>
      <c r="X101" s="12" t="n">
        <f aca="false">IF(A101="","",IFERROR(INDEX(PUA_TABLE!$D$4:$D$105,MATCH(E101,PUA_TABLE!$C$4:$C$105,1)),0))</f>
        <v>0.367020186291333</v>
      </c>
      <c r="Y101" s="10" t="n">
        <f aca="false">IF(A101="","",IF(W101&gt;0,IF(X101&gt;0,W101/X101,0),0))</f>
        <v>0</v>
      </c>
      <c r="Z101" s="10" t="n">
        <f aca="false">IF(A101="","",N101+Y101)</f>
        <v>0</v>
      </c>
      <c r="AA101" s="10" t="n">
        <f aca="false">IF(A101="","",IFERROR(Z101*INDEX(PUA_TABLE!$I$4:$I$105,MATCH(E101,PUA_TABLE!$C$4:$C$105,1))/1000,0))</f>
        <v>0</v>
      </c>
      <c r="AB101" s="10" t="n">
        <f aca="false">IF(A101="","",IFERROR(L101+AA101,0))</f>
        <v>11417.4172359241</v>
      </c>
      <c r="AC101" s="10" t="n">
        <f aca="false">IF(A101="","",IF(Inputs!$B$22="Premium Offset",MIN(Inputs!$B$25,Q101+T101),0))</f>
        <v>0</v>
      </c>
    </row>
    <row r="102" customFormat="false" ht="15" hidden="false" customHeight="false" outlineLevel="0" collapsed="false">
      <c r="A102" s="1" t="n">
        <f aca="false">IF(A101="","",IF(INT((C101+1)/12)+Inputs!$B$7&gt;MAX(MORTALITY!$A:$A),"",Inputs!$B$4))</f>
        <v>34</v>
      </c>
      <c r="B102" s="3" t="n">
        <f aca="false">IF(A102="","",EOMONTH(B101,1))</f>
        <v>24776</v>
      </c>
      <c r="C102" s="1" t="n">
        <f aca="false">IF(A102="","",C101+1)</f>
        <v>100</v>
      </c>
      <c r="D102" s="1" t="n">
        <f aca="false">IF(A102="","",INT(C102/12))</f>
        <v>8</v>
      </c>
      <c r="E102" s="1" t="n">
        <f aca="false">IF(A102="","",D102+Inputs!$B$7)</f>
        <v>24</v>
      </c>
      <c r="F102" s="3" t="n">
        <f aca="false">IF(A102="","",DATE(YEAR(B$2)+D102,MONTH(B$2),DAY(B$2)))</f>
        <v>24628</v>
      </c>
      <c r="G102" s="3" t="n">
        <f aca="false">IF(A102="","",DATE(YEAR(F102)+1,MONTH(F102),DAY(F102)))</f>
        <v>24994</v>
      </c>
      <c r="H102" s="10" t="n">
        <f aca="false">IF(A102="","",IF(G102&gt;F102,(B102-F102)/(G102-F102),0))</f>
        <v>0.404371584699454</v>
      </c>
      <c r="I102" s="10" t="n">
        <f aca="false">IF(A102="","",IFERROR(INDEX(CV_RATES!$I:$I,MATCH(D102,CV_RATES!$C:$C,0)),0))</f>
        <v>218.590760274331</v>
      </c>
      <c r="J102" s="10" t="n">
        <f aca="false">IF(A102="","",IFERROR(IF(E102=MAX(MORTALITY!$A:$A),1000,INDEX(CV_RATES!$J:$J,MATCH(D102,CV_RATES!$C:$C,0))),0))</f>
        <v>249.114485971416</v>
      </c>
      <c r="K102" s="10" t="n">
        <f aca="false">IF(A102="","",IFERROR(I102+H102*(J102-I102),0))</f>
        <v>230.933687605393</v>
      </c>
      <c r="L102" s="10" t="n">
        <f aca="false">IF(A102="","",IFERROR(K102*Inputs!$B$9,0))</f>
        <v>11546.6843802697</v>
      </c>
      <c r="M102" s="10" t="n">
        <f aca="false">IF(A102="","",IFERROR(K102*Inputs!$B$10,0))</f>
        <v>36948.6972158001</v>
      </c>
      <c r="N102" s="10" t="n">
        <f aca="false">IF(A102="","",Z101)</f>
        <v>0</v>
      </c>
      <c r="O102" s="6" t="n">
        <f aca="false">IF(A102="","",Inputs!$B$18+N102)</f>
        <v>50000</v>
      </c>
      <c r="P102" s="5" t="n">
        <f aca="false">IF(A102="","",VLOOKUP(D102,DIvidend_Assumption!$A$3:$CX$103,($E$2+2),0)/12)</f>
        <v>0</v>
      </c>
      <c r="Q102" s="10" t="n">
        <f aca="false">IF(A102="","",IFERROR(AB101*P102,""))</f>
        <v>0</v>
      </c>
      <c r="R102" s="10" t="n">
        <f aca="false">IF(A102="","",IFERROR(IF(Inputs!$B$22="Accumulate",T102+Q102,IF(Inputs!$B$22="Premium Offset",MAX(0,T102+Q102-Inputs!$B$25),T102)),""))</f>
        <v>0</v>
      </c>
      <c r="S102" s="10" t="n">
        <f aca="false">IF(A102="","",R101)</f>
        <v>0</v>
      </c>
      <c r="T102" s="10" t="n">
        <f aca="false">IF(A102="","",IFERROR(S102*(1+Inputs!$B$23/12),""))</f>
        <v>0</v>
      </c>
      <c r="U102" s="6" t="n">
        <f aca="false">IF(A102="","",IF(D102&lt;=Inputs!$B$8,IF(Inputs!$B$22="Premium Offset",MAX(0,Inputs!$B$25-(Q102+T102)),Inputs!$B$25),0))</f>
        <v>77</v>
      </c>
      <c r="V102" s="10" t="n">
        <f aca="false">IF(A102="","",IF(Inputs!$B$22="Cash",Q102,0))</f>
        <v>0</v>
      </c>
      <c r="W102" s="10" t="n">
        <f aca="false">IF(A102="","",IF(Inputs!$B$22="PUA",Q102,0))</f>
        <v>0</v>
      </c>
      <c r="X102" s="12" t="n">
        <f aca="false">IF(A102="","",IFERROR(INDEX(PUA_TABLE!$D$4:$D$105,MATCH(E102,PUA_TABLE!$C$4:$C$105,1)),0))</f>
        <v>0.367020186291333</v>
      </c>
      <c r="Y102" s="10" t="n">
        <f aca="false">IF(A102="","",IF(W102&gt;0,IF(X102&gt;0,W102/X102,0),0))</f>
        <v>0</v>
      </c>
      <c r="Z102" s="10" t="n">
        <f aca="false">IF(A102="","",N102+Y102)</f>
        <v>0</v>
      </c>
      <c r="AA102" s="10" t="n">
        <f aca="false">IF(A102="","",IFERROR(Z102*INDEX(PUA_TABLE!$I$4:$I$105,MATCH(E102,PUA_TABLE!$C$4:$C$105,1))/1000,0))</f>
        <v>0</v>
      </c>
      <c r="AB102" s="10" t="n">
        <f aca="false">IF(A102="","",IFERROR(L102+AA102,0))</f>
        <v>11546.6843802697</v>
      </c>
      <c r="AC102" s="10" t="n">
        <f aca="false">IF(A102="","",IF(Inputs!$B$22="Premium Offset",MIN(Inputs!$B$25,Q102+T102),0))</f>
        <v>0</v>
      </c>
    </row>
    <row r="103" customFormat="false" ht="15" hidden="false" customHeight="false" outlineLevel="0" collapsed="false">
      <c r="A103" s="1" t="n">
        <f aca="false">IF(A102="","",IF(INT((C102+1)/12)+Inputs!$B$7&gt;MAX(MORTALITY!$A:$A),"",Inputs!$B$4))</f>
        <v>34</v>
      </c>
      <c r="B103" s="3" t="n">
        <f aca="false">IF(A103="","",EOMONTH(B102,1))</f>
        <v>24806</v>
      </c>
      <c r="C103" s="1" t="n">
        <f aca="false">IF(A103="","",C102+1)</f>
        <v>101</v>
      </c>
      <c r="D103" s="1" t="n">
        <f aca="false">IF(A103="","",INT(C103/12))</f>
        <v>8</v>
      </c>
      <c r="E103" s="1" t="n">
        <f aca="false">IF(A103="","",D103+Inputs!$B$7)</f>
        <v>24</v>
      </c>
      <c r="F103" s="3" t="n">
        <f aca="false">IF(A103="","",DATE(YEAR(B$2)+D103,MONTH(B$2),DAY(B$2)))</f>
        <v>24628</v>
      </c>
      <c r="G103" s="3" t="n">
        <f aca="false">IF(A103="","",DATE(YEAR(F103)+1,MONTH(F103),DAY(F103)))</f>
        <v>24994</v>
      </c>
      <c r="H103" s="10" t="n">
        <f aca="false">IF(A103="","",IF(G103&gt;F103,(B103-F103)/(G103-F103),0))</f>
        <v>0.486338797814208</v>
      </c>
      <c r="I103" s="10" t="n">
        <f aca="false">IF(A103="","",IFERROR(INDEX(CV_RATES!$I:$I,MATCH(D103,CV_RATES!$C:$C,0)),0))</f>
        <v>218.590760274331</v>
      </c>
      <c r="J103" s="10" t="n">
        <f aca="false">IF(A103="","",IFERROR(IF(E103=MAX(MORTALITY!$A:$A),1000,INDEX(CV_RATES!$J:$J,MATCH(D103,CV_RATES!$C:$C,0))),0))</f>
        <v>249.114485971416</v>
      </c>
      <c r="K103" s="10" t="n">
        <f aca="false">IF(A103="","",IFERROR(I103+H103*(J103-I103),0))</f>
        <v>233.435632334662</v>
      </c>
      <c r="L103" s="10" t="n">
        <f aca="false">IF(A103="","",IFERROR(K103*Inputs!$B$9,0))</f>
        <v>11671.7816167331</v>
      </c>
      <c r="M103" s="10" t="n">
        <f aca="false">IF(A103="","",IFERROR(K103*Inputs!$B$10,0))</f>
        <v>37349.000866649</v>
      </c>
      <c r="N103" s="10" t="n">
        <f aca="false">IF(A103="","",Z102)</f>
        <v>0</v>
      </c>
      <c r="O103" s="6" t="n">
        <f aca="false">IF(A103="","",Inputs!$B$18+N103)</f>
        <v>50000</v>
      </c>
      <c r="P103" s="5" t="n">
        <f aca="false">IF(A103="","",VLOOKUP(D103,DIvidend_Assumption!$A$3:$CX$103,($E$2+2),0)/12)</f>
        <v>0</v>
      </c>
      <c r="Q103" s="10" t="n">
        <f aca="false">IF(A103="","",IFERROR(AB102*P103,""))</f>
        <v>0</v>
      </c>
      <c r="R103" s="10" t="n">
        <f aca="false">IF(A103="","",IFERROR(IF(Inputs!$B$22="Accumulate",T103+Q103,IF(Inputs!$B$22="Premium Offset",MAX(0,T103+Q103-Inputs!$B$25),T103)),""))</f>
        <v>0</v>
      </c>
      <c r="S103" s="10" t="n">
        <f aca="false">IF(A103="","",R102)</f>
        <v>0</v>
      </c>
      <c r="T103" s="10" t="n">
        <f aca="false">IF(A103="","",IFERROR(S103*(1+Inputs!$B$23/12),""))</f>
        <v>0</v>
      </c>
      <c r="U103" s="6" t="n">
        <f aca="false">IF(A103="","",IF(D103&lt;=Inputs!$B$8,IF(Inputs!$B$22="Premium Offset",MAX(0,Inputs!$B$25-(Q103+T103)),Inputs!$B$25),0))</f>
        <v>77</v>
      </c>
      <c r="V103" s="10" t="n">
        <f aca="false">IF(A103="","",IF(Inputs!$B$22="Cash",Q103,0))</f>
        <v>0</v>
      </c>
      <c r="W103" s="10" t="n">
        <f aca="false">IF(A103="","",IF(Inputs!$B$22="PUA",Q103,0))</f>
        <v>0</v>
      </c>
      <c r="X103" s="12" t="n">
        <f aca="false">IF(A103="","",IFERROR(INDEX(PUA_TABLE!$D$4:$D$105,MATCH(E103,PUA_TABLE!$C$4:$C$105,1)),0))</f>
        <v>0.367020186291333</v>
      </c>
      <c r="Y103" s="10" t="n">
        <f aca="false">IF(A103="","",IF(W103&gt;0,IF(X103&gt;0,W103/X103,0),0))</f>
        <v>0</v>
      </c>
      <c r="Z103" s="10" t="n">
        <f aca="false">IF(A103="","",N103+Y103)</f>
        <v>0</v>
      </c>
      <c r="AA103" s="10" t="n">
        <f aca="false">IF(A103="","",IFERROR(Z103*INDEX(PUA_TABLE!$I$4:$I$105,MATCH(E103,PUA_TABLE!$C$4:$C$105,1))/1000,0))</f>
        <v>0</v>
      </c>
      <c r="AB103" s="10" t="n">
        <f aca="false">IF(A103="","",IFERROR(L103+AA103,0))</f>
        <v>11671.7816167331</v>
      </c>
      <c r="AC103" s="10" t="n">
        <f aca="false">IF(A103="","",IF(Inputs!$B$22="Premium Offset",MIN(Inputs!$B$25,Q103+T103),0))</f>
        <v>0</v>
      </c>
    </row>
    <row r="104" customFormat="false" ht="15" hidden="false" customHeight="false" outlineLevel="0" collapsed="false">
      <c r="A104" s="1" t="n">
        <f aca="false">IF(A103="","",IF(INT((C103+1)/12)+Inputs!$B$7&gt;MAX(MORTALITY!$A:$A),"",Inputs!$B$4))</f>
        <v>34</v>
      </c>
      <c r="B104" s="3" t="n">
        <f aca="false">IF(A104="","",EOMONTH(B103,1))</f>
        <v>24837</v>
      </c>
      <c r="C104" s="1" t="n">
        <f aca="false">IF(A104="","",C103+1)</f>
        <v>102</v>
      </c>
      <c r="D104" s="1" t="n">
        <f aca="false">IF(A104="","",INT(C104/12))</f>
        <v>8</v>
      </c>
      <c r="E104" s="1" t="n">
        <f aca="false">IF(A104="","",D104+Inputs!$B$7)</f>
        <v>24</v>
      </c>
      <c r="F104" s="3" t="n">
        <f aca="false">IF(A104="","",DATE(YEAR(B$2)+D104,MONTH(B$2),DAY(B$2)))</f>
        <v>24628</v>
      </c>
      <c r="G104" s="3" t="n">
        <f aca="false">IF(A104="","",DATE(YEAR(F104)+1,MONTH(F104),DAY(F104)))</f>
        <v>24994</v>
      </c>
      <c r="H104" s="10" t="n">
        <f aca="false">IF(A104="","",IF(G104&gt;F104,(B104-F104)/(G104-F104),0))</f>
        <v>0.57103825136612</v>
      </c>
      <c r="I104" s="10" t="n">
        <f aca="false">IF(A104="","",IFERROR(INDEX(CV_RATES!$I:$I,MATCH(D104,CV_RATES!$C:$C,0)),0))</f>
        <v>218.590760274331</v>
      </c>
      <c r="J104" s="10" t="n">
        <f aca="false">IF(A104="","",IFERROR(IF(E104=MAX(MORTALITY!$A:$A),1000,INDEX(CV_RATES!$J:$J,MATCH(D104,CV_RATES!$C:$C,0))),0))</f>
        <v>249.114485971416</v>
      </c>
      <c r="K104" s="10" t="n">
        <f aca="false">IF(A104="","",IFERROR(I104+H104*(J104-I104),0))</f>
        <v>236.020975221574</v>
      </c>
      <c r="L104" s="10" t="n">
        <f aca="false">IF(A104="","",IFERROR(K104*Inputs!$B$9,0))</f>
        <v>11801.0487610787</v>
      </c>
      <c r="M104" s="10" t="n">
        <f aca="false">IF(A104="","",IFERROR(K104*Inputs!$B$10,0))</f>
        <v>37762.6479725262</v>
      </c>
      <c r="N104" s="10" t="n">
        <f aca="false">IF(A104="","",Z103)</f>
        <v>0</v>
      </c>
      <c r="O104" s="6" t="n">
        <f aca="false">IF(A104="","",Inputs!$B$18+N104)</f>
        <v>50000</v>
      </c>
      <c r="P104" s="5" t="n">
        <f aca="false">IF(A104="","",VLOOKUP(D104,DIvidend_Assumption!$A$3:$CX$103,($E$2+2),0)/12)</f>
        <v>0</v>
      </c>
      <c r="Q104" s="10" t="n">
        <f aca="false">IF(A104="","",IFERROR(AB103*P104,""))</f>
        <v>0</v>
      </c>
      <c r="R104" s="10" t="n">
        <f aca="false">IF(A104="","",IFERROR(IF(Inputs!$B$22="Accumulate",T104+Q104,IF(Inputs!$B$22="Premium Offset",MAX(0,T104+Q104-Inputs!$B$25),T104)),""))</f>
        <v>0</v>
      </c>
      <c r="S104" s="10" t="n">
        <f aca="false">IF(A104="","",R103)</f>
        <v>0</v>
      </c>
      <c r="T104" s="10" t="n">
        <f aca="false">IF(A104="","",IFERROR(S104*(1+Inputs!$B$23/12),""))</f>
        <v>0</v>
      </c>
      <c r="U104" s="6" t="n">
        <f aca="false">IF(A104="","",IF(D104&lt;=Inputs!$B$8,IF(Inputs!$B$22="Premium Offset",MAX(0,Inputs!$B$25-(Q104+T104)),Inputs!$B$25),0))</f>
        <v>77</v>
      </c>
      <c r="V104" s="10" t="n">
        <f aca="false">IF(A104="","",IF(Inputs!$B$22="Cash",Q104,0))</f>
        <v>0</v>
      </c>
      <c r="W104" s="10" t="n">
        <f aca="false">IF(A104="","",IF(Inputs!$B$22="PUA",Q104,0))</f>
        <v>0</v>
      </c>
      <c r="X104" s="12" t="n">
        <f aca="false">IF(A104="","",IFERROR(INDEX(PUA_TABLE!$D$4:$D$105,MATCH(E104,PUA_TABLE!$C$4:$C$105,1)),0))</f>
        <v>0.367020186291333</v>
      </c>
      <c r="Y104" s="10" t="n">
        <f aca="false">IF(A104="","",IF(W104&gt;0,IF(X104&gt;0,W104/X104,0),0))</f>
        <v>0</v>
      </c>
      <c r="Z104" s="10" t="n">
        <f aca="false">IF(A104="","",N104+Y104)</f>
        <v>0</v>
      </c>
      <c r="AA104" s="10" t="n">
        <f aca="false">IF(A104="","",IFERROR(Z104*INDEX(PUA_TABLE!$I$4:$I$105,MATCH(E104,PUA_TABLE!$C$4:$C$105,1))/1000,0))</f>
        <v>0</v>
      </c>
      <c r="AB104" s="10" t="n">
        <f aca="false">IF(A104="","",IFERROR(L104+AA104,0))</f>
        <v>11801.0487610787</v>
      </c>
      <c r="AC104" s="10" t="n">
        <f aca="false">IF(A104="","",IF(Inputs!$B$22="Premium Offset",MIN(Inputs!$B$25,Q104+T104),0))</f>
        <v>0</v>
      </c>
    </row>
    <row r="105" customFormat="false" ht="15" hidden="false" customHeight="false" outlineLevel="0" collapsed="false">
      <c r="A105" s="1" t="n">
        <f aca="false">IF(A104="","",IF(INT((C104+1)/12)+Inputs!$B$7&gt;MAX(MORTALITY!$A:$A),"",Inputs!$B$4))</f>
        <v>34</v>
      </c>
      <c r="B105" s="3" t="n">
        <f aca="false">IF(A105="","",EOMONTH(B104,1))</f>
        <v>24868</v>
      </c>
      <c r="C105" s="1" t="n">
        <f aca="false">IF(A105="","",C104+1)</f>
        <v>103</v>
      </c>
      <c r="D105" s="1" t="n">
        <f aca="false">IF(A105="","",INT(C105/12))</f>
        <v>8</v>
      </c>
      <c r="E105" s="1" t="n">
        <f aca="false">IF(A105="","",D105+Inputs!$B$7)</f>
        <v>24</v>
      </c>
      <c r="F105" s="3" t="n">
        <f aca="false">IF(A105="","",DATE(YEAR(B$2)+D105,MONTH(B$2),DAY(B$2)))</f>
        <v>24628</v>
      </c>
      <c r="G105" s="3" t="n">
        <f aca="false">IF(A105="","",DATE(YEAR(F105)+1,MONTH(F105),DAY(F105)))</f>
        <v>24994</v>
      </c>
      <c r="H105" s="10" t="n">
        <f aca="false">IF(A105="","",IF(G105&gt;F105,(B105-F105)/(G105-F105),0))</f>
        <v>0.655737704918033</v>
      </c>
      <c r="I105" s="10" t="n">
        <f aca="false">IF(A105="","",IFERROR(INDEX(CV_RATES!$I:$I,MATCH(D105,CV_RATES!$C:$C,0)),0))</f>
        <v>218.590760274331</v>
      </c>
      <c r="J105" s="10" t="n">
        <f aca="false">IF(A105="","",IFERROR(IF(E105=MAX(MORTALITY!$A:$A),1000,INDEX(CV_RATES!$J:$J,MATCH(D105,CV_RATES!$C:$C,0))),0))</f>
        <v>249.114485971416</v>
      </c>
      <c r="K105" s="10" t="n">
        <f aca="false">IF(A105="","",IFERROR(I105+H105*(J105-I105),0))</f>
        <v>238.606318108485</v>
      </c>
      <c r="L105" s="10" t="n">
        <f aca="false">IF(A105="","",IFERROR(K105*Inputs!$B$9,0))</f>
        <v>11930.3159054243</v>
      </c>
      <c r="M105" s="10" t="n">
        <f aca="false">IF(A105="","",IFERROR(K105*Inputs!$B$10,0))</f>
        <v>38176.2950784034</v>
      </c>
      <c r="N105" s="10" t="n">
        <f aca="false">IF(A105="","",Z104)</f>
        <v>0</v>
      </c>
      <c r="O105" s="6" t="n">
        <f aca="false">IF(A105="","",Inputs!$B$18+N105)</f>
        <v>50000</v>
      </c>
      <c r="P105" s="5" t="n">
        <f aca="false">IF(A105="","",VLOOKUP(D105,DIvidend_Assumption!$A$3:$CX$103,($E$2+2),0)/12)</f>
        <v>0</v>
      </c>
      <c r="Q105" s="10" t="n">
        <f aca="false">IF(A105="","",IFERROR(AB104*P105,""))</f>
        <v>0</v>
      </c>
      <c r="R105" s="10" t="n">
        <f aca="false">IF(A105="","",IFERROR(IF(Inputs!$B$22="Accumulate",T105+Q105,IF(Inputs!$B$22="Premium Offset",MAX(0,T105+Q105-Inputs!$B$25),T105)),""))</f>
        <v>0</v>
      </c>
      <c r="S105" s="10" t="n">
        <f aca="false">IF(A105="","",R104)</f>
        <v>0</v>
      </c>
      <c r="T105" s="10" t="n">
        <f aca="false">IF(A105="","",IFERROR(S105*(1+Inputs!$B$23/12),""))</f>
        <v>0</v>
      </c>
      <c r="U105" s="6" t="n">
        <f aca="false">IF(A105="","",IF(D105&lt;=Inputs!$B$8,IF(Inputs!$B$22="Premium Offset",MAX(0,Inputs!$B$25-(Q105+T105)),Inputs!$B$25),0))</f>
        <v>77</v>
      </c>
      <c r="V105" s="10" t="n">
        <f aca="false">IF(A105="","",IF(Inputs!$B$22="Cash",Q105,0))</f>
        <v>0</v>
      </c>
      <c r="W105" s="10" t="n">
        <f aca="false">IF(A105="","",IF(Inputs!$B$22="PUA",Q105,0))</f>
        <v>0</v>
      </c>
      <c r="X105" s="12" t="n">
        <f aca="false">IF(A105="","",IFERROR(INDEX(PUA_TABLE!$D$4:$D$105,MATCH(E105,PUA_TABLE!$C$4:$C$105,1)),0))</f>
        <v>0.367020186291333</v>
      </c>
      <c r="Y105" s="10" t="n">
        <f aca="false">IF(A105="","",IF(W105&gt;0,IF(X105&gt;0,W105/X105,0),0))</f>
        <v>0</v>
      </c>
      <c r="Z105" s="10" t="n">
        <f aca="false">IF(A105="","",N105+Y105)</f>
        <v>0</v>
      </c>
      <c r="AA105" s="10" t="n">
        <f aca="false">IF(A105="","",IFERROR(Z105*INDEX(PUA_TABLE!$I$4:$I$105,MATCH(E105,PUA_TABLE!$C$4:$C$105,1))/1000,0))</f>
        <v>0</v>
      </c>
      <c r="AB105" s="10" t="n">
        <f aca="false">IF(A105="","",IFERROR(L105+AA105,0))</f>
        <v>11930.3159054243</v>
      </c>
      <c r="AC105" s="10" t="n">
        <f aca="false">IF(A105="","",IF(Inputs!$B$22="Premium Offset",MIN(Inputs!$B$25,Q105+T105),0))</f>
        <v>0</v>
      </c>
    </row>
    <row r="106" customFormat="false" ht="15" hidden="false" customHeight="false" outlineLevel="0" collapsed="false">
      <c r="A106" s="1" t="n">
        <f aca="false">IF(A105="","",IF(INT((C105+1)/12)+Inputs!$B$7&gt;MAX(MORTALITY!$A:$A),"",Inputs!$B$4))</f>
        <v>34</v>
      </c>
      <c r="B106" s="3" t="n">
        <f aca="false">IF(A106="","",EOMONTH(B105,1))</f>
        <v>24897</v>
      </c>
      <c r="C106" s="1" t="n">
        <f aca="false">IF(A106="","",C105+1)</f>
        <v>104</v>
      </c>
      <c r="D106" s="1" t="n">
        <f aca="false">IF(A106="","",INT(C106/12))</f>
        <v>8</v>
      </c>
      <c r="E106" s="1" t="n">
        <f aca="false">IF(A106="","",D106+Inputs!$B$7)</f>
        <v>24</v>
      </c>
      <c r="F106" s="3" t="n">
        <f aca="false">IF(A106="","",DATE(YEAR(B$2)+D106,MONTH(B$2),DAY(B$2)))</f>
        <v>24628</v>
      </c>
      <c r="G106" s="3" t="n">
        <f aca="false">IF(A106="","",DATE(YEAR(F106)+1,MONTH(F106),DAY(F106)))</f>
        <v>24994</v>
      </c>
      <c r="H106" s="10" t="n">
        <f aca="false">IF(A106="","",IF(G106&gt;F106,(B106-F106)/(G106-F106),0))</f>
        <v>0.734972677595629</v>
      </c>
      <c r="I106" s="10" t="n">
        <f aca="false">IF(A106="","",IFERROR(INDEX(CV_RATES!$I:$I,MATCH(D106,CV_RATES!$C:$C,0)),0))</f>
        <v>218.590760274331</v>
      </c>
      <c r="J106" s="10" t="n">
        <f aca="false">IF(A106="","",IFERROR(IF(E106=MAX(MORTALITY!$A:$A),1000,INDEX(CV_RATES!$J:$J,MATCH(D106,CV_RATES!$C:$C,0))),0))</f>
        <v>249.114485971416</v>
      </c>
      <c r="K106" s="10" t="n">
        <f aca="false">IF(A106="","",IFERROR(I106+H106*(J106-I106),0))</f>
        <v>241.024864680112</v>
      </c>
      <c r="L106" s="10" t="n">
        <f aca="false">IF(A106="","",IFERROR(K106*Inputs!$B$9,0))</f>
        <v>12051.2432340056</v>
      </c>
      <c r="M106" s="10" t="n">
        <f aca="false">IF(A106="","",IFERROR(K106*Inputs!$B$10,0))</f>
        <v>38563.255274224</v>
      </c>
      <c r="N106" s="10" t="n">
        <f aca="false">IF(A106="","",Z105)</f>
        <v>0</v>
      </c>
      <c r="O106" s="6" t="n">
        <f aca="false">IF(A106="","",Inputs!$B$18+N106)</f>
        <v>50000</v>
      </c>
      <c r="P106" s="5" t="n">
        <f aca="false">IF(A106="","",VLOOKUP(D106,DIvidend_Assumption!$A$3:$CX$103,($E$2+2),0)/12)</f>
        <v>0</v>
      </c>
      <c r="Q106" s="10" t="n">
        <f aca="false">IF(A106="","",IFERROR(AB105*P106,""))</f>
        <v>0</v>
      </c>
      <c r="R106" s="10" t="n">
        <f aca="false">IF(A106="","",IFERROR(IF(Inputs!$B$22="Accumulate",T106+Q106,IF(Inputs!$B$22="Premium Offset",MAX(0,T106+Q106-Inputs!$B$25),T106)),""))</f>
        <v>0</v>
      </c>
      <c r="S106" s="10" t="n">
        <f aca="false">IF(A106="","",R105)</f>
        <v>0</v>
      </c>
      <c r="T106" s="10" t="n">
        <f aca="false">IF(A106="","",IFERROR(S106*(1+Inputs!$B$23/12),""))</f>
        <v>0</v>
      </c>
      <c r="U106" s="6" t="n">
        <f aca="false">IF(A106="","",IF(D106&lt;=Inputs!$B$8,IF(Inputs!$B$22="Premium Offset",MAX(0,Inputs!$B$25-(Q106+T106)),Inputs!$B$25),0))</f>
        <v>77</v>
      </c>
      <c r="V106" s="10" t="n">
        <f aca="false">IF(A106="","",IF(Inputs!$B$22="Cash",Q106,0))</f>
        <v>0</v>
      </c>
      <c r="W106" s="10" t="n">
        <f aca="false">IF(A106="","",IF(Inputs!$B$22="PUA",Q106,0))</f>
        <v>0</v>
      </c>
      <c r="X106" s="12" t="n">
        <f aca="false">IF(A106="","",IFERROR(INDEX(PUA_TABLE!$D$4:$D$105,MATCH(E106,PUA_TABLE!$C$4:$C$105,1)),0))</f>
        <v>0.367020186291333</v>
      </c>
      <c r="Y106" s="10" t="n">
        <f aca="false">IF(A106="","",IF(W106&gt;0,IF(X106&gt;0,W106/X106,0),0))</f>
        <v>0</v>
      </c>
      <c r="Z106" s="10" t="n">
        <f aca="false">IF(A106="","",N106+Y106)</f>
        <v>0</v>
      </c>
      <c r="AA106" s="10" t="n">
        <f aca="false">IF(A106="","",IFERROR(Z106*INDEX(PUA_TABLE!$I$4:$I$105,MATCH(E106,PUA_TABLE!$C$4:$C$105,1))/1000,0))</f>
        <v>0</v>
      </c>
      <c r="AB106" s="10" t="n">
        <f aca="false">IF(A106="","",IFERROR(L106+AA106,0))</f>
        <v>12051.2432340056</v>
      </c>
      <c r="AC106" s="10" t="n">
        <f aca="false">IF(A106="","",IF(Inputs!$B$22="Premium Offset",MIN(Inputs!$B$25,Q106+T106),0))</f>
        <v>0</v>
      </c>
    </row>
    <row r="107" customFormat="false" ht="15" hidden="false" customHeight="false" outlineLevel="0" collapsed="false">
      <c r="A107" s="1" t="n">
        <f aca="false">IF(A106="","",IF(INT((C106+1)/12)+Inputs!$B$7&gt;MAX(MORTALITY!$A:$A),"",Inputs!$B$4))</f>
        <v>34</v>
      </c>
      <c r="B107" s="3" t="n">
        <f aca="false">IF(A107="","",EOMONTH(B106,1))</f>
        <v>24928</v>
      </c>
      <c r="C107" s="1" t="n">
        <f aca="false">IF(A107="","",C106+1)</f>
        <v>105</v>
      </c>
      <c r="D107" s="1" t="n">
        <f aca="false">IF(A107="","",INT(C107/12))</f>
        <v>8</v>
      </c>
      <c r="E107" s="1" t="n">
        <f aca="false">IF(A107="","",D107+Inputs!$B$7)</f>
        <v>24</v>
      </c>
      <c r="F107" s="3" t="n">
        <f aca="false">IF(A107="","",DATE(YEAR(B$2)+D107,MONTH(B$2),DAY(B$2)))</f>
        <v>24628</v>
      </c>
      <c r="G107" s="3" t="n">
        <f aca="false">IF(A107="","",DATE(YEAR(F107)+1,MONTH(F107),DAY(F107)))</f>
        <v>24994</v>
      </c>
      <c r="H107" s="10" t="n">
        <f aca="false">IF(A107="","",IF(G107&gt;F107,(B107-F107)/(G107-F107),0))</f>
        <v>0.819672131147541</v>
      </c>
      <c r="I107" s="10" t="n">
        <f aca="false">IF(A107="","",IFERROR(INDEX(CV_RATES!$I:$I,MATCH(D107,CV_RATES!$C:$C,0)),0))</f>
        <v>218.590760274331</v>
      </c>
      <c r="J107" s="10" t="n">
        <f aca="false">IF(A107="","",IFERROR(IF(E107=MAX(MORTALITY!$A:$A),1000,INDEX(CV_RATES!$J:$J,MATCH(D107,CV_RATES!$C:$C,0))),0))</f>
        <v>249.114485971416</v>
      </c>
      <c r="K107" s="10" t="n">
        <f aca="false">IF(A107="","",IFERROR(I107+H107*(J107-I107),0))</f>
        <v>243.610207567024</v>
      </c>
      <c r="L107" s="10" t="n">
        <f aca="false">IF(A107="","",IFERROR(K107*Inputs!$B$9,0))</f>
        <v>12180.5103783512</v>
      </c>
      <c r="M107" s="10" t="n">
        <f aca="false">IF(A107="","",IFERROR(K107*Inputs!$B$10,0))</f>
        <v>38976.9023801011</v>
      </c>
      <c r="N107" s="10" t="n">
        <f aca="false">IF(A107="","",Z106)</f>
        <v>0</v>
      </c>
      <c r="O107" s="6" t="n">
        <f aca="false">IF(A107="","",Inputs!$B$18+N107)</f>
        <v>50000</v>
      </c>
      <c r="P107" s="5" t="n">
        <f aca="false">IF(A107="","",VLOOKUP(D107,DIvidend_Assumption!$A$3:$CX$103,($E$2+2),0)/12)</f>
        <v>0</v>
      </c>
      <c r="Q107" s="10" t="n">
        <f aca="false">IF(A107="","",IFERROR(AB106*P107,""))</f>
        <v>0</v>
      </c>
      <c r="R107" s="10" t="n">
        <f aca="false">IF(A107="","",IFERROR(IF(Inputs!$B$22="Accumulate",T107+Q107,IF(Inputs!$B$22="Premium Offset",MAX(0,T107+Q107-Inputs!$B$25),T107)),""))</f>
        <v>0</v>
      </c>
      <c r="S107" s="10" t="n">
        <f aca="false">IF(A107="","",R106)</f>
        <v>0</v>
      </c>
      <c r="T107" s="10" t="n">
        <f aca="false">IF(A107="","",IFERROR(S107*(1+Inputs!$B$23/12),""))</f>
        <v>0</v>
      </c>
      <c r="U107" s="6" t="n">
        <f aca="false">IF(A107="","",IF(D107&lt;=Inputs!$B$8,IF(Inputs!$B$22="Premium Offset",MAX(0,Inputs!$B$25-(Q107+T107)),Inputs!$B$25),0))</f>
        <v>77</v>
      </c>
      <c r="V107" s="10" t="n">
        <f aca="false">IF(A107="","",IF(Inputs!$B$22="Cash",Q107,0))</f>
        <v>0</v>
      </c>
      <c r="W107" s="10" t="n">
        <f aca="false">IF(A107="","",IF(Inputs!$B$22="PUA",Q107,0))</f>
        <v>0</v>
      </c>
      <c r="X107" s="12" t="n">
        <f aca="false">IF(A107="","",IFERROR(INDEX(PUA_TABLE!$D$4:$D$105,MATCH(E107,PUA_TABLE!$C$4:$C$105,1)),0))</f>
        <v>0.367020186291333</v>
      </c>
      <c r="Y107" s="10" t="n">
        <f aca="false">IF(A107="","",IF(W107&gt;0,IF(X107&gt;0,W107/X107,0),0))</f>
        <v>0</v>
      </c>
      <c r="Z107" s="10" t="n">
        <f aca="false">IF(A107="","",N107+Y107)</f>
        <v>0</v>
      </c>
      <c r="AA107" s="10" t="n">
        <f aca="false">IF(A107="","",IFERROR(Z107*INDEX(PUA_TABLE!$I$4:$I$105,MATCH(E107,PUA_TABLE!$C$4:$C$105,1))/1000,0))</f>
        <v>0</v>
      </c>
      <c r="AB107" s="10" t="n">
        <f aca="false">IF(A107="","",IFERROR(L107+AA107,0))</f>
        <v>12180.5103783512</v>
      </c>
      <c r="AC107" s="10" t="n">
        <f aca="false">IF(A107="","",IF(Inputs!$B$22="Premium Offset",MIN(Inputs!$B$25,Q107+T107),0))</f>
        <v>0</v>
      </c>
    </row>
    <row r="108" customFormat="false" ht="15" hidden="false" customHeight="false" outlineLevel="0" collapsed="false">
      <c r="A108" s="1" t="n">
        <f aca="false">IF(A107="","",IF(INT((C107+1)/12)+Inputs!$B$7&gt;MAX(MORTALITY!$A:$A),"",Inputs!$B$4))</f>
        <v>34</v>
      </c>
      <c r="B108" s="3" t="n">
        <f aca="false">IF(A108="","",EOMONTH(B107,1))</f>
        <v>24958</v>
      </c>
      <c r="C108" s="1" t="n">
        <f aca="false">IF(A108="","",C107+1)</f>
        <v>106</v>
      </c>
      <c r="D108" s="1" t="n">
        <f aca="false">IF(A108="","",INT(C108/12))</f>
        <v>8</v>
      </c>
      <c r="E108" s="1" t="n">
        <f aca="false">IF(A108="","",D108+Inputs!$B$7)</f>
        <v>24</v>
      </c>
      <c r="F108" s="3" t="n">
        <f aca="false">IF(A108="","",DATE(YEAR(B$2)+D108,MONTH(B$2),DAY(B$2)))</f>
        <v>24628</v>
      </c>
      <c r="G108" s="3" t="n">
        <f aca="false">IF(A108="","",DATE(YEAR(F108)+1,MONTH(F108),DAY(F108)))</f>
        <v>24994</v>
      </c>
      <c r="H108" s="10" t="n">
        <f aca="false">IF(A108="","",IF(G108&gt;F108,(B108-F108)/(G108-F108),0))</f>
        <v>0.901639344262295</v>
      </c>
      <c r="I108" s="10" t="n">
        <f aca="false">IF(A108="","",IFERROR(INDEX(CV_RATES!$I:$I,MATCH(D108,CV_RATES!$C:$C,0)),0))</f>
        <v>218.590760274331</v>
      </c>
      <c r="J108" s="10" t="n">
        <f aca="false">IF(A108="","",IFERROR(IF(E108=MAX(MORTALITY!$A:$A),1000,INDEX(CV_RATES!$J:$J,MATCH(D108,CV_RATES!$C:$C,0))),0))</f>
        <v>249.114485971416</v>
      </c>
      <c r="K108" s="10" t="n">
        <f aca="false">IF(A108="","",IFERROR(I108+H108*(J108-I108),0))</f>
        <v>246.112152296293</v>
      </c>
      <c r="L108" s="10" t="n">
        <f aca="false">IF(A108="","",IFERROR(K108*Inputs!$B$9,0))</f>
        <v>12305.6076148147</v>
      </c>
      <c r="M108" s="10" t="n">
        <f aca="false">IF(A108="","",IFERROR(K108*Inputs!$B$10,0))</f>
        <v>39377.20603095</v>
      </c>
      <c r="N108" s="10" t="n">
        <f aca="false">IF(A108="","",Z107)</f>
        <v>0</v>
      </c>
      <c r="O108" s="6" t="n">
        <f aca="false">IF(A108="","",Inputs!$B$18+N108)</f>
        <v>50000</v>
      </c>
      <c r="P108" s="5" t="n">
        <f aca="false">IF(A108="","",VLOOKUP(D108,DIvidend_Assumption!$A$3:$CX$103,($E$2+2),0)/12)</f>
        <v>0</v>
      </c>
      <c r="Q108" s="10" t="n">
        <f aca="false">IF(A108="","",IFERROR(AB107*P108,""))</f>
        <v>0</v>
      </c>
      <c r="R108" s="10" t="n">
        <f aca="false">IF(A108="","",IFERROR(IF(Inputs!$B$22="Accumulate",T108+Q108,IF(Inputs!$B$22="Premium Offset",MAX(0,T108+Q108-Inputs!$B$25),T108)),""))</f>
        <v>0</v>
      </c>
      <c r="S108" s="10" t="n">
        <f aca="false">IF(A108="","",R107)</f>
        <v>0</v>
      </c>
      <c r="T108" s="10" t="n">
        <f aca="false">IF(A108="","",IFERROR(S108*(1+Inputs!$B$23/12),""))</f>
        <v>0</v>
      </c>
      <c r="U108" s="6" t="n">
        <f aca="false">IF(A108="","",IF(D108&lt;=Inputs!$B$8,IF(Inputs!$B$22="Premium Offset",MAX(0,Inputs!$B$25-(Q108+T108)),Inputs!$B$25),0))</f>
        <v>77</v>
      </c>
      <c r="V108" s="10" t="n">
        <f aca="false">IF(A108="","",IF(Inputs!$B$22="Cash",Q108,0))</f>
        <v>0</v>
      </c>
      <c r="W108" s="10" t="n">
        <f aca="false">IF(A108="","",IF(Inputs!$B$22="PUA",Q108,0))</f>
        <v>0</v>
      </c>
      <c r="X108" s="12" t="n">
        <f aca="false">IF(A108="","",IFERROR(INDEX(PUA_TABLE!$D$4:$D$105,MATCH(E108,PUA_TABLE!$C$4:$C$105,1)),0))</f>
        <v>0.367020186291333</v>
      </c>
      <c r="Y108" s="10" t="n">
        <f aca="false">IF(A108="","",IF(W108&gt;0,IF(X108&gt;0,W108/X108,0),0))</f>
        <v>0</v>
      </c>
      <c r="Z108" s="10" t="n">
        <f aca="false">IF(A108="","",N108+Y108)</f>
        <v>0</v>
      </c>
      <c r="AA108" s="10" t="n">
        <f aca="false">IF(A108="","",IFERROR(Z108*INDEX(PUA_TABLE!$I$4:$I$105,MATCH(E108,PUA_TABLE!$C$4:$C$105,1))/1000,0))</f>
        <v>0</v>
      </c>
      <c r="AB108" s="10" t="n">
        <f aca="false">IF(A108="","",IFERROR(L108+AA108,0))</f>
        <v>12305.6076148147</v>
      </c>
      <c r="AC108" s="10" t="n">
        <f aca="false">IF(A108="","",IF(Inputs!$B$22="Premium Offset",MIN(Inputs!$B$25,Q108+T108),0))</f>
        <v>0</v>
      </c>
    </row>
    <row r="109" customFormat="false" ht="15" hidden="false" customHeight="false" outlineLevel="0" collapsed="false">
      <c r="A109" s="1" t="n">
        <f aca="false">IF(A108="","",IF(INT((C108+1)/12)+Inputs!$B$7&gt;MAX(MORTALITY!$A:$A),"",Inputs!$B$4))</f>
        <v>34</v>
      </c>
      <c r="B109" s="3" t="n">
        <f aca="false">IF(A109="","",EOMONTH(B108,1))</f>
        <v>24989</v>
      </c>
      <c r="C109" s="1" t="n">
        <f aca="false">IF(A109="","",C108+1)</f>
        <v>107</v>
      </c>
      <c r="D109" s="1" t="n">
        <f aca="false">IF(A109="","",INT(C109/12))</f>
        <v>8</v>
      </c>
      <c r="E109" s="1" t="n">
        <f aca="false">IF(A109="","",D109+Inputs!$B$7)</f>
        <v>24</v>
      </c>
      <c r="F109" s="3" t="n">
        <f aca="false">IF(A109="","",DATE(YEAR(B$2)+D109,MONTH(B$2),DAY(B$2)))</f>
        <v>24628</v>
      </c>
      <c r="G109" s="3" t="n">
        <f aca="false">IF(A109="","",DATE(YEAR(F109)+1,MONTH(F109),DAY(F109)))</f>
        <v>24994</v>
      </c>
      <c r="H109" s="10" t="n">
        <f aca="false">IF(A109="","",IF(G109&gt;F109,(B109-F109)/(G109-F109),0))</f>
        <v>0.986338797814208</v>
      </c>
      <c r="I109" s="10" t="n">
        <f aca="false">IF(A109="","",IFERROR(INDEX(CV_RATES!$I:$I,MATCH(D109,CV_RATES!$C:$C,0)),0))</f>
        <v>218.590760274331</v>
      </c>
      <c r="J109" s="10" t="n">
        <f aca="false">IF(A109="","",IFERROR(IF(E109=MAX(MORTALITY!$A:$A),1000,INDEX(CV_RATES!$J:$J,MATCH(D109,CV_RATES!$C:$C,0))),0))</f>
        <v>249.114485971416</v>
      </c>
      <c r="K109" s="10" t="n">
        <f aca="false">IF(A109="","",IFERROR(I109+H109*(J109-I109),0))</f>
        <v>248.697495183205</v>
      </c>
      <c r="L109" s="10" t="n">
        <f aca="false">IF(A109="","",IFERROR(K109*Inputs!$B$9,0))</f>
        <v>12434.8747591602</v>
      </c>
      <c r="M109" s="10" t="n">
        <f aca="false">IF(A109="","",IFERROR(K109*Inputs!$B$10,0))</f>
        <v>39790.8531368272</v>
      </c>
      <c r="N109" s="10" t="n">
        <f aca="false">IF(A109="","",Z108)</f>
        <v>0</v>
      </c>
      <c r="O109" s="6" t="n">
        <f aca="false">IF(A109="","",Inputs!$B$18+N109)</f>
        <v>50000</v>
      </c>
      <c r="P109" s="5" t="n">
        <f aca="false">IF(A109="","",VLOOKUP(D109,DIvidend_Assumption!$A$3:$CX$103,($E$2+2),0)/12)</f>
        <v>0</v>
      </c>
      <c r="Q109" s="10" t="n">
        <f aca="false">IF(A109="","",IFERROR(AB108*P109,""))</f>
        <v>0</v>
      </c>
      <c r="R109" s="10" t="n">
        <f aca="false">IF(A109="","",IFERROR(IF(Inputs!$B$22="Accumulate",T109+Q109,IF(Inputs!$B$22="Premium Offset",MAX(0,T109+Q109-Inputs!$B$25),T109)),""))</f>
        <v>0</v>
      </c>
      <c r="S109" s="10" t="n">
        <f aca="false">IF(A109="","",R108)</f>
        <v>0</v>
      </c>
      <c r="T109" s="10" t="n">
        <f aca="false">IF(A109="","",IFERROR(S109*(1+Inputs!$B$23/12),""))</f>
        <v>0</v>
      </c>
      <c r="U109" s="6" t="n">
        <f aca="false">IF(A109="","",IF(D109&lt;=Inputs!$B$8,IF(Inputs!$B$22="Premium Offset",MAX(0,Inputs!$B$25-(Q109+T109)),Inputs!$B$25),0))</f>
        <v>77</v>
      </c>
      <c r="V109" s="10" t="n">
        <f aca="false">IF(A109="","",IF(Inputs!$B$22="Cash",Q109,0))</f>
        <v>0</v>
      </c>
      <c r="W109" s="10" t="n">
        <f aca="false">IF(A109="","",IF(Inputs!$B$22="PUA",Q109,0))</f>
        <v>0</v>
      </c>
      <c r="X109" s="12" t="n">
        <f aca="false">IF(A109="","",IFERROR(INDEX(PUA_TABLE!$D$4:$D$105,MATCH(E109,PUA_TABLE!$C$4:$C$105,1)),0))</f>
        <v>0.367020186291333</v>
      </c>
      <c r="Y109" s="10" t="n">
        <f aca="false">IF(A109="","",IF(W109&gt;0,IF(X109&gt;0,W109/X109,0),0))</f>
        <v>0</v>
      </c>
      <c r="Z109" s="10" t="n">
        <f aca="false">IF(A109="","",N109+Y109)</f>
        <v>0</v>
      </c>
      <c r="AA109" s="10" t="n">
        <f aca="false">IF(A109="","",IFERROR(Z109*INDEX(PUA_TABLE!$I$4:$I$105,MATCH(E109,PUA_TABLE!$C$4:$C$105,1))/1000,0))</f>
        <v>0</v>
      </c>
      <c r="AB109" s="10" t="n">
        <f aca="false">IF(A109="","",IFERROR(L109+AA109,0))</f>
        <v>12434.8747591602</v>
      </c>
      <c r="AC109" s="10" t="n">
        <f aca="false">IF(A109="","",IF(Inputs!$B$22="Premium Offset",MIN(Inputs!$B$25,Q109+T109),0))</f>
        <v>0</v>
      </c>
    </row>
    <row r="110" customFormat="false" ht="15" hidden="false" customHeight="false" outlineLevel="0" collapsed="false">
      <c r="A110" s="1" t="n">
        <f aca="false">IF(A109="","",IF(INT((C109+1)/12)+Inputs!$B$7&gt;MAX(MORTALITY!$A:$A),"",Inputs!$B$4))</f>
        <v>34</v>
      </c>
      <c r="B110" s="3" t="n">
        <f aca="false">IF(A110="","",EOMONTH(B109,1))</f>
        <v>25019</v>
      </c>
      <c r="C110" s="1" t="n">
        <f aca="false">IF(A110="","",C109+1)</f>
        <v>108</v>
      </c>
      <c r="D110" s="1" t="n">
        <f aca="false">IF(A110="","",INT(C110/12))</f>
        <v>9</v>
      </c>
      <c r="E110" s="1" t="n">
        <f aca="false">IF(A110="","",D110+Inputs!$B$7)</f>
        <v>25</v>
      </c>
      <c r="F110" s="3" t="n">
        <f aca="false">IF(A110="","",DATE(YEAR(B$2)+D110,MONTH(B$2),DAY(B$2)))</f>
        <v>24994</v>
      </c>
      <c r="G110" s="3" t="n">
        <f aca="false">IF(A110="","",DATE(YEAR(F110)+1,MONTH(F110),DAY(F110)))</f>
        <v>25359</v>
      </c>
      <c r="H110" s="10" t="n">
        <f aca="false">IF(A110="","",IF(G110&gt;F110,(B110-F110)/(G110-F110),0))</f>
        <v>0.0684931506849315</v>
      </c>
      <c r="I110" s="10" t="n">
        <f aca="false">IF(A110="","",IFERROR(INDEX(CV_RATES!$I:$I,MATCH(D110,CV_RATES!$C:$C,0)),0))</f>
        <v>249.114485971416</v>
      </c>
      <c r="J110" s="10" t="n">
        <f aca="false">IF(A110="","",IFERROR(IF(E110=MAX(MORTALITY!$A:$A),1000,INDEX(CV_RATES!$J:$J,MATCH(D110,CV_RATES!$C:$C,0))),0))</f>
        <v>280.408835129962</v>
      </c>
      <c r="K110" s="10" t="n">
        <f aca="false">IF(A110="","",IFERROR(I110+H110*(J110-I110),0))</f>
        <v>251.25793454392</v>
      </c>
      <c r="L110" s="10" t="n">
        <f aca="false">IF(A110="","",IFERROR(K110*Inputs!$B$9,0))</f>
        <v>12562.896727196</v>
      </c>
      <c r="M110" s="10" t="n">
        <f aca="false">IF(A110="","",IFERROR(K110*Inputs!$B$10,0))</f>
        <v>40200.5157532235</v>
      </c>
      <c r="N110" s="10" t="n">
        <f aca="false">IF(A110="","",Z109)</f>
        <v>0</v>
      </c>
      <c r="O110" s="6" t="n">
        <f aca="false">IF(A110="","",Inputs!$B$18+N110)</f>
        <v>50000</v>
      </c>
      <c r="P110" s="5" t="n">
        <f aca="false">IF(A110="","",VLOOKUP(D110,DIvidend_Assumption!$A$3:$CX$103,($E$2+2),0)/12)</f>
        <v>0</v>
      </c>
      <c r="Q110" s="10" t="n">
        <f aca="false">IF(A110="","",IFERROR(AB109*P110,""))</f>
        <v>0</v>
      </c>
      <c r="R110" s="10" t="n">
        <f aca="false">IF(A110="","",IFERROR(IF(Inputs!$B$22="Accumulate",T110+Q110,IF(Inputs!$B$22="Premium Offset",MAX(0,T110+Q110-Inputs!$B$25),T110)),""))</f>
        <v>0</v>
      </c>
      <c r="S110" s="10" t="n">
        <f aca="false">IF(A110="","",R109)</f>
        <v>0</v>
      </c>
      <c r="T110" s="10" t="n">
        <f aca="false">IF(A110="","",IFERROR(S110*(1+Inputs!$B$23/12),""))</f>
        <v>0</v>
      </c>
      <c r="U110" s="6" t="n">
        <f aca="false">IF(A110="","",IF(D110&lt;=Inputs!$B$8,IF(Inputs!$B$22="Premium Offset",MAX(0,Inputs!$B$25-(Q110+T110)),Inputs!$B$25),0))</f>
        <v>77</v>
      </c>
      <c r="V110" s="10" t="n">
        <f aca="false">IF(A110="","",IF(Inputs!$B$22="Cash",Q110,0))</f>
        <v>0</v>
      </c>
      <c r="W110" s="10" t="n">
        <f aca="false">IF(A110="","",IF(Inputs!$B$22="PUA",Q110,0))</f>
        <v>0</v>
      </c>
      <c r="X110" s="12" t="n">
        <f aca="false">IF(A110="","",IFERROR(INDEX(PUA_TABLE!$D$4:$D$105,MATCH(E110,PUA_TABLE!$C$4:$C$105,1)),0))</f>
        <v>0.374462953329339</v>
      </c>
      <c r="Y110" s="10" t="n">
        <f aca="false">IF(A110="","",IF(W110&gt;0,IF(X110&gt;0,W110/X110,0),0))</f>
        <v>0</v>
      </c>
      <c r="Z110" s="10" t="n">
        <f aca="false">IF(A110="","",N110+Y110)</f>
        <v>0</v>
      </c>
      <c r="AA110" s="10" t="n">
        <f aca="false">IF(A110="","",IFERROR(Z110*INDEX(PUA_TABLE!$I$4:$I$105,MATCH(E110,PUA_TABLE!$C$4:$C$105,1))/1000,0))</f>
        <v>0</v>
      </c>
      <c r="AB110" s="10" t="n">
        <f aca="false">IF(A110="","",IFERROR(L110+AA110,0))</f>
        <v>12562.896727196</v>
      </c>
      <c r="AC110" s="10" t="n">
        <f aca="false">IF(A110="","",IF(Inputs!$B$22="Premium Offset",MIN(Inputs!$B$25,Q110+T110),0))</f>
        <v>0</v>
      </c>
    </row>
    <row r="111" customFormat="false" ht="15" hidden="false" customHeight="false" outlineLevel="0" collapsed="false">
      <c r="A111" s="1" t="n">
        <f aca="false">IF(A110="","",IF(INT((C110+1)/12)+Inputs!$B$7&gt;MAX(MORTALITY!$A:$A),"",Inputs!$B$4))</f>
        <v>34</v>
      </c>
      <c r="B111" s="3" t="n">
        <f aca="false">IF(A111="","",EOMONTH(B110,1))</f>
        <v>25050</v>
      </c>
      <c r="C111" s="1" t="n">
        <f aca="false">IF(A111="","",C110+1)</f>
        <v>109</v>
      </c>
      <c r="D111" s="1" t="n">
        <f aca="false">IF(A111="","",INT(C111/12))</f>
        <v>9</v>
      </c>
      <c r="E111" s="1" t="n">
        <f aca="false">IF(A111="","",D111+Inputs!$B$7)</f>
        <v>25</v>
      </c>
      <c r="F111" s="3" t="n">
        <f aca="false">IF(A111="","",DATE(YEAR(B$2)+D111,MONTH(B$2),DAY(B$2)))</f>
        <v>24994</v>
      </c>
      <c r="G111" s="3" t="n">
        <f aca="false">IF(A111="","",DATE(YEAR(F111)+1,MONTH(F111),DAY(F111)))</f>
        <v>25359</v>
      </c>
      <c r="H111" s="10" t="n">
        <f aca="false">IF(A111="","",IF(G111&gt;F111,(B111-F111)/(G111-F111),0))</f>
        <v>0.153424657534247</v>
      </c>
      <c r="I111" s="10" t="n">
        <f aca="false">IF(A111="","",IFERROR(INDEX(CV_RATES!$I:$I,MATCH(D111,CV_RATES!$C:$C,0)),0))</f>
        <v>249.114485971416</v>
      </c>
      <c r="J111" s="10" t="n">
        <f aca="false">IF(A111="","",IFERROR(IF(E111=MAX(MORTALITY!$A:$A),1000,INDEX(CV_RATES!$J:$J,MATCH(D111,CV_RATES!$C:$C,0))),0))</f>
        <v>280.408835129962</v>
      </c>
      <c r="K111" s="10" t="n">
        <f aca="false">IF(A111="","",IFERROR(I111+H111*(J111-I111),0))</f>
        <v>253.915810773823</v>
      </c>
      <c r="L111" s="10" t="n">
        <f aca="false">IF(A111="","",IFERROR(K111*Inputs!$B$9,0))</f>
        <v>12695.7905386912</v>
      </c>
      <c r="M111" s="10" t="n">
        <f aca="false">IF(A111="","",IFERROR(K111*Inputs!$B$10,0))</f>
        <v>40625.7679763794</v>
      </c>
      <c r="N111" s="10" t="n">
        <f aca="false">IF(A111="","",Z110)</f>
        <v>0</v>
      </c>
      <c r="O111" s="6" t="n">
        <f aca="false">IF(A111="","",Inputs!$B$18+N111)</f>
        <v>50000</v>
      </c>
      <c r="P111" s="5" t="n">
        <f aca="false">IF(A111="","",VLOOKUP(D111,DIvidend_Assumption!$A$3:$CX$103,($E$2+2),0)/12)</f>
        <v>0</v>
      </c>
      <c r="Q111" s="10" t="n">
        <f aca="false">IF(A111="","",IFERROR(AB110*P111,""))</f>
        <v>0</v>
      </c>
      <c r="R111" s="10" t="n">
        <f aca="false">IF(A111="","",IFERROR(IF(Inputs!$B$22="Accumulate",T111+Q111,IF(Inputs!$B$22="Premium Offset",MAX(0,T111+Q111-Inputs!$B$25),T111)),""))</f>
        <v>0</v>
      </c>
      <c r="S111" s="10" t="n">
        <f aca="false">IF(A111="","",R110)</f>
        <v>0</v>
      </c>
      <c r="T111" s="10" t="n">
        <f aca="false">IF(A111="","",IFERROR(S111*(1+Inputs!$B$23/12),""))</f>
        <v>0</v>
      </c>
      <c r="U111" s="6" t="n">
        <f aca="false">IF(A111="","",IF(D111&lt;=Inputs!$B$8,IF(Inputs!$B$22="Premium Offset",MAX(0,Inputs!$B$25-(Q111+T111)),Inputs!$B$25),0))</f>
        <v>77</v>
      </c>
      <c r="V111" s="10" t="n">
        <f aca="false">IF(A111="","",IF(Inputs!$B$22="Cash",Q111,0))</f>
        <v>0</v>
      </c>
      <c r="W111" s="10" t="n">
        <f aca="false">IF(A111="","",IF(Inputs!$B$22="PUA",Q111,0))</f>
        <v>0</v>
      </c>
      <c r="X111" s="12" t="n">
        <f aca="false">IF(A111="","",IFERROR(INDEX(PUA_TABLE!$D$4:$D$105,MATCH(E111,PUA_TABLE!$C$4:$C$105,1)),0))</f>
        <v>0.374462953329339</v>
      </c>
      <c r="Y111" s="10" t="n">
        <f aca="false">IF(A111="","",IF(W111&gt;0,IF(X111&gt;0,W111/X111,0),0))</f>
        <v>0</v>
      </c>
      <c r="Z111" s="10" t="n">
        <f aca="false">IF(A111="","",N111+Y111)</f>
        <v>0</v>
      </c>
      <c r="AA111" s="10" t="n">
        <f aca="false">IF(A111="","",IFERROR(Z111*INDEX(PUA_TABLE!$I$4:$I$105,MATCH(E111,PUA_TABLE!$C$4:$C$105,1))/1000,0))</f>
        <v>0</v>
      </c>
      <c r="AB111" s="10" t="n">
        <f aca="false">IF(A111="","",IFERROR(L111+AA111,0))</f>
        <v>12695.7905386912</v>
      </c>
      <c r="AC111" s="10" t="n">
        <f aca="false">IF(A111="","",IF(Inputs!$B$22="Premium Offset",MIN(Inputs!$B$25,Q111+T111),0))</f>
        <v>0</v>
      </c>
    </row>
    <row r="112" customFormat="false" ht="15" hidden="false" customHeight="false" outlineLevel="0" collapsed="false">
      <c r="A112" s="1" t="n">
        <f aca="false">IF(A111="","",IF(INT((C111+1)/12)+Inputs!$B$7&gt;MAX(MORTALITY!$A:$A),"",Inputs!$B$4))</f>
        <v>34</v>
      </c>
      <c r="B112" s="3" t="n">
        <f aca="false">IF(A112="","",EOMONTH(B111,1))</f>
        <v>25081</v>
      </c>
      <c r="C112" s="1" t="n">
        <f aca="false">IF(A112="","",C111+1)</f>
        <v>110</v>
      </c>
      <c r="D112" s="1" t="n">
        <f aca="false">IF(A112="","",INT(C112/12))</f>
        <v>9</v>
      </c>
      <c r="E112" s="1" t="n">
        <f aca="false">IF(A112="","",D112+Inputs!$B$7)</f>
        <v>25</v>
      </c>
      <c r="F112" s="3" t="n">
        <f aca="false">IF(A112="","",DATE(YEAR(B$2)+D112,MONTH(B$2),DAY(B$2)))</f>
        <v>24994</v>
      </c>
      <c r="G112" s="3" t="n">
        <f aca="false">IF(A112="","",DATE(YEAR(F112)+1,MONTH(F112),DAY(F112)))</f>
        <v>25359</v>
      </c>
      <c r="H112" s="10" t="n">
        <f aca="false">IF(A112="","",IF(G112&gt;F112,(B112-F112)/(G112-F112),0))</f>
        <v>0.238356164383562</v>
      </c>
      <c r="I112" s="10" t="n">
        <f aca="false">IF(A112="","",IFERROR(INDEX(CV_RATES!$I:$I,MATCH(D112,CV_RATES!$C:$C,0)),0))</f>
        <v>249.114485971416</v>
      </c>
      <c r="J112" s="10" t="n">
        <f aca="false">IF(A112="","",IFERROR(IF(E112=MAX(MORTALITY!$A:$A),1000,INDEX(CV_RATES!$J:$J,MATCH(D112,CV_RATES!$C:$C,0))),0))</f>
        <v>280.408835129962</v>
      </c>
      <c r="K112" s="10" t="n">
        <f aca="false">IF(A112="","",IFERROR(I112+H112*(J112-I112),0))</f>
        <v>256.573687003727</v>
      </c>
      <c r="L112" s="10" t="n">
        <f aca="false">IF(A112="","",IFERROR(K112*Inputs!$B$9,0))</f>
        <v>12828.6843501864</v>
      </c>
      <c r="M112" s="10" t="n">
        <f aca="false">IF(A112="","",IFERROR(K112*Inputs!$B$10,0))</f>
        <v>41051.0201995354</v>
      </c>
      <c r="N112" s="10" t="n">
        <f aca="false">IF(A112="","",Z111)</f>
        <v>0</v>
      </c>
      <c r="O112" s="6" t="n">
        <f aca="false">IF(A112="","",Inputs!$B$18+N112)</f>
        <v>50000</v>
      </c>
      <c r="P112" s="5" t="n">
        <f aca="false">IF(A112="","",VLOOKUP(D112,DIvidend_Assumption!$A$3:$CX$103,($E$2+2),0)/12)</f>
        <v>0</v>
      </c>
      <c r="Q112" s="10" t="n">
        <f aca="false">IF(A112="","",IFERROR(AB111*P112,""))</f>
        <v>0</v>
      </c>
      <c r="R112" s="10" t="n">
        <f aca="false">IF(A112="","",IFERROR(IF(Inputs!$B$22="Accumulate",T112+Q112,IF(Inputs!$B$22="Premium Offset",MAX(0,T112+Q112-Inputs!$B$25),T112)),""))</f>
        <v>0</v>
      </c>
      <c r="S112" s="10" t="n">
        <f aca="false">IF(A112="","",R111)</f>
        <v>0</v>
      </c>
      <c r="T112" s="10" t="n">
        <f aca="false">IF(A112="","",IFERROR(S112*(1+Inputs!$B$23/12),""))</f>
        <v>0</v>
      </c>
      <c r="U112" s="6" t="n">
        <f aca="false">IF(A112="","",IF(D112&lt;=Inputs!$B$8,IF(Inputs!$B$22="Premium Offset",MAX(0,Inputs!$B$25-(Q112+T112)),Inputs!$B$25),0))</f>
        <v>77</v>
      </c>
      <c r="V112" s="10" t="n">
        <f aca="false">IF(A112="","",IF(Inputs!$B$22="Cash",Q112,0))</f>
        <v>0</v>
      </c>
      <c r="W112" s="10" t="n">
        <f aca="false">IF(A112="","",IF(Inputs!$B$22="PUA",Q112,0))</f>
        <v>0</v>
      </c>
      <c r="X112" s="12" t="n">
        <f aca="false">IF(A112="","",IFERROR(INDEX(PUA_TABLE!$D$4:$D$105,MATCH(E112,PUA_TABLE!$C$4:$C$105,1)),0))</f>
        <v>0.374462953329339</v>
      </c>
      <c r="Y112" s="10" t="n">
        <f aca="false">IF(A112="","",IF(W112&gt;0,IF(X112&gt;0,W112/X112,0),0))</f>
        <v>0</v>
      </c>
      <c r="Z112" s="10" t="n">
        <f aca="false">IF(A112="","",N112+Y112)</f>
        <v>0</v>
      </c>
      <c r="AA112" s="10" t="n">
        <f aca="false">IF(A112="","",IFERROR(Z112*INDEX(PUA_TABLE!$I$4:$I$105,MATCH(E112,PUA_TABLE!$C$4:$C$105,1))/1000,0))</f>
        <v>0</v>
      </c>
      <c r="AB112" s="10" t="n">
        <f aca="false">IF(A112="","",IFERROR(L112+AA112,0))</f>
        <v>12828.6843501864</v>
      </c>
      <c r="AC112" s="10" t="n">
        <f aca="false">IF(A112="","",IF(Inputs!$B$22="Premium Offset",MIN(Inputs!$B$25,Q112+T112),0))</f>
        <v>0</v>
      </c>
    </row>
    <row r="113" customFormat="false" ht="15" hidden="false" customHeight="false" outlineLevel="0" collapsed="false">
      <c r="A113" s="1" t="n">
        <f aca="false">IF(A112="","",IF(INT((C112+1)/12)+Inputs!$B$7&gt;MAX(MORTALITY!$A:$A),"",Inputs!$B$4))</f>
        <v>34</v>
      </c>
      <c r="B113" s="3" t="n">
        <f aca="false">IF(A113="","",EOMONTH(B112,1))</f>
        <v>25111</v>
      </c>
      <c r="C113" s="1" t="n">
        <f aca="false">IF(A113="","",C112+1)</f>
        <v>111</v>
      </c>
      <c r="D113" s="1" t="n">
        <f aca="false">IF(A113="","",INT(C113/12))</f>
        <v>9</v>
      </c>
      <c r="E113" s="1" t="n">
        <f aca="false">IF(A113="","",D113+Inputs!$B$7)</f>
        <v>25</v>
      </c>
      <c r="F113" s="3" t="n">
        <f aca="false">IF(A113="","",DATE(YEAR(B$2)+D113,MONTH(B$2),DAY(B$2)))</f>
        <v>24994</v>
      </c>
      <c r="G113" s="3" t="n">
        <f aca="false">IF(A113="","",DATE(YEAR(F113)+1,MONTH(F113),DAY(F113)))</f>
        <v>25359</v>
      </c>
      <c r="H113" s="10" t="n">
        <f aca="false">IF(A113="","",IF(G113&gt;F113,(B113-F113)/(G113-F113),0))</f>
        <v>0.320547945205479</v>
      </c>
      <c r="I113" s="10" t="n">
        <f aca="false">IF(A113="","",IFERROR(INDEX(CV_RATES!$I:$I,MATCH(D113,CV_RATES!$C:$C,0)),0))</f>
        <v>249.114485971416</v>
      </c>
      <c r="J113" s="10" t="n">
        <f aca="false">IF(A113="","",IFERROR(IF(E113=MAX(MORTALITY!$A:$A),1000,INDEX(CV_RATES!$J:$J,MATCH(D113,CV_RATES!$C:$C,0))),0))</f>
        <v>280.408835129962</v>
      </c>
      <c r="K113" s="10" t="n">
        <f aca="false">IF(A113="","",IFERROR(I113+H113*(J113-I113),0))</f>
        <v>259.145825290731</v>
      </c>
      <c r="L113" s="10" t="n">
        <f aca="false">IF(A113="","",IFERROR(K113*Inputs!$B$9,0))</f>
        <v>12957.2912645366</v>
      </c>
      <c r="M113" s="10" t="n">
        <f aca="false">IF(A113="","",IFERROR(K113*Inputs!$B$10,0))</f>
        <v>41462.5546090411</v>
      </c>
      <c r="N113" s="10" t="n">
        <f aca="false">IF(A113="","",Z112)</f>
        <v>0</v>
      </c>
      <c r="O113" s="6" t="n">
        <f aca="false">IF(A113="","",Inputs!$B$18+N113)</f>
        <v>50000</v>
      </c>
      <c r="P113" s="5" t="n">
        <f aca="false">IF(A113="","",VLOOKUP(D113,DIvidend_Assumption!$A$3:$CX$103,($E$2+2),0)/12)</f>
        <v>0</v>
      </c>
      <c r="Q113" s="10" t="n">
        <f aca="false">IF(A113="","",IFERROR(AB112*P113,""))</f>
        <v>0</v>
      </c>
      <c r="R113" s="10" t="n">
        <f aca="false">IF(A113="","",IFERROR(IF(Inputs!$B$22="Accumulate",T113+Q113,IF(Inputs!$B$22="Premium Offset",MAX(0,T113+Q113-Inputs!$B$25),T113)),""))</f>
        <v>0</v>
      </c>
      <c r="S113" s="10" t="n">
        <f aca="false">IF(A113="","",R112)</f>
        <v>0</v>
      </c>
      <c r="T113" s="10" t="n">
        <f aca="false">IF(A113="","",IFERROR(S113*(1+Inputs!$B$23/12),""))</f>
        <v>0</v>
      </c>
      <c r="U113" s="6" t="n">
        <f aca="false">IF(A113="","",IF(D113&lt;=Inputs!$B$8,IF(Inputs!$B$22="Premium Offset",MAX(0,Inputs!$B$25-(Q113+T113)),Inputs!$B$25),0))</f>
        <v>77</v>
      </c>
      <c r="V113" s="10" t="n">
        <f aca="false">IF(A113="","",IF(Inputs!$B$22="Cash",Q113,0))</f>
        <v>0</v>
      </c>
      <c r="W113" s="10" t="n">
        <f aca="false">IF(A113="","",IF(Inputs!$B$22="PUA",Q113,0))</f>
        <v>0</v>
      </c>
      <c r="X113" s="12" t="n">
        <f aca="false">IF(A113="","",IFERROR(INDEX(PUA_TABLE!$D$4:$D$105,MATCH(E113,PUA_TABLE!$C$4:$C$105,1)),0))</f>
        <v>0.374462953329339</v>
      </c>
      <c r="Y113" s="10" t="n">
        <f aca="false">IF(A113="","",IF(W113&gt;0,IF(X113&gt;0,W113/X113,0),0))</f>
        <v>0</v>
      </c>
      <c r="Z113" s="10" t="n">
        <f aca="false">IF(A113="","",N113+Y113)</f>
        <v>0</v>
      </c>
      <c r="AA113" s="10" t="n">
        <f aca="false">IF(A113="","",IFERROR(Z113*INDEX(PUA_TABLE!$I$4:$I$105,MATCH(E113,PUA_TABLE!$C$4:$C$105,1))/1000,0))</f>
        <v>0</v>
      </c>
      <c r="AB113" s="10" t="n">
        <f aca="false">IF(A113="","",IFERROR(L113+AA113,0))</f>
        <v>12957.2912645366</v>
      </c>
      <c r="AC113" s="10" t="n">
        <f aca="false">IF(A113="","",IF(Inputs!$B$22="Premium Offset",MIN(Inputs!$B$25,Q113+T113),0))</f>
        <v>0</v>
      </c>
    </row>
    <row r="114" customFormat="false" ht="15" hidden="false" customHeight="false" outlineLevel="0" collapsed="false">
      <c r="A114" s="1" t="n">
        <f aca="false">IF(A113="","",IF(INT((C113+1)/12)+Inputs!$B$7&gt;MAX(MORTALITY!$A:$A),"",Inputs!$B$4))</f>
        <v>34</v>
      </c>
      <c r="B114" s="3" t="n">
        <f aca="false">IF(A114="","",EOMONTH(B113,1))</f>
        <v>25142</v>
      </c>
      <c r="C114" s="1" t="n">
        <f aca="false">IF(A114="","",C113+1)</f>
        <v>112</v>
      </c>
      <c r="D114" s="1" t="n">
        <f aca="false">IF(A114="","",INT(C114/12))</f>
        <v>9</v>
      </c>
      <c r="E114" s="1" t="n">
        <f aca="false">IF(A114="","",D114+Inputs!$B$7)</f>
        <v>25</v>
      </c>
      <c r="F114" s="3" t="n">
        <f aca="false">IF(A114="","",DATE(YEAR(B$2)+D114,MONTH(B$2),DAY(B$2)))</f>
        <v>24994</v>
      </c>
      <c r="G114" s="3" t="n">
        <f aca="false">IF(A114="","",DATE(YEAR(F114)+1,MONTH(F114),DAY(F114)))</f>
        <v>25359</v>
      </c>
      <c r="H114" s="10" t="n">
        <f aca="false">IF(A114="","",IF(G114&gt;F114,(B114-F114)/(G114-F114),0))</f>
        <v>0.405479452054795</v>
      </c>
      <c r="I114" s="10" t="n">
        <f aca="false">IF(A114="","",IFERROR(INDEX(CV_RATES!$I:$I,MATCH(D114,CV_RATES!$C:$C,0)),0))</f>
        <v>249.114485971416</v>
      </c>
      <c r="J114" s="10" t="n">
        <f aca="false">IF(A114="","",IFERROR(IF(E114=MAX(MORTALITY!$A:$A),1000,INDEX(CV_RATES!$J:$J,MATCH(D114,CV_RATES!$C:$C,0))),0))</f>
        <v>280.408835129962</v>
      </c>
      <c r="K114" s="10" t="n">
        <f aca="false">IF(A114="","",IFERROR(I114+H114*(J114-I114),0))</f>
        <v>261.803701520635</v>
      </c>
      <c r="L114" s="10" t="n">
        <f aca="false">IF(A114="","",IFERROR(K114*Inputs!$B$9,0))</f>
        <v>13090.1850760317</v>
      </c>
      <c r="M114" s="10" t="n">
        <f aca="false">IF(A114="","",IFERROR(K114*Inputs!$B$10,0))</f>
        <v>41887.806832197</v>
      </c>
      <c r="N114" s="10" t="n">
        <f aca="false">IF(A114="","",Z113)</f>
        <v>0</v>
      </c>
      <c r="O114" s="6" t="n">
        <f aca="false">IF(A114="","",Inputs!$B$18+N114)</f>
        <v>50000</v>
      </c>
      <c r="P114" s="5" t="n">
        <f aca="false">IF(A114="","",VLOOKUP(D114,DIvidend_Assumption!$A$3:$CX$103,($E$2+2),0)/12)</f>
        <v>0</v>
      </c>
      <c r="Q114" s="10" t="n">
        <f aca="false">IF(A114="","",IFERROR(AB113*P114,""))</f>
        <v>0</v>
      </c>
      <c r="R114" s="10" t="n">
        <f aca="false">IF(A114="","",IFERROR(IF(Inputs!$B$22="Accumulate",T114+Q114,IF(Inputs!$B$22="Premium Offset",MAX(0,T114+Q114-Inputs!$B$25),T114)),""))</f>
        <v>0</v>
      </c>
      <c r="S114" s="10" t="n">
        <f aca="false">IF(A114="","",R113)</f>
        <v>0</v>
      </c>
      <c r="T114" s="10" t="n">
        <f aca="false">IF(A114="","",IFERROR(S114*(1+Inputs!$B$23/12),""))</f>
        <v>0</v>
      </c>
      <c r="U114" s="6" t="n">
        <f aca="false">IF(A114="","",IF(D114&lt;=Inputs!$B$8,IF(Inputs!$B$22="Premium Offset",MAX(0,Inputs!$B$25-(Q114+T114)),Inputs!$B$25),0))</f>
        <v>77</v>
      </c>
      <c r="V114" s="10" t="n">
        <f aca="false">IF(A114="","",IF(Inputs!$B$22="Cash",Q114,0))</f>
        <v>0</v>
      </c>
      <c r="W114" s="10" t="n">
        <f aca="false">IF(A114="","",IF(Inputs!$B$22="PUA",Q114,0))</f>
        <v>0</v>
      </c>
      <c r="X114" s="12" t="n">
        <f aca="false">IF(A114="","",IFERROR(INDEX(PUA_TABLE!$D$4:$D$105,MATCH(E114,PUA_TABLE!$C$4:$C$105,1)),0))</f>
        <v>0.374462953329339</v>
      </c>
      <c r="Y114" s="10" t="n">
        <f aca="false">IF(A114="","",IF(W114&gt;0,IF(X114&gt;0,W114/X114,0),0))</f>
        <v>0</v>
      </c>
      <c r="Z114" s="10" t="n">
        <f aca="false">IF(A114="","",N114+Y114)</f>
        <v>0</v>
      </c>
      <c r="AA114" s="10" t="n">
        <f aca="false">IF(A114="","",IFERROR(Z114*INDEX(PUA_TABLE!$I$4:$I$105,MATCH(E114,PUA_TABLE!$C$4:$C$105,1))/1000,0))</f>
        <v>0</v>
      </c>
      <c r="AB114" s="10" t="n">
        <f aca="false">IF(A114="","",IFERROR(L114+AA114,0))</f>
        <v>13090.1850760317</v>
      </c>
      <c r="AC114" s="10" t="n">
        <f aca="false">IF(A114="","",IF(Inputs!$B$22="Premium Offset",MIN(Inputs!$B$25,Q114+T114),0))</f>
        <v>0</v>
      </c>
    </row>
    <row r="115" customFormat="false" ht="15" hidden="false" customHeight="false" outlineLevel="0" collapsed="false">
      <c r="A115" s="1" t="n">
        <f aca="false">IF(A114="","",IF(INT((C114+1)/12)+Inputs!$B$7&gt;MAX(MORTALITY!$A:$A),"",Inputs!$B$4))</f>
        <v>34</v>
      </c>
      <c r="B115" s="3" t="n">
        <f aca="false">IF(A115="","",EOMONTH(B114,1))</f>
        <v>25172</v>
      </c>
      <c r="C115" s="1" t="n">
        <f aca="false">IF(A115="","",C114+1)</f>
        <v>113</v>
      </c>
      <c r="D115" s="1" t="n">
        <f aca="false">IF(A115="","",INT(C115/12))</f>
        <v>9</v>
      </c>
      <c r="E115" s="1" t="n">
        <f aca="false">IF(A115="","",D115+Inputs!$B$7)</f>
        <v>25</v>
      </c>
      <c r="F115" s="3" t="n">
        <f aca="false">IF(A115="","",DATE(YEAR(B$2)+D115,MONTH(B$2),DAY(B$2)))</f>
        <v>24994</v>
      </c>
      <c r="G115" s="3" t="n">
        <f aca="false">IF(A115="","",DATE(YEAR(F115)+1,MONTH(F115),DAY(F115)))</f>
        <v>25359</v>
      </c>
      <c r="H115" s="10" t="n">
        <f aca="false">IF(A115="","",IF(G115&gt;F115,(B115-F115)/(G115-F115),0))</f>
        <v>0.487671232876712</v>
      </c>
      <c r="I115" s="10" t="n">
        <f aca="false">IF(A115="","",IFERROR(INDEX(CV_RATES!$I:$I,MATCH(D115,CV_RATES!$C:$C,0)),0))</f>
        <v>249.114485971416</v>
      </c>
      <c r="J115" s="10" t="n">
        <f aca="false">IF(A115="","",IFERROR(IF(E115=MAX(MORTALITY!$A:$A),1000,INDEX(CV_RATES!$J:$J,MATCH(D115,CV_RATES!$C:$C,0))),0))</f>
        <v>280.408835129962</v>
      </c>
      <c r="K115" s="10" t="n">
        <f aca="false">IF(A115="","",IFERROR(I115+H115*(J115-I115),0))</f>
        <v>264.375839807639</v>
      </c>
      <c r="L115" s="10" t="n">
        <f aca="false">IF(A115="","",IFERROR(K115*Inputs!$B$9,0))</f>
        <v>13218.7919903819</v>
      </c>
      <c r="M115" s="10" t="n">
        <f aca="false">IF(A115="","",IFERROR(K115*Inputs!$B$10,0))</f>
        <v>42299.3412417028</v>
      </c>
      <c r="N115" s="10" t="n">
        <f aca="false">IF(A115="","",Z114)</f>
        <v>0</v>
      </c>
      <c r="O115" s="6" t="n">
        <f aca="false">IF(A115="","",Inputs!$B$18+N115)</f>
        <v>50000</v>
      </c>
      <c r="P115" s="5" t="n">
        <f aca="false">IF(A115="","",VLOOKUP(D115,DIvidend_Assumption!$A$3:$CX$103,($E$2+2),0)/12)</f>
        <v>0</v>
      </c>
      <c r="Q115" s="10" t="n">
        <f aca="false">IF(A115="","",IFERROR(AB114*P115,""))</f>
        <v>0</v>
      </c>
      <c r="R115" s="10" t="n">
        <f aca="false">IF(A115="","",IFERROR(IF(Inputs!$B$22="Accumulate",T115+Q115,IF(Inputs!$B$22="Premium Offset",MAX(0,T115+Q115-Inputs!$B$25),T115)),""))</f>
        <v>0</v>
      </c>
      <c r="S115" s="10" t="n">
        <f aca="false">IF(A115="","",R114)</f>
        <v>0</v>
      </c>
      <c r="T115" s="10" t="n">
        <f aca="false">IF(A115="","",IFERROR(S115*(1+Inputs!$B$23/12),""))</f>
        <v>0</v>
      </c>
      <c r="U115" s="6" t="n">
        <f aca="false">IF(A115="","",IF(D115&lt;=Inputs!$B$8,IF(Inputs!$B$22="Premium Offset",MAX(0,Inputs!$B$25-(Q115+T115)),Inputs!$B$25),0))</f>
        <v>77</v>
      </c>
      <c r="V115" s="10" t="n">
        <f aca="false">IF(A115="","",IF(Inputs!$B$22="Cash",Q115,0))</f>
        <v>0</v>
      </c>
      <c r="W115" s="10" t="n">
        <f aca="false">IF(A115="","",IF(Inputs!$B$22="PUA",Q115,0))</f>
        <v>0</v>
      </c>
      <c r="X115" s="12" t="n">
        <f aca="false">IF(A115="","",IFERROR(INDEX(PUA_TABLE!$D$4:$D$105,MATCH(E115,PUA_TABLE!$C$4:$C$105,1)),0))</f>
        <v>0.374462953329339</v>
      </c>
      <c r="Y115" s="10" t="n">
        <f aca="false">IF(A115="","",IF(W115&gt;0,IF(X115&gt;0,W115/X115,0),0))</f>
        <v>0</v>
      </c>
      <c r="Z115" s="10" t="n">
        <f aca="false">IF(A115="","",N115+Y115)</f>
        <v>0</v>
      </c>
      <c r="AA115" s="10" t="n">
        <f aca="false">IF(A115="","",IFERROR(Z115*INDEX(PUA_TABLE!$I$4:$I$105,MATCH(E115,PUA_TABLE!$C$4:$C$105,1))/1000,0))</f>
        <v>0</v>
      </c>
      <c r="AB115" s="10" t="n">
        <f aca="false">IF(A115="","",IFERROR(L115+AA115,0))</f>
        <v>13218.7919903819</v>
      </c>
      <c r="AC115" s="10" t="n">
        <f aca="false">IF(A115="","",IF(Inputs!$B$22="Premium Offset",MIN(Inputs!$B$25,Q115+T115),0))</f>
        <v>0</v>
      </c>
    </row>
    <row r="116" customFormat="false" ht="15" hidden="false" customHeight="false" outlineLevel="0" collapsed="false">
      <c r="A116" s="1" t="n">
        <f aca="false">IF(A115="","",IF(INT((C115+1)/12)+Inputs!$B$7&gt;MAX(MORTALITY!$A:$A),"",Inputs!$B$4))</f>
        <v>34</v>
      </c>
      <c r="B116" s="3" t="n">
        <f aca="false">IF(A116="","",EOMONTH(B115,1))</f>
        <v>25203</v>
      </c>
      <c r="C116" s="1" t="n">
        <f aca="false">IF(A116="","",C115+1)</f>
        <v>114</v>
      </c>
      <c r="D116" s="1" t="n">
        <f aca="false">IF(A116="","",INT(C116/12))</f>
        <v>9</v>
      </c>
      <c r="E116" s="1" t="n">
        <f aca="false">IF(A116="","",D116+Inputs!$B$7)</f>
        <v>25</v>
      </c>
      <c r="F116" s="3" t="n">
        <f aca="false">IF(A116="","",DATE(YEAR(B$2)+D116,MONTH(B$2),DAY(B$2)))</f>
        <v>24994</v>
      </c>
      <c r="G116" s="3" t="n">
        <f aca="false">IF(A116="","",DATE(YEAR(F116)+1,MONTH(F116),DAY(F116)))</f>
        <v>25359</v>
      </c>
      <c r="H116" s="10" t="n">
        <f aca="false">IF(A116="","",IF(G116&gt;F116,(B116-F116)/(G116-F116),0))</f>
        <v>0.572602739726027</v>
      </c>
      <c r="I116" s="10" t="n">
        <f aca="false">IF(A116="","",IFERROR(INDEX(CV_RATES!$I:$I,MATCH(D116,CV_RATES!$C:$C,0)),0))</f>
        <v>249.114485971416</v>
      </c>
      <c r="J116" s="10" t="n">
        <f aca="false">IF(A116="","",IFERROR(IF(E116=MAX(MORTALITY!$A:$A),1000,INDEX(CV_RATES!$J:$J,MATCH(D116,CV_RATES!$C:$C,0))),0))</f>
        <v>280.408835129962</v>
      </c>
      <c r="K116" s="10" t="n">
        <f aca="false">IF(A116="","",IFERROR(I116+H116*(J116-I116),0))</f>
        <v>267.033716037543</v>
      </c>
      <c r="L116" s="10" t="n">
        <f aca="false">IF(A116="","",IFERROR(K116*Inputs!$B$9,0))</f>
        <v>13351.6858018771</v>
      </c>
      <c r="M116" s="10" t="n">
        <f aca="false">IF(A116="","",IFERROR(K116*Inputs!$B$10,0))</f>
        <v>42724.5934648587</v>
      </c>
      <c r="N116" s="10" t="n">
        <f aca="false">IF(A116="","",Z115)</f>
        <v>0</v>
      </c>
      <c r="O116" s="6" t="n">
        <f aca="false">IF(A116="","",Inputs!$B$18+N116)</f>
        <v>50000</v>
      </c>
      <c r="P116" s="5" t="n">
        <f aca="false">IF(A116="","",VLOOKUP(D116,DIvidend_Assumption!$A$3:$CX$103,($E$2+2),0)/12)</f>
        <v>0</v>
      </c>
      <c r="Q116" s="10" t="n">
        <f aca="false">IF(A116="","",IFERROR(AB115*P116,""))</f>
        <v>0</v>
      </c>
      <c r="R116" s="10" t="n">
        <f aca="false">IF(A116="","",IFERROR(IF(Inputs!$B$22="Accumulate",T116+Q116,IF(Inputs!$B$22="Premium Offset",MAX(0,T116+Q116-Inputs!$B$25),T116)),""))</f>
        <v>0</v>
      </c>
      <c r="S116" s="10" t="n">
        <f aca="false">IF(A116="","",R115)</f>
        <v>0</v>
      </c>
      <c r="T116" s="10" t="n">
        <f aca="false">IF(A116="","",IFERROR(S116*(1+Inputs!$B$23/12),""))</f>
        <v>0</v>
      </c>
      <c r="U116" s="6" t="n">
        <f aca="false">IF(A116="","",IF(D116&lt;=Inputs!$B$8,IF(Inputs!$B$22="Premium Offset",MAX(0,Inputs!$B$25-(Q116+T116)),Inputs!$B$25),0))</f>
        <v>77</v>
      </c>
      <c r="V116" s="10" t="n">
        <f aca="false">IF(A116="","",IF(Inputs!$B$22="Cash",Q116,0))</f>
        <v>0</v>
      </c>
      <c r="W116" s="10" t="n">
        <f aca="false">IF(A116="","",IF(Inputs!$B$22="PUA",Q116,0))</f>
        <v>0</v>
      </c>
      <c r="X116" s="12" t="n">
        <f aca="false">IF(A116="","",IFERROR(INDEX(PUA_TABLE!$D$4:$D$105,MATCH(E116,PUA_TABLE!$C$4:$C$105,1)),0))</f>
        <v>0.374462953329339</v>
      </c>
      <c r="Y116" s="10" t="n">
        <f aca="false">IF(A116="","",IF(W116&gt;0,IF(X116&gt;0,W116/X116,0),0))</f>
        <v>0</v>
      </c>
      <c r="Z116" s="10" t="n">
        <f aca="false">IF(A116="","",N116+Y116)</f>
        <v>0</v>
      </c>
      <c r="AA116" s="10" t="n">
        <f aca="false">IF(A116="","",IFERROR(Z116*INDEX(PUA_TABLE!$I$4:$I$105,MATCH(E116,PUA_TABLE!$C$4:$C$105,1))/1000,0))</f>
        <v>0</v>
      </c>
      <c r="AB116" s="10" t="n">
        <f aca="false">IF(A116="","",IFERROR(L116+AA116,0))</f>
        <v>13351.6858018771</v>
      </c>
      <c r="AC116" s="10" t="n">
        <f aca="false">IF(A116="","",IF(Inputs!$B$22="Premium Offset",MIN(Inputs!$B$25,Q116+T116),0))</f>
        <v>0</v>
      </c>
    </row>
    <row r="117" customFormat="false" ht="15" hidden="false" customHeight="false" outlineLevel="0" collapsed="false">
      <c r="A117" s="1" t="n">
        <f aca="false">IF(A116="","",IF(INT((C116+1)/12)+Inputs!$B$7&gt;MAX(MORTALITY!$A:$A),"",Inputs!$B$4))</f>
        <v>34</v>
      </c>
      <c r="B117" s="3" t="n">
        <f aca="false">IF(A117="","",EOMONTH(B116,1))</f>
        <v>25234</v>
      </c>
      <c r="C117" s="1" t="n">
        <f aca="false">IF(A117="","",C116+1)</f>
        <v>115</v>
      </c>
      <c r="D117" s="1" t="n">
        <f aca="false">IF(A117="","",INT(C117/12))</f>
        <v>9</v>
      </c>
      <c r="E117" s="1" t="n">
        <f aca="false">IF(A117="","",D117+Inputs!$B$7)</f>
        <v>25</v>
      </c>
      <c r="F117" s="3" t="n">
        <f aca="false">IF(A117="","",DATE(YEAR(B$2)+D117,MONTH(B$2),DAY(B$2)))</f>
        <v>24994</v>
      </c>
      <c r="G117" s="3" t="n">
        <f aca="false">IF(A117="","",DATE(YEAR(F117)+1,MONTH(F117),DAY(F117)))</f>
        <v>25359</v>
      </c>
      <c r="H117" s="10" t="n">
        <f aca="false">IF(A117="","",IF(G117&gt;F117,(B117-F117)/(G117-F117),0))</f>
        <v>0.657534246575342</v>
      </c>
      <c r="I117" s="10" t="n">
        <f aca="false">IF(A117="","",IFERROR(INDEX(CV_RATES!$I:$I,MATCH(D117,CV_RATES!$C:$C,0)),0))</f>
        <v>249.114485971416</v>
      </c>
      <c r="J117" s="10" t="n">
        <f aca="false">IF(A117="","",IFERROR(IF(E117=MAX(MORTALITY!$A:$A),1000,INDEX(CV_RATES!$J:$J,MATCH(D117,CV_RATES!$C:$C,0))),0))</f>
        <v>280.408835129962</v>
      </c>
      <c r="K117" s="10" t="n">
        <f aca="false">IF(A117="","",IFERROR(I117+H117*(J117-I117),0))</f>
        <v>269.691592267447</v>
      </c>
      <c r="L117" s="10" t="n">
        <f aca="false">IF(A117="","",IFERROR(K117*Inputs!$B$9,0))</f>
        <v>13484.5796133723</v>
      </c>
      <c r="M117" s="10" t="n">
        <f aca="false">IF(A117="","",IFERROR(K117*Inputs!$B$10,0))</f>
        <v>43149.8456880146</v>
      </c>
      <c r="N117" s="10" t="n">
        <f aca="false">IF(A117="","",Z116)</f>
        <v>0</v>
      </c>
      <c r="O117" s="6" t="n">
        <f aca="false">IF(A117="","",Inputs!$B$18+N117)</f>
        <v>50000</v>
      </c>
      <c r="P117" s="5" t="n">
        <f aca="false">IF(A117="","",VLOOKUP(D117,DIvidend_Assumption!$A$3:$CX$103,($E$2+2),0)/12)</f>
        <v>0</v>
      </c>
      <c r="Q117" s="10" t="n">
        <f aca="false">IF(A117="","",IFERROR(AB116*P117,""))</f>
        <v>0</v>
      </c>
      <c r="R117" s="10" t="n">
        <f aca="false">IF(A117="","",IFERROR(IF(Inputs!$B$22="Accumulate",T117+Q117,IF(Inputs!$B$22="Premium Offset",MAX(0,T117+Q117-Inputs!$B$25),T117)),""))</f>
        <v>0</v>
      </c>
      <c r="S117" s="10" t="n">
        <f aca="false">IF(A117="","",R116)</f>
        <v>0</v>
      </c>
      <c r="T117" s="10" t="n">
        <f aca="false">IF(A117="","",IFERROR(S117*(1+Inputs!$B$23/12),""))</f>
        <v>0</v>
      </c>
      <c r="U117" s="6" t="n">
        <f aca="false">IF(A117="","",IF(D117&lt;=Inputs!$B$8,IF(Inputs!$B$22="Premium Offset",MAX(0,Inputs!$B$25-(Q117+T117)),Inputs!$B$25),0))</f>
        <v>77</v>
      </c>
      <c r="V117" s="10" t="n">
        <f aca="false">IF(A117="","",IF(Inputs!$B$22="Cash",Q117,0))</f>
        <v>0</v>
      </c>
      <c r="W117" s="10" t="n">
        <f aca="false">IF(A117="","",IF(Inputs!$B$22="PUA",Q117,0))</f>
        <v>0</v>
      </c>
      <c r="X117" s="12" t="n">
        <f aca="false">IF(A117="","",IFERROR(INDEX(PUA_TABLE!$D$4:$D$105,MATCH(E117,PUA_TABLE!$C$4:$C$105,1)),0))</f>
        <v>0.374462953329339</v>
      </c>
      <c r="Y117" s="10" t="n">
        <f aca="false">IF(A117="","",IF(W117&gt;0,IF(X117&gt;0,W117/X117,0),0))</f>
        <v>0</v>
      </c>
      <c r="Z117" s="10" t="n">
        <f aca="false">IF(A117="","",N117+Y117)</f>
        <v>0</v>
      </c>
      <c r="AA117" s="10" t="n">
        <f aca="false">IF(A117="","",IFERROR(Z117*INDEX(PUA_TABLE!$I$4:$I$105,MATCH(E117,PUA_TABLE!$C$4:$C$105,1))/1000,0))</f>
        <v>0</v>
      </c>
      <c r="AB117" s="10" t="n">
        <f aca="false">IF(A117="","",IFERROR(L117+AA117,0))</f>
        <v>13484.5796133723</v>
      </c>
      <c r="AC117" s="10" t="n">
        <f aca="false">IF(A117="","",IF(Inputs!$B$22="Premium Offset",MIN(Inputs!$B$25,Q117+T117),0))</f>
        <v>0</v>
      </c>
    </row>
    <row r="118" customFormat="false" ht="15" hidden="false" customHeight="false" outlineLevel="0" collapsed="false">
      <c r="A118" s="1" t="n">
        <f aca="false">IF(A117="","",IF(INT((C117+1)/12)+Inputs!$B$7&gt;MAX(MORTALITY!$A:$A),"",Inputs!$B$4))</f>
        <v>34</v>
      </c>
      <c r="B118" s="3" t="n">
        <f aca="false">IF(A118="","",EOMONTH(B117,1))</f>
        <v>25262</v>
      </c>
      <c r="C118" s="1" t="n">
        <f aca="false">IF(A118="","",C117+1)</f>
        <v>116</v>
      </c>
      <c r="D118" s="1" t="n">
        <f aca="false">IF(A118="","",INT(C118/12))</f>
        <v>9</v>
      </c>
      <c r="E118" s="1" t="n">
        <f aca="false">IF(A118="","",D118+Inputs!$B$7)</f>
        <v>25</v>
      </c>
      <c r="F118" s="3" t="n">
        <f aca="false">IF(A118="","",DATE(YEAR(B$2)+D118,MONTH(B$2),DAY(B$2)))</f>
        <v>24994</v>
      </c>
      <c r="G118" s="3" t="n">
        <f aca="false">IF(A118="","",DATE(YEAR(F118)+1,MONTH(F118),DAY(F118)))</f>
        <v>25359</v>
      </c>
      <c r="H118" s="10" t="n">
        <f aca="false">IF(A118="","",IF(G118&gt;F118,(B118-F118)/(G118-F118),0))</f>
        <v>0.734246575342466</v>
      </c>
      <c r="I118" s="10" t="n">
        <f aca="false">IF(A118="","",IFERROR(INDEX(CV_RATES!$I:$I,MATCH(D118,CV_RATES!$C:$C,0)),0))</f>
        <v>249.114485971416</v>
      </c>
      <c r="J118" s="10" t="n">
        <f aca="false">IF(A118="","",IFERROR(IF(E118=MAX(MORTALITY!$A:$A),1000,INDEX(CV_RATES!$J:$J,MATCH(D118,CV_RATES!$C:$C,0))),0))</f>
        <v>280.408835129962</v>
      </c>
      <c r="K118" s="10" t="n">
        <f aca="false">IF(A118="","",IFERROR(I118+H118*(J118-I118),0))</f>
        <v>272.09225466865</v>
      </c>
      <c r="L118" s="10" t="n">
        <f aca="false">IF(A118="","",IFERROR(K118*Inputs!$B$9,0))</f>
        <v>13604.6127334325</v>
      </c>
      <c r="M118" s="10" t="n">
        <f aca="false">IF(A118="","",IFERROR(K118*Inputs!$B$10,0))</f>
        <v>43533.94447022</v>
      </c>
      <c r="N118" s="10" t="n">
        <f aca="false">IF(A118="","",Z117)</f>
        <v>0</v>
      </c>
      <c r="O118" s="6" t="n">
        <f aca="false">IF(A118="","",Inputs!$B$18+N118)</f>
        <v>50000</v>
      </c>
      <c r="P118" s="5" t="n">
        <f aca="false">IF(A118="","",VLOOKUP(D118,DIvidend_Assumption!$A$3:$CX$103,($E$2+2),0)/12)</f>
        <v>0</v>
      </c>
      <c r="Q118" s="10" t="n">
        <f aca="false">IF(A118="","",IFERROR(AB117*P118,""))</f>
        <v>0</v>
      </c>
      <c r="R118" s="10" t="n">
        <f aca="false">IF(A118="","",IFERROR(IF(Inputs!$B$22="Accumulate",T118+Q118,IF(Inputs!$B$22="Premium Offset",MAX(0,T118+Q118-Inputs!$B$25),T118)),""))</f>
        <v>0</v>
      </c>
      <c r="S118" s="10" t="n">
        <f aca="false">IF(A118="","",R117)</f>
        <v>0</v>
      </c>
      <c r="T118" s="10" t="n">
        <f aca="false">IF(A118="","",IFERROR(S118*(1+Inputs!$B$23/12),""))</f>
        <v>0</v>
      </c>
      <c r="U118" s="6" t="n">
        <f aca="false">IF(A118="","",IF(D118&lt;=Inputs!$B$8,IF(Inputs!$B$22="Premium Offset",MAX(0,Inputs!$B$25-(Q118+T118)),Inputs!$B$25),0))</f>
        <v>77</v>
      </c>
      <c r="V118" s="10" t="n">
        <f aca="false">IF(A118="","",IF(Inputs!$B$22="Cash",Q118,0))</f>
        <v>0</v>
      </c>
      <c r="W118" s="10" t="n">
        <f aca="false">IF(A118="","",IF(Inputs!$B$22="PUA",Q118,0))</f>
        <v>0</v>
      </c>
      <c r="X118" s="12" t="n">
        <f aca="false">IF(A118="","",IFERROR(INDEX(PUA_TABLE!$D$4:$D$105,MATCH(E118,PUA_TABLE!$C$4:$C$105,1)),0))</f>
        <v>0.374462953329339</v>
      </c>
      <c r="Y118" s="10" t="n">
        <f aca="false">IF(A118="","",IF(W118&gt;0,IF(X118&gt;0,W118/X118,0),0))</f>
        <v>0</v>
      </c>
      <c r="Z118" s="10" t="n">
        <f aca="false">IF(A118="","",N118+Y118)</f>
        <v>0</v>
      </c>
      <c r="AA118" s="10" t="n">
        <f aca="false">IF(A118="","",IFERROR(Z118*INDEX(PUA_TABLE!$I$4:$I$105,MATCH(E118,PUA_TABLE!$C$4:$C$105,1))/1000,0))</f>
        <v>0</v>
      </c>
      <c r="AB118" s="10" t="n">
        <f aca="false">IF(A118="","",IFERROR(L118+AA118,0))</f>
        <v>13604.6127334325</v>
      </c>
      <c r="AC118" s="10" t="n">
        <f aca="false">IF(A118="","",IF(Inputs!$B$22="Premium Offset",MIN(Inputs!$B$25,Q118+T118),0))</f>
        <v>0</v>
      </c>
    </row>
    <row r="119" customFormat="false" ht="15" hidden="false" customHeight="false" outlineLevel="0" collapsed="false">
      <c r="A119" s="1" t="n">
        <f aca="false">IF(A118="","",IF(INT((C118+1)/12)+Inputs!$B$7&gt;MAX(MORTALITY!$A:$A),"",Inputs!$B$4))</f>
        <v>34</v>
      </c>
      <c r="B119" s="3" t="n">
        <f aca="false">IF(A119="","",EOMONTH(B118,1))</f>
        <v>25293</v>
      </c>
      <c r="C119" s="1" t="n">
        <f aca="false">IF(A119="","",C118+1)</f>
        <v>117</v>
      </c>
      <c r="D119" s="1" t="n">
        <f aca="false">IF(A119="","",INT(C119/12))</f>
        <v>9</v>
      </c>
      <c r="E119" s="1" t="n">
        <f aca="false">IF(A119="","",D119+Inputs!$B$7)</f>
        <v>25</v>
      </c>
      <c r="F119" s="3" t="n">
        <f aca="false">IF(A119="","",DATE(YEAR(B$2)+D119,MONTH(B$2),DAY(B$2)))</f>
        <v>24994</v>
      </c>
      <c r="G119" s="3" t="n">
        <f aca="false">IF(A119="","",DATE(YEAR(F119)+1,MONTH(F119),DAY(F119)))</f>
        <v>25359</v>
      </c>
      <c r="H119" s="10" t="n">
        <f aca="false">IF(A119="","",IF(G119&gt;F119,(B119-F119)/(G119-F119),0))</f>
        <v>0.819178082191781</v>
      </c>
      <c r="I119" s="10" t="n">
        <f aca="false">IF(A119="","",IFERROR(INDEX(CV_RATES!$I:$I,MATCH(D119,CV_RATES!$C:$C,0)),0))</f>
        <v>249.114485971416</v>
      </c>
      <c r="J119" s="10" t="n">
        <f aca="false">IF(A119="","",IFERROR(IF(E119=MAX(MORTALITY!$A:$A),1000,INDEX(CV_RATES!$J:$J,MATCH(D119,CV_RATES!$C:$C,0))),0))</f>
        <v>280.408835129962</v>
      </c>
      <c r="K119" s="10" t="n">
        <f aca="false">IF(A119="","",IFERROR(I119+H119*(J119-I119),0))</f>
        <v>274.750130898554</v>
      </c>
      <c r="L119" s="10" t="n">
        <f aca="false">IF(A119="","",IFERROR(K119*Inputs!$B$9,0))</f>
        <v>13737.5065449277</v>
      </c>
      <c r="M119" s="10" t="n">
        <f aca="false">IF(A119="","",IFERROR(K119*Inputs!$B$10,0))</f>
        <v>43959.1966933759</v>
      </c>
      <c r="N119" s="10" t="n">
        <f aca="false">IF(A119="","",Z118)</f>
        <v>0</v>
      </c>
      <c r="O119" s="6" t="n">
        <f aca="false">IF(A119="","",Inputs!$B$18+N119)</f>
        <v>50000</v>
      </c>
      <c r="P119" s="5" t="n">
        <f aca="false">IF(A119="","",VLOOKUP(D119,DIvidend_Assumption!$A$3:$CX$103,($E$2+2),0)/12)</f>
        <v>0</v>
      </c>
      <c r="Q119" s="10" t="n">
        <f aca="false">IF(A119="","",IFERROR(AB118*P119,""))</f>
        <v>0</v>
      </c>
      <c r="R119" s="10" t="n">
        <f aca="false">IF(A119="","",IFERROR(IF(Inputs!$B$22="Accumulate",T119+Q119,IF(Inputs!$B$22="Premium Offset",MAX(0,T119+Q119-Inputs!$B$25),T119)),""))</f>
        <v>0</v>
      </c>
      <c r="S119" s="10" t="n">
        <f aca="false">IF(A119="","",R118)</f>
        <v>0</v>
      </c>
      <c r="T119" s="10" t="n">
        <f aca="false">IF(A119="","",IFERROR(S119*(1+Inputs!$B$23/12),""))</f>
        <v>0</v>
      </c>
      <c r="U119" s="6" t="n">
        <f aca="false">IF(A119="","",IF(D119&lt;=Inputs!$B$8,IF(Inputs!$B$22="Premium Offset",MAX(0,Inputs!$B$25-(Q119+T119)),Inputs!$B$25),0))</f>
        <v>77</v>
      </c>
      <c r="V119" s="10" t="n">
        <f aca="false">IF(A119="","",IF(Inputs!$B$22="Cash",Q119,0))</f>
        <v>0</v>
      </c>
      <c r="W119" s="10" t="n">
        <f aca="false">IF(A119="","",IF(Inputs!$B$22="PUA",Q119,0))</f>
        <v>0</v>
      </c>
      <c r="X119" s="12" t="n">
        <f aca="false">IF(A119="","",IFERROR(INDEX(PUA_TABLE!$D$4:$D$105,MATCH(E119,PUA_TABLE!$C$4:$C$105,1)),0))</f>
        <v>0.374462953329339</v>
      </c>
      <c r="Y119" s="10" t="n">
        <f aca="false">IF(A119="","",IF(W119&gt;0,IF(X119&gt;0,W119/X119,0),0))</f>
        <v>0</v>
      </c>
      <c r="Z119" s="10" t="n">
        <f aca="false">IF(A119="","",N119+Y119)</f>
        <v>0</v>
      </c>
      <c r="AA119" s="10" t="n">
        <f aca="false">IF(A119="","",IFERROR(Z119*INDEX(PUA_TABLE!$I$4:$I$105,MATCH(E119,PUA_TABLE!$C$4:$C$105,1))/1000,0))</f>
        <v>0</v>
      </c>
      <c r="AB119" s="10" t="n">
        <f aca="false">IF(A119="","",IFERROR(L119+AA119,0))</f>
        <v>13737.5065449277</v>
      </c>
      <c r="AC119" s="10" t="n">
        <f aca="false">IF(A119="","",IF(Inputs!$B$22="Premium Offset",MIN(Inputs!$B$25,Q119+T119),0))</f>
        <v>0</v>
      </c>
    </row>
    <row r="120" customFormat="false" ht="15" hidden="false" customHeight="false" outlineLevel="0" collapsed="false">
      <c r="A120" s="1" t="n">
        <f aca="false">IF(A119="","",IF(INT((C119+1)/12)+Inputs!$B$7&gt;MAX(MORTALITY!$A:$A),"",Inputs!$B$4))</f>
        <v>34</v>
      </c>
      <c r="B120" s="3" t="n">
        <f aca="false">IF(A120="","",EOMONTH(B119,1))</f>
        <v>25323</v>
      </c>
      <c r="C120" s="1" t="n">
        <f aca="false">IF(A120="","",C119+1)</f>
        <v>118</v>
      </c>
      <c r="D120" s="1" t="n">
        <f aca="false">IF(A120="","",INT(C120/12))</f>
        <v>9</v>
      </c>
      <c r="E120" s="1" t="n">
        <f aca="false">IF(A120="","",D120+Inputs!$B$7)</f>
        <v>25</v>
      </c>
      <c r="F120" s="3" t="n">
        <f aca="false">IF(A120="","",DATE(YEAR(B$2)+D120,MONTH(B$2),DAY(B$2)))</f>
        <v>24994</v>
      </c>
      <c r="G120" s="3" t="n">
        <f aca="false">IF(A120="","",DATE(YEAR(F120)+1,MONTH(F120),DAY(F120)))</f>
        <v>25359</v>
      </c>
      <c r="H120" s="10" t="n">
        <f aca="false">IF(A120="","",IF(G120&gt;F120,(B120-F120)/(G120-F120),0))</f>
        <v>0.901369863013699</v>
      </c>
      <c r="I120" s="10" t="n">
        <f aca="false">IF(A120="","",IFERROR(INDEX(CV_RATES!$I:$I,MATCH(D120,CV_RATES!$C:$C,0)),0))</f>
        <v>249.114485971416</v>
      </c>
      <c r="J120" s="10" t="n">
        <f aca="false">IF(A120="","",IFERROR(IF(E120=MAX(MORTALITY!$A:$A),1000,INDEX(CV_RATES!$J:$J,MATCH(D120,CV_RATES!$C:$C,0))),0))</f>
        <v>280.408835129962</v>
      </c>
      <c r="K120" s="10" t="n">
        <f aca="false">IF(A120="","",IFERROR(I120+H120*(J120-I120),0))</f>
        <v>277.322269185558</v>
      </c>
      <c r="L120" s="10" t="n">
        <f aca="false">IF(A120="","",IFERROR(K120*Inputs!$B$9,0))</f>
        <v>13866.1134592779</v>
      </c>
      <c r="M120" s="10" t="n">
        <f aca="false">IF(A120="","",IFERROR(K120*Inputs!$B$10,0))</f>
        <v>44370.7311028817</v>
      </c>
      <c r="N120" s="10" t="n">
        <f aca="false">IF(A120="","",Z119)</f>
        <v>0</v>
      </c>
      <c r="O120" s="6" t="n">
        <f aca="false">IF(A120="","",Inputs!$B$18+N120)</f>
        <v>50000</v>
      </c>
      <c r="P120" s="5" t="n">
        <f aca="false">IF(A120="","",VLOOKUP(D120,DIvidend_Assumption!$A$3:$CX$103,($E$2+2),0)/12)</f>
        <v>0</v>
      </c>
      <c r="Q120" s="10" t="n">
        <f aca="false">IF(A120="","",IFERROR(AB119*P120,""))</f>
        <v>0</v>
      </c>
      <c r="R120" s="10" t="n">
        <f aca="false">IF(A120="","",IFERROR(IF(Inputs!$B$22="Accumulate",T120+Q120,IF(Inputs!$B$22="Premium Offset",MAX(0,T120+Q120-Inputs!$B$25),T120)),""))</f>
        <v>0</v>
      </c>
      <c r="S120" s="10" t="n">
        <f aca="false">IF(A120="","",R119)</f>
        <v>0</v>
      </c>
      <c r="T120" s="10" t="n">
        <f aca="false">IF(A120="","",IFERROR(S120*(1+Inputs!$B$23/12),""))</f>
        <v>0</v>
      </c>
      <c r="U120" s="6" t="n">
        <f aca="false">IF(A120="","",IF(D120&lt;=Inputs!$B$8,IF(Inputs!$B$22="Premium Offset",MAX(0,Inputs!$B$25-(Q120+T120)),Inputs!$B$25),0))</f>
        <v>77</v>
      </c>
      <c r="V120" s="10" t="n">
        <f aca="false">IF(A120="","",IF(Inputs!$B$22="Cash",Q120,0))</f>
        <v>0</v>
      </c>
      <c r="W120" s="10" t="n">
        <f aca="false">IF(A120="","",IF(Inputs!$B$22="PUA",Q120,0))</f>
        <v>0</v>
      </c>
      <c r="X120" s="12" t="n">
        <f aca="false">IF(A120="","",IFERROR(INDEX(PUA_TABLE!$D$4:$D$105,MATCH(E120,PUA_TABLE!$C$4:$C$105,1)),0))</f>
        <v>0.374462953329339</v>
      </c>
      <c r="Y120" s="10" t="n">
        <f aca="false">IF(A120="","",IF(W120&gt;0,IF(X120&gt;0,W120/X120,0),0))</f>
        <v>0</v>
      </c>
      <c r="Z120" s="10" t="n">
        <f aca="false">IF(A120="","",N120+Y120)</f>
        <v>0</v>
      </c>
      <c r="AA120" s="10" t="n">
        <f aca="false">IF(A120="","",IFERROR(Z120*INDEX(PUA_TABLE!$I$4:$I$105,MATCH(E120,PUA_TABLE!$C$4:$C$105,1))/1000,0))</f>
        <v>0</v>
      </c>
      <c r="AB120" s="10" t="n">
        <f aca="false">IF(A120="","",IFERROR(L120+AA120,0))</f>
        <v>13866.1134592779</v>
      </c>
      <c r="AC120" s="10" t="n">
        <f aca="false">IF(A120="","",IF(Inputs!$B$22="Premium Offset",MIN(Inputs!$B$25,Q120+T120),0))</f>
        <v>0</v>
      </c>
    </row>
    <row r="121" customFormat="false" ht="15" hidden="false" customHeight="false" outlineLevel="0" collapsed="false">
      <c r="A121" s="1" t="n">
        <f aca="false">IF(A120="","",IF(INT((C120+1)/12)+Inputs!$B$7&gt;MAX(MORTALITY!$A:$A),"",Inputs!$B$4))</f>
        <v>34</v>
      </c>
      <c r="B121" s="3" t="n">
        <f aca="false">IF(A121="","",EOMONTH(B120,1))</f>
        <v>25354</v>
      </c>
      <c r="C121" s="1" t="n">
        <f aca="false">IF(A121="","",C120+1)</f>
        <v>119</v>
      </c>
      <c r="D121" s="1" t="n">
        <f aca="false">IF(A121="","",INT(C121/12))</f>
        <v>9</v>
      </c>
      <c r="E121" s="1" t="n">
        <f aca="false">IF(A121="","",D121+Inputs!$B$7)</f>
        <v>25</v>
      </c>
      <c r="F121" s="3" t="n">
        <f aca="false">IF(A121="","",DATE(YEAR(B$2)+D121,MONTH(B$2),DAY(B$2)))</f>
        <v>24994</v>
      </c>
      <c r="G121" s="3" t="n">
        <f aca="false">IF(A121="","",DATE(YEAR(F121)+1,MONTH(F121),DAY(F121)))</f>
        <v>25359</v>
      </c>
      <c r="H121" s="10" t="n">
        <f aca="false">IF(A121="","",IF(G121&gt;F121,(B121-F121)/(G121-F121),0))</f>
        <v>0.986301369863014</v>
      </c>
      <c r="I121" s="10" t="n">
        <f aca="false">IF(A121="","",IFERROR(INDEX(CV_RATES!$I:$I,MATCH(D121,CV_RATES!$C:$C,0)),0))</f>
        <v>249.114485971416</v>
      </c>
      <c r="J121" s="10" t="n">
        <f aca="false">IF(A121="","",IFERROR(IF(E121=MAX(MORTALITY!$A:$A),1000,INDEX(CV_RATES!$J:$J,MATCH(D121,CV_RATES!$C:$C,0))),0))</f>
        <v>280.408835129962</v>
      </c>
      <c r="K121" s="10" t="n">
        <f aca="false">IF(A121="","",IFERROR(I121+H121*(J121-I121),0))</f>
        <v>279.980145415462</v>
      </c>
      <c r="L121" s="10" t="n">
        <f aca="false">IF(A121="","",IFERROR(K121*Inputs!$B$9,0))</f>
        <v>13999.0072707731</v>
      </c>
      <c r="M121" s="10" t="n">
        <f aca="false">IF(A121="","",IFERROR(K121*Inputs!$B$10,0))</f>
        <v>44795.9833260376</v>
      </c>
      <c r="N121" s="10" t="n">
        <f aca="false">IF(A121="","",Z120)</f>
        <v>0</v>
      </c>
      <c r="O121" s="6" t="n">
        <f aca="false">IF(A121="","",Inputs!$B$18+N121)</f>
        <v>50000</v>
      </c>
      <c r="P121" s="5" t="n">
        <f aca="false">IF(A121="","",VLOOKUP(D121,DIvidend_Assumption!$A$3:$CX$103,($E$2+2),0)/12)</f>
        <v>0</v>
      </c>
      <c r="Q121" s="10" t="n">
        <f aca="false">IF(A121="","",IFERROR(AB120*P121,""))</f>
        <v>0</v>
      </c>
      <c r="R121" s="10" t="n">
        <f aca="false">IF(A121="","",IFERROR(IF(Inputs!$B$22="Accumulate",T121+Q121,IF(Inputs!$B$22="Premium Offset",MAX(0,T121+Q121-Inputs!$B$25),T121)),""))</f>
        <v>0</v>
      </c>
      <c r="S121" s="10" t="n">
        <f aca="false">IF(A121="","",R120)</f>
        <v>0</v>
      </c>
      <c r="T121" s="10" t="n">
        <f aca="false">IF(A121="","",IFERROR(S121*(1+Inputs!$B$23/12),""))</f>
        <v>0</v>
      </c>
      <c r="U121" s="6" t="n">
        <f aca="false">IF(A121="","",IF(D121&lt;=Inputs!$B$8,IF(Inputs!$B$22="Premium Offset",MAX(0,Inputs!$B$25-(Q121+T121)),Inputs!$B$25),0))</f>
        <v>77</v>
      </c>
      <c r="V121" s="10" t="n">
        <f aca="false">IF(A121="","",IF(Inputs!$B$22="Cash",Q121,0))</f>
        <v>0</v>
      </c>
      <c r="W121" s="10" t="n">
        <f aca="false">IF(A121="","",IF(Inputs!$B$22="PUA",Q121,0))</f>
        <v>0</v>
      </c>
      <c r="X121" s="12" t="n">
        <f aca="false">IF(A121="","",IFERROR(INDEX(PUA_TABLE!$D$4:$D$105,MATCH(E121,PUA_TABLE!$C$4:$C$105,1)),0))</f>
        <v>0.374462953329339</v>
      </c>
      <c r="Y121" s="10" t="n">
        <f aca="false">IF(A121="","",IF(W121&gt;0,IF(X121&gt;0,W121/X121,0),0))</f>
        <v>0</v>
      </c>
      <c r="Z121" s="10" t="n">
        <f aca="false">IF(A121="","",N121+Y121)</f>
        <v>0</v>
      </c>
      <c r="AA121" s="10" t="n">
        <f aca="false">IF(A121="","",IFERROR(Z121*INDEX(PUA_TABLE!$I$4:$I$105,MATCH(E121,PUA_TABLE!$C$4:$C$105,1))/1000,0))</f>
        <v>0</v>
      </c>
      <c r="AB121" s="10" t="n">
        <f aca="false">IF(A121="","",IFERROR(L121+AA121,0))</f>
        <v>13999.0072707731</v>
      </c>
      <c r="AC121" s="10" t="n">
        <f aca="false">IF(A121="","",IF(Inputs!$B$22="Premium Offset",MIN(Inputs!$B$25,Q121+T121),0))</f>
        <v>0</v>
      </c>
    </row>
    <row r="122" customFormat="false" ht="15" hidden="false" customHeight="false" outlineLevel="0" collapsed="false">
      <c r="A122" s="1" t="n">
        <f aca="false">IF(A121="","",IF(INT((C121+1)/12)+Inputs!$B$7&gt;MAX(MORTALITY!$A:$A),"",Inputs!$B$4))</f>
        <v>34</v>
      </c>
      <c r="B122" s="3" t="n">
        <f aca="false">IF(A122="","",EOMONTH(B121,1))</f>
        <v>25384</v>
      </c>
      <c r="C122" s="1" t="n">
        <f aca="false">IF(A122="","",C121+1)</f>
        <v>120</v>
      </c>
      <c r="D122" s="1" t="n">
        <f aca="false">IF(A122="","",INT(C122/12))</f>
        <v>10</v>
      </c>
      <c r="E122" s="1" t="n">
        <f aca="false">IF(A122="","",D122+Inputs!$B$7)</f>
        <v>26</v>
      </c>
      <c r="F122" s="3" t="n">
        <f aca="false">IF(A122="","",DATE(YEAR(B$2)+D122,MONTH(B$2),DAY(B$2)))</f>
        <v>25359</v>
      </c>
      <c r="G122" s="3" t="n">
        <f aca="false">IF(A122="","",DATE(YEAR(F122)+1,MONTH(F122),DAY(F122)))</f>
        <v>25724</v>
      </c>
      <c r="H122" s="10" t="n">
        <f aca="false">IF(A122="","",IF(G122&gt;F122,(B122-F122)/(G122-F122),0))</f>
        <v>0.0684931506849315</v>
      </c>
      <c r="I122" s="10" t="n">
        <f aca="false">IF(A122="","",IFERROR(INDEX(CV_RATES!$I:$I,MATCH(D122,CV_RATES!$C:$C,0)),0))</f>
        <v>280.408835129962</v>
      </c>
      <c r="J122" s="10" t="n">
        <f aca="false">IF(A122="","",IFERROR(IF(E122=MAX(MORTALITY!$A:$A),1000,INDEX(CV_RATES!$J:$J,MATCH(D122,CV_RATES!$C:$C,0))),0))</f>
        <v>312.502347591596</v>
      </c>
      <c r="K122" s="10" t="n">
        <f aca="false">IF(A122="","",IFERROR(I122+H122*(J122-I122),0))</f>
        <v>282.607020915006</v>
      </c>
      <c r="L122" s="10" t="n">
        <f aca="false">IF(A122="","",IFERROR(K122*Inputs!$B$9,0))</f>
        <v>14130.3510457503</v>
      </c>
      <c r="M122" s="10" t="n">
        <f aca="false">IF(A122="","",IFERROR(K122*Inputs!$B$10,0))</f>
        <v>45216.2755253382</v>
      </c>
      <c r="N122" s="10" t="n">
        <f aca="false">IF(A122="","",Z121)</f>
        <v>0</v>
      </c>
      <c r="O122" s="6" t="n">
        <f aca="false">IF(A122="","",Inputs!$B$18+N122)</f>
        <v>50000</v>
      </c>
      <c r="P122" s="5" t="n">
        <f aca="false">IF(A122="","",VLOOKUP(D122,DIvidend_Assumption!$A$3:$CX$103,($E$2+2),0)/12)</f>
        <v>0</v>
      </c>
      <c r="Q122" s="10" t="n">
        <f aca="false">IF(A122="","",IFERROR(AB121*P122,""))</f>
        <v>0</v>
      </c>
      <c r="R122" s="10" t="n">
        <f aca="false">IF(A122="","",IFERROR(IF(Inputs!$B$22="Accumulate",T122+Q122,IF(Inputs!$B$22="Premium Offset",MAX(0,T122+Q122-Inputs!$B$25),T122)),""))</f>
        <v>0</v>
      </c>
      <c r="S122" s="10" t="n">
        <f aca="false">IF(A122="","",R121)</f>
        <v>0</v>
      </c>
      <c r="T122" s="10" t="n">
        <f aca="false">IF(A122="","",IFERROR(S122*(1+Inputs!$B$23/12),""))</f>
        <v>0</v>
      </c>
      <c r="U122" s="6" t="n">
        <f aca="false">IF(A122="","",IF(D122&lt;=Inputs!$B$8,IF(Inputs!$B$22="Premium Offset",MAX(0,Inputs!$B$25-(Q122+T122)),Inputs!$B$25),0))</f>
        <v>77</v>
      </c>
      <c r="V122" s="10" t="n">
        <f aca="false">IF(A122="","",IF(Inputs!$B$22="Cash",Q122,0))</f>
        <v>0</v>
      </c>
      <c r="W122" s="10" t="n">
        <f aca="false">IF(A122="","",IF(Inputs!$B$22="PUA",Q122,0))</f>
        <v>0</v>
      </c>
      <c r="X122" s="12" t="n">
        <f aca="false">IF(A122="","",IFERROR(INDEX(PUA_TABLE!$D$4:$D$105,MATCH(E122,PUA_TABLE!$C$4:$C$105,1)),0))</f>
        <v>0.382044816233324</v>
      </c>
      <c r="Y122" s="10" t="n">
        <f aca="false">IF(A122="","",IF(W122&gt;0,IF(X122&gt;0,W122/X122,0),0))</f>
        <v>0</v>
      </c>
      <c r="Z122" s="10" t="n">
        <f aca="false">IF(A122="","",N122+Y122)</f>
        <v>0</v>
      </c>
      <c r="AA122" s="10" t="n">
        <f aca="false">IF(A122="","",IFERROR(Z122*INDEX(PUA_TABLE!$I$4:$I$105,MATCH(E122,PUA_TABLE!$C$4:$C$105,1))/1000,0))</f>
        <v>0</v>
      </c>
      <c r="AB122" s="10" t="n">
        <f aca="false">IF(A122="","",IFERROR(L122+AA122,0))</f>
        <v>14130.3510457503</v>
      </c>
      <c r="AC122" s="10" t="n">
        <f aca="false">IF(A122="","",IF(Inputs!$B$22="Premium Offset",MIN(Inputs!$B$25,Q122+T122),0))</f>
        <v>0</v>
      </c>
    </row>
    <row r="123" customFormat="false" ht="15" hidden="false" customHeight="false" outlineLevel="0" collapsed="false">
      <c r="A123" s="1" t="n">
        <f aca="false">IF(A122="","",IF(INT((C122+1)/12)+Inputs!$B$7&gt;MAX(MORTALITY!$A:$A),"",Inputs!$B$4))</f>
        <v>34</v>
      </c>
      <c r="B123" s="3" t="n">
        <f aca="false">IF(A123="","",EOMONTH(B122,1))</f>
        <v>25415</v>
      </c>
      <c r="C123" s="1" t="n">
        <f aca="false">IF(A123="","",C122+1)</f>
        <v>121</v>
      </c>
      <c r="D123" s="1" t="n">
        <f aca="false">IF(A123="","",INT(C123/12))</f>
        <v>10</v>
      </c>
      <c r="E123" s="1" t="n">
        <f aca="false">IF(A123="","",D123+Inputs!$B$7)</f>
        <v>26</v>
      </c>
      <c r="F123" s="3" t="n">
        <f aca="false">IF(A123="","",DATE(YEAR(B$2)+D123,MONTH(B$2),DAY(B$2)))</f>
        <v>25359</v>
      </c>
      <c r="G123" s="3" t="n">
        <f aca="false">IF(A123="","",DATE(YEAR(F123)+1,MONTH(F123),DAY(F123)))</f>
        <v>25724</v>
      </c>
      <c r="H123" s="10" t="n">
        <f aca="false">IF(A123="","",IF(G123&gt;F123,(B123-F123)/(G123-F123),0))</f>
        <v>0.153424657534247</v>
      </c>
      <c r="I123" s="10" t="n">
        <f aca="false">IF(A123="","",IFERROR(INDEX(CV_RATES!$I:$I,MATCH(D123,CV_RATES!$C:$C,0)),0))</f>
        <v>280.408835129962</v>
      </c>
      <c r="J123" s="10" t="n">
        <f aca="false">IF(A123="","",IFERROR(IF(E123=MAX(MORTALITY!$A:$A),1000,INDEX(CV_RATES!$J:$J,MATCH(D123,CV_RATES!$C:$C,0))),0))</f>
        <v>312.502347591596</v>
      </c>
      <c r="K123" s="10" t="n">
        <f aca="false">IF(A123="","",IFERROR(I123+H123*(J123-I123),0))</f>
        <v>285.332771288459</v>
      </c>
      <c r="L123" s="10" t="n">
        <f aca="false">IF(A123="","",IFERROR(K123*Inputs!$B$9,0))</f>
        <v>14266.638564423</v>
      </c>
      <c r="M123" s="10" t="n">
        <f aca="false">IF(A123="","",IFERROR(K123*Inputs!$B$10,0))</f>
        <v>45652.3874078397</v>
      </c>
      <c r="N123" s="10" t="n">
        <f aca="false">IF(A123="","",Z122)</f>
        <v>0</v>
      </c>
      <c r="O123" s="6" t="n">
        <f aca="false">IF(A123="","",Inputs!$B$18+N123)</f>
        <v>50000</v>
      </c>
      <c r="P123" s="5" t="n">
        <f aca="false">IF(A123="","",VLOOKUP(D123,DIvidend_Assumption!$A$3:$CX$103,($E$2+2),0)/12)</f>
        <v>0</v>
      </c>
      <c r="Q123" s="10" t="n">
        <f aca="false">IF(A123="","",IFERROR(AB122*P123,""))</f>
        <v>0</v>
      </c>
      <c r="R123" s="10" t="n">
        <f aca="false">IF(A123="","",IFERROR(IF(Inputs!$B$22="Accumulate",T123+Q123,IF(Inputs!$B$22="Premium Offset",MAX(0,T123+Q123-Inputs!$B$25),T123)),""))</f>
        <v>0</v>
      </c>
      <c r="S123" s="10" t="n">
        <f aca="false">IF(A123="","",R122)</f>
        <v>0</v>
      </c>
      <c r="T123" s="10" t="n">
        <f aca="false">IF(A123="","",IFERROR(S123*(1+Inputs!$B$23/12),""))</f>
        <v>0</v>
      </c>
      <c r="U123" s="6" t="n">
        <f aca="false">IF(A123="","",IF(D123&lt;=Inputs!$B$8,IF(Inputs!$B$22="Premium Offset",MAX(0,Inputs!$B$25-(Q123+T123)),Inputs!$B$25),0))</f>
        <v>77</v>
      </c>
      <c r="V123" s="10" t="n">
        <f aca="false">IF(A123="","",IF(Inputs!$B$22="Cash",Q123,0))</f>
        <v>0</v>
      </c>
      <c r="W123" s="10" t="n">
        <f aca="false">IF(A123="","",IF(Inputs!$B$22="PUA",Q123,0))</f>
        <v>0</v>
      </c>
      <c r="X123" s="12" t="n">
        <f aca="false">IF(A123="","",IFERROR(INDEX(PUA_TABLE!$D$4:$D$105,MATCH(E123,PUA_TABLE!$C$4:$C$105,1)),0))</f>
        <v>0.382044816233324</v>
      </c>
      <c r="Y123" s="10" t="n">
        <f aca="false">IF(A123="","",IF(W123&gt;0,IF(X123&gt;0,W123/X123,0),0))</f>
        <v>0</v>
      </c>
      <c r="Z123" s="10" t="n">
        <f aca="false">IF(A123="","",N123+Y123)</f>
        <v>0</v>
      </c>
      <c r="AA123" s="10" t="n">
        <f aca="false">IF(A123="","",IFERROR(Z123*INDEX(PUA_TABLE!$I$4:$I$105,MATCH(E123,PUA_TABLE!$C$4:$C$105,1))/1000,0))</f>
        <v>0</v>
      </c>
      <c r="AB123" s="10" t="n">
        <f aca="false">IF(A123="","",IFERROR(L123+AA123,0))</f>
        <v>14266.638564423</v>
      </c>
      <c r="AC123" s="10" t="n">
        <f aca="false">IF(A123="","",IF(Inputs!$B$22="Premium Offset",MIN(Inputs!$B$25,Q123+T123),0))</f>
        <v>0</v>
      </c>
    </row>
    <row r="124" customFormat="false" ht="15" hidden="false" customHeight="false" outlineLevel="0" collapsed="false">
      <c r="A124" s="1" t="n">
        <f aca="false">IF(A123="","",IF(INT((C123+1)/12)+Inputs!$B$7&gt;MAX(MORTALITY!$A:$A),"",Inputs!$B$4))</f>
        <v>34</v>
      </c>
      <c r="B124" s="3" t="n">
        <f aca="false">IF(A124="","",EOMONTH(B123,1))</f>
        <v>25446</v>
      </c>
      <c r="C124" s="1" t="n">
        <f aca="false">IF(A124="","",C123+1)</f>
        <v>122</v>
      </c>
      <c r="D124" s="1" t="n">
        <f aca="false">IF(A124="","",INT(C124/12))</f>
        <v>10</v>
      </c>
      <c r="E124" s="1" t="n">
        <f aca="false">IF(A124="","",D124+Inputs!$B$7)</f>
        <v>26</v>
      </c>
      <c r="F124" s="3" t="n">
        <f aca="false">IF(A124="","",DATE(YEAR(B$2)+D124,MONTH(B$2),DAY(B$2)))</f>
        <v>25359</v>
      </c>
      <c r="G124" s="3" t="n">
        <f aca="false">IF(A124="","",DATE(YEAR(F124)+1,MONTH(F124),DAY(F124)))</f>
        <v>25724</v>
      </c>
      <c r="H124" s="10" t="n">
        <f aca="false">IF(A124="","",IF(G124&gt;F124,(B124-F124)/(G124-F124),0))</f>
        <v>0.238356164383562</v>
      </c>
      <c r="I124" s="10" t="n">
        <f aca="false">IF(A124="","",IFERROR(INDEX(CV_RATES!$I:$I,MATCH(D124,CV_RATES!$C:$C,0)),0))</f>
        <v>280.408835129962</v>
      </c>
      <c r="J124" s="10" t="n">
        <f aca="false">IF(A124="","",IFERROR(IF(E124=MAX(MORTALITY!$A:$A),1000,INDEX(CV_RATES!$J:$J,MATCH(D124,CV_RATES!$C:$C,0))),0))</f>
        <v>312.502347591596</v>
      </c>
      <c r="K124" s="10" t="n">
        <f aca="false">IF(A124="","",IFERROR(I124+H124*(J124-I124),0))</f>
        <v>288.058521661913</v>
      </c>
      <c r="L124" s="10" t="n">
        <f aca="false">IF(A124="","",IFERROR(K124*Inputs!$B$9,0))</f>
        <v>14402.9260830957</v>
      </c>
      <c r="M124" s="10" t="n">
        <f aca="false">IF(A124="","",IFERROR(K124*Inputs!$B$10,0))</f>
        <v>46088.4992903411</v>
      </c>
      <c r="N124" s="10" t="n">
        <f aca="false">IF(A124="","",Z123)</f>
        <v>0</v>
      </c>
      <c r="O124" s="6" t="n">
        <f aca="false">IF(A124="","",Inputs!$B$18+N124)</f>
        <v>50000</v>
      </c>
      <c r="P124" s="5" t="n">
        <f aca="false">IF(A124="","",VLOOKUP(D124,DIvidend_Assumption!$A$3:$CX$103,($E$2+2),0)/12)</f>
        <v>0</v>
      </c>
      <c r="Q124" s="10" t="n">
        <f aca="false">IF(A124="","",IFERROR(AB123*P124,""))</f>
        <v>0</v>
      </c>
      <c r="R124" s="10" t="n">
        <f aca="false">IF(A124="","",IFERROR(IF(Inputs!$B$22="Accumulate",T124+Q124,IF(Inputs!$B$22="Premium Offset",MAX(0,T124+Q124-Inputs!$B$25),T124)),""))</f>
        <v>0</v>
      </c>
      <c r="S124" s="10" t="n">
        <f aca="false">IF(A124="","",R123)</f>
        <v>0</v>
      </c>
      <c r="T124" s="10" t="n">
        <f aca="false">IF(A124="","",IFERROR(S124*(1+Inputs!$B$23/12),""))</f>
        <v>0</v>
      </c>
      <c r="U124" s="6" t="n">
        <f aca="false">IF(A124="","",IF(D124&lt;=Inputs!$B$8,IF(Inputs!$B$22="Premium Offset",MAX(0,Inputs!$B$25-(Q124+T124)),Inputs!$B$25),0))</f>
        <v>77</v>
      </c>
      <c r="V124" s="10" t="n">
        <f aca="false">IF(A124="","",IF(Inputs!$B$22="Cash",Q124,0))</f>
        <v>0</v>
      </c>
      <c r="W124" s="10" t="n">
        <f aca="false">IF(A124="","",IF(Inputs!$B$22="PUA",Q124,0))</f>
        <v>0</v>
      </c>
      <c r="X124" s="12" t="n">
        <f aca="false">IF(A124="","",IFERROR(INDEX(PUA_TABLE!$D$4:$D$105,MATCH(E124,PUA_TABLE!$C$4:$C$105,1)),0))</f>
        <v>0.382044816233324</v>
      </c>
      <c r="Y124" s="10" t="n">
        <f aca="false">IF(A124="","",IF(W124&gt;0,IF(X124&gt;0,W124/X124,0),0))</f>
        <v>0</v>
      </c>
      <c r="Z124" s="10" t="n">
        <f aca="false">IF(A124="","",N124+Y124)</f>
        <v>0</v>
      </c>
      <c r="AA124" s="10" t="n">
        <f aca="false">IF(A124="","",IFERROR(Z124*INDEX(PUA_TABLE!$I$4:$I$105,MATCH(E124,PUA_TABLE!$C$4:$C$105,1))/1000,0))</f>
        <v>0</v>
      </c>
      <c r="AB124" s="10" t="n">
        <f aca="false">IF(A124="","",IFERROR(L124+AA124,0))</f>
        <v>14402.9260830957</v>
      </c>
      <c r="AC124" s="10" t="n">
        <f aca="false">IF(A124="","",IF(Inputs!$B$22="Premium Offset",MIN(Inputs!$B$25,Q124+T124),0))</f>
        <v>0</v>
      </c>
    </row>
    <row r="125" customFormat="false" ht="15" hidden="false" customHeight="false" outlineLevel="0" collapsed="false">
      <c r="A125" s="1" t="n">
        <f aca="false">IF(A124="","",IF(INT((C124+1)/12)+Inputs!$B$7&gt;MAX(MORTALITY!$A:$A),"",Inputs!$B$4))</f>
        <v>34</v>
      </c>
      <c r="B125" s="3" t="n">
        <f aca="false">IF(A125="","",EOMONTH(B124,1))</f>
        <v>25476</v>
      </c>
      <c r="C125" s="1" t="n">
        <f aca="false">IF(A125="","",C124+1)</f>
        <v>123</v>
      </c>
      <c r="D125" s="1" t="n">
        <f aca="false">IF(A125="","",INT(C125/12))</f>
        <v>10</v>
      </c>
      <c r="E125" s="1" t="n">
        <f aca="false">IF(A125="","",D125+Inputs!$B$7)</f>
        <v>26</v>
      </c>
      <c r="F125" s="3" t="n">
        <f aca="false">IF(A125="","",DATE(YEAR(B$2)+D125,MONTH(B$2),DAY(B$2)))</f>
        <v>25359</v>
      </c>
      <c r="G125" s="3" t="n">
        <f aca="false">IF(A125="","",DATE(YEAR(F125)+1,MONTH(F125),DAY(F125)))</f>
        <v>25724</v>
      </c>
      <c r="H125" s="10" t="n">
        <f aca="false">IF(A125="","",IF(G125&gt;F125,(B125-F125)/(G125-F125),0))</f>
        <v>0.320547945205479</v>
      </c>
      <c r="I125" s="10" t="n">
        <f aca="false">IF(A125="","",IFERROR(INDEX(CV_RATES!$I:$I,MATCH(D125,CV_RATES!$C:$C,0)),0))</f>
        <v>280.408835129962</v>
      </c>
      <c r="J125" s="10" t="n">
        <f aca="false">IF(A125="","",IFERROR(IF(E125=MAX(MORTALITY!$A:$A),1000,INDEX(CV_RATES!$J:$J,MATCH(D125,CV_RATES!$C:$C,0))),0))</f>
        <v>312.502347591596</v>
      </c>
      <c r="K125" s="10" t="n">
        <f aca="false">IF(A125="","",IFERROR(I125+H125*(J125-I125),0))</f>
        <v>290.696344603965</v>
      </c>
      <c r="L125" s="10" t="n">
        <f aca="false">IF(A125="","",IFERROR(K125*Inputs!$B$9,0))</f>
        <v>14534.8172301983</v>
      </c>
      <c r="M125" s="10" t="n">
        <f aca="false">IF(A125="","",IFERROR(K125*Inputs!$B$10,0))</f>
        <v>46510.5430476006</v>
      </c>
      <c r="N125" s="10" t="n">
        <f aca="false">IF(A125="","",Z124)</f>
        <v>0</v>
      </c>
      <c r="O125" s="6" t="n">
        <f aca="false">IF(A125="","",Inputs!$B$18+N125)</f>
        <v>50000</v>
      </c>
      <c r="P125" s="5" t="n">
        <f aca="false">IF(A125="","",VLOOKUP(D125,DIvidend_Assumption!$A$3:$CX$103,($E$2+2),0)/12)</f>
        <v>0</v>
      </c>
      <c r="Q125" s="10" t="n">
        <f aca="false">IF(A125="","",IFERROR(AB124*P125,""))</f>
        <v>0</v>
      </c>
      <c r="R125" s="10" t="n">
        <f aca="false">IF(A125="","",IFERROR(IF(Inputs!$B$22="Accumulate",T125+Q125,IF(Inputs!$B$22="Premium Offset",MAX(0,T125+Q125-Inputs!$B$25),T125)),""))</f>
        <v>0</v>
      </c>
      <c r="S125" s="10" t="n">
        <f aca="false">IF(A125="","",R124)</f>
        <v>0</v>
      </c>
      <c r="T125" s="10" t="n">
        <f aca="false">IF(A125="","",IFERROR(S125*(1+Inputs!$B$23/12),""))</f>
        <v>0</v>
      </c>
      <c r="U125" s="6" t="n">
        <f aca="false">IF(A125="","",IF(D125&lt;=Inputs!$B$8,IF(Inputs!$B$22="Premium Offset",MAX(0,Inputs!$B$25-(Q125+T125)),Inputs!$B$25),0))</f>
        <v>77</v>
      </c>
      <c r="V125" s="10" t="n">
        <f aca="false">IF(A125="","",IF(Inputs!$B$22="Cash",Q125,0))</f>
        <v>0</v>
      </c>
      <c r="W125" s="10" t="n">
        <f aca="false">IF(A125="","",IF(Inputs!$B$22="PUA",Q125,0))</f>
        <v>0</v>
      </c>
      <c r="X125" s="12" t="n">
        <f aca="false">IF(A125="","",IFERROR(INDEX(PUA_TABLE!$D$4:$D$105,MATCH(E125,PUA_TABLE!$C$4:$C$105,1)),0))</f>
        <v>0.382044816233324</v>
      </c>
      <c r="Y125" s="10" t="n">
        <f aca="false">IF(A125="","",IF(W125&gt;0,IF(X125&gt;0,W125/X125,0),0))</f>
        <v>0</v>
      </c>
      <c r="Z125" s="10" t="n">
        <f aca="false">IF(A125="","",N125+Y125)</f>
        <v>0</v>
      </c>
      <c r="AA125" s="10" t="n">
        <f aca="false">IF(A125="","",IFERROR(Z125*INDEX(PUA_TABLE!$I$4:$I$105,MATCH(E125,PUA_TABLE!$C$4:$C$105,1))/1000,0))</f>
        <v>0</v>
      </c>
      <c r="AB125" s="10" t="n">
        <f aca="false">IF(A125="","",IFERROR(L125+AA125,0))</f>
        <v>14534.8172301983</v>
      </c>
      <c r="AC125" s="10" t="n">
        <f aca="false">IF(A125="","",IF(Inputs!$B$22="Premium Offset",MIN(Inputs!$B$25,Q125+T125),0))</f>
        <v>0</v>
      </c>
    </row>
    <row r="126" customFormat="false" ht="15" hidden="false" customHeight="false" outlineLevel="0" collapsed="false">
      <c r="A126" s="1" t="n">
        <f aca="false">IF(A125="","",IF(INT((C125+1)/12)+Inputs!$B$7&gt;MAX(MORTALITY!$A:$A),"",Inputs!$B$4))</f>
        <v>34</v>
      </c>
      <c r="B126" s="3" t="n">
        <f aca="false">IF(A126="","",EOMONTH(B125,1))</f>
        <v>25507</v>
      </c>
      <c r="C126" s="1" t="n">
        <f aca="false">IF(A126="","",C125+1)</f>
        <v>124</v>
      </c>
      <c r="D126" s="1" t="n">
        <f aca="false">IF(A126="","",INT(C126/12))</f>
        <v>10</v>
      </c>
      <c r="E126" s="1" t="n">
        <f aca="false">IF(A126="","",D126+Inputs!$B$7)</f>
        <v>26</v>
      </c>
      <c r="F126" s="3" t="n">
        <f aca="false">IF(A126="","",DATE(YEAR(B$2)+D126,MONTH(B$2),DAY(B$2)))</f>
        <v>25359</v>
      </c>
      <c r="G126" s="3" t="n">
        <f aca="false">IF(A126="","",DATE(YEAR(F126)+1,MONTH(F126),DAY(F126)))</f>
        <v>25724</v>
      </c>
      <c r="H126" s="10" t="n">
        <f aca="false">IF(A126="","",IF(G126&gt;F126,(B126-F126)/(G126-F126),0))</f>
        <v>0.405479452054795</v>
      </c>
      <c r="I126" s="10" t="n">
        <f aca="false">IF(A126="","",IFERROR(INDEX(CV_RATES!$I:$I,MATCH(D126,CV_RATES!$C:$C,0)),0))</f>
        <v>280.408835129962</v>
      </c>
      <c r="J126" s="10" t="n">
        <f aca="false">IF(A126="","",IFERROR(IF(E126=MAX(MORTALITY!$A:$A),1000,INDEX(CV_RATES!$J:$J,MATCH(D126,CV_RATES!$C:$C,0))),0))</f>
        <v>312.502347591596</v>
      </c>
      <c r="K126" s="10" t="n">
        <f aca="false">IF(A126="","",IFERROR(I126+H126*(J126-I126),0))</f>
        <v>293.422094977419</v>
      </c>
      <c r="L126" s="10" t="n">
        <f aca="false">IF(A126="","",IFERROR(K126*Inputs!$B$9,0))</f>
        <v>14671.104748871</v>
      </c>
      <c r="M126" s="10" t="n">
        <f aca="false">IF(A126="","",IFERROR(K126*Inputs!$B$10,0))</f>
        <v>46946.6549301021</v>
      </c>
      <c r="N126" s="10" t="n">
        <f aca="false">IF(A126="","",Z125)</f>
        <v>0</v>
      </c>
      <c r="O126" s="6" t="n">
        <f aca="false">IF(A126="","",Inputs!$B$18+N126)</f>
        <v>50000</v>
      </c>
      <c r="P126" s="5" t="n">
        <f aca="false">IF(A126="","",VLOOKUP(D126,DIvidend_Assumption!$A$3:$CX$103,($E$2+2),0)/12)</f>
        <v>0</v>
      </c>
      <c r="Q126" s="10" t="n">
        <f aca="false">IF(A126="","",IFERROR(AB125*P126,""))</f>
        <v>0</v>
      </c>
      <c r="R126" s="10" t="n">
        <f aca="false">IF(A126="","",IFERROR(IF(Inputs!$B$22="Accumulate",T126+Q126,IF(Inputs!$B$22="Premium Offset",MAX(0,T126+Q126-Inputs!$B$25),T126)),""))</f>
        <v>0</v>
      </c>
      <c r="S126" s="10" t="n">
        <f aca="false">IF(A126="","",R125)</f>
        <v>0</v>
      </c>
      <c r="T126" s="10" t="n">
        <f aca="false">IF(A126="","",IFERROR(S126*(1+Inputs!$B$23/12),""))</f>
        <v>0</v>
      </c>
      <c r="U126" s="6" t="n">
        <f aca="false">IF(A126="","",IF(D126&lt;=Inputs!$B$8,IF(Inputs!$B$22="Premium Offset",MAX(0,Inputs!$B$25-(Q126+T126)),Inputs!$B$25),0))</f>
        <v>77</v>
      </c>
      <c r="V126" s="10" t="n">
        <f aca="false">IF(A126="","",IF(Inputs!$B$22="Cash",Q126,0))</f>
        <v>0</v>
      </c>
      <c r="W126" s="10" t="n">
        <f aca="false">IF(A126="","",IF(Inputs!$B$22="PUA",Q126,0))</f>
        <v>0</v>
      </c>
      <c r="X126" s="12" t="n">
        <f aca="false">IF(A126="","",IFERROR(INDEX(PUA_TABLE!$D$4:$D$105,MATCH(E126,PUA_TABLE!$C$4:$C$105,1)),0))</f>
        <v>0.382044816233324</v>
      </c>
      <c r="Y126" s="10" t="n">
        <f aca="false">IF(A126="","",IF(W126&gt;0,IF(X126&gt;0,W126/X126,0),0))</f>
        <v>0</v>
      </c>
      <c r="Z126" s="10" t="n">
        <f aca="false">IF(A126="","",N126+Y126)</f>
        <v>0</v>
      </c>
      <c r="AA126" s="10" t="n">
        <f aca="false">IF(A126="","",IFERROR(Z126*INDEX(PUA_TABLE!$I$4:$I$105,MATCH(E126,PUA_TABLE!$C$4:$C$105,1))/1000,0))</f>
        <v>0</v>
      </c>
      <c r="AB126" s="10" t="n">
        <f aca="false">IF(A126="","",IFERROR(L126+AA126,0))</f>
        <v>14671.104748871</v>
      </c>
      <c r="AC126" s="10" t="n">
        <f aca="false">IF(A126="","",IF(Inputs!$B$22="Premium Offset",MIN(Inputs!$B$25,Q126+T126),0))</f>
        <v>0</v>
      </c>
    </row>
    <row r="127" customFormat="false" ht="15" hidden="false" customHeight="false" outlineLevel="0" collapsed="false">
      <c r="A127" s="1" t="n">
        <f aca="false">IF(A126="","",IF(INT((C126+1)/12)+Inputs!$B$7&gt;MAX(MORTALITY!$A:$A),"",Inputs!$B$4))</f>
        <v>34</v>
      </c>
      <c r="B127" s="3" t="n">
        <f aca="false">IF(A127="","",EOMONTH(B126,1))</f>
        <v>25537</v>
      </c>
      <c r="C127" s="1" t="n">
        <f aca="false">IF(A127="","",C126+1)</f>
        <v>125</v>
      </c>
      <c r="D127" s="1" t="n">
        <f aca="false">IF(A127="","",INT(C127/12))</f>
        <v>10</v>
      </c>
      <c r="E127" s="1" t="n">
        <f aca="false">IF(A127="","",D127+Inputs!$B$7)</f>
        <v>26</v>
      </c>
      <c r="F127" s="3" t="n">
        <f aca="false">IF(A127="","",DATE(YEAR(B$2)+D127,MONTH(B$2),DAY(B$2)))</f>
        <v>25359</v>
      </c>
      <c r="G127" s="3" t="n">
        <f aca="false">IF(A127="","",DATE(YEAR(F127)+1,MONTH(F127),DAY(F127)))</f>
        <v>25724</v>
      </c>
      <c r="H127" s="10" t="n">
        <f aca="false">IF(A127="","",IF(G127&gt;F127,(B127-F127)/(G127-F127),0))</f>
        <v>0.487671232876712</v>
      </c>
      <c r="I127" s="10" t="n">
        <f aca="false">IF(A127="","",IFERROR(INDEX(CV_RATES!$I:$I,MATCH(D127,CV_RATES!$C:$C,0)),0))</f>
        <v>280.408835129962</v>
      </c>
      <c r="J127" s="10" t="n">
        <f aca="false">IF(A127="","",IFERROR(IF(E127=MAX(MORTALITY!$A:$A),1000,INDEX(CV_RATES!$J:$J,MATCH(D127,CV_RATES!$C:$C,0))),0))</f>
        <v>312.502347591596</v>
      </c>
      <c r="K127" s="10" t="n">
        <f aca="false">IF(A127="","",IFERROR(I127+H127*(J127-I127),0))</f>
        <v>296.059917919471</v>
      </c>
      <c r="L127" s="10" t="n">
        <f aca="false">IF(A127="","",IFERROR(K127*Inputs!$B$9,0))</f>
        <v>14802.9958959736</v>
      </c>
      <c r="M127" s="10" t="n">
        <f aca="false">IF(A127="","",IFERROR(K127*Inputs!$B$10,0))</f>
        <v>47368.6986873617</v>
      </c>
      <c r="N127" s="10" t="n">
        <f aca="false">IF(A127="","",Z126)</f>
        <v>0</v>
      </c>
      <c r="O127" s="6" t="n">
        <f aca="false">IF(A127="","",Inputs!$B$18+N127)</f>
        <v>50000</v>
      </c>
      <c r="P127" s="5" t="n">
        <f aca="false">IF(A127="","",VLOOKUP(D127,DIvidend_Assumption!$A$3:$CX$103,($E$2+2),0)/12)</f>
        <v>0</v>
      </c>
      <c r="Q127" s="10" t="n">
        <f aca="false">IF(A127="","",IFERROR(AB126*P127,""))</f>
        <v>0</v>
      </c>
      <c r="R127" s="10" t="n">
        <f aca="false">IF(A127="","",IFERROR(IF(Inputs!$B$22="Accumulate",T127+Q127,IF(Inputs!$B$22="Premium Offset",MAX(0,T127+Q127-Inputs!$B$25),T127)),""))</f>
        <v>0</v>
      </c>
      <c r="S127" s="10" t="n">
        <f aca="false">IF(A127="","",R126)</f>
        <v>0</v>
      </c>
      <c r="T127" s="10" t="n">
        <f aca="false">IF(A127="","",IFERROR(S127*(1+Inputs!$B$23/12),""))</f>
        <v>0</v>
      </c>
      <c r="U127" s="6" t="n">
        <f aca="false">IF(A127="","",IF(D127&lt;=Inputs!$B$8,IF(Inputs!$B$22="Premium Offset",MAX(0,Inputs!$B$25-(Q127+T127)),Inputs!$B$25),0))</f>
        <v>77</v>
      </c>
      <c r="V127" s="10" t="n">
        <f aca="false">IF(A127="","",IF(Inputs!$B$22="Cash",Q127,0))</f>
        <v>0</v>
      </c>
      <c r="W127" s="10" t="n">
        <f aca="false">IF(A127="","",IF(Inputs!$B$22="PUA",Q127,0))</f>
        <v>0</v>
      </c>
      <c r="X127" s="12" t="n">
        <f aca="false">IF(A127="","",IFERROR(INDEX(PUA_TABLE!$D$4:$D$105,MATCH(E127,PUA_TABLE!$C$4:$C$105,1)),0))</f>
        <v>0.382044816233324</v>
      </c>
      <c r="Y127" s="10" t="n">
        <f aca="false">IF(A127="","",IF(W127&gt;0,IF(X127&gt;0,W127/X127,0),0))</f>
        <v>0</v>
      </c>
      <c r="Z127" s="10" t="n">
        <f aca="false">IF(A127="","",N127+Y127)</f>
        <v>0</v>
      </c>
      <c r="AA127" s="10" t="n">
        <f aca="false">IF(A127="","",IFERROR(Z127*INDEX(PUA_TABLE!$I$4:$I$105,MATCH(E127,PUA_TABLE!$C$4:$C$105,1))/1000,0))</f>
        <v>0</v>
      </c>
      <c r="AB127" s="10" t="n">
        <f aca="false">IF(A127="","",IFERROR(L127+AA127,0))</f>
        <v>14802.9958959736</v>
      </c>
      <c r="AC127" s="10" t="n">
        <f aca="false">IF(A127="","",IF(Inputs!$B$22="Premium Offset",MIN(Inputs!$B$25,Q127+T127),0))</f>
        <v>0</v>
      </c>
    </row>
    <row r="128" customFormat="false" ht="15" hidden="false" customHeight="false" outlineLevel="0" collapsed="false">
      <c r="A128" s="1" t="n">
        <f aca="false">IF(A127="","",IF(INT((C127+1)/12)+Inputs!$B$7&gt;MAX(MORTALITY!$A:$A),"",Inputs!$B$4))</f>
        <v>34</v>
      </c>
      <c r="B128" s="3" t="n">
        <f aca="false">IF(A128="","",EOMONTH(B127,1))</f>
        <v>25568</v>
      </c>
      <c r="C128" s="1" t="n">
        <f aca="false">IF(A128="","",C127+1)</f>
        <v>126</v>
      </c>
      <c r="D128" s="1" t="n">
        <f aca="false">IF(A128="","",INT(C128/12))</f>
        <v>10</v>
      </c>
      <c r="E128" s="1" t="n">
        <f aca="false">IF(A128="","",D128+Inputs!$B$7)</f>
        <v>26</v>
      </c>
      <c r="F128" s="3" t="n">
        <f aca="false">IF(A128="","",DATE(YEAR(B$2)+D128,MONTH(B$2),DAY(B$2)))</f>
        <v>25359</v>
      </c>
      <c r="G128" s="3" t="n">
        <f aca="false">IF(A128="","",DATE(YEAR(F128)+1,MONTH(F128),DAY(F128)))</f>
        <v>25724</v>
      </c>
      <c r="H128" s="10" t="n">
        <f aca="false">IF(A128="","",IF(G128&gt;F128,(B128-F128)/(G128-F128),0))</f>
        <v>0.572602739726027</v>
      </c>
      <c r="I128" s="10" t="n">
        <f aca="false">IF(A128="","",IFERROR(INDEX(CV_RATES!$I:$I,MATCH(D128,CV_RATES!$C:$C,0)),0))</f>
        <v>280.408835129962</v>
      </c>
      <c r="J128" s="10" t="n">
        <f aca="false">IF(A128="","",IFERROR(IF(E128=MAX(MORTALITY!$A:$A),1000,INDEX(CV_RATES!$J:$J,MATCH(D128,CV_RATES!$C:$C,0))),0))</f>
        <v>312.502347591596</v>
      </c>
      <c r="K128" s="10" t="n">
        <f aca="false">IF(A128="","",IFERROR(I128+H128*(J128-I128),0))</f>
        <v>298.785668292925</v>
      </c>
      <c r="L128" s="10" t="n">
        <f aca="false">IF(A128="","",IFERROR(K128*Inputs!$B$9,0))</f>
        <v>14939.2834146463</v>
      </c>
      <c r="M128" s="10" t="n">
        <f aca="false">IF(A128="","",IFERROR(K128*Inputs!$B$10,0))</f>
        <v>47804.8105698631</v>
      </c>
      <c r="N128" s="10" t="n">
        <f aca="false">IF(A128="","",Z127)</f>
        <v>0</v>
      </c>
      <c r="O128" s="6" t="n">
        <f aca="false">IF(A128="","",Inputs!$B$18+N128)</f>
        <v>50000</v>
      </c>
      <c r="P128" s="5" t="n">
        <f aca="false">IF(A128="","",VLOOKUP(D128,DIvidend_Assumption!$A$3:$CX$103,($E$2+2),0)/12)</f>
        <v>0</v>
      </c>
      <c r="Q128" s="10" t="n">
        <f aca="false">IF(A128="","",IFERROR(AB127*P128,""))</f>
        <v>0</v>
      </c>
      <c r="R128" s="10" t="n">
        <f aca="false">IF(A128="","",IFERROR(IF(Inputs!$B$22="Accumulate",T128+Q128,IF(Inputs!$B$22="Premium Offset",MAX(0,T128+Q128-Inputs!$B$25),T128)),""))</f>
        <v>0</v>
      </c>
      <c r="S128" s="10" t="n">
        <f aca="false">IF(A128="","",R127)</f>
        <v>0</v>
      </c>
      <c r="T128" s="10" t="n">
        <f aca="false">IF(A128="","",IFERROR(S128*(1+Inputs!$B$23/12),""))</f>
        <v>0</v>
      </c>
      <c r="U128" s="6" t="n">
        <f aca="false">IF(A128="","",IF(D128&lt;=Inputs!$B$8,IF(Inputs!$B$22="Premium Offset",MAX(0,Inputs!$B$25-(Q128+T128)),Inputs!$B$25),0))</f>
        <v>77</v>
      </c>
      <c r="V128" s="10" t="n">
        <f aca="false">IF(A128="","",IF(Inputs!$B$22="Cash",Q128,0))</f>
        <v>0</v>
      </c>
      <c r="W128" s="10" t="n">
        <f aca="false">IF(A128="","",IF(Inputs!$B$22="PUA",Q128,0))</f>
        <v>0</v>
      </c>
      <c r="X128" s="12" t="n">
        <f aca="false">IF(A128="","",IFERROR(INDEX(PUA_TABLE!$D$4:$D$105,MATCH(E128,PUA_TABLE!$C$4:$C$105,1)),0))</f>
        <v>0.382044816233324</v>
      </c>
      <c r="Y128" s="10" t="n">
        <f aca="false">IF(A128="","",IF(W128&gt;0,IF(X128&gt;0,W128/X128,0),0))</f>
        <v>0</v>
      </c>
      <c r="Z128" s="10" t="n">
        <f aca="false">IF(A128="","",N128+Y128)</f>
        <v>0</v>
      </c>
      <c r="AA128" s="10" t="n">
        <f aca="false">IF(A128="","",IFERROR(Z128*INDEX(PUA_TABLE!$I$4:$I$105,MATCH(E128,PUA_TABLE!$C$4:$C$105,1))/1000,0))</f>
        <v>0</v>
      </c>
      <c r="AB128" s="10" t="n">
        <f aca="false">IF(A128="","",IFERROR(L128+AA128,0))</f>
        <v>14939.2834146463</v>
      </c>
      <c r="AC128" s="10" t="n">
        <f aca="false">IF(A128="","",IF(Inputs!$B$22="Premium Offset",MIN(Inputs!$B$25,Q128+T128),0))</f>
        <v>0</v>
      </c>
    </row>
    <row r="129" customFormat="false" ht="15" hidden="false" customHeight="false" outlineLevel="0" collapsed="false">
      <c r="A129" s="1" t="n">
        <f aca="false">IF(A128="","",IF(INT((C128+1)/12)+Inputs!$B$7&gt;MAX(MORTALITY!$A:$A),"",Inputs!$B$4))</f>
        <v>34</v>
      </c>
      <c r="B129" s="3" t="n">
        <f aca="false">IF(A129="","",EOMONTH(B128,1))</f>
        <v>25599</v>
      </c>
      <c r="C129" s="1" t="n">
        <f aca="false">IF(A129="","",C128+1)</f>
        <v>127</v>
      </c>
      <c r="D129" s="1" t="n">
        <f aca="false">IF(A129="","",INT(C129/12))</f>
        <v>10</v>
      </c>
      <c r="E129" s="1" t="n">
        <f aca="false">IF(A129="","",D129+Inputs!$B$7)</f>
        <v>26</v>
      </c>
      <c r="F129" s="3" t="n">
        <f aca="false">IF(A129="","",DATE(YEAR(B$2)+D129,MONTH(B$2),DAY(B$2)))</f>
        <v>25359</v>
      </c>
      <c r="G129" s="3" t="n">
        <f aca="false">IF(A129="","",DATE(YEAR(F129)+1,MONTH(F129),DAY(F129)))</f>
        <v>25724</v>
      </c>
      <c r="H129" s="10" t="n">
        <f aca="false">IF(A129="","",IF(G129&gt;F129,(B129-F129)/(G129-F129),0))</f>
        <v>0.657534246575342</v>
      </c>
      <c r="I129" s="10" t="n">
        <f aca="false">IF(A129="","",IFERROR(INDEX(CV_RATES!$I:$I,MATCH(D129,CV_RATES!$C:$C,0)),0))</f>
        <v>280.408835129962</v>
      </c>
      <c r="J129" s="10" t="n">
        <f aca="false">IF(A129="","",IFERROR(IF(E129=MAX(MORTALITY!$A:$A),1000,INDEX(CV_RATES!$J:$J,MATCH(D129,CV_RATES!$C:$C,0))),0))</f>
        <v>312.502347591596</v>
      </c>
      <c r="K129" s="10" t="n">
        <f aca="false">IF(A129="","",IFERROR(I129+H129*(J129-I129),0))</f>
        <v>301.511418666379</v>
      </c>
      <c r="L129" s="10" t="n">
        <f aca="false">IF(A129="","",IFERROR(K129*Inputs!$B$9,0))</f>
        <v>15075.5709333189</v>
      </c>
      <c r="M129" s="10" t="n">
        <f aca="false">IF(A129="","",IFERROR(K129*Inputs!$B$10,0))</f>
        <v>48240.9224523646</v>
      </c>
      <c r="N129" s="10" t="n">
        <f aca="false">IF(A129="","",Z128)</f>
        <v>0</v>
      </c>
      <c r="O129" s="6" t="n">
        <f aca="false">IF(A129="","",Inputs!$B$18+N129)</f>
        <v>50000</v>
      </c>
      <c r="P129" s="5" t="n">
        <f aca="false">IF(A129="","",VLOOKUP(D129,DIvidend_Assumption!$A$3:$CX$103,($E$2+2),0)/12)</f>
        <v>0</v>
      </c>
      <c r="Q129" s="10" t="n">
        <f aca="false">IF(A129="","",IFERROR(AB128*P129,""))</f>
        <v>0</v>
      </c>
      <c r="R129" s="10" t="n">
        <f aca="false">IF(A129="","",IFERROR(IF(Inputs!$B$22="Accumulate",T129+Q129,IF(Inputs!$B$22="Premium Offset",MAX(0,T129+Q129-Inputs!$B$25),T129)),""))</f>
        <v>0</v>
      </c>
      <c r="S129" s="10" t="n">
        <f aca="false">IF(A129="","",R128)</f>
        <v>0</v>
      </c>
      <c r="T129" s="10" t="n">
        <f aca="false">IF(A129="","",IFERROR(S129*(1+Inputs!$B$23/12),""))</f>
        <v>0</v>
      </c>
      <c r="U129" s="6" t="n">
        <f aca="false">IF(A129="","",IF(D129&lt;=Inputs!$B$8,IF(Inputs!$B$22="Premium Offset",MAX(0,Inputs!$B$25-(Q129+T129)),Inputs!$B$25),0))</f>
        <v>77</v>
      </c>
      <c r="V129" s="10" t="n">
        <f aca="false">IF(A129="","",IF(Inputs!$B$22="Cash",Q129,0))</f>
        <v>0</v>
      </c>
      <c r="W129" s="10" t="n">
        <f aca="false">IF(A129="","",IF(Inputs!$B$22="PUA",Q129,0))</f>
        <v>0</v>
      </c>
      <c r="X129" s="12" t="n">
        <f aca="false">IF(A129="","",IFERROR(INDEX(PUA_TABLE!$D$4:$D$105,MATCH(E129,PUA_TABLE!$C$4:$C$105,1)),0))</f>
        <v>0.382044816233324</v>
      </c>
      <c r="Y129" s="10" t="n">
        <f aca="false">IF(A129="","",IF(W129&gt;0,IF(X129&gt;0,W129/X129,0),0))</f>
        <v>0</v>
      </c>
      <c r="Z129" s="10" t="n">
        <f aca="false">IF(A129="","",N129+Y129)</f>
        <v>0</v>
      </c>
      <c r="AA129" s="10" t="n">
        <f aca="false">IF(A129="","",IFERROR(Z129*INDEX(PUA_TABLE!$I$4:$I$105,MATCH(E129,PUA_TABLE!$C$4:$C$105,1))/1000,0))</f>
        <v>0</v>
      </c>
      <c r="AB129" s="10" t="n">
        <f aca="false">IF(A129="","",IFERROR(L129+AA129,0))</f>
        <v>15075.5709333189</v>
      </c>
      <c r="AC129" s="10" t="n">
        <f aca="false">IF(A129="","",IF(Inputs!$B$22="Premium Offset",MIN(Inputs!$B$25,Q129+T129),0))</f>
        <v>0</v>
      </c>
    </row>
    <row r="130" customFormat="false" ht="15" hidden="false" customHeight="false" outlineLevel="0" collapsed="false">
      <c r="A130" s="1" t="n">
        <f aca="false">IF(A129="","",IF(INT((C129+1)/12)+Inputs!$B$7&gt;MAX(MORTALITY!$A:$A),"",Inputs!$B$4))</f>
        <v>34</v>
      </c>
      <c r="B130" s="3" t="n">
        <f aca="false">IF(A130="","",EOMONTH(B129,1))</f>
        <v>25627</v>
      </c>
      <c r="C130" s="1" t="n">
        <f aca="false">IF(A130="","",C129+1)</f>
        <v>128</v>
      </c>
      <c r="D130" s="1" t="n">
        <f aca="false">IF(A130="","",INT(C130/12))</f>
        <v>10</v>
      </c>
      <c r="E130" s="1" t="n">
        <f aca="false">IF(A130="","",D130+Inputs!$B$7)</f>
        <v>26</v>
      </c>
      <c r="F130" s="3" t="n">
        <f aca="false">IF(A130="","",DATE(YEAR(B$2)+D130,MONTH(B$2),DAY(B$2)))</f>
        <v>25359</v>
      </c>
      <c r="G130" s="3" t="n">
        <f aca="false">IF(A130="","",DATE(YEAR(F130)+1,MONTH(F130),DAY(F130)))</f>
        <v>25724</v>
      </c>
      <c r="H130" s="10" t="n">
        <f aca="false">IF(A130="","",IF(G130&gt;F130,(B130-F130)/(G130-F130),0))</f>
        <v>0.734246575342466</v>
      </c>
      <c r="I130" s="10" t="n">
        <f aca="false">IF(A130="","",IFERROR(INDEX(CV_RATES!$I:$I,MATCH(D130,CV_RATES!$C:$C,0)),0))</f>
        <v>280.408835129962</v>
      </c>
      <c r="J130" s="10" t="n">
        <f aca="false">IF(A130="","",IFERROR(IF(E130=MAX(MORTALITY!$A:$A),1000,INDEX(CV_RATES!$J:$J,MATCH(D130,CV_RATES!$C:$C,0))),0))</f>
        <v>312.502347591596</v>
      </c>
      <c r="K130" s="10" t="n">
        <f aca="false">IF(A130="","",IFERROR(I130+H130*(J130-I130),0))</f>
        <v>303.973386745628</v>
      </c>
      <c r="L130" s="10" t="n">
        <f aca="false">IF(A130="","",IFERROR(K130*Inputs!$B$9,0))</f>
        <v>15198.6693372814</v>
      </c>
      <c r="M130" s="10" t="n">
        <f aca="false">IF(A130="","",IFERROR(K130*Inputs!$B$10,0))</f>
        <v>48634.8299591402</v>
      </c>
      <c r="N130" s="10" t="n">
        <f aca="false">IF(A130="","",Z129)</f>
        <v>0</v>
      </c>
      <c r="O130" s="6" t="n">
        <f aca="false">IF(A130="","",Inputs!$B$18+N130)</f>
        <v>50000</v>
      </c>
      <c r="P130" s="5" t="n">
        <f aca="false">IF(A130="","",VLOOKUP(D130,DIvidend_Assumption!$A$3:$CX$103,($E$2+2),0)/12)</f>
        <v>0</v>
      </c>
      <c r="Q130" s="10" t="n">
        <f aca="false">IF(A130="","",IFERROR(AB129*P130,""))</f>
        <v>0</v>
      </c>
      <c r="R130" s="10" t="n">
        <f aca="false">IF(A130="","",IFERROR(IF(Inputs!$B$22="Accumulate",T130+Q130,IF(Inputs!$B$22="Premium Offset",MAX(0,T130+Q130-Inputs!$B$25),T130)),""))</f>
        <v>0</v>
      </c>
      <c r="S130" s="10" t="n">
        <f aca="false">IF(A130="","",R129)</f>
        <v>0</v>
      </c>
      <c r="T130" s="10" t="n">
        <f aca="false">IF(A130="","",IFERROR(S130*(1+Inputs!$B$23/12),""))</f>
        <v>0</v>
      </c>
      <c r="U130" s="6" t="n">
        <f aca="false">IF(A130="","",IF(D130&lt;=Inputs!$B$8,IF(Inputs!$B$22="Premium Offset",MAX(0,Inputs!$B$25-(Q130+T130)),Inputs!$B$25),0))</f>
        <v>77</v>
      </c>
      <c r="V130" s="10" t="n">
        <f aca="false">IF(A130="","",IF(Inputs!$B$22="Cash",Q130,0))</f>
        <v>0</v>
      </c>
      <c r="W130" s="10" t="n">
        <f aca="false">IF(A130="","",IF(Inputs!$B$22="PUA",Q130,0))</f>
        <v>0</v>
      </c>
      <c r="X130" s="12" t="n">
        <f aca="false">IF(A130="","",IFERROR(INDEX(PUA_TABLE!$D$4:$D$105,MATCH(E130,PUA_TABLE!$C$4:$C$105,1)),0))</f>
        <v>0.382044816233324</v>
      </c>
      <c r="Y130" s="10" t="n">
        <f aca="false">IF(A130="","",IF(W130&gt;0,IF(X130&gt;0,W130/X130,0),0))</f>
        <v>0</v>
      </c>
      <c r="Z130" s="10" t="n">
        <f aca="false">IF(A130="","",N130+Y130)</f>
        <v>0</v>
      </c>
      <c r="AA130" s="10" t="n">
        <f aca="false">IF(A130="","",IFERROR(Z130*INDEX(PUA_TABLE!$I$4:$I$105,MATCH(E130,PUA_TABLE!$C$4:$C$105,1))/1000,0))</f>
        <v>0</v>
      </c>
      <c r="AB130" s="10" t="n">
        <f aca="false">IF(A130="","",IFERROR(L130+AA130,0))</f>
        <v>15198.6693372814</v>
      </c>
      <c r="AC130" s="10" t="n">
        <f aca="false">IF(A130="","",IF(Inputs!$B$22="Premium Offset",MIN(Inputs!$B$25,Q130+T130),0))</f>
        <v>0</v>
      </c>
    </row>
    <row r="131" customFormat="false" ht="15" hidden="false" customHeight="false" outlineLevel="0" collapsed="false">
      <c r="A131" s="1" t="n">
        <f aca="false">IF(A130="","",IF(INT((C130+1)/12)+Inputs!$B$7&gt;MAX(MORTALITY!$A:$A),"",Inputs!$B$4))</f>
        <v>34</v>
      </c>
      <c r="B131" s="3" t="n">
        <f aca="false">IF(A131="","",EOMONTH(B130,1))</f>
        <v>25658</v>
      </c>
      <c r="C131" s="1" t="n">
        <f aca="false">IF(A131="","",C130+1)</f>
        <v>129</v>
      </c>
      <c r="D131" s="1" t="n">
        <f aca="false">IF(A131="","",INT(C131/12))</f>
        <v>10</v>
      </c>
      <c r="E131" s="1" t="n">
        <f aca="false">IF(A131="","",D131+Inputs!$B$7)</f>
        <v>26</v>
      </c>
      <c r="F131" s="3" t="n">
        <f aca="false">IF(A131="","",DATE(YEAR(B$2)+D131,MONTH(B$2),DAY(B$2)))</f>
        <v>25359</v>
      </c>
      <c r="G131" s="3" t="n">
        <f aca="false">IF(A131="","",DATE(YEAR(F131)+1,MONTH(F131),DAY(F131)))</f>
        <v>25724</v>
      </c>
      <c r="H131" s="10" t="n">
        <f aca="false">IF(A131="","",IF(G131&gt;F131,(B131-F131)/(G131-F131),0))</f>
        <v>0.819178082191781</v>
      </c>
      <c r="I131" s="10" t="n">
        <f aca="false">IF(A131="","",IFERROR(INDEX(CV_RATES!$I:$I,MATCH(D131,CV_RATES!$C:$C,0)),0))</f>
        <v>280.408835129962</v>
      </c>
      <c r="J131" s="10" t="n">
        <f aca="false">IF(A131="","",IFERROR(IF(E131=MAX(MORTALITY!$A:$A),1000,INDEX(CV_RATES!$J:$J,MATCH(D131,CV_RATES!$C:$C,0))),0))</f>
        <v>312.502347591596</v>
      </c>
      <c r="K131" s="10" t="n">
        <f aca="false">IF(A131="","",IFERROR(I131+H131*(J131-I131),0))</f>
        <v>306.699137119081</v>
      </c>
      <c r="L131" s="10" t="n">
        <f aca="false">IF(A131="","",IFERROR(K131*Inputs!$B$9,0))</f>
        <v>15334.9568559541</v>
      </c>
      <c r="M131" s="10" t="n">
        <f aca="false">IF(A131="","",IFERROR(K131*Inputs!$B$10,0))</f>
        <v>49070.9418416417</v>
      </c>
      <c r="N131" s="10" t="n">
        <f aca="false">IF(A131="","",Z130)</f>
        <v>0</v>
      </c>
      <c r="O131" s="6" t="n">
        <f aca="false">IF(A131="","",Inputs!$B$18+N131)</f>
        <v>50000</v>
      </c>
      <c r="P131" s="5" t="n">
        <f aca="false">IF(A131="","",VLOOKUP(D131,DIvidend_Assumption!$A$3:$CX$103,($E$2+2),0)/12)</f>
        <v>0</v>
      </c>
      <c r="Q131" s="10" t="n">
        <f aca="false">IF(A131="","",IFERROR(AB130*P131,""))</f>
        <v>0</v>
      </c>
      <c r="R131" s="10" t="n">
        <f aca="false">IF(A131="","",IFERROR(IF(Inputs!$B$22="Accumulate",T131+Q131,IF(Inputs!$B$22="Premium Offset",MAX(0,T131+Q131-Inputs!$B$25),T131)),""))</f>
        <v>0</v>
      </c>
      <c r="S131" s="10" t="n">
        <f aca="false">IF(A131="","",R130)</f>
        <v>0</v>
      </c>
      <c r="T131" s="10" t="n">
        <f aca="false">IF(A131="","",IFERROR(S131*(1+Inputs!$B$23/12),""))</f>
        <v>0</v>
      </c>
      <c r="U131" s="6" t="n">
        <f aca="false">IF(A131="","",IF(D131&lt;=Inputs!$B$8,IF(Inputs!$B$22="Premium Offset",MAX(0,Inputs!$B$25-(Q131+T131)),Inputs!$B$25),0))</f>
        <v>77</v>
      </c>
      <c r="V131" s="10" t="n">
        <f aca="false">IF(A131="","",IF(Inputs!$B$22="Cash",Q131,0))</f>
        <v>0</v>
      </c>
      <c r="W131" s="10" t="n">
        <f aca="false">IF(A131="","",IF(Inputs!$B$22="PUA",Q131,0))</f>
        <v>0</v>
      </c>
      <c r="X131" s="12" t="n">
        <f aca="false">IF(A131="","",IFERROR(INDEX(PUA_TABLE!$D$4:$D$105,MATCH(E131,PUA_TABLE!$C$4:$C$105,1)),0))</f>
        <v>0.382044816233324</v>
      </c>
      <c r="Y131" s="10" t="n">
        <f aca="false">IF(A131="","",IF(W131&gt;0,IF(X131&gt;0,W131/X131,0),0))</f>
        <v>0</v>
      </c>
      <c r="Z131" s="10" t="n">
        <f aca="false">IF(A131="","",N131+Y131)</f>
        <v>0</v>
      </c>
      <c r="AA131" s="10" t="n">
        <f aca="false">IF(A131="","",IFERROR(Z131*INDEX(PUA_TABLE!$I$4:$I$105,MATCH(E131,PUA_TABLE!$C$4:$C$105,1))/1000,0))</f>
        <v>0</v>
      </c>
      <c r="AB131" s="10" t="n">
        <f aca="false">IF(A131="","",IFERROR(L131+AA131,0))</f>
        <v>15334.9568559541</v>
      </c>
      <c r="AC131" s="10" t="n">
        <f aca="false">IF(A131="","",IF(Inputs!$B$22="Premium Offset",MIN(Inputs!$B$25,Q131+T131),0))</f>
        <v>0</v>
      </c>
    </row>
    <row r="132" customFormat="false" ht="15" hidden="false" customHeight="false" outlineLevel="0" collapsed="false">
      <c r="A132" s="1" t="n">
        <f aca="false">IF(A131="","",IF(INT((C131+1)/12)+Inputs!$B$7&gt;MAX(MORTALITY!$A:$A),"",Inputs!$B$4))</f>
        <v>34</v>
      </c>
      <c r="B132" s="3" t="n">
        <f aca="false">IF(A132="","",EOMONTH(B131,1))</f>
        <v>25688</v>
      </c>
      <c r="C132" s="1" t="n">
        <f aca="false">IF(A132="","",C131+1)</f>
        <v>130</v>
      </c>
      <c r="D132" s="1" t="n">
        <f aca="false">IF(A132="","",INT(C132/12))</f>
        <v>10</v>
      </c>
      <c r="E132" s="1" t="n">
        <f aca="false">IF(A132="","",D132+Inputs!$B$7)</f>
        <v>26</v>
      </c>
      <c r="F132" s="3" t="n">
        <f aca="false">IF(A132="","",DATE(YEAR(B$2)+D132,MONTH(B$2),DAY(B$2)))</f>
        <v>25359</v>
      </c>
      <c r="G132" s="3" t="n">
        <f aca="false">IF(A132="","",DATE(YEAR(F132)+1,MONTH(F132),DAY(F132)))</f>
        <v>25724</v>
      </c>
      <c r="H132" s="10" t="n">
        <f aca="false">IF(A132="","",IF(G132&gt;F132,(B132-F132)/(G132-F132),0))</f>
        <v>0.901369863013699</v>
      </c>
      <c r="I132" s="10" t="n">
        <f aca="false">IF(A132="","",IFERROR(INDEX(CV_RATES!$I:$I,MATCH(D132,CV_RATES!$C:$C,0)),0))</f>
        <v>280.408835129962</v>
      </c>
      <c r="J132" s="10" t="n">
        <f aca="false">IF(A132="","",IFERROR(IF(E132=MAX(MORTALITY!$A:$A),1000,INDEX(CV_RATES!$J:$J,MATCH(D132,CV_RATES!$C:$C,0))),0))</f>
        <v>312.502347591596</v>
      </c>
      <c r="K132" s="10" t="n">
        <f aca="false">IF(A132="","",IFERROR(I132+H132*(J132-I132),0))</f>
        <v>309.336960061134</v>
      </c>
      <c r="L132" s="10" t="n">
        <f aca="false">IF(A132="","",IFERROR(K132*Inputs!$B$9,0))</f>
        <v>15466.8480030567</v>
      </c>
      <c r="M132" s="10" t="n">
        <f aca="false">IF(A132="","",IFERROR(K132*Inputs!$B$10,0))</f>
        <v>49492.9855989012</v>
      </c>
      <c r="N132" s="10" t="n">
        <f aca="false">IF(A132="","",Z131)</f>
        <v>0</v>
      </c>
      <c r="O132" s="6" t="n">
        <f aca="false">IF(A132="","",Inputs!$B$18+N132)</f>
        <v>50000</v>
      </c>
      <c r="P132" s="5" t="n">
        <f aca="false">IF(A132="","",VLOOKUP(D132,DIvidend_Assumption!$A$3:$CX$103,($E$2+2),0)/12)</f>
        <v>0</v>
      </c>
      <c r="Q132" s="10" t="n">
        <f aca="false">IF(A132="","",IFERROR(AB131*P132,""))</f>
        <v>0</v>
      </c>
      <c r="R132" s="10" t="n">
        <f aca="false">IF(A132="","",IFERROR(IF(Inputs!$B$22="Accumulate",T132+Q132,IF(Inputs!$B$22="Premium Offset",MAX(0,T132+Q132-Inputs!$B$25),T132)),""))</f>
        <v>0</v>
      </c>
      <c r="S132" s="10" t="n">
        <f aca="false">IF(A132="","",R131)</f>
        <v>0</v>
      </c>
      <c r="T132" s="10" t="n">
        <f aca="false">IF(A132="","",IFERROR(S132*(1+Inputs!$B$23/12),""))</f>
        <v>0</v>
      </c>
      <c r="U132" s="6" t="n">
        <f aca="false">IF(A132="","",IF(D132&lt;=Inputs!$B$8,IF(Inputs!$B$22="Premium Offset",MAX(0,Inputs!$B$25-(Q132+T132)),Inputs!$B$25),0))</f>
        <v>77</v>
      </c>
      <c r="V132" s="10" t="n">
        <f aca="false">IF(A132="","",IF(Inputs!$B$22="Cash",Q132,0))</f>
        <v>0</v>
      </c>
      <c r="W132" s="10" t="n">
        <f aca="false">IF(A132="","",IF(Inputs!$B$22="PUA",Q132,0))</f>
        <v>0</v>
      </c>
      <c r="X132" s="12" t="n">
        <f aca="false">IF(A132="","",IFERROR(INDEX(PUA_TABLE!$D$4:$D$105,MATCH(E132,PUA_TABLE!$C$4:$C$105,1)),0))</f>
        <v>0.382044816233324</v>
      </c>
      <c r="Y132" s="10" t="n">
        <f aca="false">IF(A132="","",IF(W132&gt;0,IF(X132&gt;0,W132/X132,0),0))</f>
        <v>0</v>
      </c>
      <c r="Z132" s="10" t="n">
        <f aca="false">IF(A132="","",N132+Y132)</f>
        <v>0</v>
      </c>
      <c r="AA132" s="10" t="n">
        <f aca="false">IF(A132="","",IFERROR(Z132*INDEX(PUA_TABLE!$I$4:$I$105,MATCH(E132,PUA_TABLE!$C$4:$C$105,1))/1000,0))</f>
        <v>0</v>
      </c>
      <c r="AB132" s="10" t="n">
        <f aca="false">IF(A132="","",IFERROR(L132+AA132,0))</f>
        <v>15466.8480030567</v>
      </c>
      <c r="AC132" s="10" t="n">
        <f aca="false">IF(A132="","",IF(Inputs!$B$22="Premium Offset",MIN(Inputs!$B$25,Q132+T132),0))</f>
        <v>0</v>
      </c>
    </row>
    <row r="133" customFormat="false" ht="15" hidden="false" customHeight="false" outlineLevel="0" collapsed="false">
      <c r="A133" s="1" t="n">
        <f aca="false">IF(A132="","",IF(INT((C132+1)/12)+Inputs!$B$7&gt;MAX(MORTALITY!$A:$A),"",Inputs!$B$4))</f>
        <v>34</v>
      </c>
      <c r="B133" s="3" t="n">
        <f aca="false">IF(A133="","",EOMONTH(B132,1))</f>
        <v>25719</v>
      </c>
      <c r="C133" s="1" t="n">
        <f aca="false">IF(A133="","",C132+1)</f>
        <v>131</v>
      </c>
      <c r="D133" s="1" t="n">
        <f aca="false">IF(A133="","",INT(C133/12))</f>
        <v>10</v>
      </c>
      <c r="E133" s="1" t="n">
        <f aca="false">IF(A133="","",D133+Inputs!$B$7)</f>
        <v>26</v>
      </c>
      <c r="F133" s="3" t="n">
        <f aca="false">IF(A133="","",DATE(YEAR(B$2)+D133,MONTH(B$2),DAY(B$2)))</f>
        <v>25359</v>
      </c>
      <c r="G133" s="3" t="n">
        <f aca="false">IF(A133="","",DATE(YEAR(F133)+1,MONTH(F133),DAY(F133)))</f>
        <v>25724</v>
      </c>
      <c r="H133" s="10" t="n">
        <f aca="false">IF(A133="","",IF(G133&gt;F133,(B133-F133)/(G133-F133),0))</f>
        <v>0.986301369863014</v>
      </c>
      <c r="I133" s="10" t="n">
        <f aca="false">IF(A133="","",IFERROR(INDEX(CV_RATES!$I:$I,MATCH(D133,CV_RATES!$C:$C,0)),0))</f>
        <v>280.408835129962</v>
      </c>
      <c r="J133" s="10" t="n">
        <f aca="false">IF(A133="","",IFERROR(IF(E133=MAX(MORTALITY!$A:$A),1000,INDEX(CV_RATES!$J:$J,MATCH(D133,CV_RATES!$C:$C,0))),0))</f>
        <v>312.502347591596</v>
      </c>
      <c r="K133" s="10" t="n">
        <f aca="false">IF(A133="","",IFERROR(I133+H133*(J133-I133),0))</f>
        <v>312.062710434587</v>
      </c>
      <c r="L133" s="10" t="n">
        <f aca="false">IF(A133="","",IFERROR(K133*Inputs!$B$9,0))</f>
        <v>15603.1355217294</v>
      </c>
      <c r="M133" s="10" t="n">
        <f aca="false">IF(A133="","",IFERROR(K133*Inputs!$B$10,0))</f>
        <v>49929.0974814027</v>
      </c>
      <c r="N133" s="10" t="n">
        <f aca="false">IF(A133="","",Z132)</f>
        <v>0</v>
      </c>
      <c r="O133" s="6" t="n">
        <f aca="false">IF(A133="","",Inputs!$B$18+N133)</f>
        <v>50000</v>
      </c>
      <c r="P133" s="5" t="n">
        <f aca="false">IF(A133="","",VLOOKUP(D133,DIvidend_Assumption!$A$3:$CX$103,($E$2+2),0)/12)</f>
        <v>0</v>
      </c>
      <c r="Q133" s="10" t="n">
        <f aca="false">IF(A133="","",IFERROR(AB132*P133,""))</f>
        <v>0</v>
      </c>
      <c r="R133" s="10" t="n">
        <f aca="false">IF(A133="","",IFERROR(IF(Inputs!$B$22="Accumulate",T133+Q133,IF(Inputs!$B$22="Premium Offset",MAX(0,T133+Q133-Inputs!$B$25),T133)),""))</f>
        <v>0</v>
      </c>
      <c r="S133" s="10" t="n">
        <f aca="false">IF(A133="","",R132)</f>
        <v>0</v>
      </c>
      <c r="T133" s="10" t="n">
        <f aca="false">IF(A133="","",IFERROR(S133*(1+Inputs!$B$23/12),""))</f>
        <v>0</v>
      </c>
      <c r="U133" s="6" t="n">
        <f aca="false">IF(A133="","",IF(D133&lt;=Inputs!$B$8,IF(Inputs!$B$22="Premium Offset",MAX(0,Inputs!$B$25-(Q133+T133)),Inputs!$B$25),0))</f>
        <v>77</v>
      </c>
      <c r="V133" s="10" t="n">
        <f aca="false">IF(A133="","",IF(Inputs!$B$22="Cash",Q133,0))</f>
        <v>0</v>
      </c>
      <c r="W133" s="10" t="n">
        <f aca="false">IF(A133="","",IF(Inputs!$B$22="PUA",Q133,0))</f>
        <v>0</v>
      </c>
      <c r="X133" s="12" t="n">
        <f aca="false">IF(A133="","",IFERROR(INDEX(PUA_TABLE!$D$4:$D$105,MATCH(E133,PUA_TABLE!$C$4:$C$105,1)),0))</f>
        <v>0.382044816233324</v>
      </c>
      <c r="Y133" s="10" t="n">
        <f aca="false">IF(A133="","",IF(W133&gt;0,IF(X133&gt;0,W133/X133,0),0))</f>
        <v>0</v>
      </c>
      <c r="Z133" s="10" t="n">
        <f aca="false">IF(A133="","",N133+Y133)</f>
        <v>0</v>
      </c>
      <c r="AA133" s="10" t="n">
        <f aca="false">IF(A133="","",IFERROR(Z133*INDEX(PUA_TABLE!$I$4:$I$105,MATCH(E133,PUA_TABLE!$C$4:$C$105,1))/1000,0))</f>
        <v>0</v>
      </c>
      <c r="AB133" s="10" t="n">
        <f aca="false">IF(A133="","",IFERROR(L133+AA133,0))</f>
        <v>15603.1355217294</v>
      </c>
      <c r="AC133" s="10" t="n">
        <f aca="false">IF(A133="","",IF(Inputs!$B$22="Premium Offset",MIN(Inputs!$B$25,Q133+T133),0))</f>
        <v>0</v>
      </c>
    </row>
    <row r="134" customFormat="false" ht="15" hidden="false" customHeight="false" outlineLevel="0" collapsed="false">
      <c r="A134" s="1" t="n">
        <f aca="false">IF(A133="","",IF(INT((C133+1)/12)+Inputs!$B$7&gt;MAX(MORTALITY!$A:$A),"",Inputs!$B$4))</f>
        <v>34</v>
      </c>
      <c r="B134" s="3" t="n">
        <f aca="false">IF(A134="","",EOMONTH(B133,1))</f>
        <v>25749</v>
      </c>
      <c r="C134" s="1" t="n">
        <f aca="false">IF(A134="","",C133+1)</f>
        <v>132</v>
      </c>
      <c r="D134" s="1" t="n">
        <f aca="false">IF(A134="","",INT(C134/12))</f>
        <v>11</v>
      </c>
      <c r="E134" s="1" t="n">
        <f aca="false">IF(A134="","",D134+Inputs!$B$7)</f>
        <v>27</v>
      </c>
      <c r="F134" s="3" t="n">
        <f aca="false">IF(A134="","",DATE(YEAR(B$2)+D134,MONTH(B$2),DAY(B$2)))</f>
        <v>25724</v>
      </c>
      <c r="G134" s="3" t="n">
        <f aca="false">IF(A134="","",DATE(YEAR(F134)+1,MONTH(F134),DAY(F134)))</f>
        <v>26089</v>
      </c>
      <c r="H134" s="10" t="n">
        <f aca="false">IF(A134="","",IF(G134&gt;F134,(B134-F134)/(G134-F134),0))</f>
        <v>0.0684931506849315</v>
      </c>
      <c r="I134" s="10" t="n">
        <f aca="false">IF(A134="","",IFERROR(INDEX(CV_RATES!$I:$I,MATCH(D134,CV_RATES!$C:$C,0)),0))</f>
        <v>312.502347591596</v>
      </c>
      <c r="J134" s="10" t="n">
        <f aca="false">IF(A134="","",IFERROR(IF(E134=MAX(MORTALITY!$A:$A),1000,INDEX(CV_RATES!$J:$J,MATCH(D134,CV_RATES!$C:$C,0))),0))</f>
        <v>345.418066030828</v>
      </c>
      <c r="K134" s="10" t="n">
        <f aca="false">IF(A134="","",IFERROR(I134+H134*(J134-I134),0))</f>
        <v>314.756848854557</v>
      </c>
      <c r="L134" s="10" t="n">
        <f aca="false">IF(A134="","",IFERROR(K134*Inputs!$B$9,0))</f>
        <v>15737.8424427279</v>
      </c>
      <c r="M134" s="10" t="n">
        <f aca="false">IF(A134="","",IFERROR(K134*Inputs!$B$10,0))</f>
        <v>50360.1515461826</v>
      </c>
      <c r="N134" s="10" t="n">
        <f aca="false">IF(A134="","",Z133)</f>
        <v>0</v>
      </c>
      <c r="O134" s="6" t="n">
        <f aca="false">IF(A134="","",Inputs!$B$18+N134)</f>
        <v>50000</v>
      </c>
      <c r="P134" s="5" t="n">
        <f aca="false">IF(A134="","",VLOOKUP(D134,DIvidend_Assumption!$A$3:$CX$103,($E$2+2),0)/12)</f>
        <v>0</v>
      </c>
      <c r="Q134" s="10" t="n">
        <f aca="false">IF(A134="","",IFERROR(AB133*P134,""))</f>
        <v>0</v>
      </c>
      <c r="R134" s="10" t="n">
        <f aca="false">IF(A134="","",IFERROR(IF(Inputs!$B$22="Accumulate",T134+Q134,IF(Inputs!$B$22="Premium Offset",MAX(0,T134+Q134-Inputs!$B$25),T134)),""))</f>
        <v>0</v>
      </c>
      <c r="S134" s="10" t="n">
        <f aca="false">IF(A134="","",R133)</f>
        <v>0</v>
      </c>
      <c r="T134" s="10" t="n">
        <f aca="false">IF(A134="","",IFERROR(S134*(1+Inputs!$B$23/12),""))</f>
        <v>0</v>
      </c>
      <c r="U134" s="6" t="n">
        <f aca="false">IF(A134="","",IF(D134&lt;=Inputs!$B$8,IF(Inputs!$B$22="Premium Offset",MAX(0,Inputs!$B$25-(Q134+T134)),Inputs!$B$25),0))</f>
        <v>77</v>
      </c>
      <c r="V134" s="10" t="n">
        <f aca="false">IF(A134="","",IF(Inputs!$B$22="Cash",Q134,0))</f>
        <v>0</v>
      </c>
      <c r="W134" s="10" t="n">
        <f aca="false">IF(A134="","",IF(Inputs!$B$22="PUA",Q134,0))</f>
        <v>0</v>
      </c>
      <c r="X134" s="12" t="n">
        <f aca="false">IF(A134="","",IFERROR(INDEX(PUA_TABLE!$D$4:$D$105,MATCH(E134,PUA_TABLE!$C$4:$C$105,1)),0))</f>
        <v>0.389771352984581</v>
      </c>
      <c r="Y134" s="10" t="n">
        <f aca="false">IF(A134="","",IF(W134&gt;0,IF(X134&gt;0,W134/X134,0),0))</f>
        <v>0</v>
      </c>
      <c r="Z134" s="10" t="n">
        <f aca="false">IF(A134="","",N134+Y134)</f>
        <v>0</v>
      </c>
      <c r="AA134" s="10" t="n">
        <f aca="false">IF(A134="","",IFERROR(Z134*INDEX(PUA_TABLE!$I$4:$I$105,MATCH(E134,PUA_TABLE!$C$4:$C$105,1))/1000,0))</f>
        <v>0</v>
      </c>
      <c r="AB134" s="10" t="n">
        <f aca="false">IF(A134="","",IFERROR(L134+AA134,0))</f>
        <v>15737.8424427279</v>
      </c>
      <c r="AC134" s="10" t="n">
        <f aca="false">IF(A134="","",IF(Inputs!$B$22="Premium Offset",MIN(Inputs!$B$25,Q134+T134),0))</f>
        <v>0</v>
      </c>
    </row>
    <row r="135" customFormat="false" ht="15" hidden="false" customHeight="false" outlineLevel="0" collapsed="false">
      <c r="A135" s="1" t="n">
        <f aca="false">IF(A134="","",IF(INT((C134+1)/12)+Inputs!$B$7&gt;MAX(MORTALITY!$A:$A),"",Inputs!$B$4))</f>
        <v>34</v>
      </c>
      <c r="B135" s="3" t="n">
        <f aca="false">IF(A135="","",EOMONTH(B134,1))</f>
        <v>25780</v>
      </c>
      <c r="C135" s="1" t="n">
        <f aca="false">IF(A135="","",C134+1)</f>
        <v>133</v>
      </c>
      <c r="D135" s="1" t="n">
        <f aca="false">IF(A135="","",INT(C135/12))</f>
        <v>11</v>
      </c>
      <c r="E135" s="1" t="n">
        <f aca="false">IF(A135="","",D135+Inputs!$B$7)</f>
        <v>27</v>
      </c>
      <c r="F135" s="3" t="n">
        <f aca="false">IF(A135="","",DATE(YEAR(B$2)+D135,MONTH(B$2),DAY(B$2)))</f>
        <v>25724</v>
      </c>
      <c r="G135" s="3" t="n">
        <f aca="false">IF(A135="","",DATE(YEAR(F135)+1,MONTH(F135),DAY(F135)))</f>
        <v>26089</v>
      </c>
      <c r="H135" s="10" t="n">
        <f aca="false">IF(A135="","",IF(G135&gt;F135,(B135-F135)/(G135-F135),0))</f>
        <v>0.153424657534247</v>
      </c>
      <c r="I135" s="10" t="n">
        <f aca="false">IF(A135="","",IFERROR(INDEX(CV_RATES!$I:$I,MATCH(D135,CV_RATES!$C:$C,0)),0))</f>
        <v>312.502347591596</v>
      </c>
      <c r="J135" s="10" t="n">
        <f aca="false">IF(A135="","",IFERROR(IF(E135=MAX(MORTALITY!$A:$A),1000,INDEX(CV_RATES!$J:$J,MATCH(D135,CV_RATES!$C:$C,0))),0))</f>
        <v>345.418066030828</v>
      </c>
      <c r="K135" s="10" t="n">
        <f aca="false">IF(A135="","",IFERROR(I135+H135*(J135-I135),0))</f>
        <v>317.552430420629</v>
      </c>
      <c r="L135" s="10" t="n">
        <f aca="false">IF(A135="","",IFERROR(K135*Inputs!$B$9,0))</f>
        <v>15877.6215210314</v>
      </c>
      <c r="M135" s="10" t="n">
        <f aca="false">IF(A135="","",IFERROR(K135*Inputs!$B$10,0))</f>
        <v>50807.4362100094</v>
      </c>
      <c r="N135" s="10" t="n">
        <f aca="false">IF(A135="","",Z134)</f>
        <v>0</v>
      </c>
      <c r="O135" s="6" t="n">
        <f aca="false">IF(A135="","",Inputs!$B$18+N135)</f>
        <v>50000</v>
      </c>
      <c r="P135" s="5" t="n">
        <f aca="false">IF(A135="","",VLOOKUP(D135,DIvidend_Assumption!$A$3:$CX$103,($E$2+2),0)/12)</f>
        <v>0</v>
      </c>
      <c r="Q135" s="10" t="n">
        <f aca="false">IF(A135="","",IFERROR(AB134*P135,""))</f>
        <v>0</v>
      </c>
      <c r="R135" s="10" t="n">
        <f aca="false">IF(A135="","",IFERROR(IF(Inputs!$B$22="Accumulate",T135+Q135,IF(Inputs!$B$22="Premium Offset",MAX(0,T135+Q135-Inputs!$B$25),T135)),""))</f>
        <v>0</v>
      </c>
      <c r="S135" s="10" t="n">
        <f aca="false">IF(A135="","",R134)</f>
        <v>0</v>
      </c>
      <c r="T135" s="10" t="n">
        <f aca="false">IF(A135="","",IFERROR(S135*(1+Inputs!$B$23/12),""))</f>
        <v>0</v>
      </c>
      <c r="U135" s="6" t="n">
        <f aca="false">IF(A135="","",IF(D135&lt;=Inputs!$B$8,IF(Inputs!$B$22="Premium Offset",MAX(0,Inputs!$B$25-(Q135+T135)),Inputs!$B$25),0))</f>
        <v>77</v>
      </c>
      <c r="V135" s="10" t="n">
        <f aca="false">IF(A135="","",IF(Inputs!$B$22="Cash",Q135,0))</f>
        <v>0</v>
      </c>
      <c r="W135" s="10" t="n">
        <f aca="false">IF(A135="","",IF(Inputs!$B$22="PUA",Q135,0))</f>
        <v>0</v>
      </c>
      <c r="X135" s="12" t="n">
        <f aca="false">IF(A135="","",IFERROR(INDEX(PUA_TABLE!$D$4:$D$105,MATCH(E135,PUA_TABLE!$C$4:$C$105,1)),0))</f>
        <v>0.389771352984581</v>
      </c>
      <c r="Y135" s="10" t="n">
        <f aca="false">IF(A135="","",IF(W135&gt;0,IF(X135&gt;0,W135/X135,0),0))</f>
        <v>0</v>
      </c>
      <c r="Z135" s="10" t="n">
        <f aca="false">IF(A135="","",N135+Y135)</f>
        <v>0</v>
      </c>
      <c r="AA135" s="10" t="n">
        <f aca="false">IF(A135="","",IFERROR(Z135*INDEX(PUA_TABLE!$I$4:$I$105,MATCH(E135,PUA_TABLE!$C$4:$C$105,1))/1000,0))</f>
        <v>0</v>
      </c>
      <c r="AB135" s="10" t="n">
        <f aca="false">IF(A135="","",IFERROR(L135+AA135,0))</f>
        <v>15877.6215210314</v>
      </c>
      <c r="AC135" s="10" t="n">
        <f aca="false">IF(A135="","",IF(Inputs!$B$22="Premium Offset",MIN(Inputs!$B$25,Q135+T135),0))</f>
        <v>0</v>
      </c>
    </row>
    <row r="136" customFormat="false" ht="15" hidden="false" customHeight="false" outlineLevel="0" collapsed="false">
      <c r="A136" s="1" t="n">
        <f aca="false">IF(A135="","",IF(INT((C135+1)/12)+Inputs!$B$7&gt;MAX(MORTALITY!$A:$A),"",Inputs!$B$4))</f>
        <v>34</v>
      </c>
      <c r="B136" s="3" t="n">
        <f aca="false">IF(A136="","",EOMONTH(B135,1))</f>
        <v>25811</v>
      </c>
      <c r="C136" s="1" t="n">
        <f aca="false">IF(A136="","",C135+1)</f>
        <v>134</v>
      </c>
      <c r="D136" s="1" t="n">
        <f aca="false">IF(A136="","",INT(C136/12))</f>
        <v>11</v>
      </c>
      <c r="E136" s="1" t="n">
        <f aca="false">IF(A136="","",D136+Inputs!$B$7)</f>
        <v>27</v>
      </c>
      <c r="F136" s="3" t="n">
        <f aca="false">IF(A136="","",DATE(YEAR(B$2)+D136,MONTH(B$2),DAY(B$2)))</f>
        <v>25724</v>
      </c>
      <c r="G136" s="3" t="n">
        <f aca="false">IF(A136="","",DATE(YEAR(F136)+1,MONTH(F136),DAY(F136)))</f>
        <v>26089</v>
      </c>
      <c r="H136" s="10" t="n">
        <f aca="false">IF(A136="","",IF(G136&gt;F136,(B136-F136)/(G136-F136),0))</f>
        <v>0.238356164383562</v>
      </c>
      <c r="I136" s="10" t="n">
        <f aca="false">IF(A136="","",IFERROR(INDEX(CV_RATES!$I:$I,MATCH(D136,CV_RATES!$C:$C,0)),0))</f>
        <v>312.502347591596</v>
      </c>
      <c r="J136" s="10" t="n">
        <f aca="false">IF(A136="","",IFERROR(IF(E136=MAX(MORTALITY!$A:$A),1000,INDEX(CV_RATES!$J:$J,MATCH(D136,CV_RATES!$C:$C,0))),0))</f>
        <v>345.418066030828</v>
      </c>
      <c r="K136" s="10" t="n">
        <f aca="false">IF(A136="","",IFERROR(I136+H136*(J136-I136),0))</f>
        <v>320.348011986701</v>
      </c>
      <c r="L136" s="10" t="n">
        <f aca="false">IF(A136="","",IFERROR(K136*Inputs!$B$9,0))</f>
        <v>16017.400599335</v>
      </c>
      <c r="M136" s="10" t="n">
        <f aca="false">IF(A136="","",IFERROR(K136*Inputs!$B$10,0))</f>
        <v>51254.7208738361</v>
      </c>
      <c r="N136" s="10" t="n">
        <f aca="false">IF(A136="","",Z135)</f>
        <v>0</v>
      </c>
      <c r="O136" s="6" t="n">
        <f aca="false">IF(A136="","",Inputs!$B$18+N136)</f>
        <v>50000</v>
      </c>
      <c r="P136" s="5" t="n">
        <f aca="false">IF(A136="","",VLOOKUP(D136,DIvidend_Assumption!$A$3:$CX$103,($E$2+2),0)/12)</f>
        <v>0</v>
      </c>
      <c r="Q136" s="10" t="n">
        <f aca="false">IF(A136="","",IFERROR(AB135*P136,""))</f>
        <v>0</v>
      </c>
      <c r="R136" s="10" t="n">
        <f aca="false">IF(A136="","",IFERROR(IF(Inputs!$B$22="Accumulate",T136+Q136,IF(Inputs!$B$22="Premium Offset",MAX(0,T136+Q136-Inputs!$B$25),T136)),""))</f>
        <v>0</v>
      </c>
      <c r="S136" s="10" t="n">
        <f aca="false">IF(A136="","",R135)</f>
        <v>0</v>
      </c>
      <c r="T136" s="10" t="n">
        <f aca="false">IF(A136="","",IFERROR(S136*(1+Inputs!$B$23/12),""))</f>
        <v>0</v>
      </c>
      <c r="U136" s="6" t="n">
        <f aca="false">IF(A136="","",IF(D136&lt;=Inputs!$B$8,IF(Inputs!$B$22="Premium Offset",MAX(0,Inputs!$B$25-(Q136+T136)),Inputs!$B$25),0))</f>
        <v>77</v>
      </c>
      <c r="V136" s="10" t="n">
        <f aca="false">IF(A136="","",IF(Inputs!$B$22="Cash",Q136,0))</f>
        <v>0</v>
      </c>
      <c r="W136" s="10" t="n">
        <f aca="false">IF(A136="","",IF(Inputs!$B$22="PUA",Q136,0))</f>
        <v>0</v>
      </c>
      <c r="X136" s="12" t="n">
        <f aca="false">IF(A136="","",IFERROR(INDEX(PUA_TABLE!$D$4:$D$105,MATCH(E136,PUA_TABLE!$C$4:$C$105,1)),0))</f>
        <v>0.389771352984581</v>
      </c>
      <c r="Y136" s="10" t="n">
        <f aca="false">IF(A136="","",IF(W136&gt;0,IF(X136&gt;0,W136/X136,0),0))</f>
        <v>0</v>
      </c>
      <c r="Z136" s="10" t="n">
        <f aca="false">IF(A136="","",N136+Y136)</f>
        <v>0</v>
      </c>
      <c r="AA136" s="10" t="n">
        <f aca="false">IF(A136="","",IFERROR(Z136*INDEX(PUA_TABLE!$I$4:$I$105,MATCH(E136,PUA_TABLE!$C$4:$C$105,1))/1000,0))</f>
        <v>0</v>
      </c>
      <c r="AB136" s="10" t="n">
        <f aca="false">IF(A136="","",IFERROR(L136+AA136,0))</f>
        <v>16017.400599335</v>
      </c>
      <c r="AC136" s="10" t="n">
        <f aca="false">IF(A136="","",IF(Inputs!$B$22="Premium Offset",MIN(Inputs!$B$25,Q136+T136),0))</f>
        <v>0</v>
      </c>
    </row>
    <row r="137" customFormat="false" ht="15" hidden="false" customHeight="false" outlineLevel="0" collapsed="false">
      <c r="A137" s="1" t="n">
        <f aca="false">IF(A136="","",IF(INT((C136+1)/12)+Inputs!$B$7&gt;MAX(MORTALITY!$A:$A),"",Inputs!$B$4))</f>
        <v>34</v>
      </c>
      <c r="B137" s="3" t="n">
        <f aca="false">IF(A137="","",EOMONTH(B136,1))</f>
        <v>25841</v>
      </c>
      <c r="C137" s="1" t="n">
        <f aca="false">IF(A137="","",C136+1)</f>
        <v>135</v>
      </c>
      <c r="D137" s="1" t="n">
        <f aca="false">IF(A137="","",INT(C137/12))</f>
        <v>11</v>
      </c>
      <c r="E137" s="1" t="n">
        <f aca="false">IF(A137="","",D137+Inputs!$B$7)</f>
        <v>27</v>
      </c>
      <c r="F137" s="3" t="n">
        <f aca="false">IF(A137="","",DATE(YEAR(B$2)+D137,MONTH(B$2),DAY(B$2)))</f>
        <v>25724</v>
      </c>
      <c r="G137" s="3" t="n">
        <f aca="false">IF(A137="","",DATE(YEAR(F137)+1,MONTH(F137),DAY(F137)))</f>
        <v>26089</v>
      </c>
      <c r="H137" s="10" t="n">
        <f aca="false">IF(A137="","",IF(G137&gt;F137,(B137-F137)/(G137-F137),0))</f>
        <v>0.320547945205479</v>
      </c>
      <c r="I137" s="10" t="n">
        <f aca="false">IF(A137="","",IFERROR(INDEX(CV_RATES!$I:$I,MATCH(D137,CV_RATES!$C:$C,0)),0))</f>
        <v>312.502347591596</v>
      </c>
      <c r="J137" s="10" t="n">
        <f aca="false">IF(A137="","",IFERROR(IF(E137=MAX(MORTALITY!$A:$A),1000,INDEX(CV_RATES!$J:$J,MATCH(D137,CV_RATES!$C:$C,0))),0))</f>
        <v>345.418066030828</v>
      </c>
      <c r="K137" s="10" t="n">
        <f aca="false">IF(A137="","",IFERROR(I137+H137*(J137-I137),0))</f>
        <v>323.053413502254</v>
      </c>
      <c r="L137" s="10" t="n">
        <f aca="false">IF(A137="","",IFERROR(K137*Inputs!$B$9,0))</f>
        <v>16152.6706751127</v>
      </c>
      <c r="M137" s="10" t="n">
        <f aca="false">IF(A137="","",IFERROR(K137*Inputs!$B$10,0))</f>
        <v>51687.5770001201</v>
      </c>
      <c r="N137" s="10" t="n">
        <f aca="false">IF(A137="","",Z136)</f>
        <v>0</v>
      </c>
      <c r="O137" s="6" t="n">
        <f aca="false">IF(A137="","",Inputs!$B$18+N137)</f>
        <v>50000</v>
      </c>
      <c r="P137" s="5" t="n">
        <f aca="false">IF(A137="","",VLOOKUP(D137,DIvidend_Assumption!$A$3:$CX$103,($E$2+2),0)/12)</f>
        <v>0</v>
      </c>
      <c r="Q137" s="10" t="n">
        <f aca="false">IF(A137="","",IFERROR(AB136*P137,""))</f>
        <v>0</v>
      </c>
      <c r="R137" s="10" t="n">
        <f aca="false">IF(A137="","",IFERROR(IF(Inputs!$B$22="Accumulate",T137+Q137,IF(Inputs!$B$22="Premium Offset",MAX(0,T137+Q137-Inputs!$B$25),T137)),""))</f>
        <v>0</v>
      </c>
      <c r="S137" s="10" t="n">
        <f aca="false">IF(A137="","",R136)</f>
        <v>0</v>
      </c>
      <c r="T137" s="10" t="n">
        <f aca="false">IF(A137="","",IFERROR(S137*(1+Inputs!$B$23/12),""))</f>
        <v>0</v>
      </c>
      <c r="U137" s="6" t="n">
        <f aca="false">IF(A137="","",IF(D137&lt;=Inputs!$B$8,IF(Inputs!$B$22="Premium Offset",MAX(0,Inputs!$B$25-(Q137+T137)),Inputs!$B$25),0))</f>
        <v>77</v>
      </c>
      <c r="V137" s="10" t="n">
        <f aca="false">IF(A137="","",IF(Inputs!$B$22="Cash",Q137,0))</f>
        <v>0</v>
      </c>
      <c r="W137" s="10" t="n">
        <f aca="false">IF(A137="","",IF(Inputs!$B$22="PUA",Q137,0))</f>
        <v>0</v>
      </c>
      <c r="X137" s="12" t="n">
        <f aca="false">IF(A137="","",IFERROR(INDEX(PUA_TABLE!$D$4:$D$105,MATCH(E137,PUA_TABLE!$C$4:$C$105,1)),0))</f>
        <v>0.389771352984581</v>
      </c>
      <c r="Y137" s="10" t="n">
        <f aca="false">IF(A137="","",IF(W137&gt;0,IF(X137&gt;0,W137/X137,0),0))</f>
        <v>0</v>
      </c>
      <c r="Z137" s="10" t="n">
        <f aca="false">IF(A137="","",N137+Y137)</f>
        <v>0</v>
      </c>
      <c r="AA137" s="10" t="n">
        <f aca="false">IF(A137="","",IFERROR(Z137*INDEX(PUA_TABLE!$I$4:$I$105,MATCH(E137,PUA_TABLE!$C$4:$C$105,1))/1000,0))</f>
        <v>0</v>
      </c>
      <c r="AB137" s="10" t="n">
        <f aca="false">IF(A137="","",IFERROR(L137+AA137,0))</f>
        <v>16152.6706751127</v>
      </c>
      <c r="AC137" s="10" t="n">
        <f aca="false">IF(A137="","",IF(Inputs!$B$22="Premium Offset",MIN(Inputs!$B$25,Q137+T137),0))</f>
        <v>0</v>
      </c>
    </row>
    <row r="138" customFormat="false" ht="15" hidden="false" customHeight="false" outlineLevel="0" collapsed="false">
      <c r="A138" s="1" t="n">
        <f aca="false">IF(A137="","",IF(INT((C137+1)/12)+Inputs!$B$7&gt;MAX(MORTALITY!$A:$A),"",Inputs!$B$4))</f>
        <v>34</v>
      </c>
      <c r="B138" s="3" t="n">
        <f aca="false">IF(A138="","",EOMONTH(B137,1))</f>
        <v>25872</v>
      </c>
      <c r="C138" s="1" t="n">
        <f aca="false">IF(A138="","",C137+1)</f>
        <v>136</v>
      </c>
      <c r="D138" s="1" t="n">
        <f aca="false">IF(A138="","",INT(C138/12))</f>
        <v>11</v>
      </c>
      <c r="E138" s="1" t="n">
        <f aca="false">IF(A138="","",D138+Inputs!$B$7)</f>
        <v>27</v>
      </c>
      <c r="F138" s="3" t="n">
        <f aca="false">IF(A138="","",DATE(YEAR(B$2)+D138,MONTH(B$2),DAY(B$2)))</f>
        <v>25724</v>
      </c>
      <c r="G138" s="3" t="n">
        <f aca="false">IF(A138="","",DATE(YEAR(F138)+1,MONTH(F138),DAY(F138)))</f>
        <v>26089</v>
      </c>
      <c r="H138" s="10" t="n">
        <f aca="false">IF(A138="","",IF(G138&gt;F138,(B138-F138)/(G138-F138),0))</f>
        <v>0.405479452054795</v>
      </c>
      <c r="I138" s="10" t="n">
        <f aca="false">IF(A138="","",IFERROR(INDEX(CV_RATES!$I:$I,MATCH(D138,CV_RATES!$C:$C,0)),0))</f>
        <v>312.502347591596</v>
      </c>
      <c r="J138" s="10" t="n">
        <f aca="false">IF(A138="","",IFERROR(IF(E138=MAX(MORTALITY!$A:$A),1000,INDEX(CV_RATES!$J:$J,MATCH(D138,CV_RATES!$C:$C,0))),0))</f>
        <v>345.418066030828</v>
      </c>
      <c r="K138" s="10" t="n">
        <f aca="false">IF(A138="","",IFERROR(I138+H138*(J138-I138),0))</f>
        <v>325.848995068326</v>
      </c>
      <c r="L138" s="10" t="n">
        <f aca="false">IF(A138="","",IFERROR(K138*Inputs!$B$9,0))</f>
        <v>16292.4497534163</v>
      </c>
      <c r="M138" s="10" t="n">
        <f aca="false">IF(A138="","",IFERROR(K138*Inputs!$B$10,0))</f>
        <v>52134.8616639469</v>
      </c>
      <c r="N138" s="10" t="n">
        <f aca="false">IF(A138="","",Z137)</f>
        <v>0</v>
      </c>
      <c r="O138" s="6" t="n">
        <f aca="false">IF(A138="","",Inputs!$B$18+N138)</f>
        <v>50000</v>
      </c>
      <c r="P138" s="5" t="n">
        <f aca="false">IF(A138="","",VLOOKUP(D138,DIvidend_Assumption!$A$3:$CX$103,($E$2+2),0)/12)</f>
        <v>0</v>
      </c>
      <c r="Q138" s="10" t="n">
        <f aca="false">IF(A138="","",IFERROR(AB137*P138,""))</f>
        <v>0</v>
      </c>
      <c r="R138" s="10" t="n">
        <f aca="false">IF(A138="","",IFERROR(IF(Inputs!$B$22="Accumulate",T138+Q138,IF(Inputs!$B$22="Premium Offset",MAX(0,T138+Q138-Inputs!$B$25),T138)),""))</f>
        <v>0</v>
      </c>
      <c r="S138" s="10" t="n">
        <f aca="false">IF(A138="","",R137)</f>
        <v>0</v>
      </c>
      <c r="T138" s="10" t="n">
        <f aca="false">IF(A138="","",IFERROR(S138*(1+Inputs!$B$23/12),""))</f>
        <v>0</v>
      </c>
      <c r="U138" s="6" t="n">
        <f aca="false">IF(A138="","",IF(D138&lt;=Inputs!$B$8,IF(Inputs!$B$22="Premium Offset",MAX(0,Inputs!$B$25-(Q138+T138)),Inputs!$B$25),0))</f>
        <v>77</v>
      </c>
      <c r="V138" s="10" t="n">
        <f aca="false">IF(A138="","",IF(Inputs!$B$22="Cash",Q138,0))</f>
        <v>0</v>
      </c>
      <c r="W138" s="10" t="n">
        <f aca="false">IF(A138="","",IF(Inputs!$B$22="PUA",Q138,0))</f>
        <v>0</v>
      </c>
      <c r="X138" s="12" t="n">
        <f aca="false">IF(A138="","",IFERROR(INDEX(PUA_TABLE!$D$4:$D$105,MATCH(E138,PUA_TABLE!$C$4:$C$105,1)),0))</f>
        <v>0.389771352984581</v>
      </c>
      <c r="Y138" s="10" t="n">
        <f aca="false">IF(A138="","",IF(W138&gt;0,IF(X138&gt;0,W138/X138,0),0))</f>
        <v>0</v>
      </c>
      <c r="Z138" s="10" t="n">
        <f aca="false">IF(A138="","",N138+Y138)</f>
        <v>0</v>
      </c>
      <c r="AA138" s="10" t="n">
        <f aca="false">IF(A138="","",IFERROR(Z138*INDEX(PUA_TABLE!$I$4:$I$105,MATCH(E138,PUA_TABLE!$C$4:$C$105,1))/1000,0))</f>
        <v>0</v>
      </c>
      <c r="AB138" s="10" t="n">
        <f aca="false">IF(A138="","",IFERROR(L138+AA138,0))</f>
        <v>16292.4497534163</v>
      </c>
      <c r="AC138" s="10" t="n">
        <f aca="false">IF(A138="","",IF(Inputs!$B$22="Premium Offset",MIN(Inputs!$B$25,Q138+T138),0))</f>
        <v>0</v>
      </c>
    </row>
    <row r="139" customFormat="false" ht="15" hidden="false" customHeight="false" outlineLevel="0" collapsed="false">
      <c r="A139" s="1" t="n">
        <f aca="false">IF(A138="","",IF(INT((C138+1)/12)+Inputs!$B$7&gt;MAX(MORTALITY!$A:$A),"",Inputs!$B$4))</f>
        <v>34</v>
      </c>
      <c r="B139" s="3" t="n">
        <f aca="false">IF(A139="","",EOMONTH(B138,1))</f>
        <v>25902</v>
      </c>
      <c r="C139" s="1" t="n">
        <f aca="false">IF(A139="","",C138+1)</f>
        <v>137</v>
      </c>
      <c r="D139" s="1" t="n">
        <f aca="false">IF(A139="","",INT(C139/12))</f>
        <v>11</v>
      </c>
      <c r="E139" s="1" t="n">
        <f aca="false">IF(A139="","",D139+Inputs!$B$7)</f>
        <v>27</v>
      </c>
      <c r="F139" s="3" t="n">
        <f aca="false">IF(A139="","",DATE(YEAR(B$2)+D139,MONTH(B$2),DAY(B$2)))</f>
        <v>25724</v>
      </c>
      <c r="G139" s="3" t="n">
        <f aca="false">IF(A139="","",DATE(YEAR(F139)+1,MONTH(F139),DAY(F139)))</f>
        <v>26089</v>
      </c>
      <c r="H139" s="10" t="n">
        <f aca="false">IF(A139="","",IF(G139&gt;F139,(B139-F139)/(G139-F139),0))</f>
        <v>0.487671232876712</v>
      </c>
      <c r="I139" s="10" t="n">
        <f aca="false">IF(A139="","",IFERROR(INDEX(CV_RATES!$I:$I,MATCH(D139,CV_RATES!$C:$C,0)),0))</f>
        <v>312.502347591596</v>
      </c>
      <c r="J139" s="10" t="n">
        <f aca="false">IF(A139="","",IFERROR(IF(E139=MAX(MORTALITY!$A:$A),1000,INDEX(CV_RATES!$J:$J,MATCH(D139,CV_RATES!$C:$C,0))),0))</f>
        <v>345.418066030828</v>
      </c>
      <c r="K139" s="10" t="n">
        <f aca="false">IF(A139="","",IFERROR(I139+H139*(J139-I139),0))</f>
        <v>328.554396583879</v>
      </c>
      <c r="L139" s="10" t="n">
        <f aca="false">IF(A139="","",IFERROR(K139*Inputs!$B$9,0))</f>
        <v>16427.7198291939</v>
      </c>
      <c r="M139" s="10" t="n">
        <f aca="false">IF(A139="","",IFERROR(K139*Inputs!$B$10,0))</f>
        <v>52567.7177902309</v>
      </c>
      <c r="N139" s="10" t="n">
        <f aca="false">IF(A139="","",Z138)</f>
        <v>0</v>
      </c>
      <c r="O139" s="6" t="n">
        <f aca="false">IF(A139="","",Inputs!$B$18+N139)</f>
        <v>50000</v>
      </c>
      <c r="P139" s="5" t="n">
        <f aca="false">IF(A139="","",VLOOKUP(D139,DIvidend_Assumption!$A$3:$CX$103,($E$2+2),0)/12)</f>
        <v>0</v>
      </c>
      <c r="Q139" s="10" t="n">
        <f aca="false">IF(A139="","",IFERROR(AB138*P139,""))</f>
        <v>0</v>
      </c>
      <c r="R139" s="10" t="n">
        <f aca="false">IF(A139="","",IFERROR(IF(Inputs!$B$22="Accumulate",T139+Q139,IF(Inputs!$B$22="Premium Offset",MAX(0,T139+Q139-Inputs!$B$25),T139)),""))</f>
        <v>0</v>
      </c>
      <c r="S139" s="10" t="n">
        <f aca="false">IF(A139="","",R138)</f>
        <v>0</v>
      </c>
      <c r="T139" s="10" t="n">
        <f aca="false">IF(A139="","",IFERROR(S139*(1+Inputs!$B$23/12),""))</f>
        <v>0</v>
      </c>
      <c r="U139" s="6" t="n">
        <f aca="false">IF(A139="","",IF(D139&lt;=Inputs!$B$8,IF(Inputs!$B$22="Premium Offset",MAX(0,Inputs!$B$25-(Q139+T139)),Inputs!$B$25),0))</f>
        <v>77</v>
      </c>
      <c r="V139" s="10" t="n">
        <f aca="false">IF(A139="","",IF(Inputs!$B$22="Cash",Q139,0))</f>
        <v>0</v>
      </c>
      <c r="W139" s="10" t="n">
        <f aca="false">IF(A139="","",IF(Inputs!$B$22="PUA",Q139,0))</f>
        <v>0</v>
      </c>
      <c r="X139" s="12" t="n">
        <f aca="false">IF(A139="","",IFERROR(INDEX(PUA_TABLE!$D$4:$D$105,MATCH(E139,PUA_TABLE!$C$4:$C$105,1)),0))</f>
        <v>0.389771352984581</v>
      </c>
      <c r="Y139" s="10" t="n">
        <f aca="false">IF(A139="","",IF(W139&gt;0,IF(X139&gt;0,W139/X139,0),0))</f>
        <v>0</v>
      </c>
      <c r="Z139" s="10" t="n">
        <f aca="false">IF(A139="","",N139+Y139)</f>
        <v>0</v>
      </c>
      <c r="AA139" s="10" t="n">
        <f aca="false">IF(A139="","",IFERROR(Z139*INDEX(PUA_TABLE!$I$4:$I$105,MATCH(E139,PUA_TABLE!$C$4:$C$105,1))/1000,0))</f>
        <v>0</v>
      </c>
      <c r="AB139" s="10" t="n">
        <f aca="false">IF(A139="","",IFERROR(L139+AA139,0))</f>
        <v>16427.7198291939</v>
      </c>
      <c r="AC139" s="10" t="n">
        <f aca="false">IF(A139="","",IF(Inputs!$B$22="Premium Offset",MIN(Inputs!$B$25,Q139+T139),0))</f>
        <v>0</v>
      </c>
    </row>
    <row r="140" customFormat="false" ht="15" hidden="false" customHeight="false" outlineLevel="0" collapsed="false">
      <c r="A140" s="1" t="n">
        <f aca="false">IF(A139="","",IF(INT((C139+1)/12)+Inputs!$B$7&gt;MAX(MORTALITY!$A:$A),"",Inputs!$B$4))</f>
        <v>34</v>
      </c>
      <c r="B140" s="3" t="n">
        <f aca="false">IF(A140="","",EOMONTH(B139,1))</f>
        <v>25933</v>
      </c>
      <c r="C140" s="1" t="n">
        <f aca="false">IF(A140="","",C139+1)</f>
        <v>138</v>
      </c>
      <c r="D140" s="1" t="n">
        <f aca="false">IF(A140="","",INT(C140/12))</f>
        <v>11</v>
      </c>
      <c r="E140" s="1" t="n">
        <f aca="false">IF(A140="","",D140+Inputs!$B$7)</f>
        <v>27</v>
      </c>
      <c r="F140" s="3" t="n">
        <f aca="false">IF(A140="","",DATE(YEAR(B$2)+D140,MONTH(B$2),DAY(B$2)))</f>
        <v>25724</v>
      </c>
      <c r="G140" s="3" t="n">
        <f aca="false">IF(A140="","",DATE(YEAR(F140)+1,MONTH(F140),DAY(F140)))</f>
        <v>26089</v>
      </c>
      <c r="H140" s="10" t="n">
        <f aca="false">IF(A140="","",IF(G140&gt;F140,(B140-F140)/(G140-F140),0))</f>
        <v>0.572602739726027</v>
      </c>
      <c r="I140" s="10" t="n">
        <f aca="false">IF(A140="","",IFERROR(INDEX(CV_RATES!$I:$I,MATCH(D140,CV_RATES!$C:$C,0)),0))</f>
        <v>312.502347591596</v>
      </c>
      <c r="J140" s="10" t="n">
        <f aca="false">IF(A140="","",IFERROR(IF(E140=MAX(MORTALITY!$A:$A),1000,INDEX(CV_RATES!$J:$J,MATCH(D140,CV_RATES!$C:$C,0))),0))</f>
        <v>345.418066030828</v>
      </c>
      <c r="K140" s="10" t="n">
        <f aca="false">IF(A140="","",IFERROR(I140+H140*(J140-I140),0))</f>
        <v>331.349978149951</v>
      </c>
      <c r="L140" s="10" t="n">
        <f aca="false">IF(A140="","",IFERROR(K140*Inputs!$B$9,0))</f>
        <v>16567.4989074975</v>
      </c>
      <c r="M140" s="10" t="n">
        <f aca="false">IF(A140="","",IFERROR(K140*Inputs!$B$10,0))</f>
        <v>53015.0024540577</v>
      </c>
      <c r="N140" s="10" t="n">
        <f aca="false">IF(A140="","",Z139)</f>
        <v>0</v>
      </c>
      <c r="O140" s="6" t="n">
        <f aca="false">IF(A140="","",Inputs!$B$18+N140)</f>
        <v>50000</v>
      </c>
      <c r="P140" s="5" t="n">
        <f aca="false">IF(A140="","",VLOOKUP(D140,DIvidend_Assumption!$A$3:$CX$103,($E$2+2),0)/12)</f>
        <v>0</v>
      </c>
      <c r="Q140" s="10" t="n">
        <f aca="false">IF(A140="","",IFERROR(AB139*P140,""))</f>
        <v>0</v>
      </c>
      <c r="R140" s="10" t="n">
        <f aca="false">IF(A140="","",IFERROR(IF(Inputs!$B$22="Accumulate",T140+Q140,IF(Inputs!$B$22="Premium Offset",MAX(0,T140+Q140-Inputs!$B$25),T140)),""))</f>
        <v>0</v>
      </c>
      <c r="S140" s="10" t="n">
        <f aca="false">IF(A140="","",R139)</f>
        <v>0</v>
      </c>
      <c r="T140" s="10" t="n">
        <f aca="false">IF(A140="","",IFERROR(S140*(1+Inputs!$B$23/12),""))</f>
        <v>0</v>
      </c>
      <c r="U140" s="6" t="n">
        <f aca="false">IF(A140="","",IF(D140&lt;=Inputs!$B$8,IF(Inputs!$B$22="Premium Offset",MAX(0,Inputs!$B$25-(Q140+T140)),Inputs!$B$25),0))</f>
        <v>77</v>
      </c>
      <c r="V140" s="10" t="n">
        <f aca="false">IF(A140="","",IF(Inputs!$B$22="Cash",Q140,0))</f>
        <v>0</v>
      </c>
      <c r="W140" s="10" t="n">
        <f aca="false">IF(A140="","",IF(Inputs!$B$22="PUA",Q140,0))</f>
        <v>0</v>
      </c>
      <c r="X140" s="12" t="n">
        <f aca="false">IF(A140="","",IFERROR(INDEX(PUA_TABLE!$D$4:$D$105,MATCH(E140,PUA_TABLE!$C$4:$C$105,1)),0))</f>
        <v>0.389771352984581</v>
      </c>
      <c r="Y140" s="10" t="n">
        <f aca="false">IF(A140="","",IF(W140&gt;0,IF(X140&gt;0,W140/X140,0),0))</f>
        <v>0</v>
      </c>
      <c r="Z140" s="10" t="n">
        <f aca="false">IF(A140="","",N140+Y140)</f>
        <v>0</v>
      </c>
      <c r="AA140" s="10" t="n">
        <f aca="false">IF(A140="","",IFERROR(Z140*INDEX(PUA_TABLE!$I$4:$I$105,MATCH(E140,PUA_TABLE!$C$4:$C$105,1))/1000,0))</f>
        <v>0</v>
      </c>
      <c r="AB140" s="10" t="n">
        <f aca="false">IF(A140="","",IFERROR(L140+AA140,0))</f>
        <v>16567.4989074975</v>
      </c>
      <c r="AC140" s="10" t="n">
        <f aca="false">IF(A140="","",IF(Inputs!$B$22="Premium Offset",MIN(Inputs!$B$25,Q140+T140),0))</f>
        <v>0</v>
      </c>
    </row>
    <row r="141" customFormat="false" ht="15" hidden="false" customHeight="false" outlineLevel="0" collapsed="false">
      <c r="A141" s="1" t="n">
        <f aca="false">IF(A140="","",IF(INT((C140+1)/12)+Inputs!$B$7&gt;MAX(MORTALITY!$A:$A),"",Inputs!$B$4))</f>
        <v>34</v>
      </c>
      <c r="B141" s="3" t="n">
        <f aca="false">IF(A141="","",EOMONTH(B140,1))</f>
        <v>25964</v>
      </c>
      <c r="C141" s="1" t="n">
        <f aca="false">IF(A141="","",C140+1)</f>
        <v>139</v>
      </c>
      <c r="D141" s="1" t="n">
        <f aca="false">IF(A141="","",INT(C141/12))</f>
        <v>11</v>
      </c>
      <c r="E141" s="1" t="n">
        <f aca="false">IF(A141="","",D141+Inputs!$B$7)</f>
        <v>27</v>
      </c>
      <c r="F141" s="3" t="n">
        <f aca="false">IF(A141="","",DATE(YEAR(B$2)+D141,MONTH(B$2),DAY(B$2)))</f>
        <v>25724</v>
      </c>
      <c r="G141" s="3" t="n">
        <f aca="false">IF(A141="","",DATE(YEAR(F141)+1,MONTH(F141),DAY(F141)))</f>
        <v>26089</v>
      </c>
      <c r="H141" s="10" t="n">
        <f aca="false">IF(A141="","",IF(G141&gt;F141,(B141-F141)/(G141-F141),0))</f>
        <v>0.657534246575342</v>
      </c>
      <c r="I141" s="10" t="n">
        <f aca="false">IF(A141="","",IFERROR(INDEX(CV_RATES!$I:$I,MATCH(D141,CV_RATES!$C:$C,0)),0))</f>
        <v>312.502347591596</v>
      </c>
      <c r="J141" s="10" t="n">
        <f aca="false">IF(A141="","",IFERROR(IF(E141=MAX(MORTALITY!$A:$A),1000,INDEX(CV_RATES!$J:$J,MATCH(D141,CV_RATES!$C:$C,0))),0))</f>
        <v>345.418066030828</v>
      </c>
      <c r="K141" s="10" t="n">
        <f aca="false">IF(A141="","",IFERROR(I141+H141*(J141-I141),0))</f>
        <v>334.145559716022</v>
      </c>
      <c r="L141" s="10" t="n">
        <f aca="false">IF(A141="","",IFERROR(K141*Inputs!$B$9,0))</f>
        <v>16707.2779858011</v>
      </c>
      <c r="M141" s="10" t="n">
        <f aca="false">IF(A141="","",IFERROR(K141*Inputs!$B$10,0))</f>
        <v>53462.2871178844</v>
      </c>
      <c r="N141" s="10" t="n">
        <f aca="false">IF(A141="","",Z140)</f>
        <v>0</v>
      </c>
      <c r="O141" s="6" t="n">
        <f aca="false">IF(A141="","",Inputs!$B$18+N141)</f>
        <v>50000</v>
      </c>
      <c r="P141" s="5" t="n">
        <f aca="false">IF(A141="","",VLOOKUP(D141,DIvidend_Assumption!$A$3:$CX$103,($E$2+2),0)/12)</f>
        <v>0</v>
      </c>
      <c r="Q141" s="10" t="n">
        <f aca="false">IF(A141="","",IFERROR(AB140*P141,""))</f>
        <v>0</v>
      </c>
      <c r="R141" s="10" t="n">
        <f aca="false">IF(A141="","",IFERROR(IF(Inputs!$B$22="Accumulate",T141+Q141,IF(Inputs!$B$22="Premium Offset",MAX(0,T141+Q141-Inputs!$B$25),T141)),""))</f>
        <v>0</v>
      </c>
      <c r="S141" s="10" t="n">
        <f aca="false">IF(A141="","",R140)</f>
        <v>0</v>
      </c>
      <c r="T141" s="10" t="n">
        <f aca="false">IF(A141="","",IFERROR(S141*(1+Inputs!$B$23/12),""))</f>
        <v>0</v>
      </c>
      <c r="U141" s="6" t="n">
        <f aca="false">IF(A141="","",IF(D141&lt;=Inputs!$B$8,IF(Inputs!$B$22="Premium Offset",MAX(0,Inputs!$B$25-(Q141+T141)),Inputs!$B$25),0))</f>
        <v>77</v>
      </c>
      <c r="V141" s="10" t="n">
        <f aca="false">IF(A141="","",IF(Inputs!$B$22="Cash",Q141,0))</f>
        <v>0</v>
      </c>
      <c r="W141" s="10" t="n">
        <f aca="false">IF(A141="","",IF(Inputs!$B$22="PUA",Q141,0))</f>
        <v>0</v>
      </c>
      <c r="X141" s="12" t="n">
        <f aca="false">IF(A141="","",IFERROR(INDEX(PUA_TABLE!$D$4:$D$105,MATCH(E141,PUA_TABLE!$C$4:$C$105,1)),0))</f>
        <v>0.389771352984581</v>
      </c>
      <c r="Y141" s="10" t="n">
        <f aca="false">IF(A141="","",IF(W141&gt;0,IF(X141&gt;0,W141/X141,0),0))</f>
        <v>0</v>
      </c>
      <c r="Z141" s="10" t="n">
        <f aca="false">IF(A141="","",N141+Y141)</f>
        <v>0</v>
      </c>
      <c r="AA141" s="10" t="n">
        <f aca="false">IF(A141="","",IFERROR(Z141*INDEX(PUA_TABLE!$I$4:$I$105,MATCH(E141,PUA_TABLE!$C$4:$C$105,1))/1000,0))</f>
        <v>0</v>
      </c>
      <c r="AB141" s="10" t="n">
        <f aca="false">IF(A141="","",IFERROR(L141+AA141,0))</f>
        <v>16707.2779858011</v>
      </c>
      <c r="AC141" s="10" t="n">
        <f aca="false">IF(A141="","",IF(Inputs!$B$22="Premium Offset",MIN(Inputs!$B$25,Q141+T141),0))</f>
        <v>0</v>
      </c>
    </row>
    <row r="142" customFormat="false" ht="15" hidden="false" customHeight="false" outlineLevel="0" collapsed="false">
      <c r="A142" s="1" t="n">
        <f aca="false">IF(A141="","",IF(INT((C141+1)/12)+Inputs!$B$7&gt;MAX(MORTALITY!$A:$A),"",Inputs!$B$4))</f>
        <v>34</v>
      </c>
      <c r="B142" s="3" t="n">
        <f aca="false">IF(A142="","",EOMONTH(B141,1))</f>
        <v>25992</v>
      </c>
      <c r="C142" s="1" t="n">
        <f aca="false">IF(A142="","",C141+1)</f>
        <v>140</v>
      </c>
      <c r="D142" s="1" t="n">
        <f aca="false">IF(A142="","",INT(C142/12))</f>
        <v>11</v>
      </c>
      <c r="E142" s="1" t="n">
        <f aca="false">IF(A142="","",D142+Inputs!$B$7)</f>
        <v>27</v>
      </c>
      <c r="F142" s="3" t="n">
        <f aca="false">IF(A142="","",DATE(YEAR(B$2)+D142,MONTH(B$2),DAY(B$2)))</f>
        <v>25724</v>
      </c>
      <c r="G142" s="3" t="n">
        <f aca="false">IF(A142="","",DATE(YEAR(F142)+1,MONTH(F142),DAY(F142)))</f>
        <v>26089</v>
      </c>
      <c r="H142" s="10" t="n">
        <f aca="false">IF(A142="","",IF(G142&gt;F142,(B142-F142)/(G142-F142),0))</f>
        <v>0.734246575342466</v>
      </c>
      <c r="I142" s="10" t="n">
        <f aca="false">IF(A142="","",IFERROR(INDEX(CV_RATES!$I:$I,MATCH(D142,CV_RATES!$C:$C,0)),0))</f>
        <v>312.502347591596</v>
      </c>
      <c r="J142" s="10" t="n">
        <f aca="false">IF(A142="","",IFERROR(IF(E142=MAX(MORTALITY!$A:$A),1000,INDEX(CV_RATES!$J:$J,MATCH(D142,CV_RATES!$C:$C,0))),0))</f>
        <v>345.418066030828</v>
      </c>
      <c r="K142" s="10" t="n">
        <f aca="false">IF(A142="","",IFERROR(I142+H142*(J142-I142),0))</f>
        <v>336.670601130539</v>
      </c>
      <c r="L142" s="10" t="n">
        <f aca="false">IF(A142="","",IFERROR(K142*Inputs!$B$9,0))</f>
        <v>16833.5300565269</v>
      </c>
      <c r="M142" s="10" t="n">
        <f aca="false">IF(A142="","",IFERROR(K142*Inputs!$B$10,0))</f>
        <v>53866.2861690828</v>
      </c>
      <c r="N142" s="10" t="n">
        <f aca="false">IF(A142="","",Z141)</f>
        <v>0</v>
      </c>
      <c r="O142" s="6" t="n">
        <f aca="false">IF(A142="","",Inputs!$B$18+N142)</f>
        <v>50000</v>
      </c>
      <c r="P142" s="5" t="n">
        <f aca="false">IF(A142="","",VLOOKUP(D142,DIvidend_Assumption!$A$3:$CX$103,($E$2+2),0)/12)</f>
        <v>0</v>
      </c>
      <c r="Q142" s="10" t="n">
        <f aca="false">IF(A142="","",IFERROR(AB141*P142,""))</f>
        <v>0</v>
      </c>
      <c r="R142" s="10" t="n">
        <f aca="false">IF(A142="","",IFERROR(IF(Inputs!$B$22="Accumulate",T142+Q142,IF(Inputs!$B$22="Premium Offset",MAX(0,T142+Q142-Inputs!$B$25),T142)),""))</f>
        <v>0</v>
      </c>
      <c r="S142" s="10" t="n">
        <f aca="false">IF(A142="","",R141)</f>
        <v>0</v>
      </c>
      <c r="T142" s="10" t="n">
        <f aca="false">IF(A142="","",IFERROR(S142*(1+Inputs!$B$23/12),""))</f>
        <v>0</v>
      </c>
      <c r="U142" s="6" t="n">
        <f aca="false">IF(A142="","",IF(D142&lt;=Inputs!$B$8,IF(Inputs!$B$22="Premium Offset",MAX(0,Inputs!$B$25-(Q142+T142)),Inputs!$B$25),0))</f>
        <v>77</v>
      </c>
      <c r="V142" s="10" t="n">
        <f aca="false">IF(A142="","",IF(Inputs!$B$22="Cash",Q142,0))</f>
        <v>0</v>
      </c>
      <c r="W142" s="10" t="n">
        <f aca="false">IF(A142="","",IF(Inputs!$B$22="PUA",Q142,0))</f>
        <v>0</v>
      </c>
      <c r="X142" s="12" t="n">
        <f aca="false">IF(A142="","",IFERROR(INDEX(PUA_TABLE!$D$4:$D$105,MATCH(E142,PUA_TABLE!$C$4:$C$105,1)),0))</f>
        <v>0.389771352984581</v>
      </c>
      <c r="Y142" s="10" t="n">
        <f aca="false">IF(A142="","",IF(W142&gt;0,IF(X142&gt;0,W142/X142,0),0))</f>
        <v>0</v>
      </c>
      <c r="Z142" s="10" t="n">
        <f aca="false">IF(A142="","",N142+Y142)</f>
        <v>0</v>
      </c>
      <c r="AA142" s="10" t="n">
        <f aca="false">IF(A142="","",IFERROR(Z142*INDEX(PUA_TABLE!$I$4:$I$105,MATCH(E142,PUA_TABLE!$C$4:$C$105,1))/1000,0))</f>
        <v>0</v>
      </c>
      <c r="AB142" s="10" t="n">
        <f aca="false">IF(A142="","",IFERROR(L142+AA142,0))</f>
        <v>16833.5300565269</v>
      </c>
      <c r="AC142" s="10" t="n">
        <f aca="false">IF(A142="","",IF(Inputs!$B$22="Premium Offset",MIN(Inputs!$B$25,Q142+T142),0))</f>
        <v>0</v>
      </c>
    </row>
    <row r="143" customFormat="false" ht="15" hidden="false" customHeight="false" outlineLevel="0" collapsed="false">
      <c r="A143" s="1" t="n">
        <f aca="false">IF(A142="","",IF(INT((C142+1)/12)+Inputs!$B$7&gt;MAX(MORTALITY!$A:$A),"",Inputs!$B$4))</f>
        <v>34</v>
      </c>
      <c r="B143" s="3" t="n">
        <f aca="false">IF(A143="","",EOMONTH(B142,1))</f>
        <v>26023</v>
      </c>
      <c r="C143" s="1" t="n">
        <f aca="false">IF(A143="","",C142+1)</f>
        <v>141</v>
      </c>
      <c r="D143" s="1" t="n">
        <f aca="false">IF(A143="","",INT(C143/12))</f>
        <v>11</v>
      </c>
      <c r="E143" s="1" t="n">
        <f aca="false">IF(A143="","",D143+Inputs!$B$7)</f>
        <v>27</v>
      </c>
      <c r="F143" s="3" t="n">
        <f aca="false">IF(A143="","",DATE(YEAR(B$2)+D143,MONTH(B$2),DAY(B$2)))</f>
        <v>25724</v>
      </c>
      <c r="G143" s="3" t="n">
        <f aca="false">IF(A143="","",DATE(YEAR(F143)+1,MONTH(F143),DAY(F143)))</f>
        <v>26089</v>
      </c>
      <c r="H143" s="10" t="n">
        <f aca="false">IF(A143="","",IF(G143&gt;F143,(B143-F143)/(G143-F143),0))</f>
        <v>0.819178082191781</v>
      </c>
      <c r="I143" s="10" t="n">
        <f aca="false">IF(A143="","",IFERROR(INDEX(CV_RATES!$I:$I,MATCH(D143,CV_RATES!$C:$C,0)),0))</f>
        <v>312.502347591596</v>
      </c>
      <c r="J143" s="10" t="n">
        <f aca="false">IF(A143="","",IFERROR(IF(E143=MAX(MORTALITY!$A:$A),1000,INDEX(CV_RATES!$J:$J,MATCH(D143,CV_RATES!$C:$C,0))),0))</f>
        <v>345.418066030828</v>
      </c>
      <c r="K143" s="10" t="n">
        <f aca="false">IF(A143="","",IFERROR(I143+H143*(J143-I143),0))</f>
        <v>339.466182696611</v>
      </c>
      <c r="L143" s="10" t="n">
        <f aca="false">IF(A143="","",IFERROR(K143*Inputs!$B$9,0))</f>
        <v>16973.3091348305</v>
      </c>
      <c r="M143" s="10" t="n">
        <f aca="false">IF(A143="","",IFERROR(K143*Inputs!$B$10,0))</f>
        <v>54313.5708329096</v>
      </c>
      <c r="N143" s="10" t="n">
        <f aca="false">IF(A143="","",Z142)</f>
        <v>0</v>
      </c>
      <c r="O143" s="6" t="n">
        <f aca="false">IF(A143="","",Inputs!$B$18+N143)</f>
        <v>50000</v>
      </c>
      <c r="P143" s="5" t="n">
        <f aca="false">IF(A143="","",VLOOKUP(D143,DIvidend_Assumption!$A$3:$CX$103,($E$2+2),0)/12)</f>
        <v>0</v>
      </c>
      <c r="Q143" s="10" t="n">
        <f aca="false">IF(A143="","",IFERROR(AB142*P143,""))</f>
        <v>0</v>
      </c>
      <c r="R143" s="10" t="n">
        <f aca="false">IF(A143="","",IFERROR(IF(Inputs!$B$22="Accumulate",T143+Q143,IF(Inputs!$B$22="Premium Offset",MAX(0,T143+Q143-Inputs!$B$25),T143)),""))</f>
        <v>0</v>
      </c>
      <c r="S143" s="10" t="n">
        <f aca="false">IF(A143="","",R142)</f>
        <v>0</v>
      </c>
      <c r="T143" s="10" t="n">
        <f aca="false">IF(A143="","",IFERROR(S143*(1+Inputs!$B$23/12),""))</f>
        <v>0</v>
      </c>
      <c r="U143" s="6" t="n">
        <f aca="false">IF(A143="","",IF(D143&lt;=Inputs!$B$8,IF(Inputs!$B$22="Premium Offset",MAX(0,Inputs!$B$25-(Q143+T143)),Inputs!$B$25),0))</f>
        <v>77</v>
      </c>
      <c r="V143" s="10" t="n">
        <f aca="false">IF(A143="","",IF(Inputs!$B$22="Cash",Q143,0))</f>
        <v>0</v>
      </c>
      <c r="W143" s="10" t="n">
        <f aca="false">IF(A143="","",IF(Inputs!$B$22="PUA",Q143,0))</f>
        <v>0</v>
      </c>
      <c r="X143" s="12" t="n">
        <f aca="false">IF(A143="","",IFERROR(INDEX(PUA_TABLE!$D$4:$D$105,MATCH(E143,PUA_TABLE!$C$4:$C$105,1)),0))</f>
        <v>0.389771352984581</v>
      </c>
      <c r="Y143" s="10" t="n">
        <f aca="false">IF(A143="","",IF(W143&gt;0,IF(X143&gt;0,W143/X143,0),0))</f>
        <v>0</v>
      </c>
      <c r="Z143" s="10" t="n">
        <f aca="false">IF(A143="","",N143+Y143)</f>
        <v>0</v>
      </c>
      <c r="AA143" s="10" t="n">
        <f aca="false">IF(A143="","",IFERROR(Z143*INDEX(PUA_TABLE!$I$4:$I$105,MATCH(E143,PUA_TABLE!$C$4:$C$105,1))/1000,0))</f>
        <v>0</v>
      </c>
      <c r="AB143" s="10" t="n">
        <f aca="false">IF(A143="","",IFERROR(L143+AA143,0))</f>
        <v>16973.3091348305</v>
      </c>
      <c r="AC143" s="10" t="n">
        <f aca="false">IF(A143="","",IF(Inputs!$B$22="Premium Offset",MIN(Inputs!$B$25,Q143+T143),0))</f>
        <v>0</v>
      </c>
    </row>
    <row r="144" customFormat="false" ht="15" hidden="false" customHeight="false" outlineLevel="0" collapsed="false">
      <c r="A144" s="1" t="n">
        <f aca="false">IF(A143="","",IF(INT((C143+1)/12)+Inputs!$B$7&gt;MAX(MORTALITY!$A:$A),"",Inputs!$B$4))</f>
        <v>34</v>
      </c>
      <c r="B144" s="3" t="n">
        <f aca="false">IF(A144="","",EOMONTH(B143,1))</f>
        <v>26053</v>
      </c>
      <c r="C144" s="1" t="n">
        <f aca="false">IF(A144="","",C143+1)</f>
        <v>142</v>
      </c>
      <c r="D144" s="1" t="n">
        <f aca="false">IF(A144="","",INT(C144/12))</f>
        <v>11</v>
      </c>
      <c r="E144" s="1" t="n">
        <f aca="false">IF(A144="","",D144+Inputs!$B$7)</f>
        <v>27</v>
      </c>
      <c r="F144" s="3" t="n">
        <f aca="false">IF(A144="","",DATE(YEAR(B$2)+D144,MONTH(B$2),DAY(B$2)))</f>
        <v>25724</v>
      </c>
      <c r="G144" s="3" t="n">
        <f aca="false">IF(A144="","",DATE(YEAR(F144)+1,MONTH(F144),DAY(F144)))</f>
        <v>26089</v>
      </c>
      <c r="H144" s="10" t="n">
        <f aca="false">IF(A144="","",IF(G144&gt;F144,(B144-F144)/(G144-F144),0))</f>
        <v>0.901369863013699</v>
      </c>
      <c r="I144" s="10" t="n">
        <f aca="false">IF(A144="","",IFERROR(INDEX(CV_RATES!$I:$I,MATCH(D144,CV_RATES!$C:$C,0)),0))</f>
        <v>312.502347591596</v>
      </c>
      <c r="J144" s="10" t="n">
        <f aca="false">IF(A144="","",IFERROR(IF(E144=MAX(MORTALITY!$A:$A),1000,INDEX(CV_RATES!$J:$J,MATCH(D144,CV_RATES!$C:$C,0))),0))</f>
        <v>345.418066030828</v>
      </c>
      <c r="K144" s="10" t="n">
        <f aca="false">IF(A144="","",IFERROR(I144+H144*(J144-I144),0))</f>
        <v>342.171584212164</v>
      </c>
      <c r="L144" s="10" t="n">
        <f aca="false">IF(A144="","",IFERROR(K144*Inputs!$B$9,0))</f>
        <v>17108.5792106082</v>
      </c>
      <c r="M144" s="10" t="n">
        <f aca="false">IF(A144="","",IFERROR(K144*Inputs!$B$10,0))</f>
        <v>54746.4269591936</v>
      </c>
      <c r="N144" s="10" t="n">
        <f aca="false">IF(A144="","",Z143)</f>
        <v>0</v>
      </c>
      <c r="O144" s="6" t="n">
        <f aca="false">IF(A144="","",Inputs!$B$18+N144)</f>
        <v>50000</v>
      </c>
      <c r="P144" s="5" t="n">
        <f aca="false">IF(A144="","",VLOOKUP(D144,DIvidend_Assumption!$A$3:$CX$103,($E$2+2),0)/12)</f>
        <v>0</v>
      </c>
      <c r="Q144" s="10" t="n">
        <f aca="false">IF(A144="","",IFERROR(AB143*P144,""))</f>
        <v>0</v>
      </c>
      <c r="R144" s="10" t="n">
        <f aca="false">IF(A144="","",IFERROR(IF(Inputs!$B$22="Accumulate",T144+Q144,IF(Inputs!$B$22="Premium Offset",MAX(0,T144+Q144-Inputs!$B$25),T144)),""))</f>
        <v>0</v>
      </c>
      <c r="S144" s="10" t="n">
        <f aca="false">IF(A144="","",R143)</f>
        <v>0</v>
      </c>
      <c r="T144" s="10" t="n">
        <f aca="false">IF(A144="","",IFERROR(S144*(1+Inputs!$B$23/12),""))</f>
        <v>0</v>
      </c>
      <c r="U144" s="6" t="n">
        <f aca="false">IF(A144="","",IF(D144&lt;=Inputs!$B$8,IF(Inputs!$B$22="Premium Offset",MAX(0,Inputs!$B$25-(Q144+T144)),Inputs!$B$25),0))</f>
        <v>77</v>
      </c>
      <c r="V144" s="10" t="n">
        <f aca="false">IF(A144="","",IF(Inputs!$B$22="Cash",Q144,0))</f>
        <v>0</v>
      </c>
      <c r="W144" s="10" t="n">
        <f aca="false">IF(A144="","",IF(Inputs!$B$22="PUA",Q144,0))</f>
        <v>0</v>
      </c>
      <c r="X144" s="12" t="n">
        <f aca="false">IF(A144="","",IFERROR(INDEX(PUA_TABLE!$D$4:$D$105,MATCH(E144,PUA_TABLE!$C$4:$C$105,1)),0))</f>
        <v>0.389771352984581</v>
      </c>
      <c r="Y144" s="10" t="n">
        <f aca="false">IF(A144="","",IF(W144&gt;0,IF(X144&gt;0,W144/X144,0),0))</f>
        <v>0</v>
      </c>
      <c r="Z144" s="10" t="n">
        <f aca="false">IF(A144="","",N144+Y144)</f>
        <v>0</v>
      </c>
      <c r="AA144" s="10" t="n">
        <f aca="false">IF(A144="","",IFERROR(Z144*INDEX(PUA_TABLE!$I$4:$I$105,MATCH(E144,PUA_TABLE!$C$4:$C$105,1))/1000,0))</f>
        <v>0</v>
      </c>
      <c r="AB144" s="10" t="n">
        <f aca="false">IF(A144="","",IFERROR(L144+AA144,0))</f>
        <v>17108.5792106082</v>
      </c>
      <c r="AC144" s="10" t="n">
        <f aca="false">IF(A144="","",IF(Inputs!$B$22="Premium Offset",MIN(Inputs!$B$25,Q144+T144),0))</f>
        <v>0</v>
      </c>
    </row>
    <row r="145" customFormat="false" ht="15" hidden="false" customHeight="false" outlineLevel="0" collapsed="false">
      <c r="A145" s="1" t="n">
        <f aca="false">IF(A144="","",IF(INT((C144+1)/12)+Inputs!$B$7&gt;MAX(MORTALITY!$A:$A),"",Inputs!$B$4))</f>
        <v>34</v>
      </c>
      <c r="B145" s="3" t="n">
        <f aca="false">IF(A145="","",EOMONTH(B144,1))</f>
        <v>26084</v>
      </c>
      <c r="C145" s="1" t="n">
        <f aca="false">IF(A145="","",C144+1)</f>
        <v>143</v>
      </c>
      <c r="D145" s="1" t="n">
        <f aca="false">IF(A145="","",INT(C145/12))</f>
        <v>11</v>
      </c>
      <c r="E145" s="1" t="n">
        <f aca="false">IF(A145="","",D145+Inputs!$B$7)</f>
        <v>27</v>
      </c>
      <c r="F145" s="3" t="n">
        <f aca="false">IF(A145="","",DATE(YEAR(B$2)+D145,MONTH(B$2),DAY(B$2)))</f>
        <v>25724</v>
      </c>
      <c r="G145" s="3" t="n">
        <f aca="false">IF(A145="","",DATE(YEAR(F145)+1,MONTH(F145),DAY(F145)))</f>
        <v>26089</v>
      </c>
      <c r="H145" s="10" t="n">
        <f aca="false">IF(A145="","",IF(G145&gt;F145,(B145-F145)/(G145-F145),0))</f>
        <v>0.986301369863014</v>
      </c>
      <c r="I145" s="10" t="n">
        <f aca="false">IF(A145="","",IFERROR(INDEX(CV_RATES!$I:$I,MATCH(D145,CV_RATES!$C:$C,0)),0))</f>
        <v>312.502347591596</v>
      </c>
      <c r="J145" s="10" t="n">
        <f aca="false">IF(A145="","",IFERROR(IF(E145=MAX(MORTALITY!$A:$A),1000,INDEX(CV_RATES!$J:$J,MATCH(D145,CV_RATES!$C:$C,0))),0))</f>
        <v>345.418066030828</v>
      </c>
      <c r="K145" s="10" t="n">
        <f aca="false">IF(A145="","",IFERROR(I145+H145*(J145-I145),0))</f>
        <v>344.967165778236</v>
      </c>
      <c r="L145" s="10" t="n">
        <f aca="false">IF(A145="","",IFERROR(K145*Inputs!$B$9,0))</f>
        <v>17248.3582889118</v>
      </c>
      <c r="M145" s="10" t="n">
        <f aca="false">IF(A145="","",IFERROR(K145*Inputs!$B$10,0))</f>
        <v>55193.7116230204</v>
      </c>
      <c r="N145" s="10" t="n">
        <f aca="false">IF(A145="","",Z144)</f>
        <v>0</v>
      </c>
      <c r="O145" s="6" t="n">
        <f aca="false">IF(A145="","",Inputs!$B$18+N145)</f>
        <v>50000</v>
      </c>
      <c r="P145" s="5" t="n">
        <f aca="false">IF(A145="","",VLOOKUP(D145,DIvidend_Assumption!$A$3:$CX$103,($E$2+2),0)/12)</f>
        <v>0</v>
      </c>
      <c r="Q145" s="10" t="n">
        <f aca="false">IF(A145="","",IFERROR(AB144*P145,""))</f>
        <v>0</v>
      </c>
      <c r="R145" s="10" t="n">
        <f aca="false">IF(A145="","",IFERROR(IF(Inputs!$B$22="Accumulate",T145+Q145,IF(Inputs!$B$22="Premium Offset",MAX(0,T145+Q145-Inputs!$B$25),T145)),""))</f>
        <v>0</v>
      </c>
      <c r="S145" s="10" t="n">
        <f aca="false">IF(A145="","",R144)</f>
        <v>0</v>
      </c>
      <c r="T145" s="10" t="n">
        <f aca="false">IF(A145="","",IFERROR(S145*(1+Inputs!$B$23/12),""))</f>
        <v>0</v>
      </c>
      <c r="U145" s="6" t="n">
        <f aca="false">IF(A145="","",IF(D145&lt;=Inputs!$B$8,IF(Inputs!$B$22="Premium Offset",MAX(0,Inputs!$B$25-(Q145+T145)),Inputs!$B$25),0))</f>
        <v>77</v>
      </c>
      <c r="V145" s="10" t="n">
        <f aca="false">IF(A145="","",IF(Inputs!$B$22="Cash",Q145,0))</f>
        <v>0</v>
      </c>
      <c r="W145" s="10" t="n">
        <f aca="false">IF(A145="","",IF(Inputs!$B$22="PUA",Q145,0))</f>
        <v>0</v>
      </c>
      <c r="X145" s="12" t="n">
        <f aca="false">IF(A145="","",IFERROR(INDEX(PUA_TABLE!$D$4:$D$105,MATCH(E145,PUA_TABLE!$C$4:$C$105,1)),0))</f>
        <v>0.389771352984581</v>
      </c>
      <c r="Y145" s="10" t="n">
        <f aca="false">IF(A145="","",IF(W145&gt;0,IF(X145&gt;0,W145/X145,0),0))</f>
        <v>0</v>
      </c>
      <c r="Z145" s="10" t="n">
        <f aca="false">IF(A145="","",N145+Y145)</f>
        <v>0</v>
      </c>
      <c r="AA145" s="10" t="n">
        <f aca="false">IF(A145="","",IFERROR(Z145*INDEX(PUA_TABLE!$I$4:$I$105,MATCH(E145,PUA_TABLE!$C$4:$C$105,1))/1000,0))</f>
        <v>0</v>
      </c>
      <c r="AB145" s="10" t="n">
        <f aca="false">IF(A145="","",IFERROR(L145+AA145,0))</f>
        <v>17248.3582889118</v>
      </c>
      <c r="AC145" s="10" t="n">
        <f aca="false">IF(A145="","",IF(Inputs!$B$22="Premium Offset",MIN(Inputs!$B$25,Q145+T145),0))</f>
        <v>0</v>
      </c>
    </row>
    <row r="146" customFormat="false" ht="15" hidden="false" customHeight="false" outlineLevel="0" collapsed="false">
      <c r="A146" s="1" t="n">
        <f aca="false">IF(A145="","",IF(INT((C145+1)/12)+Inputs!$B$7&gt;MAX(MORTALITY!$A:$A),"",Inputs!$B$4))</f>
        <v>34</v>
      </c>
      <c r="B146" s="3" t="n">
        <f aca="false">IF(A146="","",EOMONTH(B145,1))</f>
        <v>26114</v>
      </c>
      <c r="C146" s="1" t="n">
        <f aca="false">IF(A146="","",C145+1)</f>
        <v>144</v>
      </c>
      <c r="D146" s="1" t="n">
        <f aca="false">IF(A146="","",INT(C146/12))</f>
        <v>12</v>
      </c>
      <c r="E146" s="1" t="n">
        <f aca="false">IF(A146="","",D146+Inputs!$B$7)</f>
        <v>28</v>
      </c>
      <c r="F146" s="3" t="n">
        <f aca="false">IF(A146="","",DATE(YEAR(B$2)+D146,MONTH(B$2),DAY(B$2)))</f>
        <v>26089</v>
      </c>
      <c r="G146" s="3" t="n">
        <f aca="false">IF(A146="","",DATE(YEAR(F146)+1,MONTH(F146),DAY(F146)))</f>
        <v>26455</v>
      </c>
      <c r="H146" s="10" t="n">
        <f aca="false">IF(A146="","",IF(G146&gt;F146,(B146-F146)/(G146-F146),0))</f>
        <v>0.0683060109289618</v>
      </c>
      <c r="I146" s="10" t="n">
        <f aca="false">IF(A146="","",IFERROR(INDEX(CV_RATES!$I:$I,MATCH(D146,CV_RATES!$C:$C,0)),0))</f>
        <v>345.418066030828</v>
      </c>
      <c r="J146" s="10" t="n">
        <f aca="false">IF(A146="","",IFERROR(IF(E146=MAX(MORTALITY!$A:$A),1000,INDEX(CV_RATES!$J:$J,MATCH(D146,CV_RATES!$C:$C,0))),0))</f>
        <v>379.174745167479</v>
      </c>
      <c r="K146" s="10" t="n">
        <f aca="false">IF(A146="","",IFERROR(I146+H146*(J146-I146),0))</f>
        <v>347.723850124861</v>
      </c>
      <c r="L146" s="10" t="n">
        <f aca="false">IF(A146="","",IFERROR(K146*Inputs!$B$9,0))</f>
        <v>17386.1925062431</v>
      </c>
      <c r="M146" s="10" t="n">
        <f aca="false">IF(A146="","",IFERROR(K146*Inputs!$B$10,0))</f>
        <v>55634.7728484274</v>
      </c>
      <c r="N146" s="10" t="n">
        <f aca="false">IF(A146="","",Z145)</f>
        <v>0</v>
      </c>
      <c r="O146" s="6" t="n">
        <f aca="false">IF(A146="","",Inputs!$B$18+N146)</f>
        <v>50000</v>
      </c>
      <c r="P146" s="5" t="n">
        <f aca="false">IF(A146="","",VLOOKUP(D146,DIvidend_Assumption!$A$3:$CX$103,($E$2+2),0)/12)</f>
        <v>0</v>
      </c>
      <c r="Q146" s="10" t="n">
        <f aca="false">IF(A146="","",IFERROR(AB145*P146,""))</f>
        <v>0</v>
      </c>
      <c r="R146" s="10" t="n">
        <f aca="false">IF(A146="","",IFERROR(IF(Inputs!$B$22="Accumulate",T146+Q146,IF(Inputs!$B$22="Premium Offset",MAX(0,T146+Q146-Inputs!$B$25),T146)),""))</f>
        <v>0</v>
      </c>
      <c r="S146" s="10" t="n">
        <f aca="false">IF(A146="","",R145)</f>
        <v>0</v>
      </c>
      <c r="T146" s="10" t="n">
        <f aca="false">IF(A146="","",IFERROR(S146*(1+Inputs!$B$23/12),""))</f>
        <v>0</v>
      </c>
      <c r="U146" s="6" t="n">
        <f aca="false">IF(A146="","",IF(D146&lt;=Inputs!$B$8,IF(Inputs!$B$22="Premium Offset",MAX(0,Inputs!$B$25-(Q146+T146)),Inputs!$B$25),0))</f>
        <v>77</v>
      </c>
      <c r="V146" s="10" t="n">
        <f aca="false">IF(A146="","",IF(Inputs!$B$22="Cash",Q146,0))</f>
        <v>0</v>
      </c>
      <c r="W146" s="10" t="n">
        <f aca="false">IF(A146="","",IF(Inputs!$B$22="PUA",Q146,0))</f>
        <v>0</v>
      </c>
      <c r="X146" s="12" t="n">
        <f aca="false">IF(A146="","",IFERROR(INDEX(PUA_TABLE!$D$4:$D$105,MATCH(E146,PUA_TABLE!$C$4:$C$105,1)),0))</f>
        <v>0.397642304375804</v>
      </c>
      <c r="Y146" s="10" t="n">
        <f aca="false">IF(A146="","",IF(W146&gt;0,IF(X146&gt;0,W146/X146,0),0))</f>
        <v>0</v>
      </c>
      <c r="Z146" s="10" t="n">
        <f aca="false">IF(A146="","",N146+Y146)</f>
        <v>0</v>
      </c>
      <c r="AA146" s="10" t="n">
        <f aca="false">IF(A146="","",IFERROR(Z146*INDEX(PUA_TABLE!$I$4:$I$105,MATCH(E146,PUA_TABLE!$C$4:$C$105,1))/1000,0))</f>
        <v>0</v>
      </c>
      <c r="AB146" s="10" t="n">
        <f aca="false">IF(A146="","",IFERROR(L146+AA146,0))</f>
        <v>17386.1925062431</v>
      </c>
      <c r="AC146" s="10" t="n">
        <f aca="false">IF(A146="","",IF(Inputs!$B$22="Premium Offset",MIN(Inputs!$B$25,Q146+T146),0))</f>
        <v>0</v>
      </c>
    </row>
    <row r="147" customFormat="false" ht="15" hidden="false" customHeight="false" outlineLevel="0" collapsed="false">
      <c r="A147" s="1" t="n">
        <f aca="false">IF(A146="","",IF(INT((C146+1)/12)+Inputs!$B$7&gt;MAX(MORTALITY!$A:$A),"",Inputs!$B$4))</f>
        <v>34</v>
      </c>
      <c r="B147" s="3" t="n">
        <f aca="false">IF(A147="","",EOMONTH(B146,1))</f>
        <v>26145</v>
      </c>
      <c r="C147" s="1" t="n">
        <f aca="false">IF(A147="","",C146+1)</f>
        <v>145</v>
      </c>
      <c r="D147" s="1" t="n">
        <f aca="false">IF(A147="","",INT(C147/12))</f>
        <v>12</v>
      </c>
      <c r="E147" s="1" t="n">
        <f aca="false">IF(A147="","",D147+Inputs!$B$7)</f>
        <v>28</v>
      </c>
      <c r="F147" s="3" t="n">
        <f aca="false">IF(A147="","",DATE(YEAR(B$2)+D147,MONTH(B$2),DAY(B$2)))</f>
        <v>26089</v>
      </c>
      <c r="G147" s="3" t="n">
        <f aca="false">IF(A147="","",DATE(YEAR(F147)+1,MONTH(F147),DAY(F147)))</f>
        <v>26455</v>
      </c>
      <c r="H147" s="10" t="n">
        <f aca="false">IF(A147="","",IF(G147&gt;F147,(B147-F147)/(G147-F147),0))</f>
        <v>0.153005464480874</v>
      </c>
      <c r="I147" s="10" t="n">
        <f aca="false">IF(A147="","",IFERROR(INDEX(CV_RATES!$I:$I,MATCH(D147,CV_RATES!$C:$C,0)),0))</f>
        <v>345.418066030828</v>
      </c>
      <c r="J147" s="10" t="n">
        <f aca="false">IF(A147="","",IFERROR(IF(E147=MAX(MORTALITY!$A:$A),1000,INDEX(CV_RATES!$J:$J,MATCH(D147,CV_RATES!$C:$C,0))),0))</f>
        <v>379.174745167479</v>
      </c>
      <c r="K147" s="10" t="n">
        <f aca="false">IF(A147="","",IFERROR(I147+H147*(J147-I147),0))</f>
        <v>350.583022401463</v>
      </c>
      <c r="L147" s="10" t="n">
        <f aca="false">IF(A147="","",IFERROR(K147*Inputs!$B$9,0))</f>
        <v>17529.1511200731</v>
      </c>
      <c r="M147" s="10" t="n">
        <f aca="false">IF(A147="","",IFERROR(K147*Inputs!$B$10,0))</f>
        <v>56092.2318351669</v>
      </c>
      <c r="N147" s="10" t="n">
        <f aca="false">IF(A147="","",Z146)</f>
        <v>0</v>
      </c>
      <c r="O147" s="6" t="n">
        <f aca="false">IF(A147="","",Inputs!$B$18+N147)</f>
        <v>50000</v>
      </c>
      <c r="P147" s="5" t="n">
        <f aca="false">IF(A147="","",VLOOKUP(D147,DIvidend_Assumption!$A$3:$CX$103,($E$2+2),0)/12)</f>
        <v>0</v>
      </c>
      <c r="Q147" s="10" t="n">
        <f aca="false">IF(A147="","",IFERROR(AB146*P147,""))</f>
        <v>0</v>
      </c>
      <c r="R147" s="10" t="n">
        <f aca="false">IF(A147="","",IFERROR(IF(Inputs!$B$22="Accumulate",T147+Q147,IF(Inputs!$B$22="Premium Offset",MAX(0,T147+Q147-Inputs!$B$25),T147)),""))</f>
        <v>0</v>
      </c>
      <c r="S147" s="10" t="n">
        <f aca="false">IF(A147="","",R146)</f>
        <v>0</v>
      </c>
      <c r="T147" s="10" t="n">
        <f aca="false">IF(A147="","",IFERROR(S147*(1+Inputs!$B$23/12),""))</f>
        <v>0</v>
      </c>
      <c r="U147" s="6" t="n">
        <f aca="false">IF(A147="","",IF(D147&lt;=Inputs!$B$8,IF(Inputs!$B$22="Premium Offset",MAX(0,Inputs!$B$25-(Q147+T147)),Inputs!$B$25),0))</f>
        <v>77</v>
      </c>
      <c r="V147" s="10" t="n">
        <f aca="false">IF(A147="","",IF(Inputs!$B$22="Cash",Q147,0))</f>
        <v>0</v>
      </c>
      <c r="W147" s="10" t="n">
        <f aca="false">IF(A147="","",IF(Inputs!$B$22="PUA",Q147,0))</f>
        <v>0</v>
      </c>
      <c r="X147" s="12" t="n">
        <f aca="false">IF(A147="","",IFERROR(INDEX(PUA_TABLE!$D$4:$D$105,MATCH(E147,PUA_TABLE!$C$4:$C$105,1)),0))</f>
        <v>0.397642304375804</v>
      </c>
      <c r="Y147" s="10" t="n">
        <f aca="false">IF(A147="","",IF(W147&gt;0,IF(X147&gt;0,W147/X147,0),0))</f>
        <v>0</v>
      </c>
      <c r="Z147" s="10" t="n">
        <f aca="false">IF(A147="","",N147+Y147)</f>
        <v>0</v>
      </c>
      <c r="AA147" s="10" t="n">
        <f aca="false">IF(A147="","",IFERROR(Z147*INDEX(PUA_TABLE!$I$4:$I$105,MATCH(E147,PUA_TABLE!$C$4:$C$105,1))/1000,0))</f>
        <v>0</v>
      </c>
      <c r="AB147" s="10" t="n">
        <f aca="false">IF(A147="","",IFERROR(L147+AA147,0))</f>
        <v>17529.1511200731</v>
      </c>
      <c r="AC147" s="10" t="n">
        <f aca="false">IF(A147="","",IF(Inputs!$B$22="Premium Offset",MIN(Inputs!$B$25,Q147+T147),0))</f>
        <v>0</v>
      </c>
    </row>
    <row r="148" customFormat="false" ht="15" hidden="false" customHeight="false" outlineLevel="0" collapsed="false">
      <c r="A148" s="1" t="n">
        <f aca="false">IF(A147="","",IF(INT((C147+1)/12)+Inputs!$B$7&gt;MAX(MORTALITY!$A:$A),"",Inputs!$B$4))</f>
        <v>34</v>
      </c>
      <c r="B148" s="3" t="n">
        <f aca="false">IF(A148="","",EOMONTH(B147,1))</f>
        <v>26176</v>
      </c>
      <c r="C148" s="1" t="n">
        <f aca="false">IF(A148="","",C147+1)</f>
        <v>146</v>
      </c>
      <c r="D148" s="1" t="n">
        <f aca="false">IF(A148="","",INT(C148/12))</f>
        <v>12</v>
      </c>
      <c r="E148" s="1" t="n">
        <f aca="false">IF(A148="","",D148+Inputs!$B$7)</f>
        <v>28</v>
      </c>
      <c r="F148" s="3" t="n">
        <f aca="false">IF(A148="","",DATE(YEAR(B$2)+D148,MONTH(B$2),DAY(B$2)))</f>
        <v>26089</v>
      </c>
      <c r="G148" s="3" t="n">
        <f aca="false">IF(A148="","",DATE(YEAR(F148)+1,MONTH(F148),DAY(F148)))</f>
        <v>26455</v>
      </c>
      <c r="H148" s="10" t="n">
        <f aca="false">IF(A148="","",IF(G148&gt;F148,(B148-F148)/(G148-F148),0))</f>
        <v>0.237704918032787</v>
      </c>
      <c r="I148" s="10" t="n">
        <f aca="false">IF(A148="","",IFERROR(INDEX(CV_RATES!$I:$I,MATCH(D148,CV_RATES!$C:$C,0)),0))</f>
        <v>345.418066030828</v>
      </c>
      <c r="J148" s="10" t="n">
        <f aca="false">IF(A148="","",IFERROR(IF(E148=MAX(MORTALITY!$A:$A),1000,INDEX(CV_RATES!$J:$J,MATCH(D148,CV_RATES!$C:$C,0))),0))</f>
        <v>379.174745167479</v>
      </c>
      <c r="K148" s="10" t="n">
        <f aca="false">IF(A148="","",IFERROR(I148+H148*(J148-I148),0))</f>
        <v>353.442194678065</v>
      </c>
      <c r="L148" s="10" t="n">
        <f aca="false">IF(A148="","",IFERROR(K148*Inputs!$B$9,0))</f>
        <v>17672.1097339032</v>
      </c>
      <c r="M148" s="10" t="n">
        <f aca="false">IF(A148="","",IFERROR(K148*Inputs!$B$10,0))</f>
        <v>56549.6908219063</v>
      </c>
      <c r="N148" s="10" t="n">
        <f aca="false">IF(A148="","",Z147)</f>
        <v>0</v>
      </c>
      <c r="O148" s="6" t="n">
        <f aca="false">IF(A148="","",Inputs!$B$18+N148)</f>
        <v>50000</v>
      </c>
      <c r="P148" s="5" t="n">
        <f aca="false">IF(A148="","",VLOOKUP(D148,DIvidend_Assumption!$A$3:$CX$103,($E$2+2),0)/12)</f>
        <v>0</v>
      </c>
      <c r="Q148" s="10" t="n">
        <f aca="false">IF(A148="","",IFERROR(AB147*P148,""))</f>
        <v>0</v>
      </c>
      <c r="R148" s="10" t="n">
        <f aca="false">IF(A148="","",IFERROR(IF(Inputs!$B$22="Accumulate",T148+Q148,IF(Inputs!$B$22="Premium Offset",MAX(0,T148+Q148-Inputs!$B$25),T148)),""))</f>
        <v>0</v>
      </c>
      <c r="S148" s="10" t="n">
        <f aca="false">IF(A148="","",R147)</f>
        <v>0</v>
      </c>
      <c r="T148" s="10" t="n">
        <f aca="false">IF(A148="","",IFERROR(S148*(1+Inputs!$B$23/12),""))</f>
        <v>0</v>
      </c>
      <c r="U148" s="6" t="n">
        <f aca="false">IF(A148="","",IF(D148&lt;=Inputs!$B$8,IF(Inputs!$B$22="Premium Offset",MAX(0,Inputs!$B$25-(Q148+T148)),Inputs!$B$25),0))</f>
        <v>77</v>
      </c>
      <c r="V148" s="10" t="n">
        <f aca="false">IF(A148="","",IF(Inputs!$B$22="Cash",Q148,0))</f>
        <v>0</v>
      </c>
      <c r="W148" s="10" t="n">
        <f aca="false">IF(A148="","",IF(Inputs!$B$22="PUA",Q148,0))</f>
        <v>0</v>
      </c>
      <c r="X148" s="12" t="n">
        <f aca="false">IF(A148="","",IFERROR(INDEX(PUA_TABLE!$D$4:$D$105,MATCH(E148,PUA_TABLE!$C$4:$C$105,1)),0))</f>
        <v>0.397642304375804</v>
      </c>
      <c r="Y148" s="10" t="n">
        <f aca="false">IF(A148="","",IF(W148&gt;0,IF(X148&gt;0,W148/X148,0),0))</f>
        <v>0</v>
      </c>
      <c r="Z148" s="10" t="n">
        <f aca="false">IF(A148="","",N148+Y148)</f>
        <v>0</v>
      </c>
      <c r="AA148" s="10" t="n">
        <f aca="false">IF(A148="","",IFERROR(Z148*INDEX(PUA_TABLE!$I$4:$I$105,MATCH(E148,PUA_TABLE!$C$4:$C$105,1))/1000,0))</f>
        <v>0</v>
      </c>
      <c r="AB148" s="10" t="n">
        <f aca="false">IF(A148="","",IFERROR(L148+AA148,0))</f>
        <v>17672.1097339032</v>
      </c>
      <c r="AC148" s="10" t="n">
        <f aca="false">IF(A148="","",IF(Inputs!$B$22="Premium Offset",MIN(Inputs!$B$25,Q148+T148),0))</f>
        <v>0</v>
      </c>
    </row>
    <row r="149" customFormat="false" ht="15" hidden="false" customHeight="false" outlineLevel="0" collapsed="false">
      <c r="A149" s="1" t="n">
        <f aca="false">IF(A148="","",IF(INT((C148+1)/12)+Inputs!$B$7&gt;MAX(MORTALITY!$A:$A),"",Inputs!$B$4))</f>
        <v>34</v>
      </c>
      <c r="B149" s="3" t="n">
        <f aca="false">IF(A149="","",EOMONTH(B148,1))</f>
        <v>26206</v>
      </c>
      <c r="C149" s="1" t="n">
        <f aca="false">IF(A149="","",C148+1)</f>
        <v>147</v>
      </c>
      <c r="D149" s="1" t="n">
        <f aca="false">IF(A149="","",INT(C149/12))</f>
        <v>12</v>
      </c>
      <c r="E149" s="1" t="n">
        <f aca="false">IF(A149="","",D149+Inputs!$B$7)</f>
        <v>28</v>
      </c>
      <c r="F149" s="3" t="n">
        <f aca="false">IF(A149="","",DATE(YEAR(B$2)+D149,MONTH(B$2),DAY(B$2)))</f>
        <v>26089</v>
      </c>
      <c r="G149" s="3" t="n">
        <f aca="false">IF(A149="","",DATE(YEAR(F149)+1,MONTH(F149),DAY(F149)))</f>
        <v>26455</v>
      </c>
      <c r="H149" s="10" t="n">
        <f aca="false">IF(A149="","",IF(G149&gt;F149,(B149-F149)/(G149-F149),0))</f>
        <v>0.319672131147541</v>
      </c>
      <c r="I149" s="10" t="n">
        <f aca="false">IF(A149="","",IFERROR(INDEX(CV_RATES!$I:$I,MATCH(D149,CV_RATES!$C:$C,0)),0))</f>
        <v>345.418066030828</v>
      </c>
      <c r="J149" s="10" t="n">
        <f aca="false">IF(A149="","",IFERROR(IF(E149=MAX(MORTALITY!$A:$A),1000,INDEX(CV_RATES!$J:$J,MATCH(D149,CV_RATES!$C:$C,0))),0))</f>
        <v>379.174745167479</v>
      </c>
      <c r="K149" s="10" t="n">
        <f aca="false">IF(A149="","",IFERROR(I149+H149*(J149-I149),0))</f>
        <v>356.209135590905</v>
      </c>
      <c r="L149" s="10" t="n">
        <f aca="false">IF(A149="","",IFERROR(K149*Inputs!$B$9,0))</f>
        <v>17810.4567795452</v>
      </c>
      <c r="M149" s="10" t="n">
        <f aca="false">IF(A149="","",IFERROR(K149*Inputs!$B$10,0))</f>
        <v>56992.393067138</v>
      </c>
      <c r="N149" s="10" t="n">
        <f aca="false">IF(A149="","",Z148)</f>
        <v>0</v>
      </c>
      <c r="O149" s="6" t="n">
        <f aca="false">IF(A149="","",Inputs!$B$18+N149)</f>
        <v>50000</v>
      </c>
      <c r="P149" s="5" t="n">
        <f aca="false">IF(A149="","",VLOOKUP(D149,DIvidend_Assumption!$A$3:$CX$103,($E$2+2),0)/12)</f>
        <v>0</v>
      </c>
      <c r="Q149" s="10" t="n">
        <f aca="false">IF(A149="","",IFERROR(AB148*P149,""))</f>
        <v>0</v>
      </c>
      <c r="R149" s="10" t="n">
        <f aca="false">IF(A149="","",IFERROR(IF(Inputs!$B$22="Accumulate",T149+Q149,IF(Inputs!$B$22="Premium Offset",MAX(0,T149+Q149-Inputs!$B$25),T149)),""))</f>
        <v>0</v>
      </c>
      <c r="S149" s="10" t="n">
        <f aca="false">IF(A149="","",R148)</f>
        <v>0</v>
      </c>
      <c r="T149" s="10" t="n">
        <f aca="false">IF(A149="","",IFERROR(S149*(1+Inputs!$B$23/12),""))</f>
        <v>0</v>
      </c>
      <c r="U149" s="6" t="n">
        <f aca="false">IF(A149="","",IF(D149&lt;=Inputs!$B$8,IF(Inputs!$B$22="Premium Offset",MAX(0,Inputs!$B$25-(Q149+T149)),Inputs!$B$25),0))</f>
        <v>77</v>
      </c>
      <c r="V149" s="10" t="n">
        <f aca="false">IF(A149="","",IF(Inputs!$B$22="Cash",Q149,0))</f>
        <v>0</v>
      </c>
      <c r="W149" s="10" t="n">
        <f aca="false">IF(A149="","",IF(Inputs!$B$22="PUA",Q149,0))</f>
        <v>0</v>
      </c>
      <c r="X149" s="12" t="n">
        <f aca="false">IF(A149="","",IFERROR(INDEX(PUA_TABLE!$D$4:$D$105,MATCH(E149,PUA_TABLE!$C$4:$C$105,1)),0))</f>
        <v>0.397642304375804</v>
      </c>
      <c r="Y149" s="10" t="n">
        <f aca="false">IF(A149="","",IF(W149&gt;0,IF(X149&gt;0,W149/X149,0),0))</f>
        <v>0</v>
      </c>
      <c r="Z149" s="10" t="n">
        <f aca="false">IF(A149="","",N149+Y149)</f>
        <v>0</v>
      </c>
      <c r="AA149" s="10" t="n">
        <f aca="false">IF(A149="","",IFERROR(Z149*INDEX(PUA_TABLE!$I$4:$I$105,MATCH(E149,PUA_TABLE!$C$4:$C$105,1))/1000,0))</f>
        <v>0</v>
      </c>
      <c r="AB149" s="10" t="n">
        <f aca="false">IF(A149="","",IFERROR(L149+AA149,0))</f>
        <v>17810.4567795452</v>
      </c>
      <c r="AC149" s="10" t="n">
        <f aca="false">IF(A149="","",IF(Inputs!$B$22="Premium Offset",MIN(Inputs!$B$25,Q149+T149),0))</f>
        <v>0</v>
      </c>
    </row>
    <row r="150" customFormat="false" ht="15" hidden="false" customHeight="false" outlineLevel="0" collapsed="false">
      <c r="A150" s="1" t="n">
        <f aca="false">IF(A149="","",IF(INT((C149+1)/12)+Inputs!$B$7&gt;MAX(MORTALITY!$A:$A),"",Inputs!$B$4))</f>
        <v>34</v>
      </c>
      <c r="B150" s="3" t="n">
        <f aca="false">IF(A150="","",EOMONTH(B149,1))</f>
        <v>26237</v>
      </c>
      <c r="C150" s="1" t="n">
        <f aca="false">IF(A150="","",C149+1)</f>
        <v>148</v>
      </c>
      <c r="D150" s="1" t="n">
        <f aca="false">IF(A150="","",INT(C150/12))</f>
        <v>12</v>
      </c>
      <c r="E150" s="1" t="n">
        <f aca="false">IF(A150="","",D150+Inputs!$B$7)</f>
        <v>28</v>
      </c>
      <c r="F150" s="3" t="n">
        <f aca="false">IF(A150="","",DATE(YEAR(B$2)+D150,MONTH(B$2),DAY(B$2)))</f>
        <v>26089</v>
      </c>
      <c r="G150" s="3" t="n">
        <f aca="false">IF(A150="","",DATE(YEAR(F150)+1,MONTH(F150),DAY(F150)))</f>
        <v>26455</v>
      </c>
      <c r="H150" s="10" t="n">
        <f aca="false">IF(A150="","",IF(G150&gt;F150,(B150-F150)/(G150-F150),0))</f>
        <v>0.404371584699454</v>
      </c>
      <c r="I150" s="10" t="n">
        <f aca="false">IF(A150="","",IFERROR(INDEX(CV_RATES!$I:$I,MATCH(D150,CV_RATES!$C:$C,0)),0))</f>
        <v>345.418066030828</v>
      </c>
      <c r="J150" s="10" t="n">
        <f aca="false">IF(A150="","",IFERROR(IF(E150=MAX(MORTALITY!$A:$A),1000,INDEX(CV_RATES!$J:$J,MATCH(D150,CV_RATES!$C:$C,0))),0))</f>
        <v>379.174745167479</v>
      </c>
      <c r="K150" s="10" t="n">
        <f aca="false">IF(A150="","",IFERROR(I150+H150*(J150-I150),0))</f>
        <v>359.068307867506</v>
      </c>
      <c r="L150" s="10" t="n">
        <f aca="false">IF(A150="","",IFERROR(K150*Inputs!$B$9,0))</f>
        <v>17953.4153933753</v>
      </c>
      <c r="M150" s="10" t="n">
        <f aca="false">IF(A150="","",IFERROR(K150*Inputs!$B$10,0))</f>
        <v>57449.8520538774</v>
      </c>
      <c r="N150" s="10" t="n">
        <f aca="false">IF(A150="","",Z149)</f>
        <v>0</v>
      </c>
      <c r="O150" s="6" t="n">
        <f aca="false">IF(A150="","",Inputs!$B$18+N150)</f>
        <v>50000</v>
      </c>
      <c r="P150" s="5" t="n">
        <f aca="false">IF(A150="","",VLOOKUP(D150,DIvidend_Assumption!$A$3:$CX$103,($E$2+2),0)/12)</f>
        <v>0</v>
      </c>
      <c r="Q150" s="10" t="n">
        <f aca="false">IF(A150="","",IFERROR(AB149*P150,""))</f>
        <v>0</v>
      </c>
      <c r="R150" s="10" t="n">
        <f aca="false">IF(A150="","",IFERROR(IF(Inputs!$B$22="Accumulate",T150+Q150,IF(Inputs!$B$22="Premium Offset",MAX(0,T150+Q150-Inputs!$B$25),T150)),""))</f>
        <v>0</v>
      </c>
      <c r="S150" s="10" t="n">
        <f aca="false">IF(A150="","",R149)</f>
        <v>0</v>
      </c>
      <c r="T150" s="10" t="n">
        <f aca="false">IF(A150="","",IFERROR(S150*(1+Inputs!$B$23/12),""))</f>
        <v>0</v>
      </c>
      <c r="U150" s="6" t="n">
        <f aca="false">IF(A150="","",IF(D150&lt;=Inputs!$B$8,IF(Inputs!$B$22="Premium Offset",MAX(0,Inputs!$B$25-(Q150+T150)),Inputs!$B$25),0))</f>
        <v>77</v>
      </c>
      <c r="V150" s="10" t="n">
        <f aca="false">IF(A150="","",IF(Inputs!$B$22="Cash",Q150,0))</f>
        <v>0</v>
      </c>
      <c r="W150" s="10" t="n">
        <f aca="false">IF(A150="","",IF(Inputs!$B$22="PUA",Q150,0))</f>
        <v>0</v>
      </c>
      <c r="X150" s="12" t="n">
        <f aca="false">IF(A150="","",IFERROR(INDEX(PUA_TABLE!$D$4:$D$105,MATCH(E150,PUA_TABLE!$C$4:$C$105,1)),0))</f>
        <v>0.397642304375804</v>
      </c>
      <c r="Y150" s="10" t="n">
        <f aca="false">IF(A150="","",IF(W150&gt;0,IF(X150&gt;0,W150/X150,0),0))</f>
        <v>0</v>
      </c>
      <c r="Z150" s="10" t="n">
        <f aca="false">IF(A150="","",N150+Y150)</f>
        <v>0</v>
      </c>
      <c r="AA150" s="10" t="n">
        <f aca="false">IF(A150="","",IFERROR(Z150*INDEX(PUA_TABLE!$I$4:$I$105,MATCH(E150,PUA_TABLE!$C$4:$C$105,1))/1000,0))</f>
        <v>0</v>
      </c>
      <c r="AB150" s="10" t="n">
        <f aca="false">IF(A150="","",IFERROR(L150+AA150,0))</f>
        <v>17953.4153933753</v>
      </c>
      <c r="AC150" s="10" t="n">
        <f aca="false">IF(A150="","",IF(Inputs!$B$22="Premium Offset",MIN(Inputs!$B$25,Q150+T150),0))</f>
        <v>0</v>
      </c>
    </row>
    <row r="151" customFormat="false" ht="15" hidden="false" customHeight="false" outlineLevel="0" collapsed="false">
      <c r="A151" s="1" t="n">
        <f aca="false">IF(A150="","",IF(INT((C150+1)/12)+Inputs!$B$7&gt;MAX(MORTALITY!$A:$A),"",Inputs!$B$4))</f>
        <v>34</v>
      </c>
      <c r="B151" s="3" t="n">
        <f aca="false">IF(A151="","",EOMONTH(B150,1))</f>
        <v>26267</v>
      </c>
      <c r="C151" s="1" t="n">
        <f aca="false">IF(A151="","",C150+1)</f>
        <v>149</v>
      </c>
      <c r="D151" s="1" t="n">
        <f aca="false">IF(A151="","",INT(C151/12))</f>
        <v>12</v>
      </c>
      <c r="E151" s="1" t="n">
        <f aca="false">IF(A151="","",D151+Inputs!$B$7)</f>
        <v>28</v>
      </c>
      <c r="F151" s="3" t="n">
        <f aca="false">IF(A151="","",DATE(YEAR(B$2)+D151,MONTH(B$2),DAY(B$2)))</f>
        <v>26089</v>
      </c>
      <c r="G151" s="3" t="n">
        <f aca="false">IF(A151="","",DATE(YEAR(F151)+1,MONTH(F151),DAY(F151)))</f>
        <v>26455</v>
      </c>
      <c r="H151" s="10" t="n">
        <f aca="false">IF(A151="","",IF(G151&gt;F151,(B151-F151)/(G151-F151),0))</f>
        <v>0.486338797814208</v>
      </c>
      <c r="I151" s="10" t="n">
        <f aca="false">IF(A151="","",IFERROR(INDEX(CV_RATES!$I:$I,MATCH(D151,CV_RATES!$C:$C,0)),0))</f>
        <v>345.418066030828</v>
      </c>
      <c r="J151" s="10" t="n">
        <f aca="false">IF(A151="","",IFERROR(IF(E151=MAX(MORTALITY!$A:$A),1000,INDEX(CV_RATES!$J:$J,MATCH(D151,CV_RATES!$C:$C,0))),0))</f>
        <v>379.174745167479</v>
      </c>
      <c r="K151" s="10" t="n">
        <f aca="false">IF(A151="","",IFERROR(I151+H151*(J151-I151),0))</f>
        <v>361.835248780347</v>
      </c>
      <c r="L151" s="10" t="n">
        <f aca="false">IF(A151="","",IFERROR(K151*Inputs!$B$9,0))</f>
        <v>18091.7624390173</v>
      </c>
      <c r="M151" s="10" t="n">
        <f aca="false">IF(A151="","",IFERROR(K151*Inputs!$B$10,0))</f>
        <v>57892.5542991091</v>
      </c>
      <c r="N151" s="10" t="n">
        <f aca="false">IF(A151="","",Z150)</f>
        <v>0</v>
      </c>
      <c r="O151" s="6" t="n">
        <f aca="false">IF(A151="","",Inputs!$B$18+N151)</f>
        <v>50000</v>
      </c>
      <c r="P151" s="5" t="n">
        <f aca="false">IF(A151="","",VLOOKUP(D151,DIvidend_Assumption!$A$3:$CX$103,($E$2+2),0)/12)</f>
        <v>0</v>
      </c>
      <c r="Q151" s="10" t="n">
        <f aca="false">IF(A151="","",IFERROR(AB150*P151,""))</f>
        <v>0</v>
      </c>
      <c r="R151" s="10" t="n">
        <f aca="false">IF(A151="","",IFERROR(IF(Inputs!$B$22="Accumulate",T151+Q151,IF(Inputs!$B$22="Premium Offset",MAX(0,T151+Q151-Inputs!$B$25),T151)),""))</f>
        <v>0</v>
      </c>
      <c r="S151" s="10" t="n">
        <f aca="false">IF(A151="","",R150)</f>
        <v>0</v>
      </c>
      <c r="T151" s="10" t="n">
        <f aca="false">IF(A151="","",IFERROR(S151*(1+Inputs!$B$23/12),""))</f>
        <v>0</v>
      </c>
      <c r="U151" s="6" t="n">
        <f aca="false">IF(A151="","",IF(D151&lt;=Inputs!$B$8,IF(Inputs!$B$22="Premium Offset",MAX(0,Inputs!$B$25-(Q151+T151)),Inputs!$B$25),0))</f>
        <v>77</v>
      </c>
      <c r="V151" s="10" t="n">
        <f aca="false">IF(A151="","",IF(Inputs!$B$22="Cash",Q151,0))</f>
        <v>0</v>
      </c>
      <c r="W151" s="10" t="n">
        <f aca="false">IF(A151="","",IF(Inputs!$B$22="PUA",Q151,0))</f>
        <v>0</v>
      </c>
      <c r="X151" s="12" t="n">
        <f aca="false">IF(A151="","",IFERROR(INDEX(PUA_TABLE!$D$4:$D$105,MATCH(E151,PUA_TABLE!$C$4:$C$105,1)),0))</f>
        <v>0.397642304375804</v>
      </c>
      <c r="Y151" s="10" t="n">
        <f aca="false">IF(A151="","",IF(W151&gt;0,IF(X151&gt;0,W151/X151,0),0))</f>
        <v>0</v>
      </c>
      <c r="Z151" s="10" t="n">
        <f aca="false">IF(A151="","",N151+Y151)</f>
        <v>0</v>
      </c>
      <c r="AA151" s="10" t="n">
        <f aca="false">IF(A151="","",IFERROR(Z151*INDEX(PUA_TABLE!$I$4:$I$105,MATCH(E151,PUA_TABLE!$C$4:$C$105,1))/1000,0))</f>
        <v>0</v>
      </c>
      <c r="AB151" s="10" t="n">
        <f aca="false">IF(A151="","",IFERROR(L151+AA151,0))</f>
        <v>18091.7624390173</v>
      </c>
      <c r="AC151" s="10" t="n">
        <f aca="false">IF(A151="","",IF(Inputs!$B$22="Premium Offset",MIN(Inputs!$B$25,Q151+T151),0))</f>
        <v>0</v>
      </c>
    </row>
    <row r="152" customFormat="false" ht="15" hidden="false" customHeight="false" outlineLevel="0" collapsed="false">
      <c r="A152" s="1" t="n">
        <f aca="false">IF(A151="","",IF(INT((C151+1)/12)+Inputs!$B$7&gt;MAX(MORTALITY!$A:$A),"",Inputs!$B$4))</f>
        <v>34</v>
      </c>
      <c r="B152" s="3" t="n">
        <f aca="false">IF(A152="","",EOMONTH(B151,1))</f>
        <v>26298</v>
      </c>
      <c r="C152" s="1" t="n">
        <f aca="false">IF(A152="","",C151+1)</f>
        <v>150</v>
      </c>
      <c r="D152" s="1" t="n">
        <f aca="false">IF(A152="","",INT(C152/12))</f>
        <v>12</v>
      </c>
      <c r="E152" s="1" t="n">
        <f aca="false">IF(A152="","",D152+Inputs!$B$7)</f>
        <v>28</v>
      </c>
      <c r="F152" s="3" t="n">
        <f aca="false">IF(A152="","",DATE(YEAR(B$2)+D152,MONTH(B$2),DAY(B$2)))</f>
        <v>26089</v>
      </c>
      <c r="G152" s="3" t="n">
        <f aca="false">IF(A152="","",DATE(YEAR(F152)+1,MONTH(F152),DAY(F152)))</f>
        <v>26455</v>
      </c>
      <c r="H152" s="10" t="n">
        <f aca="false">IF(A152="","",IF(G152&gt;F152,(B152-F152)/(G152-F152),0))</f>
        <v>0.57103825136612</v>
      </c>
      <c r="I152" s="10" t="n">
        <f aca="false">IF(A152="","",IFERROR(INDEX(CV_RATES!$I:$I,MATCH(D152,CV_RATES!$C:$C,0)),0))</f>
        <v>345.418066030828</v>
      </c>
      <c r="J152" s="10" t="n">
        <f aca="false">IF(A152="","",IFERROR(IF(E152=MAX(MORTALITY!$A:$A),1000,INDEX(CV_RATES!$J:$J,MATCH(D152,CV_RATES!$C:$C,0))),0))</f>
        <v>379.174745167479</v>
      </c>
      <c r="K152" s="10" t="n">
        <f aca="false">IF(A152="","",IFERROR(I152+H152*(J152-I152),0))</f>
        <v>364.694421056948</v>
      </c>
      <c r="L152" s="10" t="n">
        <f aca="false">IF(A152="","",IFERROR(K152*Inputs!$B$9,0))</f>
        <v>18234.7210528474</v>
      </c>
      <c r="M152" s="10" t="n">
        <f aca="false">IF(A152="","",IFERROR(K152*Inputs!$B$10,0))</f>
        <v>58350.0132858485</v>
      </c>
      <c r="N152" s="10" t="n">
        <f aca="false">IF(A152="","",Z151)</f>
        <v>0</v>
      </c>
      <c r="O152" s="6" t="n">
        <f aca="false">IF(A152="","",Inputs!$B$18+N152)</f>
        <v>50000</v>
      </c>
      <c r="P152" s="5" t="n">
        <f aca="false">IF(A152="","",VLOOKUP(D152,DIvidend_Assumption!$A$3:$CX$103,($E$2+2),0)/12)</f>
        <v>0</v>
      </c>
      <c r="Q152" s="10" t="n">
        <f aca="false">IF(A152="","",IFERROR(AB151*P152,""))</f>
        <v>0</v>
      </c>
      <c r="R152" s="10" t="n">
        <f aca="false">IF(A152="","",IFERROR(IF(Inputs!$B$22="Accumulate",T152+Q152,IF(Inputs!$B$22="Premium Offset",MAX(0,T152+Q152-Inputs!$B$25),T152)),""))</f>
        <v>0</v>
      </c>
      <c r="S152" s="10" t="n">
        <f aca="false">IF(A152="","",R151)</f>
        <v>0</v>
      </c>
      <c r="T152" s="10" t="n">
        <f aca="false">IF(A152="","",IFERROR(S152*(1+Inputs!$B$23/12),""))</f>
        <v>0</v>
      </c>
      <c r="U152" s="6" t="n">
        <f aca="false">IF(A152="","",IF(D152&lt;=Inputs!$B$8,IF(Inputs!$B$22="Premium Offset",MAX(0,Inputs!$B$25-(Q152+T152)),Inputs!$B$25),0))</f>
        <v>77</v>
      </c>
      <c r="V152" s="10" t="n">
        <f aca="false">IF(A152="","",IF(Inputs!$B$22="Cash",Q152,0))</f>
        <v>0</v>
      </c>
      <c r="W152" s="10" t="n">
        <f aca="false">IF(A152="","",IF(Inputs!$B$22="PUA",Q152,0))</f>
        <v>0</v>
      </c>
      <c r="X152" s="12" t="n">
        <f aca="false">IF(A152="","",IFERROR(INDEX(PUA_TABLE!$D$4:$D$105,MATCH(E152,PUA_TABLE!$C$4:$C$105,1)),0))</f>
        <v>0.397642304375804</v>
      </c>
      <c r="Y152" s="10" t="n">
        <f aca="false">IF(A152="","",IF(W152&gt;0,IF(X152&gt;0,W152/X152,0),0))</f>
        <v>0</v>
      </c>
      <c r="Z152" s="10" t="n">
        <f aca="false">IF(A152="","",N152+Y152)</f>
        <v>0</v>
      </c>
      <c r="AA152" s="10" t="n">
        <f aca="false">IF(A152="","",IFERROR(Z152*INDEX(PUA_TABLE!$I$4:$I$105,MATCH(E152,PUA_TABLE!$C$4:$C$105,1))/1000,0))</f>
        <v>0</v>
      </c>
      <c r="AB152" s="10" t="n">
        <f aca="false">IF(A152="","",IFERROR(L152+AA152,0))</f>
        <v>18234.7210528474</v>
      </c>
      <c r="AC152" s="10" t="n">
        <f aca="false">IF(A152="","",IF(Inputs!$B$22="Premium Offset",MIN(Inputs!$B$25,Q152+T152),0))</f>
        <v>0</v>
      </c>
    </row>
    <row r="153" customFormat="false" ht="15" hidden="false" customHeight="false" outlineLevel="0" collapsed="false">
      <c r="A153" s="1" t="n">
        <f aca="false">IF(A152="","",IF(INT((C152+1)/12)+Inputs!$B$7&gt;MAX(MORTALITY!$A:$A),"",Inputs!$B$4))</f>
        <v>34</v>
      </c>
      <c r="B153" s="3" t="n">
        <f aca="false">IF(A153="","",EOMONTH(B152,1))</f>
        <v>26329</v>
      </c>
      <c r="C153" s="1" t="n">
        <f aca="false">IF(A153="","",C152+1)</f>
        <v>151</v>
      </c>
      <c r="D153" s="1" t="n">
        <f aca="false">IF(A153="","",INT(C153/12))</f>
        <v>12</v>
      </c>
      <c r="E153" s="1" t="n">
        <f aca="false">IF(A153="","",D153+Inputs!$B$7)</f>
        <v>28</v>
      </c>
      <c r="F153" s="3" t="n">
        <f aca="false">IF(A153="","",DATE(YEAR(B$2)+D153,MONTH(B$2),DAY(B$2)))</f>
        <v>26089</v>
      </c>
      <c r="G153" s="3" t="n">
        <f aca="false">IF(A153="","",DATE(YEAR(F153)+1,MONTH(F153),DAY(F153)))</f>
        <v>26455</v>
      </c>
      <c r="H153" s="10" t="n">
        <f aca="false">IF(A153="","",IF(G153&gt;F153,(B153-F153)/(G153-F153),0))</f>
        <v>0.655737704918033</v>
      </c>
      <c r="I153" s="10" t="n">
        <f aca="false">IF(A153="","",IFERROR(INDEX(CV_RATES!$I:$I,MATCH(D153,CV_RATES!$C:$C,0)),0))</f>
        <v>345.418066030828</v>
      </c>
      <c r="J153" s="10" t="n">
        <f aca="false">IF(A153="","",IFERROR(IF(E153=MAX(MORTALITY!$A:$A),1000,INDEX(CV_RATES!$J:$J,MATCH(D153,CV_RATES!$C:$C,0))),0))</f>
        <v>379.174745167479</v>
      </c>
      <c r="K153" s="10" t="n">
        <f aca="false">IF(A153="","",IFERROR(I153+H153*(J153-I153),0))</f>
        <v>367.55359333355</v>
      </c>
      <c r="L153" s="10" t="n">
        <f aca="false">IF(A153="","",IFERROR(K153*Inputs!$B$9,0))</f>
        <v>18377.6796666775</v>
      </c>
      <c r="M153" s="10" t="n">
        <f aca="false">IF(A153="","",IFERROR(K153*Inputs!$B$10,0))</f>
        <v>58807.472272588</v>
      </c>
      <c r="N153" s="10" t="n">
        <f aca="false">IF(A153="","",Z152)</f>
        <v>0</v>
      </c>
      <c r="O153" s="6" t="n">
        <f aca="false">IF(A153="","",Inputs!$B$18+N153)</f>
        <v>50000</v>
      </c>
      <c r="P153" s="5" t="n">
        <f aca="false">IF(A153="","",VLOOKUP(D153,DIvidend_Assumption!$A$3:$CX$103,($E$2+2),0)/12)</f>
        <v>0</v>
      </c>
      <c r="Q153" s="10" t="n">
        <f aca="false">IF(A153="","",IFERROR(AB152*P153,""))</f>
        <v>0</v>
      </c>
      <c r="R153" s="10" t="n">
        <f aca="false">IF(A153="","",IFERROR(IF(Inputs!$B$22="Accumulate",T153+Q153,IF(Inputs!$B$22="Premium Offset",MAX(0,T153+Q153-Inputs!$B$25),T153)),""))</f>
        <v>0</v>
      </c>
      <c r="S153" s="10" t="n">
        <f aca="false">IF(A153="","",R152)</f>
        <v>0</v>
      </c>
      <c r="T153" s="10" t="n">
        <f aca="false">IF(A153="","",IFERROR(S153*(1+Inputs!$B$23/12),""))</f>
        <v>0</v>
      </c>
      <c r="U153" s="6" t="n">
        <f aca="false">IF(A153="","",IF(D153&lt;=Inputs!$B$8,IF(Inputs!$B$22="Premium Offset",MAX(0,Inputs!$B$25-(Q153+T153)),Inputs!$B$25),0))</f>
        <v>77</v>
      </c>
      <c r="V153" s="10" t="n">
        <f aca="false">IF(A153="","",IF(Inputs!$B$22="Cash",Q153,0))</f>
        <v>0</v>
      </c>
      <c r="W153" s="10" t="n">
        <f aca="false">IF(A153="","",IF(Inputs!$B$22="PUA",Q153,0))</f>
        <v>0</v>
      </c>
      <c r="X153" s="12" t="n">
        <f aca="false">IF(A153="","",IFERROR(INDEX(PUA_TABLE!$D$4:$D$105,MATCH(E153,PUA_TABLE!$C$4:$C$105,1)),0))</f>
        <v>0.397642304375804</v>
      </c>
      <c r="Y153" s="10" t="n">
        <f aca="false">IF(A153="","",IF(W153&gt;0,IF(X153&gt;0,W153/X153,0),0))</f>
        <v>0</v>
      </c>
      <c r="Z153" s="10" t="n">
        <f aca="false">IF(A153="","",N153+Y153)</f>
        <v>0</v>
      </c>
      <c r="AA153" s="10" t="n">
        <f aca="false">IF(A153="","",IFERROR(Z153*INDEX(PUA_TABLE!$I$4:$I$105,MATCH(E153,PUA_TABLE!$C$4:$C$105,1))/1000,0))</f>
        <v>0</v>
      </c>
      <c r="AB153" s="10" t="n">
        <f aca="false">IF(A153="","",IFERROR(L153+AA153,0))</f>
        <v>18377.6796666775</v>
      </c>
      <c r="AC153" s="10" t="n">
        <f aca="false">IF(A153="","",IF(Inputs!$B$22="Premium Offset",MIN(Inputs!$B$25,Q153+T153),0))</f>
        <v>0</v>
      </c>
    </row>
    <row r="154" customFormat="false" ht="15" hidden="false" customHeight="false" outlineLevel="0" collapsed="false">
      <c r="A154" s="1" t="n">
        <f aca="false">IF(A153="","",IF(INT((C153+1)/12)+Inputs!$B$7&gt;MAX(MORTALITY!$A:$A),"",Inputs!$B$4))</f>
        <v>34</v>
      </c>
      <c r="B154" s="3" t="n">
        <f aca="false">IF(A154="","",EOMONTH(B153,1))</f>
        <v>26358</v>
      </c>
      <c r="C154" s="1" t="n">
        <f aca="false">IF(A154="","",C153+1)</f>
        <v>152</v>
      </c>
      <c r="D154" s="1" t="n">
        <f aca="false">IF(A154="","",INT(C154/12))</f>
        <v>12</v>
      </c>
      <c r="E154" s="1" t="n">
        <f aca="false">IF(A154="","",D154+Inputs!$B$7)</f>
        <v>28</v>
      </c>
      <c r="F154" s="3" t="n">
        <f aca="false">IF(A154="","",DATE(YEAR(B$2)+D154,MONTH(B$2),DAY(B$2)))</f>
        <v>26089</v>
      </c>
      <c r="G154" s="3" t="n">
        <f aca="false">IF(A154="","",DATE(YEAR(F154)+1,MONTH(F154),DAY(F154)))</f>
        <v>26455</v>
      </c>
      <c r="H154" s="10" t="n">
        <f aca="false">IF(A154="","",IF(G154&gt;F154,(B154-F154)/(G154-F154),0))</f>
        <v>0.734972677595629</v>
      </c>
      <c r="I154" s="10" t="n">
        <f aca="false">IF(A154="","",IFERROR(INDEX(CV_RATES!$I:$I,MATCH(D154,CV_RATES!$C:$C,0)),0))</f>
        <v>345.418066030828</v>
      </c>
      <c r="J154" s="10" t="n">
        <f aca="false">IF(A154="","",IFERROR(IF(E154=MAX(MORTALITY!$A:$A),1000,INDEX(CV_RATES!$J:$J,MATCH(D154,CV_RATES!$C:$C,0))),0))</f>
        <v>379.174745167479</v>
      </c>
      <c r="K154" s="10" t="n">
        <f aca="false">IF(A154="","",IFERROR(I154+H154*(J154-I154),0))</f>
        <v>370.228302882629</v>
      </c>
      <c r="L154" s="10" t="n">
        <f aca="false">IF(A154="","",IFERROR(K154*Inputs!$B$9,0))</f>
        <v>18511.4151441314</v>
      </c>
      <c r="M154" s="10" t="n">
        <f aca="false">IF(A154="","",IFERROR(K154*Inputs!$B$10,0))</f>
        <v>59235.4177763119</v>
      </c>
      <c r="N154" s="10" t="n">
        <f aca="false">IF(A154="","",Z153)</f>
        <v>0</v>
      </c>
      <c r="O154" s="6" t="n">
        <f aca="false">IF(A154="","",Inputs!$B$18+N154)</f>
        <v>50000</v>
      </c>
      <c r="P154" s="5" t="n">
        <f aca="false">IF(A154="","",VLOOKUP(D154,DIvidend_Assumption!$A$3:$CX$103,($E$2+2),0)/12)</f>
        <v>0</v>
      </c>
      <c r="Q154" s="10" t="n">
        <f aca="false">IF(A154="","",IFERROR(AB153*P154,""))</f>
        <v>0</v>
      </c>
      <c r="R154" s="10" t="n">
        <f aca="false">IF(A154="","",IFERROR(IF(Inputs!$B$22="Accumulate",T154+Q154,IF(Inputs!$B$22="Premium Offset",MAX(0,T154+Q154-Inputs!$B$25),T154)),""))</f>
        <v>0</v>
      </c>
      <c r="S154" s="10" t="n">
        <f aca="false">IF(A154="","",R153)</f>
        <v>0</v>
      </c>
      <c r="T154" s="10" t="n">
        <f aca="false">IF(A154="","",IFERROR(S154*(1+Inputs!$B$23/12),""))</f>
        <v>0</v>
      </c>
      <c r="U154" s="6" t="n">
        <f aca="false">IF(A154="","",IF(D154&lt;=Inputs!$B$8,IF(Inputs!$B$22="Premium Offset",MAX(0,Inputs!$B$25-(Q154+T154)),Inputs!$B$25),0))</f>
        <v>77</v>
      </c>
      <c r="V154" s="10" t="n">
        <f aca="false">IF(A154="","",IF(Inputs!$B$22="Cash",Q154,0))</f>
        <v>0</v>
      </c>
      <c r="W154" s="10" t="n">
        <f aca="false">IF(A154="","",IF(Inputs!$B$22="PUA",Q154,0))</f>
        <v>0</v>
      </c>
      <c r="X154" s="12" t="n">
        <f aca="false">IF(A154="","",IFERROR(INDEX(PUA_TABLE!$D$4:$D$105,MATCH(E154,PUA_TABLE!$C$4:$C$105,1)),0))</f>
        <v>0.397642304375804</v>
      </c>
      <c r="Y154" s="10" t="n">
        <f aca="false">IF(A154="","",IF(W154&gt;0,IF(X154&gt;0,W154/X154,0),0))</f>
        <v>0</v>
      </c>
      <c r="Z154" s="10" t="n">
        <f aca="false">IF(A154="","",N154+Y154)</f>
        <v>0</v>
      </c>
      <c r="AA154" s="10" t="n">
        <f aca="false">IF(A154="","",IFERROR(Z154*INDEX(PUA_TABLE!$I$4:$I$105,MATCH(E154,PUA_TABLE!$C$4:$C$105,1))/1000,0))</f>
        <v>0</v>
      </c>
      <c r="AB154" s="10" t="n">
        <f aca="false">IF(A154="","",IFERROR(L154+AA154,0))</f>
        <v>18511.4151441314</v>
      </c>
      <c r="AC154" s="10" t="n">
        <f aca="false">IF(A154="","",IF(Inputs!$B$22="Premium Offset",MIN(Inputs!$B$25,Q154+T154),0))</f>
        <v>0</v>
      </c>
    </row>
    <row r="155" customFormat="false" ht="15" hidden="false" customHeight="false" outlineLevel="0" collapsed="false">
      <c r="A155" s="1" t="n">
        <f aca="false">IF(A154="","",IF(INT((C154+1)/12)+Inputs!$B$7&gt;MAX(MORTALITY!$A:$A),"",Inputs!$B$4))</f>
        <v>34</v>
      </c>
      <c r="B155" s="3" t="n">
        <f aca="false">IF(A155="","",EOMONTH(B154,1))</f>
        <v>26389</v>
      </c>
      <c r="C155" s="1" t="n">
        <f aca="false">IF(A155="","",C154+1)</f>
        <v>153</v>
      </c>
      <c r="D155" s="1" t="n">
        <f aca="false">IF(A155="","",INT(C155/12))</f>
        <v>12</v>
      </c>
      <c r="E155" s="1" t="n">
        <f aca="false">IF(A155="","",D155+Inputs!$B$7)</f>
        <v>28</v>
      </c>
      <c r="F155" s="3" t="n">
        <f aca="false">IF(A155="","",DATE(YEAR(B$2)+D155,MONTH(B$2),DAY(B$2)))</f>
        <v>26089</v>
      </c>
      <c r="G155" s="3" t="n">
        <f aca="false">IF(A155="","",DATE(YEAR(F155)+1,MONTH(F155),DAY(F155)))</f>
        <v>26455</v>
      </c>
      <c r="H155" s="10" t="n">
        <f aca="false">IF(A155="","",IF(G155&gt;F155,(B155-F155)/(G155-F155),0))</f>
        <v>0.819672131147541</v>
      </c>
      <c r="I155" s="10" t="n">
        <f aca="false">IF(A155="","",IFERROR(INDEX(CV_RATES!$I:$I,MATCH(D155,CV_RATES!$C:$C,0)),0))</f>
        <v>345.418066030828</v>
      </c>
      <c r="J155" s="10" t="n">
        <f aca="false">IF(A155="","",IFERROR(IF(E155=MAX(MORTALITY!$A:$A),1000,INDEX(CV_RATES!$J:$J,MATCH(D155,CV_RATES!$C:$C,0))),0))</f>
        <v>379.174745167479</v>
      </c>
      <c r="K155" s="10" t="n">
        <f aca="false">IF(A155="","",IFERROR(I155+H155*(J155-I155),0))</f>
        <v>373.08747515923</v>
      </c>
      <c r="L155" s="10" t="n">
        <f aca="false">IF(A155="","",IFERROR(K155*Inputs!$B$9,0))</f>
        <v>18654.3737579615</v>
      </c>
      <c r="M155" s="10" t="n">
        <f aca="false">IF(A155="","",IFERROR(K155*Inputs!$B$10,0))</f>
        <v>59692.8767630514</v>
      </c>
      <c r="N155" s="10" t="n">
        <f aca="false">IF(A155="","",Z154)</f>
        <v>0</v>
      </c>
      <c r="O155" s="6" t="n">
        <f aca="false">IF(A155="","",Inputs!$B$18+N155)</f>
        <v>50000</v>
      </c>
      <c r="P155" s="5" t="n">
        <f aca="false">IF(A155="","",VLOOKUP(D155,DIvidend_Assumption!$A$3:$CX$103,($E$2+2),0)/12)</f>
        <v>0</v>
      </c>
      <c r="Q155" s="10" t="n">
        <f aca="false">IF(A155="","",IFERROR(AB154*P155,""))</f>
        <v>0</v>
      </c>
      <c r="R155" s="10" t="n">
        <f aca="false">IF(A155="","",IFERROR(IF(Inputs!$B$22="Accumulate",T155+Q155,IF(Inputs!$B$22="Premium Offset",MAX(0,T155+Q155-Inputs!$B$25),T155)),""))</f>
        <v>0</v>
      </c>
      <c r="S155" s="10" t="n">
        <f aca="false">IF(A155="","",R154)</f>
        <v>0</v>
      </c>
      <c r="T155" s="10" t="n">
        <f aca="false">IF(A155="","",IFERROR(S155*(1+Inputs!$B$23/12),""))</f>
        <v>0</v>
      </c>
      <c r="U155" s="6" t="n">
        <f aca="false">IF(A155="","",IF(D155&lt;=Inputs!$B$8,IF(Inputs!$B$22="Premium Offset",MAX(0,Inputs!$B$25-(Q155+T155)),Inputs!$B$25),0))</f>
        <v>77</v>
      </c>
      <c r="V155" s="10" t="n">
        <f aca="false">IF(A155="","",IF(Inputs!$B$22="Cash",Q155,0))</f>
        <v>0</v>
      </c>
      <c r="W155" s="10" t="n">
        <f aca="false">IF(A155="","",IF(Inputs!$B$22="PUA",Q155,0))</f>
        <v>0</v>
      </c>
      <c r="X155" s="12" t="n">
        <f aca="false">IF(A155="","",IFERROR(INDEX(PUA_TABLE!$D$4:$D$105,MATCH(E155,PUA_TABLE!$C$4:$C$105,1)),0))</f>
        <v>0.397642304375804</v>
      </c>
      <c r="Y155" s="10" t="n">
        <f aca="false">IF(A155="","",IF(W155&gt;0,IF(X155&gt;0,W155/X155,0),0))</f>
        <v>0</v>
      </c>
      <c r="Z155" s="10" t="n">
        <f aca="false">IF(A155="","",N155+Y155)</f>
        <v>0</v>
      </c>
      <c r="AA155" s="10" t="n">
        <f aca="false">IF(A155="","",IFERROR(Z155*INDEX(PUA_TABLE!$I$4:$I$105,MATCH(E155,PUA_TABLE!$C$4:$C$105,1))/1000,0))</f>
        <v>0</v>
      </c>
      <c r="AB155" s="10" t="n">
        <f aca="false">IF(A155="","",IFERROR(L155+AA155,0))</f>
        <v>18654.3737579615</v>
      </c>
      <c r="AC155" s="10" t="n">
        <f aca="false">IF(A155="","",IF(Inputs!$B$22="Premium Offset",MIN(Inputs!$B$25,Q155+T155),0))</f>
        <v>0</v>
      </c>
    </row>
    <row r="156" customFormat="false" ht="15" hidden="false" customHeight="false" outlineLevel="0" collapsed="false">
      <c r="A156" s="1" t="n">
        <f aca="false">IF(A155="","",IF(INT((C155+1)/12)+Inputs!$B$7&gt;MAX(MORTALITY!$A:$A),"",Inputs!$B$4))</f>
        <v>34</v>
      </c>
      <c r="B156" s="3" t="n">
        <f aca="false">IF(A156="","",EOMONTH(B155,1))</f>
        <v>26419</v>
      </c>
      <c r="C156" s="1" t="n">
        <f aca="false">IF(A156="","",C155+1)</f>
        <v>154</v>
      </c>
      <c r="D156" s="1" t="n">
        <f aca="false">IF(A156="","",INT(C156/12))</f>
        <v>12</v>
      </c>
      <c r="E156" s="1" t="n">
        <f aca="false">IF(A156="","",D156+Inputs!$B$7)</f>
        <v>28</v>
      </c>
      <c r="F156" s="3" t="n">
        <f aca="false">IF(A156="","",DATE(YEAR(B$2)+D156,MONTH(B$2),DAY(B$2)))</f>
        <v>26089</v>
      </c>
      <c r="G156" s="3" t="n">
        <f aca="false">IF(A156="","",DATE(YEAR(F156)+1,MONTH(F156),DAY(F156)))</f>
        <v>26455</v>
      </c>
      <c r="H156" s="10" t="n">
        <f aca="false">IF(A156="","",IF(G156&gt;F156,(B156-F156)/(G156-F156),0))</f>
        <v>0.901639344262295</v>
      </c>
      <c r="I156" s="10" t="n">
        <f aca="false">IF(A156="","",IFERROR(INDEX(CV_RATES!$I:$I,MATCH(D156,CV_RATES!$C:$C,0)),0))</f>
        <v>345.418066030828</v>
      </c>
      <c r="J156" s="10" t="n">
        <f aca="false">IF(A156="","",IFERROR(IF(E156=MAX(MORTALITY!$A:$A),1000,INDEX(CV_RATES!$J:$J,MATCH(D156,CV_RATES!$C:$C,0))),0))</f>
        <v>379.174745167479</v>
      </c>
      <c r="K156" s="10" t="n">
        <f aca="false">IF(A156="","",IFERROR(I156+H156*(J156-I156),0))</f>
        <v>375.854416072071</v>
      </c>
      <c r="L156" s="10" t="n">
        <f aca="false">IF(A156="","",IFERROR(K156*Inputs!$B$9,0))</f>
        <v>18792.7208036035</v>
      </c>
      <c r="M156" s="10" t="n">
        <f aca="false">IF(A156="","",IFERROR(K156*Inputs!$B$10,0))</f>
        <v>60135.5790082831</v>
      </c>
      <c r="N156" s="10" t="n">
        <f aca="false">IF(A156="","",Z155)</f>
        <v>0</v>
      </c>
      <c r="O156" s="6" t="n">
        <f aca="false">IF(A156="","",Inputs!$B$18+N156)</f>
        <v>50000</v>
      </c>
      <c r="P156" s="5" t="n">
        <f aca="false">IF(A156="","",VLOOKUP(D156,DIvidend_Assumption!$A$3:$CX$103,($E$2+2),0)/12)</f>
        <v>0</v>
      </c>
      <c r="Q156" s="10" t="n">
        <f aca="false">IF(A156="","",IFERROR(AB155*P156,""))</f>
        <v>0</v>
      </c>
      <c r="R156" s="10" t="n">
        <f aca="false">IF(A156="","",IFERROR(IF(Inputs!$B$22="Accumulate",T156+Q156,IF(Inputs!$B$22="Premium Offset",MAX(0,T156+Q156-Inputs!$B$25),T156)),""))</f>
        <v>0</v>
      </c>
      <c r="S156" s="10" t="n">
        <f aca="false">IF(A156="","",R155)</f>
        <v>0</v>
      </c>
      <c r="T156" s="10" t="n">
        <f aca="false">IF(A156="","",IFERROR(S156*(1+Inputs!$B$23/12),""))</f>
        <v>0</v>
      </c>
      <c r="U156" s="6" t="n">
        <f aca="false">IF(A156="","",IF(D156&lt;=Inputs!$B$8,IF(Inputs!$B$22="Premium Offset",MAX(0,Inputs!$B$25-(Q156+T156)),Inputs!$B$25),0))</f>
        <v>77</v>
      </c>
      <c r="V156" s="10" t="n">
        <f aca="false">IF(A156="","",IF(Inputs!$B$22="Cash",Q156,0))</f>
        <v>0</v>
      </c>
      <c r="W156" s="10" t="n">
        <f aca="false">IF(A156="","",IF(Inputs!$B$22="PUA",Q156,0))</f>
        <v>0</v>
      </c>
      <c r="X156" s="12" t="n">
        <f aca="false">IF(A156="","",IFERROR(INDEX(PUA_TABLE!$D$4:$D$105,MATCH(E156,PUA_TABLE!$C$4:$C$105,1)),0))</f>
        <v>0.397642304375804</v>
      </c>
      <c r="Y156" s="10" t="n">
        <f aca="false">IF(A156="","",IF(W156&gt;0,IF(X156&gt;0,W156/X156,0),0))</f>
        <v>0</v>
      </c>
      <c r="Z156" s="10" t="n">
        <f aca="false">IF(A156="","",N156+Y156)</f>
        <v>0</v>
      </c>
      <c r="AA156" s="10" t="n">
        <f aca="false">IF(A156="","",IFERROR(Z156*INDEX(PUA_TABLE!$I$4:$I$105,MATCH(E156,PUA_TABLE!$C$4:$C$105,1))/1000,0))</f>
        <v>0</v>
      </c>
      <c r="AB156" s="10" t="n">
        <f aca="false">IF(A156="","",IFERROR(L156+AA156,0))</f>
        <v>18792.7208036035</v>
      </c>
      <c r="AC156" s="10" t="n">
        <f aca="false">IF(A156="","",IF(Inputs!$B$22="Premium Offset",MIN(Inputs!$B$25,Q156+T156),0))</f>
        <v>0</v>
      </c>
    </row>
    <row r="157" customFormat="false" ht="15" hidden="false" customHeight="false" outlineLevel="0" collapsed="false">
      <c r="A157" s="1" t="n">
        <f aca="false">IF(A156="","",IF(INT((C156+1)/12)+Inputs!$B$7&gt;MAX(MORTALITY!$A:$A),"",Inputs!$B$4))</f>
        <v>34</v>
      </c>
      <c r="B157" s="3" t="n">
        <f aca="false">IF(A157="","",EOMONTH(B156,1))</f>
        <v>26450</v>
      </c>
      <c r="C157" s="1" t="n">
        <f aca="false">IF(A157="","",C156+1)</f>
        <v>155</v>
      </c>
      <c r="D157" s="1" t="n">
        <f aca="false">IF(A157="","",INT(C157/12))</f>
        <v>12</v>
      </c>
      <c r="E157" s="1" t="n">
        <f aca="false">IF(A157="","",D157+Inputs!$B$7)</f>
        <v>28</v>
      </c>
      <c r="F157" s="3" t="n">
        <f aca="false">IF(A157="","",DATE(YEAR(B$2)+D157,MONTH(B$2),DAY(B$2)))</f>
        <v>26089</v>
      </c>
      <c r="G157" s="3" t="n">
        <f aca="false">IF(A157="","",DATE(YEAR(F157)+1,MONTH(F157),DAY(F157)))</f>
        <v>26455</v>
      </c>
      <c r="H157" s="10" t="n">
        <f aca="false">IF(A157="","",IF(G157&gt;F157,(B157-F157)/(G157-F157),0))</f>
        <v>0.986338797814208</v>
      </c>
      <c r="I157" s="10" t="n">
        <f aca="false">IF(A157="","",IFERROR(INDEX(CV_RATES!$I:$I,MATCH(D157,CV_RATES!$C:$C,0)),0))</f>
        <v>345.418066030828</v>
      </c>
      <c r="J157" s="10" t="n">
        <f aca="false">IF(A157="","",IFERROR(IF(E157=MAX(MORTALITY!$A:$A),1000,INDEX(CV_RATES!$J:$J,MATCH(D157,CV_RATES!$C:$C,0))),0))</f>
        <v>379.174745167479</v>
      </c>
      <c r="K157" s="10" t="n">
        <f aca="false">IF(A157="","",IFERROR(I157+H157*(J157-I157),0))</f>
        <v>378.713588348672</v>
      </c>
      <c r="L157" s="10" t="n">
        <f aca="false">IF(A157="","",IFERROR(K157*Inputs!$B$9,0))</f>
        <v>18935.6794174336</v>
      </c>
      <c r="M157" s="10" t="n">
        <f aca="false">IF(A157="","",IFERROR(K157*Inputs!$B$10,0))</f>
        <v>60593.0379950225</v>
      </c>
      <c r="N157" s="10" t="n">
        <f aca="false">IF(A157="","",Z156)</f>
        <v>0</v>
      </c>
      <c r="O157" s="6" t="n">
        <f aca="false">IF(A157="","",Inputs!$B$18+N157)</f>
        <v>50000</v>
      </c>
      <c r="P157" s="5" t="n">
        <f aca="false">IF(A157="","",VLOOKUP(D157,DIvidend_Assumption!$A$3:$CX$103,($E$2+2),0)/12)</f>
        <v>0</v>
      </c>
      <c r="Q157" s="10" t="n">
        <f aca="false">IF(A157="","",IFERROR(AB156*P157,""))</f>
        <v>0</v>
      </c>
      <c r="R157" s="10" t="n">
        <f aca="false">IF(A157="","",IFERROR(IF(Inputs!$B$22="Accumulate",T157+Q157,IF(Inputs!$B$22="Premium Offset",MAX(0,T157+Q157-Inputs!$B$25),T157)),""))</f>
        <v>0</v>
      </c>
      <c r="S157" s="10" t="n">
        <f aca="false">IF(A157="","",R156)</f>
        <v>0</v>
      </c>
      <c r="T157" s="10" t="n">
        <f aca="false">IF(A157="","",IFERROR(S157*(1+Inputs!$B$23/12),""))</f>
        <v>0</v>
      </c>
      <c r="U157" s="6" t="n">
        <f aca="false">IF(A157="","",IF(D157&lt;=Inputs!$B$8,IF(Inputs!$B$22="Premium Offset",MAX(0,Inputs!$B$25-(Q157+T157)),Inputs!$B$25),0))</f>
        <v>77</v>
      </c>
      <c r="V157" s="10" t="n">
        <f aca="false">IF(A157="","",IF(Inputs!$B$22="Cash",Q157,0))</f>
        <v>0</v>
      </c>
      <c r="W157" s="10" t="n">
        <f aca="false">IF(A157="","",IF(Inputs!$B$22="PUA",Q157,0))</f>
        <v>0</v>
      </c>
      <c r="X157" s="12" t="n">
        <f aca="false">IF(A157="","",IFERROR(INDEX(PUA_TABLE!$D$4:$D$105,MATCH(E157,PUA_TABLE!$C$4:$C$105,1)),0))</f>
        <v>0.397642304375804</v>
      </c>
      <c r="Y157" s="10" t="n">
        <f aca="false">IF(A157="","",IF(W157&gt;0,IF(X157&gt;0,W157/X157,0),0))</f>
        <v>0</v>
      </c>
      <c r="Z157" s="10" t="n">
        <f aca="false">IF(A157="","",N157+Y157)</f>
        <v>0</v>
      </c>
      <c r="AA157" s="10" t="n">
        <f aca="false">IF(A157="","",IFERROR(Z157*INDEX(PUA_TABLE!$I$4:$I$105,MATCH(E157,PUA_TABLE!$C$4:$C$105,1))/1000,0))</f>
        <v>0</v>
      </c>
      <c r="AB157" s="10" t="n">
        <f aca="false">IF(A157="","",IFERROR(L157+AA157,0))</f>
        <v>18935.6794174336</v>
      </c>
      <c r="AC157" s="10" t="n">
        <f aca="false">IF(A157="","",IF(Inputs!$B$22="Premium Offset",MIN(Inputs!$B$25,Q157+T157),0))</f>
        <v>0</v>
      </c>
    </row>
    <row r="158" customFormat="false" ht="15" hidden="false" customHeight="false" outlineLevel="0" collapsed="false">
      <c r="A158" s="1" t="n">
        <f aca="false">IF(A157="","",IF(INT((C157+1)/12)+Inputs!$B$7&gt;MAX(MORTALITY!$A:$A),"",Inputs!$B$4))</f>
        <v>34</v>
      </c>
      <c r="B158" s="3" t="n">
        <f aca="false">IF(A158="","",EOMONTH(B157,1))</f>
        <v>26480</v>
      </c>
      <c r="C158" s="1" t="n">
        <f aca="false">IF(A158="","",C157+1)</f>
        <v>156</v>
      </c>
      <c r="D158" s="1" t="n">
        <f aca="false">IF(A158="","",INT(C158/12))</f>
        <v>13</v>
      </c>
      <c r="E158" s="1" t="n">
        <f aca="false">IF(A158="","",D158+Inputs!$B$7)</f>
        <v>29</v>
      </c>
      <c r="F158" s="3" t="n">
        <f aca="false">IF(A158="","",DATE(YEAR(B$2)+D158,MONTH(B$2),DAY(B$2)))</f>
        <v>26455</v>
      </c>
      <c r="G158" s="3" t="n">
        <f aca="false">IF(A158="","",DATE(YEAR(F158)+1,MONTH(F158),DAY(F158)))</f>
        <v>26820</v>
      </c>
      <c r="H158" s="10" t="n">
        <f aca="false">IF(A158="","",IF(G158&gt;F158,(B158-F158)/(G158-F158),0))</f>
        <v>0.0684931506849315</v>
      </c>
      <c r="I158" s="10" t="n">
        <f aca="false">IF(A158="","",IFERROR(INDEX(CV_RATES!$I:$I,MATCH(D158,CV_RATES!$C:$C,0)),0))</f>
        <v>379.174745167479</v>
      </c>
      <c r="J158" s="10" t="n">
        <f aca="false">IF(A158="","",IFERROR(IF(E158=MAX(MORTALITY!$A:$A),1000,INDEX(CV_RATES!$J:$J,MATCH(D158,CV_RATES!$C:$C,0))),0))</f>
        <v>413.799943167521</v>
      </c>
      <c r="K158" s="10" t="n">
        <f aca="false">IF(A158="","",IFERROR(I158+H158*(J158-I158),0))</f>
        <v>381.546334071591</v>
      </c>
      <c r="L158" s="10" t="n">
        <f aca="false">IF(A158="","",IFERROR(K158*Inputs!$B$9,0))</f>
        <v>19077.3167035796</v>
      </c>
      <c r="M158" s="10" t="n">
        <f aca="false">IF(A158="","",IFERROR(K158*Inputs!$B$10,0))</f>
        <v>61046.2688124524</v>
      </c>
      <c r="N158" s="10" t="n">
        <f aca="false">IF(A158="","",Z157)</f>
        <v>0</v>
      </c>
      <c r="O158" s="6" t="n">
        <f aca="false">IF(A158="","",Inputs!$B$18+N158)</f>
        <v>50000</v>
      </c>
      <c r="P158" s="5" t="n">
        <f aca="false">IF(A158="","",VLOOKUP(D158,DIvidend_Assumption!$A$3:$CX$103,($E$2+2),0)/12)</f>
        <v>0</v>
      </c>
      <c r="Q158" s="10" t="n">
        <f aca="false">IF(A158="","",IFERROR(AB157*P158,""))</f>
        <v>0</v>
      </c>
      <c r="R158" s="10" t="n">
        <f aca="false">IF(A158="","",IFERROR(IF(Inputs!$B$22="Accumulate",T158+Q158,IF(Inputs!$B$22="Premium Offset",MAX(0,T158+Q158-Inputs!$B$25),T158)),""))</f>
        <v>0</v>
      </c>
      <c r="S158" s="10" t="n">
        <f aca="false">IF(A158="","",R157)</f>
        <v>0</v>
      </c>
      <c r="T158" s="10" t="n">
        <f aca="false">IF(A158="","",IFERROR(S158*(1+Inputs!$B$23/12),""))</f>
        <v>0</v>
      </c>
      <c r="U158" s="6" t="n">
        <f aca="false">IF(A158="","",IF(D158&lt;=Inputs!$B$8,IF(Inputs!$B$22="Premium Offset",MAX(0,Inputs!$B$25-(Q158+T158)),Inputs!$B$25),0))</f>
        <v>77</v>
      </c>
      <c r="V158" s="10" t="n">
        <f aca="false">IF(A158="","",IF(Inputs!$B$22="Cash",Q158,0))</f>
        <v>0</v>
      </c>
      <c r="W158" s="10" t="n">
        <f aca="false">IF(A158="","",IF(Inputs!$B$22="PUA",Q158,0))</f>
        <v>0</v>
      </c>
      <c r="X158" s="12" t="n">
        <f aca="false">IF(A158="","",IFERROR(INDEX(PUA_TABLE!$D$4:$D$105,MATCH(E158,PUA_TABLE!$C$4:$C$105,1)),0))</f>
        <v>0.405651730108051</v>
      </c>
      <c r="Y158" s="10" t="n">
        <f aca="false">IF(A158="","",IF(W158&gt;0,IF(X158&gt;0,W158/X158,0),0))</f>
        <v>0</v>
      </c>
      <c r="Z158" s="10" t="n">
        <f aca="false">IF(A158="","",N158+Y158)</f>
        <v>0</v>
      </c>
      <c r="AA158" s="10" t="n">
        <f aca="false">IF(A158="","",IFERROR(Z158*INDEX(PUA_TABLE!$I$4:$I$105,MATCH(E158,PUA_TABLE!$C$4:$C$105,1))/1000,0))</f>
        <v>0</v>
      </c>
      <c r="AB158" s="10" t="n">
        <f aca="false">IF(A158="","",IFERROR(L158+AA158,0))</f>
        <v>19077.3167035796</v>
      </c>
      <c r="AC158" s="10" t="n">
        <f aca="false">IF(A158="","",IF(Inputs!$B$22="Premium Offset",MIN(Inputs!$B$25,Q158+T158),0))</f>
        <v>0</v>
      </c>
    </row>
    <row r="159" customFormat="false" ht="15" hidden="false" customHeight="false" outlineLevel="0" collapsed="false">
      <c r="A159" s="1" t="n">
        <f aca="false">IF(A158="","",IF(INT((C158+1)/12)+Inputs!$B$7&gt;MAX(MORTALITY!$A:$A),"",Inputs!$B$4))</f>
        <v>34</v>
      </c>
      <c r="B159" s="3" t="n">
        <f aca="false">IF(A159="","",EOMONTH(B158,1))</f>
        <v>26511</v>
      </c>
      <c r="C159" s="1" t="n">
        <f aca="false">IF(A159="","",C158+1)</f>
        <v>157</v>
      </c>
      <c r="D159" s="1" t="n">
        <f aca="false">IF(A159="","",INT(C159/12))</f>
        <v>13</v>
      </c>
      <c r="E159" s="1" t="n">
        <f aca="false">IF(A159="","",D159+Inputs!$B$7)</f>
        <v>29</v>
      </c>
      <c r="F159" s="3" t="n">
        <f aca="false">IF(A159="","",DATE(YEAR(B$2)+D159,MONTH(B$2),DAY(B$2)))</f>
        <v>26455</v>
      </c>
      <c r="G159" s="3" t="n">
        <f aca="false">IF(A159="","",DATE(YEAR(F159)+1,MONTH(F159),DAY(F159)))</f>
        <v>26820</v>
      </c>
      <c r="H159" s="10" t="n">
        <f aca="false">IF(A159="","",IF(G159&gt;F159,(B159-F159)/(G159-F159),0))</f>
        <v>0.153424657534247</v>
      </c>
      <c r="I159" s="10" t="n">
        <f aca="false">IF(A159="","",IFERROR(INDEX(CV_RATES!$I:$I,MATCH(D159,CV_RATES!$C:$C,0)),0))</f>
        <v>379.174745167479</v>
      </c>
      <c r="J159" s="10" t="n">
        <f aca="false">IF(A159="","",IFERROR(IF(E159=MAX(MORTALITY!$A:$A),1000,INDEX(CV_RATES!$J:$J,MATCH(D159,CV_RATES!$C:$C,0))),0))</f>
        <v>413.799943167521</v>
      </c>
      <c r="K159" s="10" t="n">
        <f aca="false">IF(A159="","",IFERROR(I159+H159*(J159-I159),0))</f>
        <v>384.487104312691</v>
      </c>
      <c r="L159" s="10" t="n">
        <f aca="false">IF(A159="","",IFERROR(K159*Inputs!$B$9,0))</f>
        <v>19224.3552156345</v>
      </c>
      <c r="M159" s="10" t="n">
        <f aca="false">IF(A159="","",IFERROR(K159*Inputs!$B$10,0))</f>
        <v>61516.7832287176</v>
      </c>
      <c r="N159" s="10" t="n">
        <f aca="false">IF(A159="","",Z158)</f>
        <v>0</v>
      </c>
      <c r="O159" s="6" t="n">
        <f aca="false">IF(A159="","",Inputs!$B$18+N159)</f>
        <v>50000</v>
      </c>
      <c r="P159" s="5" t="n">
        <f aca="false">IF(A159="","",VLOOKUP(D159,DIvidend_Assumption!$A$3:$CX$103,($E$2+2),0)/12)</f>
        <v>0</v>
      </c>
      <c r="Q159" s="10" t="n">
        <f aca="false">IF(A159="","",IFERROR(AB158*P159,""))</f>
        <v>0</v>
      </c>
      <c r="R159" s="10" t="n">
        <f aca="false">IF(A159="","",IFERROR(IF(Inputs!$B$22="Accumulate",T159+Q159,IF(Inputs!$B$22="Premium Offset",MAX(0,T159+Q159-Inputs!$B$25),T159)),""))</f>
        <v>0</v>
      </c>
      <c r="S159" s="10" t="n">
        <f aca="false">IF(A159="","",R158)</f>
        <v>0</v>
      </c>
      <c r="T159" s="10" t="n">
        <f aca="false">IF(A159="","",IFERROR(S159*(1+Inputs!$B$23/12),""))</f>
        <v>0</v>
      </c>
      <c r="U159" s="6" t="n">
        <f aca="false">IF(A159="","",IF(D159&lt;=Inputs!$B$8,IF(Inputs!$B$22="Premium Offset",MAX(0,Inputs!$B$25-(Q159+T159)),Inputs!$B$25),0))</f>
        <v>77</v>
      </c>
      <c r="V159" s="10" t="n">
        <f aca="false">IF(A159="","",IF(Inputs!$B$22="Cash",Q159,0))</f>
        <v>0</v>
      </c>
      <c r="W159" s="10" t="n">
        <f aca="false">IF(A159="","",IF(Inputs!$B$22="PUA",Q159,0))</f>
        <v>0</v>
      </c>
      <c r="X159" s="12" t="n">
        <f aca="false">IF(A159="","",IFERROR(INDEX(PUA_TABLE!$D$4:$D$105,MATCH(E159,PUA_TABLE!$C$4:$C$105,1)),0))</f>
        <v>0.405651730108051</v>
      </c>
      <c r="Y159" s="10" t="n">
        <f aca="false">IF(A159="","",IF(W159&gt;0,IF(X159&gt;0,W159/X159,0),0))</f>
        <v>0</v>
      </c>
      <c r="Z159" s="10" t="n">
        <f aca="false">IF(A159="","",N159+Y159)</f>
        <v>0</v>
      </c>
      <c r="AA159" s="10" t="n">
        <f aca="false">IF(A159="","",IFERROR(Z159*INDEX(PUA_TABLE!$I$4:$I$105,MATCH(E159,PUA_TABLE!$C$4:$C$105,1))/1000,0))</f>
        <v>0</v>
      </c>
      <c r="AB159" s="10" t="n">
        <f aca="false">IF(A159="","",IFERROR(L159+AA159,0))</f>
        <v>19224.3552156345</v>
      </c>
      <c r="AC159" s="10" t="n">
        <f aca="false">IF(A159="","",IF(Inputs!$B$22="Premium Offset",MIN(Inputs!$B$25,Q159+T159),0))</f>
        <v>0</v>
      </c>
    </row>
    <row r="160" customFormat="false" ht="15" hidden="false" customHeight="false" outlineLevel="0" collapsed="false">
      <c r="A160" s="1" t="n">
        <f aca="false">IF(A159="","",IF(INT((C159+1)/12)+Inputs!$B$7&gt;MAX(MORTALITY!$A:$A),"",Inputs!$B$4))</f>
        <v>34</v>
      </c>
      <c r="B160" s="3" t="n">
        <f aca="false">IF(A160="","",EOMONTH(B159,1))</f>
        <v>26542</v>
      </c>
      <c r="C160" s="1" t="n">
        <f aca="false">IF(A160="","",C159+1)</f>
        <v>158</v>
      </c>
      <c r="D160" s="1" t="n">
        <f aca="false">IF(A160="","",INT(C160/12))</f>
        <v>13</v>
      </c>
      <c r="E160" s="1" t="n">
        <f aca="false">IF(A160="","",D160+Inputs!$B$7)</f>
        <v>29</v>
      </c>
      <c r="F160" s="3" t="n">
        <f aca="false">IF(A160="","",DATE(YEAR(B$2)+D160,MONTH(B$2),DAY(B$2)))</f>
        <v>26455</v>
      </c>
      <c r="G160" s="3" t="n">
        <f aca="false">IF(A160="","",DATE(YEAR(F160)+1,MONTH(F160),DAY(F160)))</f>
        <v>26820</v>
      </c>
      <c r="H160" s="10" t="n">
        <f aca="false">IF(A160="","",IF(G160&gt;F160,(B160-F160)/(G160-F160),0))</f>
        <v>0.238356164383562</v>
      </c>
      <c r="I160" s="10" t="n">
        <f aca="false">IF(A160="","",IFERROR(INDEX(CV_RATES!$I:$I,MATCH(D160,CV_RATES!$C:$C,0)),0))</f>
        <v>379.174745167479</v>
      </c>
      <c r="J160" s="10" t="n">
        <f aca="false">IF(A160="","",IFERROR(IF(E160=MAX(MORTALITY!$A:$A),1000,INDEX(CV_RATES!$J:$J,MATCH(D160,CV_RATES!$C:$C,0))),0))</f>
        <v>413.799943167521</v>
      </c>
      <c r="K160" s="10" t="n">
        <f aca="false">IF(A160="","",IFERROR(I160+H160*(J160-I160),0))</f>
        <v>387.42787455379</v>
      </c>
      <c r="L160" s="10" t="n">
        <f aca="false">IF(A160="","",IFERROR(K160*Inputs!$B$9,0))</f>
        <v>19371.3937276895</v>
      </c>
      <c r="M160" s="10" t="n">
        <f aca="false">IF(A160="","",IFERROR(K160*Inputs!$B$10,0))</f>
        <v>61987.2976449828</v>
      </c>
      <c r="N160" s="10" t="n">
        <f aca="false">IF(A160="","",Z159)</f>
        <v>0</v>
      </c>
      <c r="O160" s="6" t="n">
        <f aca="false">IF(A160="","",Inputs!$B$18+N160)</f>
        <v>50000</v>
      </c>
      <c r="P160" s="5" t="n">
        <f aca="false">IF(A160="","",VLOOKUP(D160,DIvidend_Assumption!$A$3:$CX$103,($E$2+2),0)/12)</f>
        <v>0</v>
      </c>
      <c r="Q160" s="10" t="n">
        <f aca="false">IF(A160="","",IFERROR(AB159*P160,""))</f>
        <v>0</v>
      </c>
      <c r="R160" s="10" t="n">
        <f aca="false">IF(A160="","",IFERROR(IF(Inputs!$B$22="Accumulate",T160+Q160,IF(Inputs!$B$22="Premium Offset",MAX(0,T160+Q160-Inputs!$B$25),T160)),""))</f>
        <v>0</v>
      </c>
      <c r="S160" s="10" t="n">
        <f aca="false">IF(A160="","",R159)</f>
        <v>0</v>
      </c>
      <c r="T160" s="10" t="n">
        <f aca="false">IF(A160="","",IFERROR(S160*(1+Inputs!$B$23/12),""))</f>
        <v>0</v>
      </c>
      <c r="U160" s="6" t="n">
        <f aca="false">IF(A160="","",IF(D160&lt;=Inputs!$B$8,IF(Inputs!$B$22="Premium Offset",MAX(0,Inputs!$B$25-(Q160+T160)),Inputs!$B$25),0))</f>
        <v>77</v>
      </c>
      <c r="V160" s="10" t="n">
        <f aca="false">IF(A160="","",IF(Inputs!$B$22="Cash",Q160,0))</f>
        <v>0</v>
      </c>
      <c r="W160" s="10" t="n">
        <f aca="false">IF(A160="","",IF(Inputs!$B$22="PUA",Q160,0))</f>
        <v>0</v>
      </c>
      <c r="X160" s="12" t="n">
        <f aca="false">IF(A160="","",IFERROR(INDEX(PUA_TABLE!$D$4:$D$105,MATCH(E160,PUA_TABLE!$C$4:$C$105,1)),0))</f>
        <v>0.405651730108051</v>
      </c>
      <c r="Y160" s="10" t="n">
        <f aca="false">IF(A160="","",IF(W160&gt;0,IF(X160&gt;0,W160/X160,0),0))</f>
        <v>0</v>
      </c>
      <c r="Z160" s="10" t="n">
        <f aca="false">IF(A160="","",N160+Y160)</f>
        <v>0</v>
      </c>
      <c r="AA160" s="10" t="n">
        <f aca="false">IF(A160="","",IFERROR(Z160*INDEX(PUA_TABLE!$I$4:$I$105,MATCH(E160,PUA_TABLE!$C$4:$C$105,1))/1000,0))</f>
        <v>0</v>
      </c>
      <c r="AB160" s="10" t="n">
        <f aca="false">IF(A160="","",IFERROR(L160+AA160,0))</f>
        <v>19371.3937276895</v>
      </c>
      <c r="AC160" s="10" t="n">
        <f aca="false">IF(A160="","",IF(Inputs!$B$22="Premium Offset",MIN(Inputs!$B$25,Q160+T160),0))</f>
        <v>0</v>
      </c>
    </row>
    <row r="161" customFormat="false" ht="15" hidden="false" customHeight="false" outlineLevel="0" collapsed="false">
      <c r="A161" s="1" t="n">
        <f aca="false">IF(A160="","",IF(INT((C160+1)/12)+Inputs!$B$7&gt;MAX(MORTALITY!$A:$A),"",Inputs!$B$4))</f>
        <v>34</v>
      </c>
      <c r="B161" s="3" t="n">
        <f aca="false">IF(A161="","",EOMONTH(B160,1))</f>
        <v>26572</v>
      </c>
      <c r="C161" s="1" t="n">
        <f aca="false">IF(A161="","",C160+1)</f>
        <v>159</v>
      </c>
      <c r="D161" s="1" t="n">
        <f aca="false">IF(A161="","",INT(C161/12))</f>
        <v>13</v>
      </c>
      <c r="E161" s="1" t="n">
        <f aca="false">IF(A161="","",D161+Inputs!$B$7)</f>
        <v>29</v>
      </c>
      <c r="F161" s="3" t="n">
        <f aca="false">IF(A161="","",DATE(YEAR(B$2)+D161,MONTH(B$2),DAY(B$2)))</f>
        <v>26455</v>
      </c>
      <c r="G161" s="3" t="n">
        <f aca="false">IF(A161="","",DATE(YEAR(F161)+1,MONTH(F161),DAY(F161)))</f>
        <v>26820</v>
      </c>
      <c r="H161" s="10" t="n">
        <f aca="false">IF(A161="","",IF(G161&gt;F161,(B161-F161)/(G161-F161),0))</f>
        <v>0.320547945205479</v>
      </c>
      <c r="I161" s="10" t="n">
        <f aca="false">IF(A161="","",IFERROR(INDEX(CV_RATES!$I:$I,MATCH(D161,CV_RATES!$C:$C,0)),0))</f>
        <v>379.174745167479</v>
      </c>
      <c r="J161" s="10" t="n">
        <f aca="false">IF(A161="","",IFERROR(IF(E161=MAX(MORTALITY!$A:$A),1000,INDEX(CV_RATES!$J:$J,MATCH(D161,CV_RATES!$C:$C,0))),0))</f>
        <v>413.799943167521</v>
      </c>
      <c r="K161" s="10" t="n">
        <f aca="false">IF(A161="","",IFERROR(I161+H161*(J161-I161),0))</f>
        <v>390.273781238725</v>
      </c>
      <c r="L161" s="10" t="n">
        <f aca="false">IF(A161="","",IFERROR(K161*Inputs!$B$9,0))</f>
        <v>19513.6890619363</v>
      </c>
      <c r="M161" s="10" t="n">
        <f aca="false">IF(A161="","",IFERROR(K161*Inputs!$B$10,0))</f>
        <v>62442.6341768523</v>
      </c>
      <c r="N161" s="10" t="n">
        <f aca="false">IF(A161="","",Z160)</f>
        <v>0</v>
      </c>
      <c r="O161" s="6" t="n">
        <f aca="false">IF(A161="","",Inputs!$B$18+N161)</f>
        <v>50000</v>
      </c>
      <c r="P161" s="5" t="n">
        <f aca="false">IF(A161="","",VLOOKUP(D161,DIvidend_Assumption!$A$3:$CX$103,($E$2+2),0)/12)</f>
        <v>0</v>
      </c>
      <c r="Q161" s="10" t="n">
        <f aca="false">IF(A161="","",IFERROR(AB160*P161,""))</f>
        <v>0</v>
      </c>
      <c r="R161" s="10" t="n">
        <f aca="false">IF(A161="","",IFERROR(IF(Inputs!$B$22="Accumulate",T161+Q161,IF(Inputs!$B$22="Premium Offset",MAX(0,T161+Q161-Inputs!$B$25),T161)),""))</f>
        <v>0</v>
      </c>
      <c r="S161" s="10" t="n">
        <f aca="false">IF(A161="","",R160)</f>
        <v>0</v>
      </c>
      <c r="T161" s="10" t="n">
        <f aca="false">IF(A161="","",IFERROR(S161*(1+Inputs!$B$23/12),""))</f>
        <v>0</v>
      </c>
      <c r="U161" s="6" t="n">
        <f aca="false">IF(A161="","",IF(D161&lt;=Inputs!$B$8,IF(Inputs!$B$22="Premium Offset",MAX(0,Inputs!$B$25-(Q161+T161)),Inputs!$B$25),0))</f>
        <v>77</v>
      </c>
      <c r="V161" s="10" t="n">
        <f aca="false">IF(A161="","",IF(Inputs!$B$22="Cash",Q161,0))</f>
        <v>0</v>
      </c>
      <c r="W161" s="10" t="n">
        <f aca="false">IF(A161="","",IF(Inputs!$B$22="PUA",Q161,0))</f>
        <v>0</v>
      </c>
      <c r="X161" s="12" t="n">
        <f aca="false">IF(A161="","",IFERROR(INDEX(PUA_TABLE!$D$4:$D$105,MATCH(E161,PUA_TABLE!$C$4:$C$105,1)),0))</f>
        <v>0.405651730108051</v>
      </c>
      <c r="Y161" s="10" t="n">
        <f aca="false">IF(A161="","",IF(W161&gt;0,IF(X161&gt;0,W161/X161,0),0))</f>
        <v>0</v>
      </c>
      <c r="Z161" s="10" t="n">
        <f aca="false">IF(A161="","",N161+Y161)</f>
        <v>0</v>
      </c>
      <c r="AA161" s="10" t="n">
        <f aca="false">IF(A161="","",IFERROR(Z161*INDEX(PUA_TABLE!$I$4:$I$105,MATCH(E161,PUA_TABLE!$C$4:$C$105,1))/1000,0))</f>
        <v>0</v>
      </c>
      <c r="AB161" s="10" t="n">
        <f aca="false">IF(A161="","",IFERROR(L161+AA161,0))</f>
        <v>19513.6890619363</v>
      </c>
      <c r="AC161" s="10" t="n">
        <f aca="false">IF(A161="","",IF(Inputs!$B$22="Premium Offset",MIN(Inputs!$B$25,Q161+T161),0))</f>
        <v>0</v>
      </c>
    </row>
    <row r="162" customFormat="false" ht="15" hidden="false" customHeight="false" outlineLevel="0" collapsed="false">
      <c r="A162" s="1" t="n">
        <f aca="false">IF(A161="","",IF(INT((C161+1)/12)+Inputs!$B$7&gt;MAX(MORTALITY!$A:$A),"",Inputs!$B$4))</f>
        <v>34</v>
      </c>
      <c r="B162" s="3" t="n">
        <f aca="false">IF(A162="","",EOMONTH(B161,1))</f>
        <v>26603</v>
      </c>
      <c r="C162" s="1" t="n">
        <f aca="false">IF(A162="","",C161+1)</f>
        <v>160</v>
      </c>
      <c r="D162" s="1" t="n">
        <f aca="false">IF(A162="","",INT(C162/12))</f>
        <v>13</v>
      </c>
      <c r="E162" s="1" t="n">
        <f aca="false">IF(A162="","",D162+Inputs!$B$7)</f>
        <v>29</v>
      </c>
      <c r="F162" s="3" t="n">
        <f aca="false">IF(A162="","",DATE(YEAR(B$2)+D162,MONTH(B$2),DAY(B$2)))</f>
        <v>26455</v>
      </c>
      <c r="G162" s="3" t="n">
        <f aca="false">IF(A162="","",DATE(YEAR(F162)+1,MONTH(F162),DAY(F162)))</f>
        <v>26820</v>
      </c>
      <c r="H162" s="10" t="n">
        <f aca="false">IF(A162="","",IF(G162&gt;F162,(B162-F162)/(G162-F162),0))</f>
        <v>0.405479452054795</v>
      </c>
      <c r="I162" s="10" t="n">
        <f aca="false">IF(A162="","",IFERROR(INDEX(CV_RATES!$I:$I,MATCH(D162,CV_RATES!$C:$C,0)),0))</f>
        <v>379.174745167479</v>
      </c>
      <c r="J162" s="10" t="n">
        <f aca="false">IF(A162="","",IFERROR(IF(E162=MAX(MORTALITY!$A:$A),1000,INDEX(CV_RATES!$J:$J,MATCH(D162,CV_RATES!$C:$C,0))),0))</f>
        <v>413.799943167521</v>
      </c>
      <c r="K162" s="10" t="n">
        <f aca="false">IF(A162="","",IFERROR(I162+H162*(J162-I162),0))</f>
        <v>393.214551479825</v>
      </c>
      <c r="L162" s="10" t="n">
        <f aca="false">IF(A162="","",IFERROR(K162*Inputs!$B$9,0))</f>
        <v>19660.7275739912</v>
      </c>
      <c r="M162" s="10" t="n">
        <f aca="false">IF(A162="","",IFERROR(K162*Inputs!$B$10,0))</f>
        <v>62913.1485931175</v>
      </c>
      <c r="N162" s="10" t="n">
        <f aca="false">IF(A162="","",Z161)</f>
        <v>0</v>
      </c>
      <c r="O162" s="6" t="n">
        <f aca="false">IF(A162="","",Inputs!$B$18+N162)</f>
        <v>50000</v>
      </c>
      <c r="P162" s="5" t="n">
        <f aca="false">IF(A162="","",VLOOKUP(D162,DIvidend_Assumption!$A$3:$CX$103,($E$2+2),0)/12)</f>
        <v>0</v>
      </c>
      <c r="Q162" s="10" t="n">
        <f aca="false">IF(A162="","",IFERROR(AB161*P162,""))</f>
        <v>0</v>
      </c>
      <c r="R162" s="10" t="n">
        <f aca="false">IF(A162="","",IFERROR(IF(Inputs!$B$22="Accumulate",T162+Q162,IF(Inputs!$B$22="Premium Offset",MAX(0,T162+Q162-Inputs!$B$25),T162)),""))</f>
        <v>0</v>
      </c>
      <c r="S162" s="10" t="n">
        <f aca="false">IF(A162="","",R161)</f>
        <v>0</v>
      </c>
      <c r="T162" s="10" t="n">
        <f aca="false">IF(A162="","",IFERROR(S162*(1+Inputs!$B$23/12),""))</f>
        <v>0</v>
      </c>
      <c r="U162" s="6" t="n">
        <f aca="false">IF(A162="","",IF(D162&lt;=Inputs!$B$8,IF(Inputs!$B$22="Premium Offset",MAX(0,Inputs!$B$25-(Q162+T162)),Inputs!$B$25),0))</f>
        <v>77</v>
      </c>
      <c r="V162" s="10" t="n">
        <f aca="false">IF(A162="","",IF(Inputs!$B$22="Cash",Q162,0))</f>
        <v>0</v>
      </c>
      <c r="W162" s="10" t="n">
        <f aca="false">IF(A162="","",IF(Inputs!$B$22="PUA",Q162,0))</f>
        <v>0</v>
      </c>
      <c r="X162" s="12" t="n">
        <f aca="false">IF(A162="","",IFERROR(INDEX(PUA_TABLE!$D$4:$D$105,MATCH(E162,PUA_TABLE!$C$4:$C$105,1)),0))</f>
        <v>0.405651730108051</v>
      </c>
      <c r="Y162" s="10" t="n">
        <f aca="false">IF(A162="","",IF(W162&gt;0,IF(X162&gt;0,W162/X162,0),0))</f>
        <v>0</v>
      </c>
      <c r="Z162" s="10" t="n">
        <f aca="false">IF(A162="","",N162+Y162)</f>
        <v>0</v>
      </c>
      <c r="AA162" s="10" t="n">
        <f aca="false">IF(A162="","",IFERROR(Z162*INDEX(PUA_TABLE!$I$4:$I$105,MATCH(E162,PUA_TABLE!$C$4:$C$105,1))/1000,0))</f>
        <v>0</v>
      </c>
      <c r="AB162" s="10" t="n">
        <f aca="false">IF(A162="","",IFERROR(L162+AA162,0))</f>
        <v>19660.7275739912</v>
      </c>
      <c r="AC162" s="10" t="n">
        <f aca="false">IF(A162="","",IF(Inputs!$B$22="Premium Offset",MIN(Inputs!$B$25,Q162+T162),0))</f>
        <v>0</v>
      </c>
    </row>
    <row r="163" customFormat="false" ht="15" hidden="false" customHeight="false" outlineLevel="0" collapsed="false">
      <c r="A163" s="1" t="n">
        <f aca="false">IF(A162="","",IF(INT((C162+1)/12)+Inputs!$B$7&gt;MAX(MORTALITY!$A:$A),"",Inputs!$B$4))</f>
        <v>34</v>
      </c>
      <c r="B163" s="3" t="n">
        <f aca="false">IF(A163="","",EOMONTH(B162,1))</f>
        <v>26633</v>
      </c>
      <c r="C163" s="1" t="n">
        <f aca="false">IF(A163="","",C162+1)</f>
        <v>161</v>
      </c>
      <c r="D163" s="1" t="n">
        <f aca="false">IF(A163="","",INT(C163/12))</f>
        <v>13</v>
      </c>
      <c r="E163" s="1" t="n">
        <f aca="false">IF(A163="","",D163+Inputs!$B$7)</f>
        <v>29</v>
      </c>
      <c r="F163" s="3" t="n">
        <f aca="false">IF(A163="","",DATE(YEAR(B$2)+D163,MONTH(B$2),DAY(B$2)))</f>
        <v>26455</v>
      </c>
      <c r="G163" s="3" t="n">
        <f aca="false">IF(A163="","",DATE(YEAR(F163)+1,MONTH(F163),DAY(F163)))</f>
        <v>26820</v>
      </c>
      <c r="H163" s="10" t="n">
        <f aca="false">IF(A163="","",IF(G163&gt;F163,(B163-F163)/(G163-F163),0))</f>
        <v>0.487671232876712</v>
      </c>
      <c r="I163" s="10" t="n">
        <f aca="false">IF(A163="","",IFERROR(INDEX(CV_RATES!$I:$I,MATCH(D163,CV_RATES!$C:$C,0)),0))</f>
        <v>379.174745167479</v>
      </c>
      <c r="J163" s="10" t="n">
        <f aca="false">IF(A163="","",IFERROR(IF(E163=MAX(MORTALITY!$A:$A),1000,INDEX(CV_RATES!$J:$J,MATCH(D163,CV_RATES!$C:$C,0))),0))</f>
        <v>413.799943167521</v>
      </c>
      <c r="K163" s="10" t="n">
        <f aca="false">IF(A163="","",IFERROR(I163+H163*(J163-I163),0))</f>
        <v>396.06045816476</v>
      </c>
      <c r="L163" s="10" t="n">
        <f aca="false">IF(A163="","",IFERROR(K163*Inputs!$B$9,0))</f>
        <v>19803.022908238</v>
      </c>
      <c r="M163" s="10" t="n">
        <f aca="false">IF(A163="","",IFERROR(K163*Inputs!$B$10,0))</f>
        <v>63368.4851249871</v>
      </c>
      <c r="N163" s="10" t="n">
        <f aca="false">IF(A163="","",Z162)</f>
        <v>0</v>
      </c>
      <c r="O163" s="6" t="n">
        <f aca="false">IF(A163="","",Inputs!$B$18+N163)</f>
        <v>50000</v>
      </c>
      <c r="P163" s="5" t="n">
        <f aca="false">IF(A163="","",VLOOKUP(D163,DIvidend_Assumption!$A$3:$CX$103,($E$2+2),0)/12)</f>
        <v>0</v>
      </c>
      <c r="Q163" s="10" t="n">
        <f aca="false">IF(A163="","",IFERROR(AB162*P163,""))</f>
        <v>0</v>
      </c>
      <c r="R163" s="10" t="n">
        <f aca="false">IF(A163="","",IFERROR(IF(Inputs!$B$22="Accumulate",T163+Q163,IF(Inputs!$B$22="Premium Offset",MAX(0,T163+Q163-Inputs!$B$25),T163)),""))</f>
        <v>0</v>
      </c>
      <c r="S163" s="10" t="n">
        <f aca="false">IF(A163="","",R162)</f>
        <v>0</v>
      </c>
      <c r="T163" s="10" t="n">
        <f aca="false">IF(A163="","",IFERROR(S163*(1+Inputs!$B$23/12),""))</f>
        <v>0</v>
      </c>
      <c r="U163" s="6" t="n">
        <f aca="false">IF(A163="","",IF(D163&lt;=Inputs!$B$8,IF(Inputs!$B$22="Premium Offset",MAX(0,Inputs!$B$25-(Q163+T163)),Inputs!$B$25),0))</f>
        <v>77</v>
      </c>
      <c r="V163" s="10" t="n">
        <f aca="false">IF(A163="","",IF(Inputs!$B$22="Cash",Q163,0))</f>
        <v>0</v>
      </c>
      <c r="W163" s="10" t="n">
        <f aca="false">IF(A163="","",IF(Inputs!$B$22="PUA",Q163,0))</f>
        <v>0</v>
      </c>
      <c r="X163" s="12" t="n">
        <f aca="false">IF(A163="","",IFERROR(INDEX(PUA_TABLE!$D$4:$D$105,MATCH(E163,PUA_TABLE!$C$4:$C$105,1)),0))</f>
        <v>0.405651730108051</v>
      </c>
      <c r="Y163" s="10" t="n">
        <f aca="false">IF(A163="","",IF(W163&gt;0,IF(X163&gt;0,W163/X163,0),0))</f>
        <v>0</v>
      </c>
      <c r="Z163" s="10" t="n">
        <f aca="false">IF(A163="","",N163+Y163)</f>
        <v>0</v>
      </c>
      <c r="AA163" s="10" t="n">
        <f aca="false">IF(A163="","",IFERROR(Z163*INDEX(PUA_TABLE!$I$4:$I$105,MATCH(E163,PUA_TABLE!$C$4:$C$105,1))/1000,0))</f>
        <v>0</v>
      </c>
      <c r="AB163" s="10" t="n">
        <f aca="false">IF(A163="","",IFERROR(L163+AA163,0))</f>
        <v>19803.022908238</v>
      </c>
      <c r="AC163" s="10" t="n">
        <f aca="false">IF(A163="","",IF(Inputs!$B$22="Premium Offset",MIN(Inputs!$B$25,Q163+T163),0))</f>
        <v>0</v>
      </c>
    </row>
    <row r="164" customFormat="false" ht="15" hidden="false" customHeight="false" outlineLevel="0" collapsed="false">
      <c r="A164" s="1" t="n">
        <f aca="false">IF(A163="","",IF(INT((C163+1)/12)+Inputs!$B$7&gt;MAX(MORTALITY!$A:$A),"",Inputs!$B$4))</f>
        <v>34</v>
      </c>
      <c r="B164" s="3" t="n">
        <f aca="false">IF(A164="","",EOMONTH(B163,1))</f>
        <v>26664</v>
      </c>
      <c r="C164" s="1" t="n">
        <f aca="false">IF(A164="","",C163+1)</f>
        <v>162</v>
      </c>
      <c r="D164" s="1" t="n">
        <f aca="false">IF(A164="","",INT(C164/12))</f>
        <v>13</v>
      </c>
      <c r="E164" s="1" t="n">
        <f aca="false">IF(A164="","",D164+Inputs!$B$7)</f>
        <v>29</v>
      </c>
      <c r="F164" s="3" t="n">
        <f aca="false">IF(A164="","",DATE(YEAR(B$2)+D164,MONTH(B$2),DAY(B$2)))</f>
        <v>26455</v>
      </c>
      <c r="G164" s="3" t="n">
        <f aca="false">IF(A164="","",DATE(YEAR(F164)+1,MONTH(F164),DAY(F164)))</f>
        <v>26820</v>
      </c>
      <c r="H164" s="10" t="n">
        <f aca="false">IF(A164="","",IF(G164&gt;F164,(B164-F164)/(G164-F164),0))</f>
        <v>0.572602739726027</v>
      </c>
      <c r="I164" s="10" t="n">
        <f aca="false">IF(A164="","",IFERROR(INDEX(CV_RATES!$I:$I,MATCH(D164,CV_RATES!$C:$C,0)),0))</f>
        <v>379.174745167479</v>
      </c>
      <c r="J164" s="10" t="n">
        <f aca="false">IF(A164="","",IFERROR(IF(E164=MAX(MORTALITY!$A:$A),1000,INDEX(CV_RATES!$J:$J,MATCH(D164,CV_RATES!$C:$C,0))),0))</f>
        <v>413.799943167521</v>
      </c>
      <c r="K164" s="10" t="n">
        <f aca="false">IF(A164="","",IFERROR(I164+H164*(J164-I164),0))</f>
        <v>399.001228405859</v>
      </c>
      <c r="L164" s="10" t="n">
        <f aca="false">IF(A164="","",IFERROR(K164*Inputs!$B$9,0))</f>
        <v>19950.061420293</v>
      </c>
      <c r="M164" s="10" t="n">
        <f aca="false">IF(A164="","",IFERROR(K164*Inputs!$B$10,0))</f>
        <v>63838.9995412523</v>
      </c>
      <c r="N164" s="10" t="n">
        <f aca="false">IF(A164="","",Z163)</f>
        <v>0</v>
      </c>
      <c r="O164" s="6" t="n">
        <f aca="false">IF(A164="","",Inputs!$B$18+N164)</f>
        <v>50000</v>
      </c>
      <c r="P164" s="5" t="n">
        <f aca="false">IF(A164="","",VLOOKUP(D164,DIvidend_Assumption!$A$3:$CX$103,($E$2+2),0)/12)</f>
        <v>0</v>
      </c>
      <c r="Q164" s="10" t="n">
        <f aca="false">IF(A164="","",IFERROR(AB163*P164,""))</f>
        <v>0</v>
      </c>
      <c r="R164" s="10" t="n">
        <f aca="false">IF(A164="","",IFERROR(IF(Inputs!$B$22="Accumulate",T164+Q164,IF(Inputs!$B$22="Premium Offset",MAX(0,T164+Q164-Inputs!$B$25),T164)),""))</f>
        <v>0</v>
      </c>
      <c r="S164" s="10" t="n">
        <f aca="false">IF(A164="","",R163)</f>
        <v>0</v>
      </c>
      <c r="T164" s="10" t="n">
        <f aca="false">IF(A164="","",IFERROR(S164*(1+Inputs!$B$23/12),""))</f>
        <v>0</v>
      </c>
      <c r="U164" s="6" t="n">
        <f aca="false">IF(A164="","",IF(D164&lt;=Inputs!$B$8,IF(Inputs!$B$22="Premium Offset",MAX(0,Inputs!$B$25-(Q164+T164)),Inputs!$B$25),0))</f>
        <v>77</v>
      </c>
      <c r="V164" s="10" t="n">
        <f aca="false">IF(A164="","",IF(Inputs!$B$22="Cash",Q164,0))</f>
        <v>0</v>
      </c>
      <c r="W164" s="10" t="n">
        <f aca="false">IF(A164="","",IF(Inputs!$B$22="PUA",Q164,0))</f>
        <v>0</v>
      </c>
      <c r="X164" s="12" t="n">
        <f aca="false">IF(A164="","",IFERROR(INDEX(PUA_TABLE!$D$4:$D$105,MATCH(E164,PUA_TABLE!$C$4:$C$105,1)),0))</f>
        <v>0.405651730108051</v>
      </c>
      <c r="Y164" s="10" t="n">
        <f aca="false">IF(A164="","",IF(W164&gt;0,IF(X164&gt;0,W164/X164,0),0))</f>
        <v>0</v>
      </c>
      <c r="Z164" s="10" t="n">
        <f aca="false">IF(A164="","",N164+Y164)</f>
        <v>0</v>
      </c>
      <c r="AA164" s="10" t="n">
        <f aca="false">IF(A164="","",IFERROR(Z164*INDEX(PUA_TABLE!$I$4:$I$105,MATCH(E164,PUA_TABLE!$C$4:$C$105,1))/1000,0))</f>
        <v>0</v>
      </c>
      <c r="AB164" s="10" t="n">
        <f aca="false">IF(A164="","",IFERROR(L164+AA164,0))</f>
        <v>19950.061420293</v>
      </c>
      <c r="AC164" s="10" t="n">
        <f aca="false">IF(A164="","",IF(Inputs!$B$22="Premium Offset",MIN(Inputs!$B$25,Q164+T164),0))</f>
        <v>0</v>
      </c>
    </row>
    <row r="165" customFormat="false" ht="15" hidden="false" customHeight="false" outlineLevel="0" collapsed="false">
      <c r="A165" s="1" t="n">
        <f aca="false">IF(A164="","",IF(INT((C164+1)/12)+Inputs!$B$7&gt;MAX(MORTALITY!$A:$A),"",Inputs!$B$4))</f>
        <v>34</v>
      </c>
      <c r="B165" s="3" t="n">
        <f aca="false">IF(A165="","",EOMONTH(B164,1))</f>
        <v>26695</v>
      </c>
      <c r="C165" s="1" t="n">
        <f aca="false">IF(A165="","",C164+1)</f>
        <v>163</v>
      </c>
      <c r="D165" s="1" t="n">
        <f aca="false">IF(A165="","",INT(C165/12))</f>
        <v>13</v>
      </c>
      <c r="E165" s="1" t="n">
        <f aca="false">IF(A165="","",D165+Inputs!$B$7)</f>
        <v>29</v>
      </c>
      <c r="F165" s="3" t="n">
        <f aca="false">IF(A165="","",DATE(YEAR(B$2)+D165,MONTH(B$2),DAY(B$2)))</f>
        <v>26455</v>
      </c>
      <c r="G165" s="3" t="n">
        <f aca="false">IF(A165="","",DATE(YEAR(F165)+1,MONTH(F165),DAY(F165)))</f>
        <v>26820</v>
      </c>
      <c r="H165" s="10" t="n">
        <f aca="false">IF(A165="","",IF(G165&gt;F165,(B165-F165)/(G165-F165),0))</f>
        <v>0.657534246575342</v>
      </c>
      <c r="I165" s="10" t="n">
        <f aca="false">IF(A165="","",IFERROR(INDEX(CV_RATES!$I:$I,MATCH(D165,CV_RATES!$C:$C,0)),0))</f>
        <v>379.174745167479</v>
      </c>
      <c r="J165" s="10" t="n">
        <f aca="false">IF(A165="","",IFERROR(IF(E165=MAX(MORTALITY!$A:$A),1000,INDEX(CV_RATES!$J:$J,MATCH(D165,CV_RATES!$C:$C,0))),0))</f>
        <v>413.799943167521</v>
      </c>
      <c r="K165" s="10" t="n">
        <f aca="false">IF(A165="","",IFERROR(I165+H165*(J165-I165),0))</f>
        <v>401.941998646959</v>
      </c>
      <c r="L165" s="10" t="n">
        <f aca="false">IF(A165="","",IFERROR(K165*Inputs!$B$9,0))</f>
        <v>20097.0999323479</v>
      </c>
      <c r="M165" s="10" t="n">
        <f aca="false">IF(A165="","",IFERROR(K165*Inputs!$B$10,0))</f>
        <v>64309.5139575175</v>
      </c>
      <c r="N165" s="10" t="n">
        <f aca="false">IF(A165="","",Z164)</f>
        <v>0</v>
      </c>
      <c r="O165" s="6" t="n">
        <f aca="false">IF(A165="","",Inputs!$B$18+N165)</f>
        <v>50000</v>
      </c>
      <c r="P165" s="5" t="n">
        <f aca="false">IF(A165="","",VLOOKUP(D165,DIvidend_Assumption!$A$3:$CX$103,($E$2+2),0)/12)</f>
        <v>0</v>
      </c>
      <c r="Q165" s="10" t="n">
        <f aca="false">IF(A165="","",IFERROR(AB164*P165,""))</f>
        <v>0</v>
      </c>
      <c r="R165" s="10" t="n">
        <f aca="false">IF(A165="","",IFERROR(IF(Inputs!$B$22="Accumulate",T165+Q165,IF(Inputs!$B$22="Premium Offset",MAX(0,T165+Q165-Inputs!$B$25),T165)),""))</f>
        <v>0</v>
      </c>
      <c r="S165" s="10" t="n">
        <f aca="false">IF(A165="","",R164)</f>
        <v>0</v>
      </c>
      <c r="T165" s="10" t="n">
        <f aca="false">IF(A165="","",IFERROR(S165*(1+Inputs!$B$23/12),""))</f>
        <v>0</v>
      </c>
      <c r="U165" s="6" t="n">
        <f aca="false">IF(A165="","",IF(D165&lt;=Inputs!$B$8,IF(Inputs!$B$22="Premium Offset",MAX(0,Inputs!$B$25-(Q165+T165)),Inputs!$B$25),0))</f>
        <v>77</v>
      </c>
      <c r="V165" s="10" t="n">
        <f aca="false">IF(A165="","",IF(Inputs!$B$22="Cash",Q165,0))</f>
        <v>0</v>
      </c>
      <c r="W165" s="10" t="n">
        <f aca="false">IF(A165="","",IF(Inputs!$B$22="PUA",Q165,0))</f>
        <v>0</v>
      </c>
      <c r="X165" s="12" t="n">
        <f aca="false">IF(A165="","",IFERROR(INDEX(PUA_TABLE!$D$4:$D$105,MATCH(E165,PUA_TABLE!$C$4:$C$105,1)),0))</f>
        <v>0.405651730108051</v>
      </c>
      <c r="Y165" s="10" t="n">
        <f aca="false">IF(A165="","",IF(W165&gt;0,IF(X165&gt;0,W165/X165,0),0))</f>
        <v>0</v>
      </c>
      <c r="Z165" s="10" t="n">
        <f aca="false">IF(A165="","",N165+Y165)</f>
        <v>0</v>
      </c>
      <c r="AA165" s="10" t="n">
        <f aca="false">IF(A165="","",IFERROR(Z165*INDEX(PUA_TABLE!$I$4:$I$105,MATCH(E165,PUA_TABLE!$C$4:$C$105,1))/1000,0))</f>
        <v>0</v>
      </c>
      <c r="AB165" s="10" t="n">
        <f aca="false">IF(A165="","",IFERROR(L165+AA165,0))</f>
        <v>20097.0999323479</v>
      </c>
      <c r="AC165" s="10" t="n">
        <f aca="false">IF(A165="","",IF(Inputs!$B$22="Premium Offset",MIN(Inputs!$B$25,Q165+T165),0))</f>
        <v>0</v>
      </c>
    </row>
    <row r="166" customFormat="false" ht="15" hidden="false" customHeight="false" outlineLevel="0" collapsed="false">
      <c r="A166" s="1" t="n">
        <f aca="false">IF(A165="","",IF(INT((C165+1)/12)+Inputs!$B$7&gt;MAX(MORTALITY!$A:$A),"",Inputs!$B$4))</f>
        <v>34</v>
      </c>
      <c r="B166" s="3" t="n">
        <f aca="false">IF(A166="","",EOMONTH(B165,1))</f>
        <v>26723</v>
      </c>
      <c r="C166" s="1" t="n">
        <f aca="false">IF(A166="","",C165+1)</f>
        <v>164</v>
      </c>
      <c r="D166" s="1" t="n">
        <f aca="false">IF(A166="","",INT(C166/12))</f>
        <v>13</v>
      </c>
      <c r="E166" s="1" t="n">
        <f aca="false">IF(A166="","",D166+Inputs!$B$7)</f>
        <v>29</v>
      </c>
      <c r="F166" s="3" t="n">
        <f aca="false">IF(A166="","",DATE(YEAR(B$2)+D166,MONTH(B$2),DAY(B$2)))</f>
        <v>26455</v>
      </c>
      <c r="G166" s="3" t="n">
        <f aca="false">IF(A166="","",DATE(YEAR(F166)+1,MONTH(F166),DAY(F166)))</f>
        <v>26820</v>
      </c>
      <c r="H166" s="10" t="n">
        <f aca="false">IF(A166="","",IF(G166&gt;F166,(B166-F166)/(G166-F166),0))</f>
        <v>0.734246575342466</v>
      </c>
      <c r="I166" s="10" t="n">
        <f aca="false">IF(A166="","",IFERROR(INDEX(CV_RATES!$I:$I,MATCH(D166,CV_RATES!$C:$C,0)),0))</f>
        <v>379.174745167479</v>
      </c>
      <c r="J166" s="10" t="n">
        <f aca="false">IF(A166="","",IFERROR(IF(E166=MAX(MORTALITY!$A:$A),1000,INDEX(CV_RATES!$J:$J,MATCH(D166,CV_RATES!$C:$C,0))),0))</f>
        <v>413.799943167521</v>
      </c>
      <c r="K166" s="10" t="n">
        <f aca="false">IF(A166="","",IFERROR(I166+H166*(J166-I166),0))</f>
        <v>404.598178219565</v>
      </c>
      <c r="L166" s="10" t="n">
        <f aca="false">IF(A166="","",IFERROR(K166*Inputs!$B$9,0))</f>
        <v>20229.9089109782</v>
      </c>
      <c r="M166" s="10" t="n">
        <f aca="false">IF(A166="","",IFERROR(K166*Inputs!$B$10,0))</f>
        <v>64734.4947205957</v>
      </c>
      <c r="N166" s="10" t="n">
        <f aca="false">IF(A166="","",Z165)</f>
        <v>0</v>
      </c>
      <c r="O166" s="6" t="n">
        <f aca="false">IF(A166="","",Inputs!$B$18+N166)</f>
        <v>50000</v>
      </c>
      <c r="P166" s="5" t="n">
        <f aca="false">IF(A166="","",VLOOKUP(D166,DIvidend_Assumption!$A$3:$CX$103,($E$2+2),0)/12)</f>
        <v>0</v>
      </c>
      <c r="Q166" s="10" t="n">
        <f aca="false">IF(A166="","",IFERROR(AB165*P166,""))</f>
        <v>0</v>
      </c>
      <c r="R166" s="10" t="n">
        <f aca="false">IF(A166="","",IFERROR(IF(Inputs!$B$22="Accumulate",T166+Q166,IF(Inputs!$B$22="Premium Offset",MAX(0,T166+Q166-Inputs!$B$25),T166)),""))</f>
        <v>0</v>
      </c>
      <c r="S166" s="10" t="n">
        <f aca="false">IF(A166="","",R165)</f>
        <v>0</v>
      </c>
      <c r="T166" s="10" t="n">
        <f aca="false">IF(A166="","",IFERROR(S166*(1+Inputs!$B$23/12),""))</f>
        <v>0</v>
      </c>
      <c r="U166" s="6" t="n">
        <f aca="false">IF(A166="","",IF(D166&lt;=Inputs!$B$8,IF(Inputs!$B$22="Premium Offset",MAX(0,Inputs!$B$25-(Q166+T166)),Inputs!$B$25),0))</f>
        <v>77</v>
      </c>
      <c r="V166" s="10" t="n">
        <f aca="false">IF(A166="","",IF(Inputs!$B$22="Cash",Q166,0))</f>
        <v>0</v>
      </c>
      <c r="W166" s="10" t="n">
        <f aca="false">IF(A166="","",IF(Inputs!$B$22="PUA",Q166,0))</f>
        <v>0</v>
      </c>
      <c r="X166" s="12" t="n">
        <f aca="false">IF(A166="","",IFERROR(INDEX(PUA_TABLE!$D$4:$D$105,MATCH(E166,PUA_TABLE!$C$4:$C$105,1)),0))</f>
        <v>0.405651730108051</v>
      </c>
      <c r="Y166" s="10" t="n">
        <f aca="false">IF(A166="","",IF(W166&gt;0,IF(X166&gt;0,W166/X166,0),0))</f>
        <v>0</v>
      </c>
      <c r="Z166" s="10" t="n">
        <f aca="false">IF(A166="","",N166+Y166)</f>
        <v>0</v>
      </c>
      <c r="AA166" s="10" t="n">
        <f aca="false">IF(A166="","",IFERROR(Z166*INDEX(PUA_TABLE!$I$4:$I$105,MATCH(E166,PUA_TABLE!$C$4:$C$105,1))/1000,0))</f>
        <v>0</v>
      </c>
      <c r="AB166" s="10" t="n">
        <f aca="false">IF(A166="","",IFERROR(L166+AA166,0))</f>
        <v>20229.9089109782</v>
      </c>
      <c r="AC166" s="10" t="n">
        <f aca="false">IF(A166="","",IF(Inputs!$B$22="Premium Offset",MIN(Inputs!$B$25,Q166+T166),0))</f>
        <v>0</v>
      </c>
    </row>
    <row r="167" customFormat="false" ht="15" hidden="false" customHeight="false" outlineLevel="0" collapsed="false">
      <c r="A167" s="1" t="n">
        <f aca="false">IF(A166="","",IF(INT((C166+1)/12)+Inputs!$B$7&gt;MAX(MORTALITY!$A:$A),"",Inputs!$B$4))</f>
        <v>34</v>
      </c>
      <c r="B167" s="3" t="n">
        <f aca="false">IF(A167="","",EOMONTH(B166,1))</f>
        <v>26754</v>
      </c>
      <c r="C167" s="1" t="n">
        <f aca="false">IF(A167="","",C166+1)</f>
        <v>165</v>
      </c>
      <c r="D167" s="1" t="n">
        <f aca="false">IF(A167="","",INT(C167/12))</f>
        <v>13</v>
      </c>
      <c r="E167" s="1" t="n">
        <f aca="false">IF(A167="","",D167+Inputs!$B$7)</f>
        <v>29</v>
      </c>
      <c r="F167" s="3" t="n">
        <f aca="false">IF(A167="","",DATE(YEAR(B$2)+D167,MONTH(B$2),DAY(B$2)))</f>
        <v>26455</v>
      </c>
      <c r="G167" s="3" t="n">
        <f aca="false">IF(A167="","",DATE(YEAR(F167)+1,MONTH(F167),DAY(F167)))</f>
        <v>26820</v>
      </c>
      <c r="H167" s="10" t="n">
        <f aca="false">IF(A167="","",IF(G167&gt;F167,(B167-F167)/(G167-F167),0))</f>
        <v>0.819178082191781</v>
      </c>
      <c r="I167" s="10" t="n">
        <f aca="false">IF(A167="","",IFERROR(INDEX(CV_RATES!$I:$I,MATCH(D167,CV_RATES!$C:$C,0)),0))</f>
        <v>379.174745167479</v>
      </c>
      <c r="J167" s="10" t="n">
        <f aca="false">IF(A167="","",IFERROR(IF(E167=MAX(MORTALITY!$A:$A),1000,INDEX(CV_RATES!$J:$J,MATCH(D167,CV_RATES!$C:$C,0))),0))</f>
        <v>413.799943167521</v>
      </c>
      <c r="K167" s="10" t="n">
        <f aca="false">IF(A167="","",IFERROR(I167+H167*(J167-I167),0))</f>
        <v>407.538948460664</v>
      </c>
      <c r="L167" s="10" t="n">
        <f aca="false">IF(A167="","",IFERROR(K167*Inputs!$B$9,0))</f>
        <v>20376.9474230332</v>
      </c>
      <c r="M167" s="10" t="n">
        <f aca="false">IF(A167="","",IFERROR(K167*Inputs!$B$10,0))</f>
        <v>65205.0091368609</v>
      </c>
      <c r="N167" s="10" t="n">
        <f aca="false">IF(A167="","",Z166)</f>
        <v>0</v>
      </c>
      <c r="O167" s="6" t="n">
        <f aca="false">IF(A167="","",Inputs!$B$18+N167)</f>
        <v>50000</v>
      </c>
      <c r="P167" s="5" t="n">
        <f aca="false">IF(A167="","",VLOOKUP(D167,DIvidend_Assumption!$A$3:$CX$103,($E$2+2),0)/12)</f>
        <v>0</v>
      </c>
      <c r="Q167" s="10" t="n">
        <f aca="false">IF(A167="","",IFERROR(AB166*P167,""))</f>
        <v>0</v>
      </c>
      <c r="R167" s="10" t="n">
        <f aca="false">IF(A167="","",IFERROR(IF(Inputs!$B$22="Accumulate",T167+Q167,IF(Inputs!$B$22="Premium Offset",MAX(0,T167+Q167-Inputs!$B$25),T167)),""))</f>
        <v>0</v>
      </c>
      <c r="S167" s="10" t="n">
        <f aca="false">IF(A167="","",R166)</f>
        <v>0</v>
      </c>
      <c r="T167" s="10" t="n">
        <f aca="false">IF(A167="","",IFERROR(S167*(1+Inputs!$B$23/12),""))</f>
        <v>0</v>
      </c>
      <c r="U167" s="6" t="n">
        <f aca="false">IF(A167="","",IF(D167&lt;=Inputs!$B$8,IF(Inputs!$B$22="Premium Offset",MAX(0,Inputs!$B$25-(Q167+T167)),Inputs!$B$25),0))</f>
        <v>77</v>
      </c>
      <c r="V167" s="10" t="n">
        <f aca="false">IF(A167="","",IF(Inputs!$B$22="Cash",Q167,0))</f>
        <v>0</v>
      </c>
      <c r="W167" s="10" t="n">
        <f aca="false">IF(A167="","",IF(Inputs!$B$22="PUA",Q167,0))</f>
        <v>0</v>
      </c>
      <c r="X167" s="12" t="n">
        <f aca="false">IF(A167="","",IFERROR(INDEX(PUA_TABLE!$D$4:$D$105,MATCH(E167,PUA_TABLE!$C$4:$C$105,1)),0))</f>
        <v>0.405651730108051</v>
      </c>
      <c r="Y167" s="10" t="n">
        <f aca="false">IF(A167="","",IF(W167&gt;0,IF(X167&gt;0,W167/X167,0),0))</f>
        <v>0</v>
      </c>
      <c r="Z167" s="10" t="n">
        <f aca="false">IF(A167="","",N167+Y167)</f>
        <v>0</v>
      </c>
      <c r="AA167" s="10" t="n">
        <f aca="false">IF(A167="","",IFERROR(Z167*INDEX(PUA_TABLE!$I$4:$I$105,MATCH(E167,PUA_TABLE!$C$4:$C$105,1))/1000,0))</f>
        <v>0</v>
      </c>
      <c r="AB167" s="10" t="n">
        <f aca="false">IF(A167="","",IFERROR(L167+AA167,0))</f>
        <v>20376.9474230332</v>
      </c>
      <c r="AC167" s="10" t="n">
        <f aca="false">IF(A167="","",IF(Inputs!$B$22="Premium Offset",MIN(Inputs!$B$25,Q167+T167),0))</f>
        <v>0</v>
      </c>
    </row>
    <row r="168" customFormat="false" ht="15" hidden="false" customHeight="false" outlineLevel="0" collapsed="false">
      <c r="A168" s="1" t="n">
        <f aca="false">IF(A167="","",IF(INT((C167+1)/12)+Inputs!$B$7&gt;MAX(MORTALITY!$A:$A),"",Inputs!$B$4))</f>
        <v>34</v>
      </c>
      <c r="B168" s="3" t="n">
        <f aca="false">IF(A168="","",EOMONTH(B167,1))</f>
        <v>26784</v>
      </c>
      <c r="C168" s="1" t="n">
        <f aca="false">IF(A168="","",C167+1)</f>
        <v>166</v>
      </c>
      <c r="D168" s="1" t="n">
        <f aca="false">IF(A168="","",INT(C168/12))</f>
        <v>13</v>
      </c>
      <c r="E168" s="1" t="n">
        <f aca="false">IF(A168="","",D168+Inputs!$B$7)</f>
        <v>29</v>
      </c>
      <c r="F168" s="3" t="n">
        <f aca="false">IF(A168="","",DATE(YEAR(B$2)+D168,MONTH(B$2),DAY(B$2)))</f>
        <v>26455</v>
      </c>
      <c r="G168" s="3" t="n">
        <f aca="false">IF(A168="","",DATE(YEAR(F168)+1,MONTH(F168),DAY(F168)))</f>
        <v>26820</v>
      </c>
      <c r="H168" s="10" t="n">
        <f aca="false">IF(A168="","",IF(G168&gt;F168,(B168-F168)/(G168-F168),0))</f>
        <v>0.901369863013699</v>
      </c>
      <c r="I168" s="10" t="n">
        <f aca="false">IF(A168="","",IFERROR(INDEX(CV_RATES!$I:$I,MATCH(D168,CV_RATES!$C:$C,0)),0))</f>
        <v>379.174745167479</v>
      </c>
      <c r="J168" s="10" t="n">
        <f aca="false">IF(A168="","",IFERROR(IF(E168=MAX(MORTALITY!$A:$A),1000,INDEX(CV_RATES!$J:$J,MATCH(D168,CV_RATES!$C:$C,0))),0))</f>
        <v>413.799943167521</v>
      </c>
      <c r="K168" s="10" t="n">
        <f aca="false">IF(A168="","",IFERROR(I168+H168*(J168-I168),0))</f>
        <v>410.384855145599</v>
      </c>
      <c r="L168" s="10" t="n">
        <f aca="false">IF(A168="","",IFERROR(K168*Inputs!$B$9,0))</f>
        <v>20519.24275728</v>
      </c>
      <c r="M168" s="10" t="n">
        <f aca="false">IF(A168="","",IFERROR(K168*Inputs!$B$10,0))</f>
        <v>65660.3456687305</v>
      </c>
      <c r="N168" s="10" t="n">
        <f aca="false">IF(A168="","",Z167)</f>
        <v>0</v>
      </c>
      <c r="O168" s="6" t="n">
        <f aca="false">IF(A168="","",Inputs!$B$18+N168)</f>
        <v>50000</v>
      </c>
      <c r="P168" s="5" t="n">
        <f aca="false">IF(A168="","",VLOOKUP(D168,DIvidend_Assumption!$A$3:$CX$103,($E$2+2),0)/12)</f>
        <v>0</v>
      </c>
      <c r="Q168" s="10" t="n">
        <f aca="false">IF(A168="","",IFERROR(AB167*P168,""))</f>
        <v>0</v>
      </c>
      <c r="R168" s="10" t="n">
        <f aca="false">IF(A168="","",IFERROR(IF(Inputs!$B$22="Accumulate",T168+Q168,IF(Inputs!$B$22="Premium Offset",MAX(0,T168+Q168-Inputs!$B$25),T168)),""))</f>
        <v>0</v>
      </c>
      <c r="S168" s="10" t="n">
        <f aca="false">IF(A168="","",R167)</f>
        <v>0</v>
      </c>
      <c r="T168" s="10" t="n">
        <f aca="false">IF(A168="","",IFERROR(S168*(1+Inputs!$B$23/12),""))</f>
        <v>0</v>
      </c>
      <c r="U168" s="6" t="n">
        <f aca="false">IF(A168="","",IF(D168&lt;=Inputs!$B$8,IF(Inputs!$B$22="Premium Offset",MAX(0,Inputs!$B$25-(Q168+T168)),Inputs!$B$25),0))</f>
        <v>77</v>
      </c>
      <c r="V168" s="10" t="n">
        <f aca="false">IF(A168="","",IF(Inputs!$B$22="Cash",Q168,0))</f>
        <v>0</v>
      </c>
      <c r="W168" s="10" t="n">
        <f aca="false">IF(A168="","",IF(Inputs!$B$22="PUA",Q168,0))</f>
        <v>0</v>
      </c>
      <c r="X168" s="12" t="n">
        <f aca="false">IF(A168="","",IFERROR(INDEX(PUA_TABLE!$D$4:$D$105,MATCH(E168,PUA_TABLE!$C$4:$C$105,1)),0))</f>
        <v>0.405651730108051</v>
      </c>
      <c r="Y168" s="10" t="n">
        <f aca="false">IF(A168="","",IF(W168&gt;0,IF(X168&gt;0,W168/X168,0),0))</f>
        <v>0</v>
      </c>
      <c r="Z168" s="10" t="n">
        <f aca="false">IF(A168="","",N168+Y168)</f>
        <v>0</v>
      </c>
      <c r="AA168" s="10" t="n">
        <f aca="false">IF(A168="","",IFERROR(Z168*INDEX(PUA_TABLE!$I$4:$I$105,MATCH(E168,PUA_TABLE!$C$4:$C$105,1))/1000,0))</f>
        <v>0</v>
      </c>
      <c r="AB168" s="10" t="n">
        <f aca="false">IF(A168="","",IFERROR(L168+AA168,0))</f>
        <v>20519.24275728</v>
      </c>
      <c r="AC168" s="10" t="n">
        <f aca="false">IF(A168="","",IF(Inputs!$B$22="Premium Offset",MIN(Inputs!$B$25,Q168+T168),0))</f>
        <v>0</v>
      </c>
    </row>
    <row r="169" customFormat="false" ht="15" hidden="false" customHeight="false" outlineLevel="0" collapsed="false">
      <c r="A169" s="1" t="n">
        <f aca="false">IF(A168="","",IF(INT((C168+1)/12)+Inputs!$B$7&gt;MAX(MORTALITY!$A:$A),"",Inputs!$B$4))</f>
        <v>34</v>
      </c>
      <c r="B169" s="3" t="n">
        <f aca="false">IF(A169="","",EOMONTH(B168,1))</f>
        <v>26815</v>
      </c>
      <c r="C169" s="1" t="n">
        <f aca="false">IF(A169="","",C168+1)</f>
        <v>167</v>
      </c>
      <c r="D169" s="1" t="n">
        <f aca="false">IF(A169="","",INT(C169/12))</f>
        <v>13</v>
      </c>
      <c r="E169" s="1" t="n">
        <f aca="false">IF(A169="","",D169+Inputs!$B$7)</f>
        <v>29</v>
      </c>
      <c r="F169" s="3" t="n">
        <f aca="false">IF(A169="","",DATE(YEAR(B$2)+D169,MONTH(B$2),DAY(B$2)))</f>
        <v>26455</v>
      </c>
      <c r="G169" s="3" t="n">
        <f aca="false">IF(A169="","",DATE(YEAR(F169)+1,MONTH(F169),DAY(F169)))</f>
        <v>26820</v>
      </c>
      <c r="H169" s="10" t="n">
        <f aca="false">IF(A169="","",IF(G169&gt;F169,(B169-F169)/(G169-F169),0))</f>
        <v>0.986301369863014</v>
      </c>
      <c r="I169" s="10" t="n">
        <f aca="false">IF(A169="","",IFERROR(INDEX(CV_RATES!$I:$I,MATCH(D169,CV_RATES!$C:$C,0)),0))</f>
        <v>379.174745167479</v>
      </c>
      <c r="J169" s="10" t="n">
        <f aca="false">IF(A169="","",IFERROR(IF(E169=MAX(MORTALITY!$A:$A),1000,INDEX(CV_RATES!$J:$J,MATCH(D169,CV_RATES!$C:$C,0))),0))</f>
        <v>413.799943167521</v>
      </c>
      <c r="K169" s="10" t="n">
        <f aca="false">IF(A169="","",IFERROR(I169+H169*(J169-I169),0))</f>
        <v>413.325625386699</v>
      </c>
      <c r="L169" s="10" t="n">
        <f aca="false">IF(A169="","",IFERROR(K169*Inputs!$B$9,0))</f>
        <v>20666.2812693349</v>
      </c>
      <c r="M169" s="10" t="n">
        <f aca="false">IF(A169="","",IFERROR(K169*Inputs!$B$10,0))</f>
        <v>66130.8600849957</v>
      </c>
      <c r="N169" s="10" t="n">
        <f aca="false">IF(A169="","",Z168)</f>
        <v>0</v>
      </c>
      <c r="O169" s="6" t="n">
        <f aca="false">IF(A169="","",Inputs!$B$18+N169)</f>
        <v>50000</v>
      </c>
      <c r="P169" s="5" t="n">
        <f aca="false">IF(A169="","",VLOOKUP(D169,DIvidend_Assumption!$A$3:$CX$103,($E$2+2),0)/12)</f>
        <v>0</v>
      </c>
      <c r="Q169" s="10" t="n">
        <f aca="false">IF(A169="","",IFERROR(AB168*P169,""))</f>
        <v>0</v>
      </c>
      <c r="R169" s="10" t="n">
        <f aca="false">IF(A169="","",IFERROR(IF(Inputs!$B$22="Accumulate",T169+Q169,IF(Inputs!$B$22="Premium Offset",MAX(0,T169+Q169-Inputs!$B$25),T169)),""))</f>
        <v>0</v>
      </c>
      <c r="S169" s="10" t="n">
        <f aca="false">IF(A169="","",R168)</f>
        <v>0</v>
      </c>
      <c r="T169" s="10" t="n">
        <f aca="false">IF(A169="","",IFERROR(S169*(1+Inputs!$B$23/12),""))</f>
        <v>0</v>
      </c>
      <c r="U169" s="6" t="n">
        <f aca="false">IF(A169="","",IF(D169&lt;=Inputs!$B$8,IF(Inputs!$B$22="Premium Offset",MAX(0,Inputs!$B$25-(Q169+T169)),Inputs!$B$25),0))</f>
        <v>77</v>
      </c>
      <c r="V169" s="10" t="n">
        <f aca="false">IF(A169="","",IF(Inputs!$B$22="Cash",Q169,0))</f>
        <v>0</v>
      </c>
      <c r="W169" s="10" t="n">
        <f aca="false">IF(A169="","",IF(Inputs!$B$22="PUA",Q169,0))</f>
        <v>0</v>
      </c>
      <c r="X169" s="12" t="n">
        <f aca="false">IF(A169="","",IFERROR(INDEX(PUA_TABLE!$D$4:$D$105,MATCH(E169,PUA_TABLE!$C$4:$C$105,1)),0))</f>
        <v>0.405651730108051</v>
      </c>
      <c r="Y169" s="10" t="n">
        <f aca="false">IF(A169="","",IF(W169&gt;0,IF(X169&gt;0,W169/X169,0),0))</f>
        <v>0</v>
      </c>
      <c r="Z169" s="10" t="n">
        <f aca="false">IF(A169="","",N169+Y169)</f>
        <v>0</v>
      </c>
      <c r="AA169" s="10" t="n">
        <f aca="false">IF(A169="","",IFERROR(Z169*INDEX(PUA_TABLE!$I$4:$I$105,MATCH(E169,PUA_TABLE!$C$4:$C$105,1))/1000,0))</f>
        <v>0</v>
      </c>
      <c r="AB169" s="10" t="n">
        <f aca="false">IF(A169="","",IFERROR(L169+AA169,0))</f>
        <v>20666.2812693349</v>
      </c>
      <c r="AC169" s="10" t="n">
        <f aca="false">IF(A169="","",IF(Inputs!$B$22="Premium Offset",MIN(Inputs!$B$25,Q169+T169),0))</f>
        <v>0</v>
      </c>
    </row>
    <row r="170" customFormat="false" ht="15" hidden="false" customHeight="false" outlineLevel="0" collapsed="false">
      <c r="A170" s="1" t="n">
        <f aca="false">IF(A169="","",IF(INT((C169+1)/12)+Inputs!$B$7&gt;MAX(MORTALITY!$A:$A),"",Inputs!$B$4))</f>
        <v>34</v>
      </c>
      <c r="B170" s="3" t="n">
        <f aca="false">IF(A170="","",EOMONTH(B169,1))</f>
        <v>26845</v>
      </c>
      <c r="C170" s="1" t="n">
        <f aca="false">IF(A170="","",C169+1)</f>
        <v>168</v>
      </c>
      <c r="D170" s="1" t="n">
        <f aca="false">IF(A170="","",INT(C170/12))</f>
        <v>14</v>
      </c>
      <c r="E170" s="1" t="n">
        <f aca="false">IF(A170="","",D170+Inputs!$B$7)</f>
        <v>30</v>
      </c>
      <c r="F170" s="3" t="n">
        <f aca="false">IF(A170="","",DATE(YEAR(B$2)+D170,MONTH(B$2),DAY(B$2)))</f>
        <v>26820</v>
      </c>
      <c r="G170" s="3" t="n">
        <f aca="false">IF(A170="","",DATE(YEAR(F170)+1,MONTH(F170),DAY(F170)))</f>
        <v>27185</v>
      </c>
      <c r="H170" s="10" t="n">
        <f aca="false">IF(A170="","",IF(G170&gt;F170,(B170-F170)/(G170-F170),0))</f>
        <v>0.0684931506849315</v>
      </c>
      <c r="I170" s="10" t="n">
        <f aca="false">IF(A170="","",IFERROR(INDEX(CV_RATES!$I:$I,MATCH(D170,CV_RATES!$C:$C,0)),0))</f>
        <v>413.799943167521</v>
      </c>
      <c r="J170" s="10" t="n">
        <f aca="false">IF(A170="","",IFERROR(IF(E170=MAX(MORTALITY!$A:$A),1000,INDEX(CV_RATES!$J:$J,MATCH(D170,CV_RATES!$C:$C,0))),0))</f>
        <v>422.087573508399</v>
      </c>
      <c r="K170" s="10" t="n">
        <f aca="false">IF(A170="","",IFERROR(I170+H170*(J170-I170),0))</f>
        <v>414.36758908128</v>
      </c>
      <c r="L170" s="10" t="n">
        <f aca="false">IF(A170="","",IFERROR(K170*Inputs!$B$9,0))</f>
        <v>20718.379454064</v>
      </c>
      <c r="M170" s="10" t="n">
        <f aca="false">IF(A170="","",IFERROR(K170*Inputs!$B$10,0))</f>
        <v>66297.5711502376</v>
      </c>
      <c r="N170" s="10" t="n">
        <f aca="false">IF(A170="","",Z169)</f>
        <v>0</v>
      </c>
      <c r="O170" s="6" t="n">
        <f aca="false">IF(A170="","",Inputs!$B$18+N170)</f>
        <v>50000</v>
      </c>
      <c r="P170" s="5" t="n">
        <f aca="false">IF(A170="","",VLOOKUP(D170,DIvidend_Assumption!$A$3:$CX$103,($E$2+2),0)/12)</f>
        <v>0</v>
      </c>
      <c r="Q170" s="10" t="n">
        <f aca="false">IF(A170="","",IFERROR(AB169*P170,""))</f>
        <v>0</v>
      </c>
      <c r="R170" s="10" t="n">
        <f aca="false">IF(A170="","",IFERROR(IF(Inputs!$B$22="Accumulate",T170+Q170,IF(Inputs!$B$22="Premium Offset",MAX(0,T170+Q170-Inputs!$B$25),T170)),""))</f>
        <v>0</v>
      </c>
      <c r="S170" s="10" t="n">
        <f aca="false">IF(A170="","",R169)</f>
        <v>0</v>
      </c>
      <c r="T170" s="10" t="n">
        <f aca="false">IF(A170="","",IFERROR(S170*(1+Inputs!$B$23/12),""))</f>
        <v>0</v>
      </c>
      <c r="U170" s="6" t="n">
        <f aca="false">IF(A170="","",IF(D170&lt;=Inputs!$B$8,IF(Inputs!$B$22="Premium Offset",MAX(0,Inputs!$B$25-(Q170+T170)),Inputs!$B$25),0))</f>
        <v>77</v>
      </c>
      <c r="V170" s="10" t="n">
        <f aca="false">IF(A170="","",IF(Inputs!$B$22="Cash",Q170,0))</f>
        <v>0</v>
      </c>
      <c r="W170" s="10" t="n">
        <f aca="false">IF(A170="","",IF(Inputs!$B$22="PUA",Q170,0))</f>
        <v>0</v>
      </c>
      <c r="X170" s="12" t="n">
        <f aca="false">IF(A170="","",IFERROR(INDEX(PUA_TABLE!$D$4:$D$105,MATCH(E170,PUA_TABLE!$C$4:$C$105,1)),0))</f>
        <v>0.413799943167521</v>
      </c>
      <c r="Y170" s="10" t="n">
        <f aca="false">IF(A170="","",IF(W170&gt;0,IF(X170&gt;0,W170/X170,0),0))</f>
        <v>0</v>
      </c>
      <c r="Z170" s="10" t="n">
        <f aca="false">IF(A170="","",N170+Y170)</f>
        <v>0</v>
      </c>
      <c r="AA170" s="10" t="n">
        <f aca="false">IF(A170="","",IFERROR(Z170*INDEX(PUA_TABLE!$I$4:$I$105,MATCH(E170,PUA_TABLE!$C$4:$C$105,1))/1000,0))</f>
        <v>0</v>
      </c>
      <c r="AB170" s="10" t="n">
        <f aca="false">IF(A170="","",IFERROR(L170+AA170,0))</f>
        <v>20718.379454064</v>
      </c>
      <c r="AC170" s="10" t="n">
        <f aca="false">IF(A170="","",IF(Inputs!$B$22="Premium Offset",MIN(Inputs!$B$25,Q170+T170),0))</f>
        <v>0</v>
      </c>
    </row>
    <row r="171" customFormat="false" ht="15" hidden="false" customHeight="false" outlineLevel="0" collapsed="false">
      <c r="A171" s="1" t="n">
        <f aca="false">IF(A170="","",IF(INT((C170+1)/12)+Inputs!$B$7&gt;MAX(MORTALITY!$A:$A),"",Inputs!$B$4))</f>
        <v>34</v>
      </c>
      <c r="B171" s="3" t="n">
        <f aca="false">IF(A171="","",EOMONTH(B170,1))</f>
        <v>26876</v>
      </c>
      <c r="C171" s="1" t="n">
        <f aca="false">IF(A171="","",C170+1)</f>
        <v>169</v>
      </c>
      <c r="D171" s="1" t="n">
        <f aca="false">IF(A171="","",INT(C171/12))</f>
        <v>14</v>
      </c>
      <c r="E171" s="1" t="n">
        <f aca="false">IF(A171="","",D171+Inputs!$B$7)</f>
        <v>30</v>
      </c>
      <c r="F171" s="3" t="n">
        <f aca="false">IF(A171="","",DATE(YEAR(B$2)+D171,MONTH(B$2),DAY(B$2)))</f>
        <v>26820</v>
      </c>
      <c r="G171" s="3" t="n">
        <f aca="false">IF(A171="","",DATE(YEAR(F171)+1,MONTH(F171),DAY(F171)))</f>
        <v>27185</v>
      </c>
      <c r="H171" s="10" t="n">
        <f aca="false">IF(A171="","",IF(G171&gt;F171,(B171-F171)/(G171-F171),0))</f>
        <v>0.153424657534247</v>
      </c>
      <c r="I171" s="10" t="n">
        <f aca="false">IF(A171="","",IFERROR(INDEX(CV_RATES!$I:$I,MATCH(D171,CV_RATES!$C:$C,0)),0))</f>
        <v>413.799943167521</v>
      </c>
      <c r="J171" s="10" t="n">
        <f aca="false">IF(A171="","",IFERROR(IF(E171=MAX(MORTALITY!$A:$A),1000,INDEX(CV_RATES!$J:$J,MATCH(D171,CV_RATES!$C:$C,0))),0))</f>
        <v>422.087573508399</v>
      </c>
      <c r="K171" s="10" t="n">
        <f aca="false">IF(A171="","",IFERROR(I171+H171*(J171-I171),0))</f>
        <v>415.071470014341</v>
      </c>
      <c r="L171" s="10" t="n">
        <f aca="false">IF(A171="","",IFERROR(K171*Inputs!$B$9,0))</f>
        <v>20753.573500717</v>
      </c>
      <c r="M171" s="10" t="n">
        <f aca="false">IF(A171="","",IFERROR(K171*Inputs!$B$10,0))</f>
        <v>66410.1899878845</v>
      </c>
      <c r="N171" s="10" t="n">
        <f aca="false">IF(A171="","",Z170)</f>
        <v>0</v>
      </c>
      <c r="O171" s="6" t="n">
        <f aca="false">IF(A171="","",Inputs!$B$18+N171)</f>
        <v>50000</v>
      </c>
      <c r="P171" s="5" t="n">
        <f aca="false">IF(A171="","",VLOOKUP(D171,DIvidend_Assumption!$A$3:$CX$103,($E$2+2),0)/12)</f>
        <v>0</v>
      </c>
      <c r="Q171" s="10" t="n">
        <f aca="false">IF(A171="","",IFERROR(AB170*P171,""))</f>
        <v>0</v>
      </c>
      <c r="R171" s="10" t="n">
        <f aca="false">IF(A171="","",IFERROR(IF(Inputs!$B$22="Accumulate",T171+Q171,IF(Inputs!$B$22="Premium Offset",MAX(0,T171+Q171-Inputs!$B$25),T171)),""))</f>
        <v>0</v>
      </c>
      <c r="S171" s="10" t="n">
        <f aca="false">IF(A171="","",R170)</f>
        <v>0</v>
      </c>
      <c r="T171" s="10" t="n">
        <f aca="false">IF(A171="","",IFERROR(S171*(1+Inputs!$B$23/12),""))</f>
        <v>0</v>
      </c>
      <c r="U171" s="6" t="n">
        <f aca="false">IF(A171="","",IF(D171&lt;=Inputs!$B$8,IF(Inputs!$B$22="Premium Offset",MAX(0,Inputs!$B$25-(Q171+T171)),Inputs!$B$25),0))</f>
        <v>77</v>
      </c>
      <c r="V171" s="10" t="n">
        <f aca="false">IF(A171="","",IF(Inputs!$B$22="Cash",Q171,0))</f>
        <v>0</v>
      </c>
      <c r="W171" s="10" t="n">
        <f aca="false">IF(A171="","",IF(Inputs!$B$22="PUA",Q171,0))</f>
        <v>0</v>
      </c>
      <c r="X171" s="12" t="n">
        <f aca="false">IF(A171="","",IFERROR(INDEX(PUA_TABLE!$D$4:$D$105,MATCH(E171,PUA_TABLE!$C$4:$C$105,1)),0))</f>
        <v>0.413799943167521</v>
      </c>
      <c r="Y171" s="10" t="n">
        <f aca="false">IF(A171="","",IF(W171&gt;0,IF(X171&gt;0,W171/X171,0),0))</f>
        <v>0</v>
      </c>
      <c r="Z171" s="10" t="n">
        <f aca="false">IF(A171="","",N171+Y171)</f>
        <v>0</v>
      </c>
      <c r="AA171" s="10" t="n">
        <f aca="false">IF(A171="","",IFERROR(Z171*INDEX(PUA_TABLE!$I$4:$I$105,MATCH(E171,PUA_TABLE!$C$4:$C$105,1))/1000,0))</f>
        <v>0</v>
      </c>
      <c r="AB171" s="10" t="n">
        <f aca="false">IF(A171="","",IFERROR(L171+AA171,0))</f>
        <v>20753.573500717</v>
      </c>
      <c r="AC171" s="10" t="n">
        <f aca="false">IF(A171="","",IF(Inputs!$B$22="Premium Offset",MIN(Inputs!$B$25,Q171+T171),0))</f>
        <v>0</v>
      </c>
    </row>
    <row r="172" customFormat="false" ht="15" hidden="false" customHeight="false" outlineLevel="0" collapsed="false">
      <c r="A172" s="1" t="n">
        <f aca="false">IF(A171="","",IF(INT((C171+1)/12)+Inputs!$B$7&gt;MAX(MORTALITY!$A:$A),"",Inputs!$B$4))</f>
        <v>34</v>
      </c>
      <c r="B172" s="3" t="n">
        <f aca="false">IF(A172="","",EOMONTH(B171,1))</f>
        <v>26907</v>
      </c>
      <c r="C172" s="1" t="n">
        <f aca="false">IF(A172="","",C171+1)</f>
        <v>170</v>
      </c>
      <c r="D172" s="1" t="n">
        <f aca="false">IF(A172="","",INT(C172/12))</f>
        <v>14</v>
      </c>
      <c r="E172" s="1" t="n">
        <f aca="false">IF(A172="","",D172+Inputs!$B$7)</f>
        <v>30</v>
      </c>
      <c r="F172" s="3" t="n">
        <f aca="false">IF(A172="","",DATE(YEAR(B$2)+D172,MONTH(B$2),DAY(B$2)))</f>
        <v>26820</v>
      </c>
      <c r="G172" s="3" t="n">
        <f aca="false">IF(A172="","",DATE(YEAR(F172)+1,MONTH(F172),DAY(F172)))</f>
        <v>27185</v>
      </c>
      <c r="H172" s="10" t="n">
        <f aca="false">IF(A172="","",IF(G172&gt;F172,(B172-F172)/(G172-F172),0))</f>
        <v>0.238356164383562</v>
      </c>
      <c r="I172" s="10" t="n">
        <f aca="false">IF(A172="","",IFERROR(INDEX(CV_RATES!$I:$I,MATCH(D172,CV_RATES!$C:$C,0)),0))</f>
        <v>413.799943167521</v>
      </c>
      <c r="J172" s="10" t="n">
        <f aca="false">IF(A172="","",IFERROR(IF(E172=MAX(MORTALITY!$A:$A),1000,INDEX(CV_RATES!$J:$J,MATCH(D172,CV_RATES!$C:$C,0))),0))</f>
        <v>422.087573508399</v>
      </c>
      <c r="K172" s="10" t="n">
        <f aca="false">IF(A172="","",IFERROR(I172+H172*(J172-I172),0))</f>
        <v>415.775350947402</v>
      </c>
      <c r="L172" s="10" t="n">
        <f aca="false">IF(A172="","",IFERROR(K172*Inputs!$B$9,0))</f>
        <v>20788.7675473701</v>
      </c>
      <c r="M172" s="10" t="n">
        <f aca="false">IF(A172="","",IFERROR(K172*Inputs!$B$10,0))</f>
        <v>66522.8088255315</v>
      </c>
      <c r="N172" s="10" t="n">
        <f aca="false">IF(A172="","",Z171)</f>
        <v>0</v>
      </c>
      <c r="O172" s="6" t="n">
        <f aca="false">IF(A172="","",Inputs!$B$18+N172)</f>
        <v>50000</v>
      </c>
      <c r="P172" s="5" t="n">
        <f aca="false">IF(A172="","",VLOOKUP(D172,DIvidend_Assumption!$A$3:$CX$103,($E$2+2),0)/12)</f>
        <v>0</v>
      </c>
      <c r="Q172" s="10" t="n">
        <f aca="false">IF(A172="","",IFERROR(AB171*P172,""))</f>
        <v>0</v>
      </c>
      <c r="R172" s="10" t="n">
        <f aca="false">IF(A172="","",IFERROR(IF(Inputs!$B$22="Accumulate",T172+Q172,IF(Inputs!$B$22="Premium Offset",MAX(0,T172+Q172-Inputs!$B$25),T172)),""))</f>
        <v>0</v>
      </c>
      <c r="S172" s="10" t="n">
        <f aca="false">IF(A172="","",R171)</f>
        <v>0</v>
      </c>
      <c r="T172" s="10" t="n">
        <f aca="false">IF(A172="","",IFERROR(S172*(1+Inputs!$B$23/12),""))</f>
        <v>0</v>
      </c>
      <c r="U172" s="6" t="n">
        <f aca="false">IF(A172="","",IF(D172&lt;=Inputs!$B$8,IF(Inputs!$B$22="Premium Offset",MAX(0,Inputs!$B$25-(Q172+T172)),Inputs!$B$25),0))</f>
        <v>77</v>
      </c>
      <c r="V172" s="10" t="n">
        <f aca="false">IF(A172="","",IF(Inputs!$B$22="Cash",Q172,0))</f>
        <v>0</v>
      </c>
      <c r="W172" s="10" t="n">
        <f aca="false">IF(A172="","",IF(Inputs!$B$22="PUA",Q172,0))</f>
        <v>0</v>
      </c>
      <c r="X172" s="12" t="n">
        <f aca="false">IF(A172="","",IFERROR(INDEX(PUA_TABLE!$D$4:$D$105,MATCH(E172,PUA_TABLE!$C$4:$C$105,1)),0))</f>
        <v>0.413799943167521</v>
      </c>
      <c r="Y172" s="10" t="n">
        <f aca="false">IF(A172="","",IF(W172&gt;0,IF(X172&gt;0,W172/X172,0),0))</f>
        <v>0</v>
      </c>
      <c r="Z172" s="10" t="n">
        <f aca="false">IF(A172="","",N172+Y172)</f>
        <v>0</v>
      </c>
      <c r="AA172" s="10" t="n">
        <f aca="false">IF(A172="","",IFERROR(Z172*INDEX(PUA_TABLE!$I$4:$I$105,MATCH(E172,PUA_TABLE!$C$4:$C$105,1))/1000,0))</f>
        <v>0</v>
      </c>
      <c r="AB172" s="10" t="n">
        <f aca="false">IF(A172="","",IFERROR(L172+AA172,0))</f>
        <v>20788.7675473701</v>
      </c>
      <c r="AC172" s="10" t="n">
        <f aca="false">IF(A172="","",IF(Inputs!$B$22="Premium Offset",MIN(Inputs!$B$25,Q172+T172),0))</f>
        <v>0</v>
      </c>
    </row>
    <row r="173" customFormat="false" ht="15" hidden="false" customHeight="false" outlineLevel="0" collapsed="false">
      <c r="A173" s="1" t="n">
        <f aca="false">IF(A172="","",IF(INT((C172+1)/12)+Inputs!$B$7&gt;MAX(MORTALITY!$A:$A),"",Inputs!$B$4))</f>
        <v>34</v>
      </c>
      <c r="B173" s="3" t="n">
        <f aca="false">IF(A173="","",EOMONTH(B172,1))</f>
        <v>26937</v>
      </c>
      <c r="C173" s="1" t="n">
        <f aca="false">IF(A173="","",C172+1)</f>
        <v>171</v>
      </c>
      <c r="D173" s="1" t="n">
        <f aca="false">IF(A173="","",INT(C173/12))</f>
        <v>14</v>
      </c>
      <c r="E173" s="1" t="n">
        <f aca="false">IF(A173="","",D173+Inputs!$B$7)</f>
        <v>30</v>
      </c>
      <c r="F173" s="3" t="n">
        <f aca="false">IF(A173="","",DATE(YEAR(B$2)+D173,MONTH(B$2),DAY(B$2)))</f>
        <v>26820</v>
      </c>
      <c r="G173" s="3" t="n">
        <f aca="false">IF(A173="","",DATE(YEAR(F173)+1,MONTH(F173),DAY(F173)))</f>
        <v>27185</v>
      </c>
      <c r="H173" s="10" t="n">
        <f aca="false">IF(A173="","",IF(G173&gt;F173,(B173-F173)/(G173-F173),0))</f>
        <v>0.320547945205479</v>
      </c>
      <c r="I173" s="10" t="n">
        <f aca="false">IF(A173="","",IFERROR(INDEX(CV_RATES!$I:$I,MATCH(D173,CV_RATES!$C:$C,0)),0))</f>
        <v>413.799943167521</v>
      </c>
      <c r="J173" s="10" t="n">
        <f aca="false">IF(A173="","",IFERROR(IF(E173=MAX(MORTALITY!$A:$A),1000,INDEX(CV_RATES!$J:$J,MATCH(D173,CV_RATES!$C:$C,0))),0))</f>
        <v>422.087573508399</v>
      </c>
      <c r="K173" s="10" t="n">
        <f aca="false">IF(A173="","",IFERROR(I173+H173*(J173-I173),0))</f>
        <v>416.456526043912</v>
      </c>
      <c r="L173" s="10" t="n">
        <f aca="false">IF(A173="","",IFERROR(K173*Inputs!$B$9,0))</f>
        <v>20822.8263021956</v>
      </c>
      <c r="M173" s="10" t="n">
        <f aca="false">IF(A173="","",IFERROR(K173*Inputs!$B$10,0))</f>
        <v>66631.7947974478</v>
      </c>
      <c r="N173" s="10" t="n">
        <f aca="false">IF(A173="","",Z172)</f>
        <v>0</v>
      </c>
      <c r="O173" s="6" t="n">
        <f aca="false">IF(A173="","",Inputs!$B$18+N173)</f>
        <v>50000</v>
      </c>
      <c r="P173" s="5" t="n">
        <f aca="false">IF(A173="","",VLOOKUP(D173,DIvidend_Assumption!$A$3:$CX$103,($E$2+2),0)/12)</f>
        <v>0</v>
      </c>
      <c r="Q173" s="10" t="n">
        <f aca="false">IF(A173="","",IFERROR(AB172*P173,""))</f>
        <v>0</v>
      </c>
      <c r="R173" s="10" t="n">
        <f aca="false">IF(A173="","",IFERROR(IF(Inputs!$B$22="Accumulate",T173+Q173,IF(Inputs!$B$22="Premium Offset",MAX(0,T173+Q173-Inputs!$B$25),T173)),""))</f>
        <v>0</v>
      </c>
      <c r="S173" s="10" t="n">
        <f aca="false">IF(A173="","",R172)</f>
        <v>0</v>
      </c>
      <c r="T173" s="10" t="n">
        <f aca="false">IF(A173="","",IFERROR(S173*(1+Inputs!$B$23/12),""))</f>
        <v>0</v>
      </c>
      <c r="U173" s="6" t="n">
        <f aca="false">IF(A173="","",IF(D173&lt;=Inputs!$B$8,IF(Inputs!$B$22="Premium Offset",MAX(0,Inputs!$B$25-(Q173+T173)),Inputs!$B$25),0))</f>
        <v>77</v>
      </c>
      <c r="V173" s="10" t="n">
        <f aca="false">IF(A173="","",IF(Inputs!$B$22="Cash",Q173,0))</f>
        <v>0</v>
      </c>
      <c r="W173" s="10" t="n">
        <f aca="false">IF(A173="","",IF(Inputs!$B$22="PUA",Q173,0))</f>
        <v>0</v>
      </c>
      <c r="X173" s="12" t="n">
        <f aca="false">IF(A173="","",IFERROR(INDEX(PUA_TABLE!$D$4:$D$105,MATCH(E173,PUA_TABLE!$C$4:$C$105,1)),0))</f>
        <v>0.413799943167521</v>
      </c>
      <c r="Y173" s="10" t="n">
        <f aca="false">IF(A173="","",IF(W173&gt;0,IF(X173&gt;0,W173/X173,0),0))</f>
        <v>0</v>
      </c>
      <c r="Z173" s="10" t="n">
        <f aca="false">IF(A173="","",N173+Y173)</f>
        <v>0</v>
      </c>
      <c r="AA173" s="10" t="n">
        <f aca="false">IF(A173="","",IFERROR(Z173*INDEX(PUA_TABLE!$I$4:$I$105,MATCH(E173,PUA_TABLE!$C$4:$C$105,1))/1000,0))</f>
        <v>0</v>
      </c>
      <c r="AB173" s="10" t="n">
        <f aca="false">IF(A173="","",IFERROR(L173+AA173,0))</f>
        <v>20822.8263021956</v>
      </c>
      <c r="AC173" s="10" t="n">
        <f aca="false">IF(A173="","",IF(Inputs!$B$22="Premium Offset",MIN(Inputs!$B$25,Q173+T173),0))</f>
        <v>0</v>
      </c>
    </row>
    <row r="174" customFormat="false" ht="15" hidden="false" customHeight="false" outlineLevel="0" collapsed="false">
      <c r="A174" s="1" t="n">
        <f aca="false">IF(A173="","",IF(INT((C173+1)/12)+Inputs!$B$7&gt;MAX(MORTALITY!$A:$A),"",Inputs!$B$4))</f>
        <v>34</v>
      </c>
      <c r="B174" s="3" t="n">
        <f aca="false">IF(A174="","",EOMONTH(B173,1))</f>
        <v>26968</v>
      </c>
      <c r="C174" s="1" t="n">
        <f aca="false">IF(A174="","",C173+1)</f>
        <v>172</v>
      </c>
      <c r="D174" s="1" t="n">
        <f aca="false">IF(A174="","",INT(C174/12))</f>
        <v>14</v>
      </c>
      <c r="E174" s="1" t="n">
        <f aca="false">IF(A174="","",D174+Inputs!$B$7)</f>
        <v>30</v>
      </c>
      <c r="F174" s="3" t="n">
        <f aca="false">IF(A174="","",DATE(YEAR(B$2)+D174,MONTH(B$2),DAY(B$2)))</f>
        <v>26820</v>
      </c>
      <c r="G174" s="3" t="n">
        <f aca="false">IF(A174="","",DATE(YEAR(F174)+1,MONTH(F174),DAY(F174)))</f>
        <v>27185</v>
      </c>
      <c r="H174" s="10" t="n">
        <f aca="false">IF(A174="","",IF(G174&gt;F174,(B174-F174)/(G174-F174),0))</f>
        <v>0.405479452054795</v>
      </c>
      <c r="I174" s="10" t="n">
        <f aca="false">IF(A174="","",IFERROR(INDEX(CV_RATES!$I:$I,MATCH(D174,CV_RATES!$C:$C,0)),0))</f>
        <v>413.799943167521</v>
      </c>
      <c r="J174" s="10" t="n">
        <f aca="false">IF(A174="","",IFERROR(IF(E174=MAX(MORTALITY!$A:$A),1000,INDEX(CV_RATES!$J:$J,MATCH(D174,CV_RATES!$C:$C,0))),0))</f>
        <v>422.087573508399</v>
      </c>
      <c r="K174" s="10" t="n">
        <f aca="false">IF(A174="","",IFERROR(I174+H174*(J174-I174),0))</f>
        <v>417.160406976973</v>
      </c>
      <c r="L174" s="10" t="n">
        <f aca="false">IF(A174="","",IFERROR(K174*Inputs!$B$9,0))</f>
        <v>20858.0203488487</v>
      </c>
      <c r="M174" s="10" t="n">
        <f aca="false">IF(A174="","",IFERROR(K174*Inputs!$B$10,0))</f>
        <v>66744.4136350948</v>
      </c>
      <c r="N174" s="10" t="n">
        <f aca="false">IF(A174="","",Z173)</f>
        <v>0</v>
      </c>
      <c r="O174" s="6" t="n">
        <f aca="false">IF(A174="","",Inputs!$B$18+N174)</f>
        <v>50000</v>
      </c>
      <c r="P174" s="5" t="n">
        <f aca="false">IF(A174="","",VLOOKUP(D174,DIvidend_Assumption!$A$3:$CX$103,($E$2+2),0)/12)</f>
        <v>0</v>
      </c>
      <c r="Q174" s="10" t="n">
        <f aca="false">IF(A174="","",IFERROR(AB173*P174,""))</f>
        <v>0</v>
      </c>
      <c r="R174" s="10" t="n">
        <f aca="false">IF(A174="","",IFERROR(IF(Inputs!$B$22="Accumulate",T174+Q174,IF(Inputs!$B$22="Premium Offset",MAX(0,T174+Q174-Inputs!$B$25),T174)),""))</f>
        <v>0</v>
      </c>
      <c r="S174" s="10" t="n">
        <f aca="false">IF(A174="","",R173)</f>
        <v>0</v>
      </c>
      <c r="T174" s="10" t="n">
        <f aca="false">IF(A174="","",IFERROR(S174*(1+Inputs!$B$23/12),""))</f>
        <v>0</v>
      </c>
      <c r="U174" s="6" t="n">
        <f aca="false">IF(A174="","",IF(D174&lt;=Inputs!$B$8,IF(Inputs!$B$22="Premium Offset",MAX(0,Inputs!$B$25-(Q174+T174)),Inputs!$B$25),0))</f>
        <v>77</v>
      </c>
      <c r="V174" s="10" t="n">
        <f aca="false">IF(A174="","",IF(Inputs!$B$22="Cash",Q174,0))</f>
        <v>0</v>
      </c>
      <c r="W174" s="10" t="n">
        <f aca="false">IF(A174="","",IF(Inputs!$B$22="PUA",Q174,0))</f>
        <v>0</v>
      </c>
      <c r="X174" s="12" t="n">
        <f aca="false">IF(A174="","",IFERROR(INDEX(PUA_TABLE!$D$4:$D$105,MATCH(E174,PUA_TABLE!$C$4:$C$105,1)),0))</f>
        <v>0.413799943167521</v>
      </c>
      <c r="Y174" s="10" t="n">
        <f aca="false">IF(A174="","",IF(W174&gt;0,IF(X174&gt;0,W174/X174,0),0))</f>
        <v>0</v>
      </c>
      <c r="Z174" s="10" t="n">
        <f aca="false">IF(A174="","",N174+Y174)</f>
        <v>0</v>
      </c>
      <c r="AA174" s="10" t="n">
        <f aca="false">IF(A174="","",IFERROR(Z174*INDEX(PUA_TABLE!$I$4:$I$105,MATCH(E174,PUA_TABLE!$C$4:$C$105,1))/1000,0))</f>
        <v>0</v>
      </c>
      <c r="AB174" s="10" t="n">
        <f aca="false">IF(A174="","",IFERROR(L174+AA174,0))</f>
        <v>20858.0203488487</v>
      </c>
      <c r="AC174" s="10" t="n">
        <f aca="false">IF(A174="","",IF(Inputs!$B$22="Premium Offset",MIN(Inputs!$B$25,Q174+T174),0))</f>
        <v>0</v>
      </c>
    </row>
    <row r="175" customFormat="false" ht="15" hidden="false" customHeight="false" outlineLevel="0" collapsed="false">
      <c r="A175" s="1" t="n">
        <f aca="false">IF(A174="","",IF(INT((C174+1)/12)+Inputs!$B$7&gt;MAX(MORTALITY!$A:$A),"",Inputs!$B$4))</f>
        <v>34</v>
      </c>
      <c r="B175" s="3" t="n">
        <f aca="false">IF(A175="","",EOMONTH(B174,1))</f>
        <v>26998</v>
      </c>
      <c r="C175" s="1" t="n">
        <f aca="false">IF(A175="","",C174+1)</f>
        <v>173</v>
      </c>
      <c r="D175" s="1" t="n">
        <f aca="false">IF(A175="","",INT(C175/12))</f>
        <v>14</v>
      </c>
      <c r="E175" s="1" t="n">
        <f aca="false">IF(A175="","",D175+Inputs!$B$7)</f>
        <v>30</v>
      </c>
      <c r="F175" s="3" t="n">
        <f aca="false">IF(A175="","",DATE(YEAR(B$2)+D175,MONTH(B$2),DAY(B$2)))</f>
        <v>26820</v>
      </c>
      <c r="G175" s="3" t="n">
        <f aca="false">IF(A175="","",DATE(YEAR(F175)+1,MONTH(F175),DAY(F175)))</f>
        <v>27185</v>
      </c>
      <c r="H175" s="10" t="n">
        <f aca="false">IF(A175="","",IF(G175&gt;F175,(B175-F175)/(G175-F175),0))</f>
        <v>0.487671232876712</v>
      </c>
      <c r="I175" s="10" t="n">
        <f aca="false">IF(A175="","",IFERROR(INDEX(CV_RATES!$I:$I,MATCH(D175,CV_RATES!$C:$C,0)),0))</f>
        <v>413.799943167521</v>
      </c>
      <c r="J175" s="10" t="n">
        <f aca="false">IF(A175="","",IFERROR(IF(E175=MAX(MORTALITY!$A:$A),1000,INDEX(CV_RATES!$J:$J,MATCH(D175,CV_RATES!$C:$C,0))),0))</f>
        <v>422.087573508399</v>
      </c>
      <c r="K175" s="10" t="n">
        <f aca="false">IF(A175="","",IFERROR(I175+H175*(J175-I175),0))</f>
        <v>417.841582073484</v>
      </c>
      <c r="L175" s="10" t="n">
        <f aca="false">IF(A175="","",IFERROR(K175*Inputs!$B$9,0))</f>
        <v>20892.0791036742</v>
      </c>
      <c r="M175" s="10" t="n">
        <f aca="false">IF(A175="","",IFERROR(K175*Inputs!$B$10,0))</f>
        <v>66853.3996070112</v>
      </c>
      <c r="N175" s="10" t="n">
        <f aca="false">IF(A175="","",Z174)</f>
        <v>0</v>
      </c>
      <c r="O175" s="6" t="n">
        <f aca="false">IF(A175="","",Inputs!$B$18+N175)</f>
        <v>50000</v>
      </c>
      <c r="P175" s="5" t="n">
        <f aca="false">IF(A175="","",VLOOKUP(D175,DIvidend_Assumption!$A$3:$CX$103,($E$2+2),0)/12)</f>
        <v>0</v>
      </c>
      <c r="Q175" s="10" t="n">
        <f aca="false">IF(A175="","",IFERROR(AB174*P175,""))</f>
        <v>0</v>
      </c>
      <c r="R175" s="10" t="n">
        <f aca="false">IF(A175="","",IFERROR(IF(Inputs!$B$22="Accumulate",T175+Q175,IF(Inputs!$B$22="Premium Offset",MAX(0,T175+Q175-Inputs!$B$25),T175)),""))</f>
        <v>0</v>
      </c>
      <c r="S175" s="10" t="n">
        <f aca="false">IF(A175="","",R174)</f>
        <v>0</v>
      </c>
      <c r="T175" s="10" t="n">
        <f aca="false">IF(A175="","",IFERROR(S175*(1+Inputs!$B$23/12),""))</f>
        <v>0</v>
      </c>
      <c r="U175" s="6" t="n">
        <f aca="false">IF(A175="","",IF(D175&lt;=Inputs!$B$8,IF(Inputs!$B$22="Premium Offset",MAX(0,Inputs!$B$25-(Q175+T175)),Inputs!$B$25),0))</f>
        <v>77</v>
      </c>
      <c r="V175" s="10" t="n">
        <f aca="false">IF(A175="","",IF(Inputs!$B$22="Cash",Q175,0))</f>
        <v>0</v>
      </c>
      <c r="W175" s="10" t="n">
        <f aca="false">IF(A175="","",IF(Inputs!$B$22="PUA",Q175,0))</f>
        <v>0</v>
      </c>
      <c r="X175" s="12" t="n">
        <f aca="false">IF(A175="","",IFERROR(INDEX(PUA_TABLE!$D$4:$D$105,MATCH(E175,PUA_TABLE!$C$4:$C$105,1)),0))</f>
        <v>0.413799943167521</v>
      </c>
      <c r="Y175" s="10" t="n">
        <f aca="false">IF(A175="","",IF(W175&gt;0,IF(X175&gt;0,W175/X175,0),0))</f>
        <v>0</v>
      </c>
      <c r="Z175" s="10" t="n">
        <f aca="false">IF(A175="","",N175+Y175)</f>
        <v>0</v>
      </c>
      <c r="AA175" s="10" t="n">
        <f aca="false">IF(A175="","",IFERROR(Z175*INDEX(PUA_TABLE!$I$4:$I$105,MATCH(E175,PUA_TABLE!$C$4:$C$105,1))/1000,0))</f>
        <v>0</v>
      </c>
      <c r="AB175" s="10" t="n">
        <f aca="false">IF(A175="","",IFERROR(L175+AA175,0))</f>
        <v>20892.0791036742</v>
      </c>
      <c r="AC175" s="10" t="n">
        <f aca="false">IF(A175="","",IF(Inputs!$B$22="Premium Offset",MIN(Inputs!$B$25,Q175+T175),0))</f>
        <v>0</v>
      </c>
    </row>
    <row r="176" customFormat="false" ht="15" hidden="false" customHeight="false" outlineLevel="0" collapsed="false">
      <c r="A176" s="1" t="n">
        <f aca="false">IF(A175="","",IF(INT((C175+1)/12)+Inputs!$B$7&gt;MAX(MORTALITY!$A:$A),"",Inputs!$B$4))</f>
        <v>34</v>
      </c>
      <c r="B176" s="3" t="n">
        <f aca="false">IF(A176="","",EOMONTH(B175,1))</f>
        <v>27029</v>
      </c>
      <c r="C176" s="1" t="n">
        <f aca="false">IF(A176="","",C175+1)</f>
        <v>174</v>
      </c>
      <c r="D176" s="1" t="n">
        <f aca="false">IF(A176="","",INT(C176/12))</f>
        <v>14</v>
      </c>
      <c r="E176" s="1" t="n">
        <f aca="false">IF(A176="","",D176+Inputs!$B$7)</f>
        <v>30</v>
      </c>
      <c r="F176" s="3" t="n">
        <f aca="false">IF(A176="","",DATE(YEAR(B$2)+D176,MONTH(B$2),DAY(B$2)))</f>
        <v>26820</v>
      </c>
      <c r="G176" s="3" t="n">
        <f aca="false">IF(A176="","",DATE(YEAR(F176)+1,MONTH(F176),DAY(F176)))</f>
        <v>27185</v>
      </c>
      <c r="H176" s="10" t="n">
        <f aca="false">IF(A176="","",IF(G176&gt;F176,(B176-F176)/(G176-F176),0))</f>
        <v>0.572602739726027</v>
      </c>
      <c r="I176" s="10" t="n">
        <f aca="false">IF(A176="","",IFERROR(INDEX(CV_RATES!$I:$I,MATCH(D176,CV_RATES!$C:$C,0)),0))</f>
        <v>413.799943167521</v>
      </c>
      <c r="J176" s="10" t="n">
        <f aca="false">IF(A176="","",IFERROR(IF(E176=MAX(MORTALITY!$A:$A),1000,INDEX(CV_RATES!$J:$J,MATCH(D176,CV_RATES!$C:$C,0))),0))</f>
        <v>422.087573508399</v>
      </c>
      <c r="K176" s="10" t="n">
        <f aca="false">IF(A176="","",IFERROR(I176+H176*(J176-I176),0))</f>
        <v>418.545463006545</v>
      </c>
      <c r="L176" s="10" t="n">
        <f aca="false">IF(A176="","",IFERROR(K176*Inputs!$B$9,0))</f>
        <v>20927.2731503272</v>
      </c>
      <c r="M176" s="10" t="n">
        <f aca="false">IF(A176="","",IFERROR(K176*Inputs!$B$10,0))</f>
        <v>66966.0184446581</v>
      </c>
      <c r="N176" s="10" t="n">
        <f aca="false">IF(A176="","",Z175)</f>
        <v>0</v>
      </c>
      <c r="O176" s="6" t="n">
        <f aca="false">IF(A176="","",Inputs!$B$18+N176)</f>
        <v>50000</v>
      </c>
      <c r="P176" s="5" t="n">
        <f aca="false">IF(A176="","",VLOOKUP(D176,DIvidend_Assumption!$A$3:$CX$103,($E$2+2),0)/12)</f>
        <v>0</v>
      </c>
      <c r="Q176" s="10" t="n">
        <f aca="false">IF(A176="","",IFERROR(AB175*P176,""))</f>
        <v>0</v>
      </c>
      <c r="R176" s="10" t="n">
        <f aca="false">IF(A176="","",IFERROR(IF(Inputs!$B$22="Accumulate",T176+Q176,IF(Inputs!$B$22="Premium Offset",MAX(0,T176+Q176-Inputs!$B$25),T176)),""))</f>
        <v>0</v>
      </c>
      <c r="S176" s="10" t="n">
        <f aca="false">IF(A176="","",R175)</f>
        <v>0</v>
      </c>
      <c r="T176" s="10" t="n">
        <f aca="false">IF(A176="","",IFERROR(S176*(1+Inputs!$B$23/12),""))</f>
        <v>0</v>
      </c>
      <c r="U176" s="6" t="n">
        <f aca="false">IF(A176="","",IF(D176&lt;=Inputs!$B$8,IF(Inputs!$B$22="Premium Offset",MAX(0,Inputs!$B$25-(Q176+T176)),Inputs!$B$25),0))</f>
        <v>77</v>
      </c>
      <c r="V176" s="10" t="n">
        <f aca="false">IF(A176="","",IF(Inputs!$B$22="Cash",Q176,0))</f>
        <v>0</v>
      </c>
      <c r="W176" s="10" t="n">
        <f aca="false">IF(A176="","",IF(Inputs!$B$22="PUA",Q176,0))</f>
        <v>0</v>
      </c>
      <c r="X176" s="12" t="n">
        <f aca="false">IF(A176="","",IFERROR(INDEX(PUA_TABLE!$D$4:$D$105,MATCH(E176,PUA_TABLE!$C$4:$C$105,1)),0))</f>
        <v>0.413799943167521</v>
      </c>
      <c r="Y176" s="10" t="n">
        <f aca="false">IF(A176="","",IF(W176&gt;0,IF(X176&gt;0,W176/X176,0),0))</f>
        <v>0</v>
      </c>
      <c r="Z176" s="10" t="n">
        <f aca="false">IF(A176="","",N176+Y176)</f>
        <v>0</v>
      </c>
      <c r="AA176" s="10" t="n">
        <f aca="false">IF(A176="","",IFERROR(Z176*INDEX(PUA_TABLE!$I$4:$I$105,MATCH(E176,PUA_TABLE!$C$4:$C$105,1))/1000,0))</f>
        <v>0</v>
      </c>
      <c r="AB176" s="10" t="n">
        <f aca="false">IF(A176="","",IFERROR(L176+AA176,0))</f>
        <v>20927.2731503272</v>
      </c>
      <c r="AC176" s="10" t="n">
        <f aca="false">IF(A176="","",IF(Inputs!$B$22="Premium Offset",MIN(Inputs!$B$25,Q176+T176),0))</f>
        <v>0</v>
      </c>
    </row>
    <row r="177" customFormat="false" ht="15" hidden="false" customHeight="false" outlineLevel="0" collapsed="false">
      <c r="A177" s="1" t="n">
        <f aca="false">IF(A176="","",IF(INT((C176+1)/12)+Inputs!$B$7&gt;MAX(MORTALITY!$A:$A),"",Inputs!$B$4))</f>
        <v>34</v>
      </c>
      <c r="B177" s="3" t="n">
        <f aca="false">IF(A177="","",EOMONTH(B176,1))</f>
        <v>27060</v>
      </c>
      <c r="C177" s="1" t="n">
        <f aca="false">IF(A177="","",C176+1)</f>
        <v>175</v>
      </c>
      <c r="D177" s="1" t="n">
        <f aca="false">IF(A177="","",INT(C177/12))</f>
        <v>14</v>
      </c>
      <c r="E177" s="1" t="n">
        <f aca="false">IF(A177="","",D177+Inputs!$B$7)</f>
        <v>30</v>
      </c>
      <c r="F177" s="3" t="n">
        <f aca="false">IF(A177="","",DATE(YEAR(B$2)+D177,MONTH(B$2),DAY(B$2)))</f>
        <v>26820</v>
      </c>
      <c r="G177" s="3" t="n">
        <f aca="false">IF(A177="","",DATE(YEAR(F177)+1,MONTH(F177),DAY(F177)))</f>
        <v>27185</v>
      </c>
      <c r="H177" s="10" t="n">
        <f aca="false">IF(A177="","",IF(G177&gt;F177,(B177-F177)/(G177-F177),0))</f>
        <v>0.657534246575342</v>
      </c>
      <c r="I177" s="10" t="n">
        <f aca="false">IF(A177="","",IFERROR(INDEX(CV_RATES!$I:$I,MATCH(D177,CV_RATES!$C:$C,0)),0))</f>
        <v>413.799943167521</v>
      </c>
      <c r="J177" s="10" t="n">
        <f aca="false">IF(A177="","",IFERROR(IF(E177=MAX(MORTALITY!$A:$A),1000,INDEX(CV_RATES!$J:$J,MATCH(D177,CV_RATES!$C:$C,0))),0))</f>
        <v>422.087573508399</v>
      </c>
      <c r="K177" s="10" t="n">
        <f aca="false">IF(A177="","",IFERROR(I177+H177*(J177-I177),0))</f>
        <v>419.249343939605</v>
      </c>
      <c r="L177" s="10" t="n">
        <f aca="false">IF(A177="","",IFERROR(K177*Inputs!$B$9,0))</f>
        <v>20962.4671969803</v>
      </c>
      <c r="M177" s="10" t="n">
        <f aca="false">IF(A177="","",IFERROR(K177*Inputs!$B$10,0))</f>
        <v>67078.6372823051</v>
      </c>
      <c r="N177" s="10" t="n">
        <f aca="false">IF(A177="","",Z176)</f>
        <v>0</v>
      </c>
      <c r="O177" s="6" t="n">
        <f aca="false">IF(A177="","",Inputs!$B$18+N177)</f>
        <v>50000</v>
      </c>
      <c r="P177" s="5" t="n">
        <f aca="false">IF(A177="","",VLOOKUP(D177,DIvidend_Assumption!$A$3:$CX$103,($E$2+2),0)/12)</f>
        <v>0</v>
      </c>
      <c r="Q177" s="10" t="n">
        <f aca="false">IF(A177="","",IFERROR(AB176*P177,""))</f>
        <v>0</v>
      </c>
      <c r="R177" s="10" t="n">
        <f aca="false">IF(A177="","",IFERROR(IF(Inputs!$B$22="Accumulate",T177+Q177,IF(Inputs!$B$22="Premium Offset",MAX(0,T177+Q177-Inputs!$B$25),T177)),""))</f>
        <v>0</v>
      </c>
      <c r="S177" s="10" t="n">
        <f aca="false">IF(A177="","",R176)</f>
        <v>0</v>
      </c>
      <c r="T177" s="10" t="n">
        <f aca="false">IF(A177="","",IFERROR(S177*(1+Inputs!$B$23/12),""))</f>
        <v>0</v>
      </c>
      <c r="U177" s="6" t="n">
        <f aca="false">IF(A177="","",IF(D177&lt;=Inputs!$B$8,IF(Inputs!$B$22="Premium Offset",MAX(0,Inputs!$B$25-(Q177+T177)),Inputs!$B$25),0))</f>
        <v>77</v>
      </c>
      <c r="V177" s="10" t="n">
        <f aca="false">IF(A177="","",IF(Inputs!$B$22="Cash",Q177,0))</f>
        <v>0</v>
      </c>
      <c r="W177" s="10" t="n">
        <f aca="false">IF(A177="","",IF(Inputs!$B$22="PUA",Q177,0))</f>
        <v>0</v>
      </c>
      <c r="X177" s="12" t="n">
        <f aca="false">IF(A177="","",IFERROR(INDEX(PUA_TABLE!$D$4:$D$105,MATCH(E177,PUA_TABLE!$C$4:$C$105,1)),0))</f>
        <v>0.413799943167521</v>
      </c>
      <c r="Y177" s="10" t="n">
        <f aca="false">IF(A177="","",IF(W177&gt;0,IF(X177&gt;0,W177/X177,0),0))</f>
        <v>0</v>
      </c>
      <c r="Z177" s="10" t="n">
        <f aca="false">IF(A177="","",N177+Y177)</f>
        <v>0</v>
      </c>
      <c r="AA177" s="10" t="n">
        <f aca="false">IF(A177="","",IFERROR(Z177*INDEX(PUA_TABLE!$I$4:$I$105,MATCH(E177,PUA_TABLE!$C$4:$C$105,1))/1000,0))</f>
        <v>0</v>
      </c>
      <c r="AB177" s="10" t="n">
        <f aca="false">IF(A177="","",IFERROR(L177+AA177,0))</f>
        <v>20962.4671969803</v>
      </c>
      <c r="AC177" s="10" t="n">
        <f aca="false">IF(A177="","",IF(Inputs!$B$22="Premium Offset",MIN(Inputs!$B$25,Q177+T177),0))</f>
        <v>0</v>
      </c>
    </row>
    <row r="178" customFormat="false" ht="15" hidden="false" customHeight="false" outlineLevel="0" collapsed="false">
      <c r="A178" s="1" t="n">
        <f aca="false">IF(A177="","",IF(INT((C177+1)/12)+Inputs!$B$7&gt;MAX(MORTALITY!$A:$A),"",Inputs!$B$4))</f>
        <v>34</v>
      </c>
      <c r="B178" s="3" t="n">
        <f aca="false">IF(A178="","",EOMONTH(B177,1))</f>
        <v>27088</v>
      </c>
      <c r="C178" s="1" t="n">
        <f aca="false">IF(A178="","",C177+1)</f>
        <v>176</v>
      </c>
      <c r="D178" s="1" t="n">
        <f aca="false">IF(A178="","",INT(C178/12))</f>
        <v>14</v>
      </c>
      <c r="E178" s="1" t="n">
        <f aca="false">IF(A178="","",D178+Inputs!$B$7)</f>
        <v>30</v>
      </c>
      <c r="F178" s="3" t="n">
        <f aca="false">IF(A178="","",DATE(YEAR(B$2)+D178,MONTH(B$2),DAY(B$2)))</f>
        <v>26820</v>
      </c>
      <c r="G178" s="3" t="n">
        <f aca="false">IF(A178="","",DATE(YEAR(F178)+1,MONTH(F178),DAY(F178)))</f>
        <v>27185</v>
      </c>
      <c r="H178" s="10" t="n">
        <f aca="false">IF(A178="","",IF(G178&gt;F178,(B178-F178)/(G178-F178),0))</f>
        <v>0.734246575342466</v>
      </c>
      <c r="I178" s="10" t="n">
        <f aca="false">IF(A178="","",IFERROR(INDEX(CV_RATES!$I:$I,MATCH(D178,CV_RATES!$C:$C,0)),0))</f>
        <v>413.799943167521</v>
      </c>
      <c r="J178" s="10" t="n">
        <f aca="false">IF(A178="","",IFERROR(IF(E178=MAX(MORTALITY!$A:$A),1000,INDEX(CV_RATES!$J:$J,MATCH(D178,CV_RATES!$C:$C,0))),0))</f>
        <v>422.087573508399</v>
      </c>
      <c r="K178" s="10" t="n">
        <f aca="false">IF(A178="","",IFERROR(I178+H178*(J178-I178),0))</f>
        <v>419.885107363015</v>
      </c>
      <c r="L178" s="10" t="n">
        <f aca="false">IF(A178="","",IFERROR(K178*Inputs!$B$9,0))</f>
        <v>20994.2553681508</v>
      </c>
      <c r="M178" s="10" t="n">
        <f aca="false">IF(A178="","",IFERROR(K178*Inputs!$B$10,0))</f>
        <v>67180.3575227604</v>
      </c>
      <c r="N178" s="10" t="n">
        <f aca="false">IF(A178="","",Z177)</f>
        <v>0</v>
      </c>
      <c r="O178" s="6" t="n">
        <f aca="false">IF(A178="","",Inputs!$B$18+N178)</f>
        <v>50000</v>
      </c>
      <c r="P178" s="5" t="n">
        <f aca="false">IF(A178="","",VLOOKUP(D178,DIvidend_Assumption!$A$3:$CX$103,($E$2+2),0)/12)</f>
        <v>0</v>
      </c>
      <c r="Q178" s="10" t="n">
        <f aca="false">IF(A178="","",IFERROR(AB177*P178,""))</f>
        <v>0</v>
      </c>
      <c r="R178" s="10" t="n">
        <f aca="false">IF(A178="","",IFERROR(IF(Inputs!$B$22="Accumulate",T178+Q178,IF(Inputs!$B$22="Premium Offset",MAX(0,T178+Q178-Inputs!$B$25),T178)),""))</f>
        <v>0</v>
      </c>
      <c r="S178" s="10" t="n">
        <f aca="false">IF(A178="","",R177)</f>
        <v>0</v>
      </c>
      <c r="T178" s="10" t="n">
        <f aca="false">IF(A178="","",IFERROR(S178*(1+Inputs!$B$23/12),""))</f>
        <v>0</v>
      </c>
      <c r="U178" s="6" t="n">
        <f aca="false">IF(A178="","",IF(D178&lt;=Inputs!$B$8,IF(Inputs!$B$22="Premium Offset",MAX(0,Inputs!$B$25-(Q178+T178)),Inputs!$B$25),0))</f>
        <v>77</v>
      </c>
      <c r="V178" s="10" t="n">
        <f aca="false">IF(A178="","",IF(Inputs!$B$22="Cash",Q178,0))</f>
        <v>0</v>
      </c>
      <c r="W178" s="10" t="n">
        <f aca="false">IF(A178="","",IF(Inputs!$B$22="PUA",Q178,0))</f>
        <v>0</v>
      </c>
      <c r="X178" s="12" t="n">
        <f aca="false">IF(A178="","",IFERROR(INDEX(PUA_TABLE!$D$4:$D$105,MATCH(E178,PUA_TABLE!$C$4:$C$105,1)),0))</f>
        <v>0.413799943167521</v>
      </c>
      <c r="Y178" s="10" t="n">
        <f aca="false">IF(A178="","",IF(W178&gt;0,IF(X178&gt;0,W178/X178,0),0))</f>
        <v>0</v>
      </c>
      <c r="Z178" s="10" t="n">
        <f aca="false">IF(A178="","",N178+Y178)</f>
        <v>0</v>
      </c>
      <c r="AA178" s="10" t="n">
        <f aca="false">IF(A178="","",IFERROR(Z178*INDEX(PUA_TABLE!$I$4:$I$105,MATCH(E178,PUA_TABLE!$C$4:$C$105,1))/1000,0))</f>
        <v>0</v>
      </c>
      <c r="AB178" s="10" t="n">
        <f aca="false">IF(A178="","",IFERROR(L178+AA178,0))</f>
        <v>20994.2553681508</v>
      </c>
      <c r="AC178" s="10" t="n">
        <f aca="false">IF(A178="","",IF(Inputs!$B$22="Premium Offset",MIN(Inputs!$B$25,Q178+T178),0))</f>
        <v>0</v>
      </c>
    </row>
    <row r="179" customFormat="false" ht="15" hidden="false" customHeight="false" outlineLevel="0" collapsed="false">
      <c r="A179" s="1" t="n">
        <f aca="false">IF(A178="","",IF(INT((C178+1)/12)+Inputs!$B$7&gt;MAX(MORTALITY!$A:$A),"",Inputs!$B$4))</f>
        <v>34</v>
      </c>
      <c r="B179" s="3" t="n">
        <f aca="false">IF(A179="","",EOMONTH(B178,1))</f>
        <v>27119</v>
      </c>
      <c r="C179" s="1" t="n">
        <f aca="false">IF(A179="","",C178+1)</f>
        <v>177</v>
      </c>
      <c r="D179" s="1" t="n">
        <f aca="false">IF(A179="","",INT(C179/12))</f>
        <v>14</v>
      </c>
      <c r="E179" s="1" t="n">
        <f aca="false">IF(A179="","",D179+Inputs!$B$7)</f>
        <v>30</v>
      </c>
      <c r="F179" s="3" t="n">
        <f aca="false">IF(A179="","",DATE(YEAR(B$2)+D179,MONTH(B$2),DAY(B$2)))</f>
        <v>26820</v>
      </c>
      <c r="G179" s="3" t="n">
        <f aca="false">IF(A179="","",DATE(YEAR(F179)+1,MONTH(F179),DAY(F179)))</f>
        <v>27185</v>
      </c>
      <c r="H179" s="10" t="n">
        <f aca="false">IF(A179="","",IF(G179&gt;F179,(B179-F179)/(G179-F179),0))</f>
        <v>0.819178082191781</v>
      </c>
      <c r="I179" s="10" t="n">
        <f aca="false">IF(A179="","",IFERROR(INDEX(CV_RATES!$I:$I,MATCH(D179,CV_RATES!$C:$C,0)),0))</f>
        <v>413.799943167521</v>
      </c>
      <c r="J179" s="10" t="n">
        <f aca="false">IF(A179="","",IFERROR(IF(E179=MAX(MORTALITY!$A:$A),1000,INDEX(CV_RATES!$J:$J,MATCH(D179,CV_RATES!$C:$C,0))),0))</f>
        <v>422.087573508399</v>
      </c>
      <c r="K179" s="10" t="n">
        <f aca="false">IF(A179="","",IFERROR(I179+H179*(J179-I179),0))</f>
        <v>420.588988296076</v>
      </c>
      <c r="L179" s="10" t="n">
        <f aca="false">IF(A179="","",IFERROR(K179*Inputs!$B$9,0))</f>
        <v>21029.4494148038</v>
      </c>
      <c r="M179" s="10" t="n">
        <f aca="false">IF(A179="","",IFERROR(K179*Inputs!$B$10,0))</f>
        <v>67292.9763604073</v>
      </c>
      <c r="N179" s="10" t="n">
        <f aca="false">IF(A179="","",Z178)</f>
        <v>0</v>
      </c>
      <c r="O179" s="6" t="n">
        <f aca="false">IF(A179="","",Inputs!$B$18+N179)</f>
        <v>50000</v>
      </c>
      <c r="P179" s="5" t="n">
        <f aca="false">IF(A179="","",VLOOKUP(D179,DIvidend_Assumption!$A$3:$CX$103,($E$2+2),0)/12)</f>
        <v>0</v>
      </c>
      <c r="Q179" s="10" t="n">
        <f aca="false">IF(A179="","",IFERROR(AB178*P179,""))</f>
        <v>0</v>
      </c>
      <c r="R179" s="10" t="n">
        <f aca="false">IF(A179="","",IFERROR(IF(Inputs!$B$22="Accumulate",T179+Q179,IF(Inputs!$B$22="Premium Offset",MAX(0,T179+Q179-Inputs!$B$25),T179)),""))</f>
        <v>0</v>
      </c>
      <c r="S179" s="10" t="n">
        <f aca="false">IF(A179="","",R178)</f>
        <v>0</v>
      </c>
      <c r="T179" s="10" t="n">
        <f aca="false">IF(A179="","",IFERROR(S179*(1+Inputs!$B$23/12),""))</f>
        <v>0</v>
      </c>
      <c r="U179" s="6" t="n">
        <f aca="false">IF(A179="","",IF(D179&lt;=Inputs!$B$8,IF(Inputs!$B$22="Premium Offset",MAX(0,Inputs!$B$25-(Q179+T179)),Inputs!$B$25),0))</f>
        <v>77</v>
      </c>
      <c r="V179" s="10" t="n">
        <f aca="false">IF(A179="","",IF(Inputs!$B$22="Cash",Q179,0))</f>
        <v>0</v>
      </c>
      <c r="W179" s="10" t="n">
        <f aca="false">IF(A179="","",IF(Inputs!$B$22="PUA",Q179,0))</f>
        <v>0</v>
      </c>
      <c r="X179" s="12" t="n">
        <f aca="false">IF(A179="","",IFERROR(INDEX(PUA_TABLE!$D$4:$D$105,MATCH(E179,PUA_TABLE!$C$4:$C$105,1)),0))</f>
        <v>0.413799943167521</v>
      </c>
      <c r="Y179" s="10" t="n">
        <f aca="false">IF(A179="","",IF(W179&gt;0,IF(X179&gt;0,W179/X179,0),0))</f>
        <v>0</v>
      </c>
      <c r="Z179" s="10" t="n">
        <f aca="false">IF(A179="","",N179+Y179)</f>
        <v>0</v>
      </c>
      <c r="AA179" s="10" t="n">
        <f aca="false">IF(A179="","",IFERROR(Z179*INDEX(PUA_TABLE!$I$4:$I$105,MATCH(E179,PUA_TABLE!$C$4:$C$105,1))/1000,0))</f>
        <v>0</v>
      </c>
      <c r="AB179" s="10" t="n">
        <f aca="false">IF(A179="","",IFERROR(L179+AA179,0))</f>
        <v>21029.4494148038</v>
      </c>
      <c r="AC179" s="10" t="n">
        <f aca="false">IF(A179="","",IF(Inputs!$B$22="Premium Offset",MIN(Inputs!$B$25,Q179+T179),0))</f>
        <v>0</v>
      </c>
    </row>
    <row r="180" customFormat="false" ht="15" hidden="false" customHeight="false" outlineLevel="0" collapsed="false">
      <c r="A180" s="1" t="n">
        <f aca="false">IF(A179="","",IF(INT((C179+1)/12)+Inputs!$B$7&gt;MAX(MORTALITY!$A:$A),"",Inputs!$B$4))</f>
        <v>34</v>
      </c>
      <c r="B180" s="3" t="n">
        <f aca="false">IF(A180="","",EOMONTH(B179,1))</f>
        <v>27149</v>
      </c>
      <c r="C180" s="1" t="n">
        <f aca="false">IF(A180="","",C179+1)</f>
        <v>178</v>
      </c>
      <c r="D180" s="1" t="n">
        <f aca="false">IF(A180="","",INT(C180/12))</f>
        <v>14</v>
      </c>
      <c r="E180" s="1" t="n">
        <f aca="false">IF(A180="","",D180+Inputs!$B$7)</f>
        <v>30</v>
      </c>
      <c r="F180" s="3" t="n">
        <f aca="false">IF(A180="","",DATE(YEAR(B$2)+D180,MONTH(B$2),DAY(B$2)))</f>
        <v>26820</v>
      </c>
      <c r="G180" s="3" t="n">
        <f aca="false">IF(A180="","",DATE(YEAR(F180)+1,MONTH(F180),DAY(F180)))</f>
        <v>27185</v>
      </c>
      <c r="H180" s="10" t="n">
        <f aca="false">IF(A180="","",IF(G180&gt;F180,(B180-F180)/(G180-F180),0))</f>
        <v>0.901369863013699</v>
      </c>
      <c r="I180" s="10" t="n">
        <f aca="false">IF(A180="","",IFERROR(INDEX(CV_RATES!$I:$I,MATCH(D180,CV_RATES!$C:$C,0)),0))</f>
        <v>413.799943167521</v>
      </c>
      <c r="J180" s="10" t="n">
        <f aca="false">IF(A180="","",IFERROR(IF(E180=MAX(MORTALITY!$A:$A),1000,INDEX(CV_RATES!$J:$J,MATCH(D180,CV_RATES!$C:$C,0))),0))</f>
        <v>422.087573508399</v>
      </c>
      <c r="K180" s="10" t="n">
        <f aca="false">IF(A180="","",IFERROR(I180+H180*(J180-I180),0))</f>
        <v>421.270163392587</v>
      </c>
      <c r="L180" s="10" t="n">
        <f aca="false">IF(A180="","",IFERROR(K180*Inputs!$B$9,0))</f>
        <v>21063.5081696293</v>
      </c>
      <c r="M180" s="10" t="n">
        <f aca="false">IF(A180="","",IFERROR(K180*Inputs!$B$10,0))</f>
        <v>67401.9623323237</v>
      </c>
      <c r="N180" s="10" t="n">
        <f aca="false">IF(A180="","",Z179)</f>
        <v>0</v>
      </c>
      <c r="O180" s="6" t="n">
        <f aca="false">IF(A180="","",Inputs!$B$18+N180)</f>
        <v>50000</v>
      </c>
      <c r="P180" s="5" t="n">
        <f aca="false">IF(A180="","",VLOOKUP(D180,DIvidend_Assumption!$A$3:$CX$103,($E$2+2),0)/12)</f>
        <v>0</v>
      </c>
      <c r="Q180" s="10" t="n">
        <f aca="false">IF(A180="","",IFERROR(AB179*P180,""))</f>
        <v>0</v>
      </c>
      <c r="R180" s="10" t="n">
        <f aca="false">IF(A180="","",IFERROR(IF(Inputs!$B$22="Accumulate",T180+Q180,IF(Inputs!$B$22="Premium Offset",MAX(0,T180+Q180-Inputs!$B$25),T180)),""))</f>
        <v>0</v>
      </c>
      <c r="S180" s="10" t="n">
        <f aca="false">IF(A180="","",R179)</f>
        <v>0</v>
      </c>
      <c r="T180" s="10" t="n">
        <f aca="false">IF(A180="","",IFERROR(S180*(1+Inputs!$B$23/12),""))</f>
        <v>0</v>
      </c>
      <c r="U180" s="6" t="n">
        <f aca="false">IF(A180="","",IF(D180&lt;=Inputs!$B$8,IF(Inputs!$B$22="Premium Offset",MAX(0,Inputs!$B$25-(Q180+T180)),Inputs!$B$25),0))</f>
        <v>77</v>
      </c>
      <c r="V180" s="10" t="n">
        <f aca="false">IF(A180="","",IF(Inputs!$B$22="Cash",Q180,0))</f>
        <v>0</v>
      </c>
      <c r="W180" s="10" t="n">
        <f aca="false">IF(A180="","",IF(Inputs!$B$22="PUA",Q180,0))</f>
        <v>0</v>
      </c>
      <c r="X180" s="12" t="n">
        <f aca="false">IF(A180="","",IFERROR(INDEX(PUA_TABLE!$D$4:$D$105,MATCH(E180,PUA_TABLE!$C$4:$C$105,1)),0))</f>
        <v>0.413799943167521</v>
      </c>
      <c r="Y180" s="10" t="n">
        <f aca="false">IF(A180="","",IF(W180&gt;0,IF(X180&gt;0,W180/X180,0),0))</f>
        <v>0</v>
      </c>
      <c r="Z180" s="10" t="n">
        <f aca="false">IF(A180="","",N180+Y180)</f>
        <v>0</v>
      </c>
      <c r="AA180" s="10" t="n">
        <f aca="false">IF(A180="","",IFERROR(Z180*INDEX(PUA_TABLE!$I$4:$I$105,MATCH(E180,PUA_TABLE!$C$4:$C$105,1))/1000,0))</f>
        <v>0</v>
      </c>
      <c r="AB180" s="10" t="n">
        <f aca="false">IF(A180="","",IFERROR(L180+AA180,0))</f>
        <v>21063.5081696293</v>
      </c>
      <c r="AC180" s="10" t="n">
        <f aca="false">IF(A180="","",IF(Inputs!$B$22="Premium Offset",MIN(Inputs!$B$25,Q180+T180),0))</f>
        <v>0</v>
      </c>
    </row>
    <row r="181" customFormat="false" ht="15" hidden="false" customHeight="false" outlineLevel="0" collapsed="false">
      <c r="A181" s="1" t="n">
        <f aca="false">IF(A180="","",IF(INT((C180+1)/12)+Inputs!$B$7&gt;MAX(MORTALITY!$A:$A),"",Inputs!$B$4))</f>
        <v>34</v>
      </c>
      <c r="B181" s="3" t="n">
        <f aca="false">IF(A181="","",EOMONTH(B180,1))</f>
        <v>27180</v>
      </c>
      <c r="C181" s="1" t="n">
        <f aca="false">IF(A181="","",C180+1)</f>
        <v>179</v>
      </c>
      <c r="D181" s="1" t="n">
        <f aca="false">IF(A181="","",INT(C181/12))</f>
        <v>14</v>
      </c>
      <c r="E181" s="1" t="n">
        <f aca="false">IF(A181="","",D181+Inputs!$B$7)</f>
        <v>30</v>
      </c>
      <c r="F181" s="3" t="n">
        <f aca="false">IF(A181="","",DATE(YEAR(B$2)+D181,MONTH(B$2),DAY(B$2)))</f>
        <v>26820</v>
      </c>
      <c r="G181" s="3" t="n">
        <f aca="false">IF(A181="","",DATE(YEAR(F181)+1,MONTH(F181),DAY(F181)))</f>
        <v>27185</v>
      </c>
      <c r="H181" s="10" t="n">
        <f aca="false">IF(A181="","",IF(G181&gt;F181,(B181-F181)/(G181-F181),0))</f>
        <v>0.986301369863014</v>
      </c>
      <c r="I181" s="10" t="n">
        <f aca="false">IF(A181="","",IFERROR(INDEX(CV_RATES!$I:$I,MATCH(D181,CV_RATES!$C:$C,0)),0))</f>
        <v>413.799943167521</v>
      </c>
      <c r="J181" s="10" t="n">
        <f aca="false">IF(A181="","",IFERROR(IF(E181=MAX(MORTALITY!$A:$A),1000,INDEX(CV_RATES!$J:$J,MATCH(D181,CV_RATES!$C:$C,0))),0))</f>
        <v>422.087573508399</v>
      </c>
      <c r="K181" s="10" t="n">
        <f aca="false">IF(A181="","",IFERROR(I181+H181*(J181-I181),0))</f>
        <v>421.974044325648</v>
      </c>
      <c r="L181" s="10" t="n">
        <f aca="false">IF(A181="","",IFERROR(K181*Inputs!$B$9,0))</f>
        <v>21098.7022162824</v>
      </c>
      <c r="M181" s="10" t="n">
        <f aca="false">IF(A181="","",IFERROR(K181*Inputs!$B$10,0))</f>
        <v>67514.5811699706</v>
      </c>
      <c r="N181" s="10" t="n">
        <f aca="false">IF(A181="","",Z180)</f>
        <v>0</v>
      </c>
      <c r="O181" s="6" t="n">
        <f aca="false">IF(A181="","",Inputs!$B$18+N181)</f>
        <v>50000</v>
      </c>
      <c r="P181" s="5" t="n">
        <f aca="false">IF(A181="","",VLOOKUP(D181,DIvidend_Assumption!$A$3:$CX$103,($E$2+2),0)/12)</f>
        <v>0</v>
      </c>
      <c r="Q181" s="10" t="n">
        <f aca="false">IF(A181="","",IFERROR(AB180*P181,""))</f>
        <v>0</v>
      </c>
      <c r="R181" s="10" t="n">
        <f aca="false">IF(A181="","",IFERROR(IF(Inputs!$B$22="Accumulate",T181+Q181,IF(Inputs!$B$22="Premium Offset",MAX(0,T181+Q181-Inputs!$B$25),T181)),""))</f>
        <v>0</v>
      </c>
      <c r="S181" s="10" t="n">
        <f aca="false">IF(A181="","",R180)</f>
        <v>0</v>
      </c>
      <c r="T181" s="10" t="n">
        <f aca="false">IF(A181="","",IFERROR(S181*(1+Inputs!$B$23/12),""))</f>
        <v>0</v>
      </c>
      <c r="U181" s="6" t="n">
        <f aca="false">IF(A181="","",IF(D181&lt;=Inputs!$B$8,IF(Inputs!$B$22="Premium Offset",MAX(0,Inputs!$B$25-(Q181+T181)),Inputs!$B$25),0))</f>
        <v>77</v>
      </c>
      <c r="V181" s="10" t="n">
        <f aca="false">IF(A181="","",IF(Inputs!$B$22="Cash",Q181,0))</f>
        <v>0</v>
      </c>
      <c r="W181" s="10" t="n">
        <f aca="false">IF(A181="","",IF(Inputs!$B$22="PUA",Q181,0))</f>
        <v>0</v>
      </c>
      <c r="X181" s="12" t="n">
        <f aca="false">IF(A181="","",IFERROR(INDEX(PUA_TABLE!$D$4:$D$105,MATCH(E181,PUA_TABLE!$C$4:$C$105,1)),0))</f>
        <v>0.413799943167521</v>
      </c>
      <c r="Y181" s="10" t="n">
        <f aca="false">IF(A181="","",IF(W181&gt;0,IF(X181&gt;0,W181/X181,0),0))</f>
        <v>0</v>
      </c>
      <c r="Z181" s="10" t="n">
        <f aca="false">IF(A181="","",N181+Y181)</f>
        <v>0</v>
      </c>
      <c r="AA181" s="10" t="n">
        <f aca="false">IF(A181="","",IFERROR(Z181*INDEX(PUA_TABLE!$I$4:$I$105,MATCH(E181,PUA_TABLE!$C$4:$C$105,1))/1000,0))</f>
        <v>0</v>
      </c>
      <c r="AB181" s="10" t="n">
        <f aca="false">IF(A181="","",IFERROR(L181+AA181,0))</f>
        <v>21098.7022162824</v>
      </c>
      <c r="AC181" s="10" t="n">
        <f aca="false">IF(A181="","",IF(Inputs!$B$22="Premium Offset",MIN(Inputs!$B$25,Q181+T181),0))</f>
        <v>0</v>
      </c>
    </row>
    <row r="182" customFormat="false" ht="15" hidden="false" customHeight="false" outlineLevel="0" collapsed="false">
      <c r="A182" s="1" t="n">
        <f aca="false">IF(A181="","",IF(INT((C181+1)/12)+Inputs!$B$7&gt;MAX(MORTALITY!$A:$A),"",Inputs!$B$4))</f>
        <v>34</v>
      </c>
      <c r="B182" s="3" t="n">
        <f aca="false">IF(A182="","",EOMONTH(B181,1))</f>
        <v>27210</v>
      </c>
      <c r="C182" s="1" t="n">
        <f aca="false">IF(A182="","",C181+1)</f>
        <v>180</v>
      </c>
      <c r="D182" s="1" t="n">
        <f aca="false">IF(A182="","",INT(C182/12))</f>
        <v>15</v>
      </c>
      <c r="E182" s="1" t="n">
        <f aca="false">IF(A182="","",D182+Inputs!$B$7)</f>
        <v>31</v>
      </c>
      <c r="F182" s="3" t="n">
        <f aca="false">IF(A182="","",DATE(YEAR(B$2)+D182,MONTH(B$2),DAY(B$2)))</f>
        <v>27185</v>
      </c>
      <c r="G182" s="3" t="n">
        <f aca="false">IF(A182="","",DATE(YEAR(F182)+1,MONTH(F182),DAY(F182)))</f>
        <v>27550</v>
      </c>
      <c r="H182" s="10" t="n">
        <f aca="false">IF(A182="","",IF(G182&gt;F182,(B182-F182)/(G182-F182),0))</f>
        <v>0.0684931506849315</v>
      </c>
      <c r="I182" s="10" t="n">
        <f aca="false">IF(A182="","",IFERROR(INDEX(CV_RATES!$I:$I,MATCH(D182,CV_RATES!$C:$C,0)),0))</f>
        <v>422.087573508399</v>
      </c>
      <c r="J182" s="10" t="n">
        <f aca="false">IF(A182="","",IFERROR(IF(E182=MAX(MORTALITY!$A:$A),1000,INDEX(CV_RATES!$J:$J,MATCH(D182,CV_RATES!$C:$C,0))),0))</f>
        <v>430.515585981821</v>
      </c>
      <c r="K182" s="10" t="n">
        <f aca="false">IF(A182="","",IFERROR(I182+H182*(J182-I182),0))</f>
        <v>422.664834636716</v>
      </c>
      <c r="L182" s="10" t="n">
        <f aca="false">IF(A182="","",IFERROR(K182*Inputs!$B$9,0))</f>
        <v>21133.2417318358</v>
      </c>
      <c r="M182" s="10" t="n">
        <f aca="false">IF(A182="","",IFERROR(K182*Inputs!$B$10,0))</f>
        <v>67625.1055473706</v>
      </c>
      <c r="N182" s="10" t="n">
        <f aca="false">IF(A182="","",Z181)</f>
        <v>0</v>
      </c>
      <c r="O182" s="6" t="n">
        <f aca="false">IF(A182="","",Inputs!$B$18+N182)</f>
        <v>50000</v>
      </c>
      <c r="P182" s="5" t="n">
        <f aca="false">IF(A182="","",VLOOKUP(D182,DIvidend_Assumption!$A$3:$CX$103,($E$2+2),0)/12)</f>
        <v>0</v>
      </c>
      <c r="Q182" s="10" t="n">
        <f aca="false">IF(A182="","",IFERROR(AB181*P182,""))</f>
        <v>0</v>
      </c>
      <c r="R182" s="10" t="n">
        <f aca="false">IF(A182="","",IFERROR(IF(Inputs!$B$22="Accumulate",T182+Q182,IF(Inputs!$B$22="Premium Offset",MAX(0,T182+Q182-Inputs!$B$25),T182)),""))</f>
        <v>0</v>
      </c>
      <c r="S182" s="10" t="n">
        <f aca="false">IF(A182="","",R181)</f>
        <v>0</v>
      </c>
      <c r="T182" s="10" t="n">
        <f aca="false">IF(A182="","",IFERROR(S182*(1+Inputs!$B$23/12),""))</f>
        <v>0</v>
      </c>
      <c r="U182" s="6" t="n">
        <f aca="false">IF(A182="","",IF(D182&lt;=Inputs!$B$8,IF(Inputs!$B$22="Premium Offset",MAX(0,Inputs!$B$25-(Q182+T182)),Inputs!$B$25),0))</f>
        <v>77</v>
      </c>
      <c r="V182" s="10" t="n">
        <f aca="false">IF(A182="","",IF(Inputs!$B$22="Cash",Q182,0))</f>
        <v>0</v>
      </c>
      <c r="W182" s="10" t="n">
        <f aca="false">IF(A182="","",IF(Inputs!$B$22="PUA",Q182,0))</f>
        <v>0</v>
      </c>
      <c r="X182" s="12" t="n">
        <f aca="false">IF(A182="","",IFERROR(INDEX(PUA_TABLE!$D$4:$D$105,MATCH(E182,PUA_TABLE!$C$4:$C$105,1)),0))</f>
        <v>0.422087573508399</v>
      </c>
      <c r="Y182" s="10" t="n">
        <f aca="false">IF(A182="","",IF(W182&gt;0,IF(X182&gt;0,W182/X182,0),0))</f>
        <v>0</v>
      </c>
      <c r="Z182" s="10" t="n">
        <f aca="false">IF(A182="","",N182+Y182)</f>
        <v>0</v>
      </c>
      <c r="AA182" s="10" t="n">
        <f aca="false">IF(A182="","",IFERROR(Z182*INDEX(PUA_TABLE!$I$4:$I$105,MATCH(E182,PUA_TABLE!$C$4:$C$105,1))/1000,0))</f>
        <v>0</v>
      </c>
      <c r="AB182" s="10" t="n">
        <f aca="false">IF(A182="","",IFERROR(L182+AA182,0))</f>
        <v>21133.2417318358</v>
      </c>
      <c r="AC182" s="10" t="n">
        <f aca="false">IF(A182="","",IF(Inputs!$B$22="Premium Offset",MIN(Inputs!$B$25,Q182+T182),0))</f>
        <v>0</v>
      </c>
    </row>
    <row r="183" customFormat="false" ht="15" hidden="false" customHeight="false" outlineLevel="0" collapsed="false">
      <c r="A183" s="1" t="n">
        <f aca="false">IF(A182="","",IF(INT((C182+1)/12)+Inputs!$B$7&gt;MAX(MORTALITY!$A:$A),"",Inputs!$B$4))</f>
        <v>34</v>
      </c>
      <c r="B183" s="3" t="n">
        <f aca="false">IF(A183="","",EOMONTH(B182,1))</f>
        <v>27241</v>
      </c>
      <c r="C183" s="1" t="n">
        <f aca="false">IF(A183="","",C182+1)</f>
        <v>181</v>
      </c>
      <c r="D183" s="1" t="n">
        <f aca="false">IF(A183="","",INT(C183/12))</f>
        <v>15</v>
      </c>
      <c r="E183" s="1" t="n">
        <f aca="false">IF(A183="","",D183+Inputs!$B$7)</f>
        <v>31</v>
      </c>
      <c r="F183" s="3" t="n">
        <f aca="false">IF(A183="","",DATE(YEAR(B$2)+D183,MONTH(B$2),DAY(B$2)))</f>
        <v>27185</v>
      </c>
      <c r="G183" s="3" t="n">
        <f aca="false">IF(A183="","",DATE(YEAR(F183)+1,MONTH(F183),DAY(F183)))</f>
        <v>27550</v>
      </c>
      <c r="H183" s="10" t="n">
        <f aca="false">IF(A183="","",IF(G183&gt;F183,(B183-F183)/(G183-F183),0))</f>
        <v>0.153424657534247</v>
      </c>
      <c r="I183" s="10" t="n">
        <f aca="false">IF(A183="","",IFERROR(INDEX(CV_RATES!$I:$I,MATCH(D183,CV_RATES!$C:$C,0)),0))</f>
        <v>422.087573508399</v>
      </c>
      <c r="J183" s="10" t="n">
        <f aca="false">IF(A183="","",IFERROR(IF(E183=MAX(MORTALITY!$A:$A),1000,INDEX(CV_RATES!$J:$J,MATCH(D183,CV_RATES!$C:$C,0))),0))</f>
        <v>430.515585981821</v>
      </c>
      <c r="K183" s="10" t="n">
        <f aca="false">IF(A183="","",IFERROR(I183+H183*(J183-I183),0))</f>
        <v>423.380638435828</v>
      </c>
      <c r="L183" s="10" t="n">
        <f aca="false">IF(A183="","",IFERROR(K183*Inputs!$B$9,0))</f>
        <v>21169.0319217914</v>
      </c>
      <c r="M183" s="10" t="n">
        <f aca="false">IF(A183="","",IFERROR(K183*Inputs!$B$10,0))</f>
        <v>67739.6320078172</v>
      </c>
      <c r="N183" s="10" t="n">
        <f aca="false">IF(A183="","",Z182)</f>
        <v>0</v>
      </c>
      <c r="O183" s="6" t="n">
        <f aca="false">IF(A183="","",Inputs!$B$18+N183)</f>
        <v>50000</v>
      </c>
      <c r="P183" s="5" t="n">
        <f aca="false">IF(A183="","",VLOOKUP(D183,DIvidend_Assumption!$A$3:$CX$103,($E$2+2),0)/12)</f>
        <v>0</v>
      </c>
      <c r="Q183" s="10" t="n">
        <f aca="false">IF(A183="","",IFERROR(AB182*P183,""))</f>
        <v>0</v>
      </c>
      <c r="R183" s="10" t="n">
        <f aca="false">IF(A183="","",IFERROR(IF(Inputs!$B$22="Accumulate",T183+Q183,IF(Inputs!$B$22="Premium Offset",MAX(0,T183+Q183-Inputs!$B$25),T183)),""))</f>
        <v>0</v>
      </c>
      <c r="S183" s="10" t="n">
        <f aca="false">IF(A183="","",R182)</f>
        <v>0</v>
      </c>
      <c r="T183" s="10" t="n">
        <f aca="false">IF(A183="","",IFERROR(S183*(1+Inputs!$B$23/12),""))</f>
        <v>0</v>
      </c>
      <c r="U183" s="6" t="n">
        <f aca="false">IF(A183="","",IF(D183&lt;=Inputs!$B$8,IF(Inputs!$B$22="Premium Offset",MAX(0,Inputs!$B$25-(Q183+T183)),Inputs!$B$25),0))</f>
        <v>77</v>
      </c>
      <c r="V183" s="10" t="n">
        <f aca="false">IF(A183="","",IF(Inputs!$B$22="Cash",Q183,0))</f>
        <v>0</v>
      </c>
      <c r="W183" s="10" t="n">
        <f aca="false">IF(A183="","",IF(Inputs!$B$22="PUA",Q183,0))</f>
        <v>0</v>
      </c>
      <c r="X183" s="12" t="n">
        <f aca="false">IF(A183="","",IFERROR(INDEX(PUA_TABLE!$D$4:$D$105,MATCH(E183,PUA_TABLE!$C$4:$C$105,1)),0))</f>
        <v>0.422087573508399</v>
      </c>
      <c r="Y183" s="10" t="n">
        <f aca="false">IF(A183="","",IF(W183&gt;0,IF(X183&gt;0,W183/X183,0),0))</f>
        <v>0</v>
      </c>
      <c r="Z183" s="10" t="n">
        <f aca="false">IF(A183="","",N183+Y183)</f>
        <v>0</v>
      </c>
      <c r="AA183" s="10" t="n">
        <f aca="false">IF(A183="","",IFERROR(Z183*INDEX(PUA_TABLE!$I$4:$I$105,MATCH(E183,PUA_TABLE!$C$4:$C$105,1))/1000,0))</f>
        <v>0</v>
      </c>
      <c r="AB183" s="10" t="n">
        <f aca="false">IF(A183="","",IFERROR(L183+AA183,0))</f>
        <v>21169.0319217914</v>
      </c>
      <c r="AC183" s="10" t="n">
        <f aca="false">IF(A183="","",IF(Inputs!$B$22="Premium Offset",MIN(Inputs!$B$25,Q183+T183),0))</f>
        <v>0</v>
      </c>
    </row>
    <row r="184" customFormat="false" ht="15" hidden="false" customHeight="false" outlineLevel="0" collapsed="false">
      <c r="A184" s="1" t="n">
        <f aca="false">IF(A183="","",IF(INT((C183+1)/12)+Inputs!$B$7&gt;MAX(MORTALITY!$A:$A),"",Inputs!$B$4))</f>
        <v>34</v>
      </c>
      <c r="B184" s="3" t="n">
        <f aca="false">IF(A184="","",EOMONTH(B183,1))</f>
        <v>27272</v>
      </c>
      <c r="C184" s="1" t="n">
        <f aca="false">IF(A184="","",C183+1)</f>
        <v>182</v>
      </c>
      <c r="D184" s="1" t="n">
        <f aca="false">IF(A184="","",INT(C184/12))</f>
        <v>15</v>
      </c>
      <c r="E184" s="1" t="n">
        <f aca="false">IF(A184="","",D184+Inputs!$B$7)</f>
        <v>31</v>
      </c>
      <c r="F184" s="3" t="n">
        <f aca="false">IF(A184="","",DATE(YEAR(B$2)+D184,MONTH(B$2),DAY(B$2)))</f>
        <v>27185</v>
      </c>
      <c r="G184" s="3" t="n">
        <f aca="false">IF(A184="","",DATE(YEAR(F184)+1,MONTH(F184),DAY(F184)))</f>
        <v>27550</v>
      </c>
      <c r="H184" s="10" t="n">
        <f aca="false">IF(A184="","",IF(G184&gt;F184,(B184-F184)/(G184-F184),0))</f>
        <v>0.238356164383562</v>
      </c>
      <c r="I184" s="10" t="n">
        <f aca="false">IF(A184="","",IFERROR(INDEX(CV_RATES!$I:$I,MATCH(D184,CV_RATES!$C:$C,0)),0))</f>
        <v>422.087573508399</v>
      </c>
      <c r="J184" s="10" t="n">
        <f aca="false">IF(A184="","",IFERROR(IF(E184=MAX(MORTALITY!$A:$A),1000,INDEX(CV_RATES!$J:$J,MATCH(D184,CV_RATES!$C:$C,0))),0))</f>
        <v>430.515585981821</v>
      </c>
      <c r="K184" s="10" t="n">
        <f aca="false">IF(A184="","",IFERROR(I184+H184*(J184-I184),0))</f>
        <v>424.096442234941</v>
      </c>
      <c r="L184" s="10" t="n">
        <f aca="false">IF(A184="","",IFERROR(K184*Inputs!$B$9,0))</f>
        <v>21204.8221117471</v>
      </c>
      <c r="M184" s="10" t="n">
        <f aca="false">IF(A184="","",IFERROR(K184*Inputs!$B$10,0))</f>
        <v>67854.1584682639</v>
      </c>
      <c r="N184" s="10" t="n">
        <f aca="false">IF(A184="","",Z183)</f>
        <v>0</v>
      </c>
      <c r="O184" s="6" t="n">
        <f aca="false">IF(A184="","",Inputs!$B$18+N184)</f>
        <v>50000</v>
      </c>
      <c r="P184" s="5" t="n">
        <f aca="false">IF(A184="","",VLOOKUP(D184,DIvidend_Assumption!$A$3:$CX$103,($E$2+2),0)/12)</f>
        <v>0</v>
      </c>
      <c r="Q184" s="10" t="n">
        <f aca="false">IF(A184="","",IFERROR(AB183*P184,""))</f>
        <v>0</v>
      </c>
      <c r="R184" s="10" t="n">
        <f aca="false">IF(A184="","",IFERROR(IF(Inputs!$B$22="Accumulate",T184+Q184,IF(Inputs!$B$22="Premium Offset",MAX(0,T184+Q184-Inputs!$B$25),T184)),""))</f>
        <v>0</v>
      </c>
      <c r="S184" s="10" t="n">
        <f aca="false">IF(A184="","",R183)</f>
        <v>0</v>
      </c>
      <c r="T184" s="10" t="n">
        <f aca="false">IF(A184="","",IFERROR(S184*(1+Inputs!$B$23/12),""))</f>
        <v>0</v>
      </c>
      <c r="U184" s="6" t="n">
        <f aca="false">IF(A184="","",IF(D184&lt;=Inputs!$B$8,IF(Inputs!$B$22="Premium Offset",MAX(0,Inputs!$B$25-(Q184+T184)),Inputs!$B$25),0))</f>
        <v>77</v>
      </c>
      <c r="V184" s="10" t="n">
        <f aca="false">IF(A184="","",IF(Inputs!$B$22="Cash",Q184,0))</f>
        <v>0</v>
      </c>
      <c r="W184" s="10" t="n">
        <f aca="false">IF(A184="","",IF(Inputs!$B$22="PUA",Q184,0))</f>
        <v>0</v>
      </c>
      <c r="X184" s="12" t="n">
        <f aca="false">IF(A184="","",IFERROR(INDEX(PUA_TABLE!$D$4:$D$105,MATCH(E184,PUA_TABLE!$C$4:$C$105,1)),0))</f>
        <v>0.422087573508399</v>
      </c>
      <c r="Y184" s="10" t="n">
        <f aca="false">IF(A184="","",IF(W184&gt;0,IF(X184&gt;0,W184/X184,0),0))</f>
        <v>0</v>
      </c>
      <c r="Z184" s="10" t="n">
        <f aca="false">IF(A184="","",N184+Y184)</f>
        <v>0</v>
      </c>
      <c r="AA184" s="10" t="n">
        <f aca="false">IF(A184="","",IFERROR(Z184*INDEX(PUA_TABLE!$I$4:$I$105,MATCH(E184,PUA_TABLE!$C$4:$C$105,1))/1000,0))</f>
        <v>0</v>
      </c>
      <c r="AB184" s="10" t="n">
        <f aca="false">IF(A184="","",IFERROR(L184+AA184,0))</f>
        <v>21204.8221117471</v>
      </c>
      <c r="AC184" s="10" t="n">
        <f aca="false">IF(A184="","",IF(Inputs!$B$22="Premium Offset",MIN(Inputs!$B$25,Q184+T184),0))</f>
        <v>0</v>
      </c>
    </row>
    <row r="185" customFormat="false" ht="15" hidden="false" customHeight="false" outlineLevel="0" collapsed="false">
      <c r="A185" s="1" t="n">
        <f aca="false">IF(A184="","",IF(INT((C184+1)/12)+Inputs!$B$7&gt;MAX(MORTALITY!$A:$A),"",Inputs!$B$4))</f>
        <v>34</v>
      </c>
      <c r="B185" s="3" t="n">
        <f aca="false">IF(A185="","",EOMONTH(B184,1))</f>
        <v>27302</v>
      </c>
      <c r="C185" s="1" t="n">
        <f aca="false">IF(A185="","",C184+1)</f>
        <v>183</v>
      </c>
      <c r="D185" s="1" t="n">
        <f aca="false">IF(A185="","",INT(C185/12))</f>
        <v>15</v>
      </c>
      <c r="E185" s="1" t="n">
        <f aca="false">IF(A185="","",D185+Inputs!$B$7)</f>
        <v>31</v>
      </c>
      <c r="F185" s="3" t="n">
        <f aca="false">IF(A185="","",DATE(YEAR(B$2)+D185,MONTH(B$2),DAY(B$2)))</f>
        <v>27185</v>
      </c>
      <c r="G185" s="3" t="n">
        <f aca="false">IF(A185="","",DATE(YEAR(F185)+1,MONTH(F185),DAY(F185)))</f>
        <v>27550</v>
      </c>
      <c r="H185" s="10" t="n">
        <f aca="false">IF(A185="","",IF(G185&gt;F185,(B185-F185)/(G185-F185),0))</f>
        <v>0.320547945205479</v>
      </c>
      <c r="I185" s="10" t="n">
        <f aca="false">IF(A185="","",IFERROR(INDEX(CV_RATES!$I:$I,MATCH(D185,CV_RATES!$C:$C,0)),0))</f>
        <v>422.087573508399</v>
      </c>
      <c r="J185" s="10" t="n">
        <f aca="false">IF(A185="","",IFERROR(IF(E185=MAX(MORTALITY!$A:$A),1000,INDEX(CV_RATES!$J:$J,MATCH(D185,CV_RATES!$C:$C,0))),0))</f>
        <v>430.515585981821</v>
      </c>
      <c r="K185" s="10" t="n">
        <f aca="false">IF(A185="","",IFERROR(I185+H185*(J185-I185),0))</f>
        <v>424.789155588921</v>
      </c>
      <c r="L185" s="10" t="n">
        <f aca="false">IF(A185="","",IFERROR(K185*Inputs!$B$9,0))</f>
        <v>21239.457779446</v>
      </c>
      <c r="M185" s="10" t="n">
        <f aca="false">IF(A185="","",IFERROR(K185*Inputs!$B$10,0))</f>
        <v>67964.9905267606</v>
      </c>
      <c r="N185" s="10" t="n">
        <f aca="false">IF(A185="","",Z184)</f>
        <v>0</v>
      </c>
      <c r="O185" s="6" t="n">
        <f aca="false">IF(A185="","",Inputs!$B$18+N185)</f>
        <v>50000</v>
      </c>
      <c r="P185" s="5" t="n">
        <f aca="false">IF(A185="","",VLOOKUP(D185,DIvidend_Assumption!$A$3:$CX$103,($E$2+2),0)/12)</f>
        <v>0</v>
      </c>
      <c r="Q185" s="10" t="n">
        <f aca="false">IF(A185="","",IFERROR(AB184*P185,""))</f>
        <v>0</v>
      </c>
      <c r="R185" s="10" t="n">
        <f aca="false">IF(A185="","",IFERROR(IF(Inputs!$B$22="Accumulate",T185+Q185,IF(Inputs!$B$22="Premium Offset",MAX(0,T185+Q185-Inputs!$B$25),T185)),""))</f>
        <v>0</v>
      </c>
      <c r="S185" s="10" t="n">
        <f aca="false">IF(A185="","",R184)</f>
        <v>0</v>
      </c>
      <c r="T185" s="10" t="n">
        <f aca="false">IF(A185="","",IFERROR(S185*(1+Inputs!$B$23/12),""))</f>
        <v>0</v>
      </c>
      <c r="U185" s="6" t="n">
        <f aca="false">IF(A185="","",IF(D185&lt;=Inputs!$B$8,IF(Inputs!$B$22="Premium Offset",MAX(0,Inputs!$B$25-(Q185+T185)),Inputs!$B$25),0))</f>
        <v>77</v>
      </c>
      <c r="V185" s="10" t="n">
        <f aca="false">IF(A185="","",IF(Inputs!$B$22="Cash",Q185,0))</f>
        <v>0</v>
      </c>
      <c r="W185" s="10" t="n">
        <f aca="false">IF(A185="","",IF(Inputs!$B$22="PUA",Q185,0))</f>
        <v>0</v>
      </c>
      <c r="X185" s="12" t="n">
        <f aca="false">IF(A185="","",IFERROR(INDEX(PUA_TABLE!$D$4:$D$105,MATCH(E185,PUA_TABLE!$C$4:$C$105,1)),0))</f>
        <v>0.422087573508399</v>
      </c>
      <c r="Y185" s="10" t="n">
        <f aca="false">IF(A185="","",IF(W185&gt;0,IF(X185&gt;0,W185/X185,0),0))</f>
        <v>0</v>
      </c>
      <c r="Z185" s="10" t="n">
        <f aca="false">IF(A185="","",N185+Y185)</f>
        <v>0</v>
      </c>
      <c r="AA185" s="10" t="n">
        <f aca="false">IF(A185="","",IFERROR(Z185*INDEX(PUA_TABLE!$I$4:$I$105,MATCH(E185,PUA_TABLE!$C$4:$C$105,1))/1000,0))</f>
        <v>0</v>
      </c>
      <c r="AB185" s="10" t="n">
        <f aca="false">IF(A185="","",IFERROR(L185+AA185,0))</f>
        <v>21239.457779446</v>
      </c>
      <c r="AC185" s="10" t="n">
        <f aca="false">IF(A185="","",IF(Inputs!$B$22="Premium Offset",MIN(Inputs!$B$25,Q185+T185),0))</f>
        <v>0</v>
      </c>
    </row>
    <row r="186" customFormat="false" ht="15" hidden="false" customHeight="false" outlineLevel="0" collapsed="false">
      <c r="A186" s="1" t="n">
        <f aca="false">IF(A185="","",IF(INT((C185+1)/12)+Inputs!$B$7&gt;MAX(MORTALITY!$A:$A),"",Inputs!$B$4))</f>
        <v>34</v>
      </c>
      <c r="B186" s="3" t="n">
        <f aca="false">IF(A186="","",EOMONTH(B185,1))</f>
        <v>27333</v>
      </c>
      <c r="C186" s="1" t="n">
        <f aca="false">IF(A186="","",C185+1)</f>
        <v>184</v>
      </c>
      <c r="D186" s="1" t="n">
        <f aca="false">IF(A186="","",INT(C186/12))</f>
        <v>15</v>
      </c>
      <c r="E186" s="1" t="n">
        <f aca="false">IF(A186="","",D186+Inputs!$B$7)</f>
        <v>31</v>
      </c>
      <c r="F186" s="3" t="n">
        <f aca="false">IF(A186="","",DATE(YEAR(B$2)+D186,MONTH(B$2),DAY(B$2)))</f>
        <v>27185</v>
      </c>
      <c r="G186" s="3" t="n">
        <f aca="false">IF(A186="","",DATE(YEAR(F186)+1,MONTH(F186),DAY(F186)))</f>
        <v>27550</v>
      </c>
      <c r="H186" s="10" t="n">
        <f aca="false">IF(A186="","",IF(G186&gt;F186,(B186-F186)/(G186-F186),0))</f>
        <v>0.405479452054795</v>
      </c>
      <c r="I186" s="10" t="n">
        <f aca="false">IF(A186="","",IFERROR(INDEX(CV_RATES!$I:$I,MATCH(D186,CV_RATES!$C:$C,0)),0))</f>
        <v>422.087573508399</v>
      </c>
      <c r="J186" s="10" t="n">
        <f aca="false">IF(A186="","",IFERROR(IF(E186=MAX(MORTALITY!$A:$A),1000,INDEX(CV_RATES!$J:$J,MATCH(D186,CV_RATES!$C:$C,0))),0))</f>
        <v>430.515585981821</v>
      </c>
      <c r="K186" s="10" t="n">
        <f aca="false">IF(A186="","",IFERROR(I186+H186*(J186-I186),0))</f>
        <v>425.504959388033</v>
      </c>
      <c r="L186" s="10" t="n">
        <f aca="false">IF(A186="","",IFERROR(K186*Inputs!$B$9,0))</f>
        <v>21275.2479694017</v>
      </c>
      <c r="M186" s="10" t="n">
        <f aca="false">IF(A186="","",IFERROR(K186*Inputs!$B$10,0))</f>
        <v>68079.5169872072</v>
      </c>
      <c r="N186" s="10" t="n">
        <f aca="false">IF(A186="","",Z185)</f>
        <v>0</v>
      </c>
      <c r="O186" s="6" t="n">
        <f aca="false">IF(A186="","",Inputs!$B$18+N186)</f>
        <v>50000</v>
      </c>
      <c r="P186" s="5" t="n">
        <f aca="false">IF(A186="","",VLOOKUP(D186,DIvidend_Assumption!$A$3:$CX$103,($E$2+2),0)/12)</f>
        <v>0</v>
      </c>
      <c r="Q186" s="10" t="n">
        <f aca="false">IF(A186="","",IFERROR(AB185*P186,""))</f>
        <v>0</v>
      </c>
      <c r="R186" s="10" t="n">
        <f aca="false">IF(A186="","",IFERROR(IF(Inputs!$B$22="Accumulate",T186+Q186,IF(Inputs!$B$22="Premium Offset",MAX(0,T186+Q186-Inputs!$B$25),T186)),""))</f>
        <v>0</v>
      </c>
      <c r="S186" s="10" t="n">
        <f aca="false">IF(A186="","",R185)</f>
        <v>0</v>
      </c>
      <c r="T186" s="10" t="n">
        <f aca="false">IF(A186="","",IFERROR(S186*(1+Inputs!$B$23/12),""))</f>
        <v>0</v>
      </c>
      <c r="U186" s="6" t="n">
        <f aca="false">IF(A186="","",IF(D186&lt;=Inputs!$B$8,IF(Inputs!$B$22="Premium Offset",MAX(0,Inputs!$B$25-(Q186+T186)),Inputs!$B$25),0))</f>
        <v>77</v>
      </c>
      <c r="V186" s="10" t="n">
        <f aca="false">IF(A186="","",IF(Inputs!$B$22="Cash",Q186,0))</f>
        <v>0</v>
      </c>
      <c r="W186" s="10" t="n">
        <f aca="false">IF(A186="","",IF(Inputs!$B$22="PUA",Q186,0))</f>
        <v>0</v>
      </c>
      <c r="X186" s="12" t="n">
        <f aca="false">IF(A186="","",IFERROR(INDEX(PUA_TABLE!$D$4:$D$105,MATCH(E186,PUA_TABLE!$C$4:$C$105,1)),0))</f>
        <v>0.422087573508399</v>
      </c>
      <c r="Y186" s="10" t="n">
        <f aca="false">IF(A186="","",IF(W186&gt;0,IF(X186&gt;0,W186/X186,0),0))</f>
        <v>0</v>
      </c>
      <c r="Z186" s="10" t="n">
        <f aca="false">IF(A186="","",N186+Y186)</f>
        <v>0</v>
      </c>
      <c r="AA186" s="10" t="n">
        <f aca="false">IF(A186="","",IFERROR(Z186*INDEX(PUA_TABLE!$I$4:$I$105,MATCH(E186,PUA_TABLE!$C$4:$C$105,1))/1000,0))</f>
        <v>0</v>
      </c>
      <c r="AB186" s="10" t="n">
        <f aca="false">IF(A186="","",IFERROR(L186+AA186,0))</f>
        <v>21275.2479694017</v>
      </c>
      <c r="AC186" s="10" t="n">
        <f aca="false">IF(A186="","",IF(Inputs!$B$22="Premium Offset",MIN(Inputs!$B$25,Q186+T186),0))</f>
        <v>0</v>
      </c>
    </row>
    <row r="187" customFormat="false" ht="15" hidden="false" customHeight="false" outlineLevel="0" collapsed="false">
      <c r="A187" s="1" t="n">
        <f aca="false">IF(A186="","",IF(INT((C186+1)/12)+Inputs!$B$7&gt;MAX(MORTALITY!$A:$A),"",Inputs!$B$4))</f>
        <v>34</v>
      </c>
      <c r="B187" s="3" t="n">
        <f aca="false">IF(A187="","",EOMONTH(B186,1))</f>
        <v>27363</v>
      </c>
      <c r="C187" s="1" t="n">
        <f aca="false">IF(A187="","",C186+1)</f>
        <v>185</v>
      </c>
      <c r="D187" s="1" t="n">
        <f aca="false">IF(A187="","",INT(C187/12))</f>
        <v>15</v>
      </c>
      <c r="E187" s="1" t="n">
        <f aca="false">IF(A187="","",D187+Inputs!$B$7)</f>
        <v>31</v>
      </c>
      <c r="F187" s="3" t="n">
        <f aca="false">IF(A187="","",DATE(YEAR(B$2)+D187,MONTH(B$2),DAY(B$2)))</f>
        <v>27185</v>
      </c>
      <c r="G187" s="3" t="n">
        <f aca="false">IF(A187="","",DATE(YEAR(F187)+1,MONTH(F187),DAY(F187)))</f>
        <v>27550</v>
      </c>
      <c r="H187" s="10" t="n">
        <f aca="false">IF(A187="","",IF(G187&gt;F187,(B187-F187)/(G187-F187),0))</f>
        <v>0.487671232876712</v>
      </c>
      <c r="I187" s="10" t="n">
        <f aca="false">IF(A187="","",IFERROR(INDEX(CV_RATES!$I:$I,MATCH(D187,CV_RATES!$C:$C,0)),0))</f>
        <v>422.087573508399</v>
      </c>
      <c r="J187" s="10" t="n">
        <f aca="false">IF(A187="","",IFERROR(IF(E187=MAX(MORTALITY!$A:$A),1000,INDEX(CV_RATES!$J:$J,MATCH(D187,CV_RATES!$C:$C,0))),0))</f>
        <v>430.515585981821</v>
      </c>
      <c r="K187" s="10" t="n">
        <f aca="false">IF(A187="","",IFERROR(I187+H187*(J187-I187),0))</f>
        <v>426.197672742013</v>
      </c>
      <c r="L187" s="10" t="n">
        <f aca="false">IF(A187="","",IFERROR(K187*Inputs!$B$9,0))</f>
        <v>21309.8836371007</v>
      </c>
      <c r="M187" s="10" t="n">
        <f aca="false">IF(A187="","",IFERROR(K187*Inputs!$B$10,0))</f>
        <v>68190.3490457039</v>
      </c>
      <c r="N187" s="10" t="n">
        <f aca="false">IF(A187="","",Z186)</f>
        <v>0</v>
      </c>
      <c r="O187" s="6" t="n">
        <f aca="false">IF(A187="","",Inputs!$B$18+N187)</f>
        <v>50000</v>
      </c>
      <c r="P187" s="5" t="n">
        <f aca="false">IF(A187="","",VLOOKUP(D187,DIvidend_Assumption!$A$3:$CX$103,($E$2+2),0)/12)</f>
        <v>0</v>
      </c>
      <c r="Q187" s="10" t="n">
        <f aca="false">IF(A187="","",IFERROR(AB186*P187,""))</f>
        <v>0</v>
      </c>
      <c r="R187" s="10" t="n">
        <f aca="false">IF(A187="","",IFERROR(IF(Inputs!$B$22="Accumulate",T187+Q187,IF(Inputs!$B$22="Premium Offset",MAX(0,T187+Q187-Inputs!$B$25),T187)),""))</f>
        <v>0</v>
      </c>
      <c r="S187" s="10" t="n">
        <f aca="false">IF(A187="","",R186)</f>
        <v>0</v>
      </c>
      <c r="T187" s="10" t="n">
        <f aca="false">IF(A187="","",IFERROR(S187*(1+Inputs!$B$23/12),""))</f>
        <v>0</v>
      </c>
      <c r="U187" s="6" t="n">
        <f aca="false">IF(A187="","",IF(D187&lt;=Inputs!$B$8,IF(Inputs!$B$22="Premium Offset",MAX(0,Inputs!$B$25-(Q187+T187)),Inputs!$B$25),0))</f>
        <v>77</v>
      </c>
      <c r="V187" s="10" t="n">
        <f aca="false">IF(A187="","",IF(Inputs!$B$22="Cash",Q187,0))</f>
        <v>0</v>
      </c>
      <c r="W187" s="10" t="n">
        <f aca="false">IF(A187="","",IF(Inputs!$B$22="PUA",Q187,0))</f>
        <v>0</v>
      </c>
      <c r="X187" s="12" t="n">
        <f aca="false">IF(A187="","",IFERROR(INDEX(PUA_TABLE!$D$4:$D$105,MATCH(E187,PUA_TABLE!$C$4:$C$105,1)),0))</f>
        <v>0.422087573508399</v>
      </c>
      <c r="Y187" s="10" t="n">
        <f aca="false">IF(A187="","",IF(W187&gt;0,IF(X187&gt;0,W187/X187,0),0))</f>
        <v>0</v>
      </c>
      <c r="Z187" s="10" t="n">
        <f aca="false">IF(A187="","",N187+Y187)</f>
        <v>0</v>
      </c>
      <c r="AA187" s="10" t="n">
        <f aca="false">IF(A187="","",IFERROR(Z187*INDEX(PUA_TABLE!$I$4:$I$105,MATCH(E187,PUA_TABLE!$C$4:$C$105,1))/1000,0))</f>
        <v>0</v>
      </c>
      <c r="AB187" s="10" t="n">
        <f aca="false">IF(A187="","",IFERROR(L187+AA187,0))</f>
        <v>21309.8836371007</v>
      </c>
      <c r="AC187" s="10" t="n">
        <f aca="false">IF(A187="","",IF(Inputs!$B$22="Premium Offset",MIN(Inputs!$B$25,Q187+T187),0))</f>
        <v>0</v>
      </c>
    </row>
    <row r="188" customFormat="false" ht="15" hidden="false" customHeight="false" outlineLevel="0" collapsed="false">
      <c r="A188" s="1" t="n">
        <f aca="false">IF(A187="","",IF(INT((C187+1)/12)+Inputs!$B$7&gt;MAX(MORTALITY!$A:$A),"",Inputs!$B$4))</f>
        <v>34</v>
      </c>
      <c r="B188" s="3" t="n">
        <f aca="false">IF(A188="","",EOMONTH(B187,1))</f>
        <v>27394</v>
      </c>
      <c r="C188" s="1" t="n">
        <f aca="false">IF(A188="","",C187+1)</f>
        <v>186</v>
      </c>
      <c r="D188" s="1" t="n">
        <f aca="false">IF(A188="","",INT(C188/12))</f>
        <v>15</v>
      </c>
      <c r="E188" s="1" t="n">
        <f aca="false">IF(A188="","",D188+Inputs!$B$7)</f>
        <v>31</v>
      </c>
      <c r="F188" s="3" t="n">
        <f aca="false">IF(A188="","",DATE(YEAR(B$2)+D188,MONTH(B$2),DAY(B$2)))</f>
        <v>27185</v>
      </c>
      <c r="G188" s="3" t="n">
        <f aca="false">IF(A188="","",DATE(YEAR(F188)+1,MONTH(F188),DAY(F188)))</f>
        <v>27550</v>
      </c>
      <c r="H188" s="10" t="n">
        <f aca="false">IF(A188="","",IF(G188&gt;F188,(B188-F188)/(G188-F188),0))</f>
        <v>0.572602739726027</v>
      </c>
      <c r="I188" s="10" t="n">
        <f aca="false">IF(A188="","",IFERROR(INDEX(CV_RATES!$I:$I,MATCH(D188,CV_RATES!$C:$C,0)),0))</f>
        <v>422.087573508399</v>
      </c>
      <c r="J188" s="10" t="n">
        <f aca="false">IF(A188="","",IFERROR(IF(E188=MAX(MORTALITY!$A:$A),1000,INDEX(CV_RATES!$J:$J,MATCH(D188,CV_RATES!$C:$C,0))),0))</f>
        <v>430.515585981821</v>
      </c>
      <c r="K188" s="10" t="n">
        <f aca="false">IF(A188="","",IFERROR(I188+H188*(J188-I188),0))</f>
        <v>426.913476541126</v>
      </c>
      <c r="L188" s="10" t="n">
        <f aca="false">IF(A188="","",IFERROR(K188*Inputs!$B$9,0))</f>
        <v>21345.6738270563</v>
      </c>
      <c r="M188" s="10" t="n">
        <f aca="false">IF(A188="","",IFERROR(K188*Inputs!$B$10,0))</f>
        <v>68304.8755061505</v>
      </c>
      <c r="N188" s="10" t="n">
        <f aca="false">IF(A188="","",Z187)</f>
        <v>0</v>
      </c>
      <c r="O188" s="6" t="n">
        <f aca="false">IF(A188="","",Inputs!$B$18+N188)</f>
        <v>50000</v>
      </c>
      <c r="P188" s="5" t="n">
        <f aca="false">IF(A188="","",VLOOKUP(D188,DIvidend_Assumption!$A$3:$CX$103,($E$2+2),0)/12)</f>
        <v>0</v>
      </c>
      <c r="Q188" s="10" t="n">
        <f aca="false">IF(A188="","",IFERROR(AB187*P188,""))</f>
        <v>0</v>
      </c>
      <c r="R188" s="10" t="n">
        <f aca="false">IF(A188="","",IFERROR(IF(Inputs!$B$22="Accumulate",T188+Q188,IF(Inputs!$B$22="Premium Offset",MAX(0,T188+Q188-Inputs!$B$25),T188)),""))</f>
        <v>0</v>
      </c>
      <c r="S188" s="10" t="n">
        <f aca="false">IF(A188="","",R187)</f>
        <v>0</v>
      </c>
      <c r="T188" s="10" t="n">
        <f aca="false">IF(A188="","",IFERROR(S188*(1+Inputs!$B$23/12),""))</f>
        <v>0</v>
      </c>
      <c r="U188" s="6" t="n">
        <f aca="false">IF(A188="","",IF(D188&lt;=Inputs!$B$8,IF(Inputs!$B$22="Premium Offset",MAX(0,Inputs!$B$25-(Q188+T188)),Inputs!$B$25),0))</f>
        <v>77</v>
      </c>
      <c r="V188" s="10" t="n">
        <f aca="false">IF(A188="","",IF(Inputs!$B$22="Cash",Q188,0))</f>
        <v>0</v>
      </c>
      <c r="W188" s="10" t="n">
        <f aca="false">IF(A188="","",IF(Inputs!$B$22="PUA",Q188,0))</f>
        <v>0</v>
      </c>
      <c r="X188" s="12" t="n">
        <f aca="false">IF(A188="","",IFERROR(INDEX(PUA_TABLE!$D$4:$D$105,MATCH(E188,PUA_TABLE!$C$4:$C$105,1)),0))</f>
        <v>0.422087573508399</v>
      </c>
      <c r="Y188" s="10" t="n">
        <f aca="false">IF(A188="","",IF(W188&gt;0,IF(X188&gt;0,W188/X188,0),0))</f>
        <v>0</v>
      </c>
      <c r="Z188" s="10" t="n">
        <f aca="false">IF(A188="","",N188+Y188)</f>
        <v>0</v>
      </c>
      <c r="AA188" s="10" t="n">
        <f aca="false">IF(A188="","",IFERROR(Z188*INDEX(PUA_TABLE!$I$4:$I$105,MATCH(E188,PUA_TABLE!$C$4:$C$105,1))/1000,0))</f>
        <v>0</v>
      </c>
      <c r="AB188" s="10" t="n">
        <f aca="false">IF(A188="","",IFERROR(L188+AA188,0))</f>
        <v>21345.6738270563</v>
      </c>
      <c r="AC188" s="10" t="n">
        <f aca="false">IF(A188="","",IF(Inputs!$B$22="Premium Offset",MIN(Inputs!$B$25,Q188+T188),0))</f>
        <v>0</v>
      </c>
    </row>
    <row r="189" customFormat="false" ht="15" hidden="false" customHeight="false" outlineLevel="0" collapsed="false">
      <c r="A189" s="1" t="n">
        <f aca="false">IF(A188="","",IF(INT((C188+1)/12)+Inputs!$B$7&gt;MAX(MORTALITY!$A:$A),"",Inputs!$B$4))</f>
        <v>34</v>
      </c>
      <c r="B189" s="3" t="n">
        <f aca="false">IF(A189="","",EOMONTH(B188,1))</f>
        <v>27425</v>
      </c>
      <c r="C189" s="1" t="n">
        <f aca="false">IF(A189="","",C188+1)</f>
        <v>187</v>
      </c>
      <c r="D189" s="1" t="n">
        <f aca="false">IF(A189="","",INT(C189/12))</f>
        <v>15</v>
      </c>
      <c r="E189" s="1" t="n">
        <f aca="false">IF(A189="","",D189+Inputs!$B$7)</f>
        <v>31</v>
      </c>
      <c r="F189" s="3" t="n">
        <f aca="false">IF(A189="","",DATE(YEAR(B$2)+D189,MONTH(B$2),DAY(B$2)))</f>
        <v>27185</v>
      </c>
      <c r="G189" s="3" t="n">
        <f aca="false">IF(A189="","",DATE(YEAR(F189)+1,MONTH(F189),DAY(F189)))</f>
        <v>27550</v>
      </c>
      <c r="H189" s="10" t="n">
        <f aca="false">IF(A189="","",IF(G189&gt;F189,(B189-F189)/(G189-F189),0))</f>
        <v>0.657534246575342</v>
      </c>
      <c r="I189" s="10" t="n">
        <f aca="false">IF(A189="","",IFERROR(INDEX(CV_RATES!$I:$I,MATCH(D189,CV_RATES!$C:$C,0)),0))</f>
        <v>422.087573508399</v>
      </c>
      <c r="J189" s="10" t="n">
        <f aca="false">IF(A189="","",IFERROR(IF(E189=MAX(MORTALITY!$A:$A),1000,INDEX(CV_RATES!$J:$J,MATCH(D189,CV_RATES!$C:$C,0))),0))</f>
        <v>430.515585981821</v>
      </c>
      <c r="K189" s="10" t="n">
        <f aca="false">IF(A189="","",IFERROR(I189+H189*(J189-I189),0))</f>
        <v>427.629280340239</v>
      </c>
      <c r="L189" s="10" t="n">
        <f aca="false">IF(A189="","",IFERROR(K189*Inputs!$B$9,0))</f>
        <v>21381.4640170119</v>
      </c>
      <c r="M189" s="10" t="n">
        <f aca="false">IF(A189="","",IFERROR(K189*Inputs!$B$10,0))</f>
        <v>68419.4019665971</v>
      </c>
      <c r="N189" s="10" t="n">
        <f aca="false">IF(A189="","",Z188)</f>
        <v>0</v>
      </c>
      <c r="O189" s="6" t="n">
        <f aca="false">IF(A189="","",Inputs!$B$18+N189)</f>
        <v>50000</v>
      </c>
      <c r="P189" s="5" t="n">
        <f aca="false">IF(A189="","",VLOOKUP(D189,DIvidend_Assumption!$A$3:$CX$103,($E$2+2),0)/12)</f>
        <v>0</v>
      </c>
      <c r="Q189" s="10" t="n">
        <f aca="false">IF(A189="","",IFERROR(AB188*P189,""))</f>
        <v>0</v>
      </c>
      <c r="R189" s="10" t="n">
        <f aca="false">IF(A189="","",IFERROR(IF(Inputs!$B$22="Accumulate",T189+Q189,IF(Inputs!$B$22="Premium Offset",MAX(0,T189+Q189-Inputs!$B$25),T189)),""))</f>
        <v>0</v>
      </c>
      <c r="S189" s="10" t="n">
        <f aca="false">IF(A189="","",R188)</f>
        <v>0</v>
      </c>
      <c r="T189" s="10" t="n">
        <f aca="false">IF(A189="","",IFERROR(S189*(1+Inputs!$B$23/12),""))</f>
        <v>0</v>
      </c>
      <c r="U189" s="6" t="n">
        <f aca="false">IF(A189="","",IF(D189&lt;=Inputs!$B$8,IF(Inputs!$B$22="Premium Offset",MAX(0,Inputs!$B$25-(Q189+T189)),Inputs!$B$25),0))</f>
        <v>77</v>
      </c>
      <c r="V189" s="10" t="n">
        <f aca="false">IF(A189="","",IF(Inputs!$B$22="Cash",Q189,0))</f>
        <v>0</v>
      </c>
      <c r="W189" s="10" t="n">
        <f aca="false">IF(A189="","",IF(Inputs!$B$22="PUA",Q189,0))</f>
        <v>0</v>
      </c>
      <c r="X189" s="12" t="n">
        <f aca="false">IF(A189="","",IFERROR(INDEX(PUA_TABLE!$D$4:$D$105,MATCH(E189,PUA_TABLE!$C$4:$C$105,1)),0))</f>
        <v>0.422087573508399</v>
      </c>
      <c r="Y189" s="10" t="n">
        <f aca="false">IF(A189="","",IF(W189&gt;0,IF(X189&gt;0,W189/X189,0),0))</f>
        <v>0</v>
      </c>
      <c r="Z189" s="10" t="n">
        <f aca="false">IF(A189="","",N189+Y189)</f>
        <v>0</v>
      </c>
      <c r="AA189" s="10" t="n">
        <f aca="false">IF(A189="","",IFERROR(Z189*INDEX(PUA_TABLE!$I$4:$I$105,MATCH(E189,PUA_TABLE!$C$4:$C$105,1))/1000,0))</f>
        <v>0</v>
      </c>
      <c r="AB189" s="10" t="n">
        <f aca="false">IF(A189="","",IFERROR(L189+AA189,0))</f>
        <v>21381.4640170119</v>
      </c>
      <c r="AC189" s="10" t="n">
        <f aca="false">IF(A189="","",IF(Inputs!$B$22="Premium Offset",MIN(Inputs!$B$25,Q189+T189),0))</f>
        <v>0</v>
      </c>
    </row>
    <row r="190" customFormat="false" ht="15" hidden="false" customHeight="false" outlineLevel="0" collapsed="false">
      <c r="A190" s="1" t="n">
        <f aca="false">IF(A189="","",IF(INT((C189+1)/12)+Inputs!$B$7&gt;MAX(MORTALITY!$A:$A),"",Inputs!$B$4))</f>
        <v>34</v>
      </c>
      <c r="B190" s="3" t="n">
        <f aca="false">IF(A190="","",EOMONTH(B189,1))</f>
        <v>27453</v>
      </c>
      <c r="C190" s="1" t="n">
        <f aca="false">IF(A190="","",C189+1)</f>
        <v>188</v>
      </c>
      <c r="D190" s="1" t="n">
        <f aca="false">IF(A190="","",INT(C190/12))</f>
        <v>15</v>
      </c>
      <c r="E190" s="1" t="n">
        <f aca="false">IF(A190="","",D190+Inputs!$B$7)</f>
        <v>31</v>
      </c>
      <c r="F190" s="3" t="n">
        <f aca="false">IF(A190="","",DATE(YEAR(B$2)+D190,MONTH(B$2),DAY(B$2)))</f>
        <v>27185</v>
      </c>
      <c r="G190" s="3" t="n">
        <f aca="false">IF(A190="","",DATE(YEAR(F190)+1,MONTH(F190),DAY(F190)))</f>
        <v>27550</v>
      </c>
      <c r="H190" s="10" t="n">
        <f aca="false">IF(A190="","",IF(G190&gt;F190,(B190-F190)/(G190-F190),0))</f>
        <v>0.734246575342466</v>
      </c>
      <c r="I190" s="10" t="n">
        <f aca="false">IF(A190="","",IFERROR(INDEX(CV_RATES!$I:$I,MATCH(D190,CV_RATES!$C:$C,0)),0))</f>
        <v>422.087573508399</v>
      </c>
      <c r="J190" s="10" t="n">
        <f aca="false">IF(A190="","",IFERROR(IF(E190=MAX(MORTALITY!$A:$A),1000,INDEX(CV_RATES!$J:$J,MATCH(D190,CV_RATES!$C:$C,0))),0))</f>
        <v>430.515585981821</v>
      </c>
      <c r="K190" s="10" t="n">
        <f aca="false">IF(A190="","",IFERROR(I190+H190*(J190-I190),0))</f>
        <v>428.275812803953</v>
      </c>
      <c r="L190" s="10" t="n">
        <f aca="false">IF(A190="","",IFERROR(K190*Inputs!$B$9,0))</f>
        <v>21413.7906401977</v>
      </c>
      <c r="M190" s="10" t="n">
        <f aca="false">IF(A190="","",IFERROR(K190*Inputs!$B$10,0))</f>
        <v>68522.8452211941</v>
      </c>
      <c r="N190" s="10" t="n">
        <f aca="false">IF(A190="","",Z189)</f>
        <v>0</v>
      </c>
      <c r="O190" s="6" t="n">
        <f aca="false">IF(A190="","",Inputs!$B$18+N190)</f>
        <v>50000</v>
      </c>
      <c r="P190" s="5" t="n">
        <f aca="false">IF(A190="","",VLOOKUP(D190,DIvidend_Assumption!$A$3:$CX$103,($E$2+2),0)/12)</f>
        <v>0</v>
      </c>
      <c r="Q190" s="10" t="n">
        <f aca="false">IF(A190="","",IFERROR(AB189*P190,""))</f>
        <v>0</v>
      </c>
      <c r="R190" s="10" t="n">
        <f aca="false">IF(A190="","",IFERROR(IF(Inputs!$B$22="Accumulate",T190+Q190,IF(Inputs!$B$22="Premium Offset",MAX(0,T190+Q190-Inputs!$B$25),T190)),""))</f>
        <v>0</v>
      </c>
      <c r="S190" s="10" t="n">
        <f aca="false">IF(A190="","",R189)</f>
        <v>0</v>
      </c>
      <c r="T190" s="10" t="n">
        <f aca="false">IF(A190="","",IFERROR(S190*(1+Inputs!$B$23/12),""))</f>
        <v>0</v>
      </c>
      <c r="U190" s="6" t="n">
        <f aca="false">IF(A190="","",IF(D190&lt;=Inputs!$B$8,IF(Inputs!$B$22="Premium Offset",MAX(0,Inputs!$B$25-(Q190+T190)),Inputs!$B$25),0))</f>
        <v>77</v>
      </c>
      <c r="V190" s="10" t="n">
        <f aca="false">IF(A190="","",IF(Inputs!$B$22="Cash",Q190,0))</f>
        <v>0</v>
      </c>
      <c r="W190" s="10" t="n">
        <f aca="false">IF(A190="","",IF(Inputs!$B$22="PUA",Q190,0))</f>
        <v>0</v>
      </c>
      <c r="X190" s="12" t="n">
        <f aca="false">IF(A190="","",IFERROR(INDEX(PUA_TABLE!$D$4:$D$105,MATCH(E190,PUA_TABLE!$C$4:$C$105,1)),0))</f>
        <v>0.422087573508399</v>
      </c>
      <c r="Y190" s="10" t="n">
        <f aca="false">IF(A190="","",IF(W190&gt;0,IF(X190&gt;0,W190/X190,0),0))</f>
        <v>0</v>
      </c>
      <c r="Z190" s="10" t="n">
        <f aca="false">IF(A190="","",N190+Y190)</f>
        <v>0</v>
      </c>
      <c r="AA190" s="10" t="n">
        <f aca="false">IF(A190="","",IFERROR(Z190*INDEX(PUA_TABLE!$I$4:$I$105,MATCH(E190,PUA_TABLE!$C$4:$C$105,1))/1000,0))</f>
        <v>0</v>
      </c>
      <c r="AB190" s="10" t="n">
        <f aca="false">IF(A190="","",IFERROR(L190+AA190,0))</f>
        <v>21413.7906401977</v>
      </c>
      <c r="AC190" s="10" t="n">
        <f aca="false">IF(A190="","",IF(Inputs!$B$22="Premium Offset",MIN(Inputs!$B$25,Q190+T190),0))</f>
        <v>0</v>
      </c>
    </row>
    <row r="191" customFormat="false" ht="15" hidden="false" customHeight="false" outlineLevel="0" collapsed="false">
      <c r="A191" s="1" t="n">
        <f aca="false">IF(A190="","",IF(INT((C190+1)/12)+Inputs!$B$7&gt;MAX(MORTALITY!$A:$A),"",Inputs!$B$4))</f>
        <v>34</v>
      </c>
      <c r="B191" s="3" t="n">
        <f aca="false">IF(A191="","",EOMONTH(B190,1))</f>
        <v>27484</v>
      </c>
      <c r="C191" s="1" t="n">
        <f aca="false">IF(A191="","",C190+1)</f>
        <v>189</v>
      </c>
      <c r="D191" s="1" t="n">
        <f aca="false">IF(A191="","",INT(C191/12))</f>
        <v>15</v>
      </c>
      <c r="E191" s="1" t="n">
        <f aca="false">IF(A191="","",D191+Inputs!$B$7)</f>
        <v>31</v>
      </c>
      <c r="F191" s="3" t="n">
        <f aca="false">IF(A191="","",DATE(YEAR(B$2)+D191,MONTH(B$2),DAY(B$2)))</f>
        <v>27185</v>
      </c>
      <c r="G191" s="3" t="n">
        <f aca="false">IF(A191="","",DATE(YEAR(F191)+1,MONTH(F191),DAY(F191)))</f>
        <v>27550</v>
      </c>
      <c r="H191" s="10" t="n">
        <f aca="false">IF(A191="","",IF(G191&gt;F191,(B191-F191)/(G191-F191),0))</f>
        <v>0.819178082191781</v>
      </c>
      <c r="I191" s="10" t="n">
        <f aca="false">IF(A191="","",IFERROR(INDEX(CV_RATES!$I:$I,MATCH(D191,CV_RATES!$C:$C,0)),0))</f>
        <v>422.087573508399</v>
      </c>
      <c r="J191" s="10" t="n">
        <f aca="false">IF(A191="","",IFERROR(IF(E191=MAX(MORTALITY!$A:$A),1000,INDEX(CV_RATES!$J:$J,MATCH(D191,CV_RATES!$C:$C,0))),0))</f>
        <v>430.515585981821</v>
      </c>
      <c r="K191" s="10" t="n">
        <f aca="false">IF(A191="","",IFERROR(I191+H191*(J191-I191),0))</f>
        <v>428.991616603066</v>
      </c>
      <c r="L191" s="10" t="n">
        <f aca="false">IF(A191="","",IFERROR(K191*Inputs!$B$9,0))</f>
        <v>21449.5808301533</v>
      </c>
      <c r="M191" s="10" t="n">
        <f aca="false">IF(A191="","",IFERROR(K191*Inputs!$B$10,0))</f>
        <v>68637.3716816407</v>
      </c>
      <c r="N191" s="10" t="n">
        <f aca="false">IF(A191="","",Z190)</f>
        <v>0</v>
      </c>
      <c r="O191" s="6" t="n">
        <f aca="false">IF(A191="","",Inputs!$B$18+N191)</f>
        <v>50000</v>
      </c>
      <c r="P191" s="5" t="n">
        <f aca="false">IF(A191="","",VLOOKUP(D191,DIvidend_Assumption!$A$3:$CX$103,($E$2+2),0)/12)</f>
        <v>0</v>
      </c>
      <c r="Q191" s="10" t="n">
        <f aca="false">IF(A191="","",IFERROR(AB190*P191,""))</f>
        <v>0</v>
      </c>
      <c r="R191" s="10" t="n">
        <f aca="false">IF(A191="","",IFERROR(IF(Inputs!$B$22="Accumulate",T191+Q191,IF(Inputs!$B$22="Premium Offset",MAX(0,T191+Q191-Inputs!$B$25),T191)),""))</f>
        <v>0</v>
      </c>
      <c r="S191" s="10" t="n">
        <f aca="false">IF(A191="","",R190)</f>
        <v>0</v>
      </c>
      <c r="T191" s="10" t="n">
        <f aca="false">IF(A191="","",IFERROR(S191*(1+Inputs!$B$23/12),""))</f>
        <v>0</v>
      </c>
      <c r="U191" s="6" t="n">
        <f aca="false">IF(A191="","",IF(D191&lt;=Inputs!$B$8,IF(Inputs!$B$22="Premium Offset",MAX(0,Inputs!$B$25-(Q191+T191)),Inputs!$B$25),0))</f>
        <v>77</v>
      </c>
      <c r="V191" s="10" t="n">
        <f aca="false">IF(A191="","",IF(Inputs!$B$22="Cash",Q191,0))</f>
        <v>0</v>
      </c>
      <c r="W191" s="10" t="n">
        <f aca="false">IF(A191="","",IF(Inputs!$B$22="PUA",Q191,0))</f>
        <v>0</v>
      </c>
      <c r="X191" s="12" t="n">
        <f aca="false">IF(A191="","",IFERROR(INDEX(PUA_TABLE!$D$4:$D$105,MATCH(E191,PUA_TABLE!$C$4:$C$105,1)),0))</f>
        <v>0.422087573508399</v>
      </c>
      <c r="Y191" s="10" t="n">
        <f aca="false">IF(A191="","",IF(W191&gt;0,IF(X191&gt;0,W191/X191,0),0))</f>
        <v>0</v>
      </c>
      <c r="Z191" s="10" t="n">
        <f aca="false">IF(A191="","",N191+Y191)</f>
        <v>0</v>
      </c>
      <c r="AA191" s="10" t="n">
        <f aca="false">IF(A191="","",IFERROR(Z191*INDEX(PUA_TABLE!$I$4:$I$105,MATCH(E191,PUA_TABLE!$C$4:$C$105,1))/1000,0))</f>
        <v>0</v>
      </c>
      <c r="AB191" s="10" t="n">
        <f aca="false">IF(A191="","",IFERROR(L191+AA191,0))</f>
        <v>21449.5808301533</v>
      </c>
      <c r="AC191" s="10" t="n">
        <f aca="false">IF(A191="","",IF(Inputs!$B$22="Premium Offset",MIN(Inputs!$B$25,Q191+T191),0))</f>
        <v>0</v>
      </c>
    </row>
    <row r="192" customFormat="false" ht="15" hidden="false" customHeight="false" outlineLevel="0" collapsed="false">
      <c r="A192" s="1" t="n">
        <f aca="false">IF(A191="","",IF(INT((C191+1)/12)+Inputs!$B$7&gt;MAX(MORTALITY!$A:$A),"",Inputs!$B$4))</f>
        <v>34</v>
      </c>
      <c r="B192" s="3" t="n">
        <f aca="false">IF(A192="","",EOMONTH(B191,1))</f>
        <v>27514</v>
      </c>
      <c r="C192" s="1" t="n">
        <f aca="false">IF(A192="","",C191+1)</f>
        <v>190</v>
      </c>
      <c r="D192" s="1" t="n">
        <f aca="false">IF(A192="","",INT(C192/12))</f>
        <v>15</v>
      </c>
      <c r="E192" s="1" t="n">
        <f aca="false">IF(A192="","",D192+Inputs!$B$7)</f>
        <v>31</v>
      </c>
      <c r="F192" s="3" t="n">
        <f aca="false">IF(A192="","",DATE(YEAR(B$2)+D192,MONTH(B$2),DAY(B$2)))</f>
        <v>27185</v>
      </c>
      <c r="G192" s="3" t="n">
        <f aca="false">IF(A192="","",DATE(YEAR(F192)+1,MONTH(F192),DAY(F192)))</f>
        <v>27550</v>
      </c>
      <c r="H192" s="10" t="n">
        <f aca="false">IF(A192="","",IF(G192&gt;F192,(B192-F192)/(G192-F192),0))</f>
        <v>0.901369863013699</v>
      </c>
      <c r="I192" s="10" t="n">
        <f aca="false">IF(A192="","",IFERROR(INDEX(CV_RATES!$I:$I,MATCH(D192,CV_RATES!$C:$C,0)),0))</f>
        <v>422.087573508399</v>
      </c>
      <c r="J192" s="10" t="n">
        <f aca="false">IF(A192="","",IFERROR(IF(E192=MAX(MORTALITY!$A:$A),1000,INDEX(CV_RATES!$J:$J,MATCH(D192,CV_RATES!$C:$C,0))),0))</f>
        <v>430.515585981821</v>
      </c>
      <c r="K192" s="10" t="n">
        <f aca="false">IF(A192="","",IFERROR(I192+H192*(J192-I192),0))</f>
        <v>429.684329957046</v>
      </c>
      <c r="L192" s="10" t="n">
        <f aca="false">IF(A192="","",IFERROR(K192*Inputs!$B$9,0))</f>
        <v>21484.2164978523</v>
      </c>
      <c r="M192" s="10" t="n">
        <f aca="false">IF(A192="","",IFERROR(K192*Inputs!$B$10,0))</f>
        <v>68748.2037401374</v>
      </c>
      <c r="N192" s="10" t="n">
        <f aca="false">IF(A192="","",Z191)</f>
        <v>0</v>
      </c>
      <c r="O192" s="6" t="n">
        <f aca="false">IF(A192="","",Inputs!$B$18+N192)</f>
        <v>50000</v>
      </c>
      <c r="P192" s="5" t="n">
        <f aca="false">IF(A192="","",VLOOKUP(D192,DIvidend_Assumption!$A$3:$CX$103,($E$2+2),0)/12)</f>
        <v>0</v>
      </c>
      <c r="Q192" s="10" t="n">
        <f aca="false">IF(A192="","",IFERROR(AB191*P192,""))</f>
        <v>0</v>
      </c>
      <c r="R192" s="10" t="n">
        <f aca="false">IF(A192="","",IFERROR(IF(Inputs!$B$22="Accumulate",T192+Q192,IF(Inputs!$B$22="Premium Offset",MAX(0,T192+Q192-Inputs!$B$25),T192)),""))</f>
        <v>0</v>
      </c>
      <c r="S192" s="10" t="n">
        <f aca="false">IF(A192="","",R191)</f>
        <v>0</v>
      </c>
      <c r="T192" s="10" t="n">
        <f aca="false">IF(A192="","",IFERROR(S192*(1+Inputs!$B$23/12),""))</f>
        <v>0</v>
      </c>
      <c r="U192" s="6" t="n">
        <f aca="false">IF(A192="","",IF(D192&lt;=Inputs!$B$8,IF(Inputs!$B$22="Premium Offset",MAX(0,Inputs!$B$25-(Q192+T192)),Inputs!$B$25),0))</f>
        <v>77</v>
      </c>
      <c r="V192" s="10" t="n">
        <f aca="false">IF(A192="","",IF(Inputs!$B$22="Cash",Q192,0))</f>
        <v>0</v>
      </c>
      <c r="W192" s="10" t="n">
        <f aca="false">IF(A192="","",IF(Inputs!$B$22="PUA",Q192,0))</f>
        <v>0</v>
      </c>
      <c r="X192" s="12" t="n">
        <f aca="false">IF(A192="","",IFERROR(INDEX(PUA_TABLE!$D$4:$D$105,MATCH(E192,PUA_TABLE!$C$4:$C$105,1)),0))</f>
        <v>0.422087573508399</v>
      </c>
      <c r="Y192" s="10" t="n">
        <f aca="false">IF(A192="","",IF(W192&gt;0,IF(X192&gt;0,W192/X192,0),0))</f>
        <v>0</v>
      </c>
      <c r="Z192" s="10" t="n">
        <f aca="false">IF(A192="","",N192+Y192)</f>
        <v>0</v>
      </c>
      <c r="AA192" s="10" t="n">
        <f aca="false">IF(A192="","",IFERROR(Z192*INDEX(PUA_TABLE!$I$4:$I$105,MATCH(E192,PUA_TABLE!$C$4:$C$105,1))/1000,0))</f>
        <v>0</v>
      </c>
      <c r="AB192" s="10" t="n">
        <f aca="false">IF(A192="","",IFERROR(L192+AA192,0))</f>
        <v>21484.2164978523</v>
      </c>
      <c r="AC192" s="10" t="n">
        <f aca="false">IF(A192="","",IF(Inputs!$B$22="Premium Offset",MIN(Inputs!$B$25,Q192+T192),0))</f>
        <v>0</v>
      </c>
    </row>
    <row r="193" customFormat="false" ht="15" hidden="false" customHeight="false" outlineLevel="0" collapsed="false">
      <c r="A193" s="1" t="n">
        <f aca="false">IF(A192="","",IF(INT((C192+1)/12)+Inputs!$B$7&gt;MAX(MORTALITY!$A:$A),"",Inputs!$B$4))</f>
        <v>34</v>
      </c>
      <c r="B193" s="3" t="n">
        <f aca="false">IF(A193="","",EOMONTH(B192,1))</f>
        <v>27545</v>
      </c>
      <c r="C193" s="1" t="n">
        <f aca="false">IF(A193="","",C192+1)</f>
        <v>191</v>
      </c>
      <c r="D193" s="1" t="n">
        <f aca="false">IF(A193="","",INT(C193/12))</f>
        <v>15</v>
      </c>
      <c r="E193" s="1" t="n">
        <f aca="false">IF(A193="","",D193+Inputs!$B$7)</f>
        <v>31</v>
      </c>
      <c r="F193" s="3" t="n">
        <f aca="false">IF(A193="","",DATE(YEAR(B$2)+D193,MONTH(B$2),DAY(B$2)))</f>
        <v>27185</v>
      </c>
      <c r="G193" s="3" t="n">
        <f aca="false">IF(A193="","",DATE(YEAR(F193)+1,MONTH(F193),DAY(F193)))</f>
        <v>27550</v>
      </c>
      <c r="H193" s="10" t="n">
        <f aca="false">IF(A193="","",IF(G193&gt;F193,(B193-F193)/(G193-F193),0))</f>
        <v>0.986301369863014</v>
      </c>
      <c r="I193" s="10" t="n">
        <f aca="false">IF(A193="","",IFERROR(INDEX(CV_RATES!$I:$I,MATCH(D193,CV_RATES!$C:$C,0)),0))</f>
        <v>422.087573508399</v>
      </c>
      <c r="J193" s="10" t="n">
        <f aca="false">IF(A193="","",IFERROR(IF(E193=MAX(MORTALITY!$A:$A),1000,INDEX(CV_RATES!$J:$J,MATCH(D193,CV_RATES!$C:$C,0))),0))</f>
        <v>430.515585981821</v>
      </c>
      <c r="K193" s="10" t="n">
        <f aca="false">IF(A193="","",IFERROR(I193+H193*(J193-I193),0))</f>
        <v>430.400133756158</v>
      </c>
      <c r="L193" s="10" t="n">
        <f aca="false">IF(A193="","",IFERROR(K193*Inputs!$B$9,0))</f>
        <v>21520.0066878079</v>
      </c>
      <c r="M193" s="10" t="n">
        <f aca="false">IF(A193="","",IFERROR(K193*Inputs!$B$10,0))</f>
        <v>68862.7302005841</v>
      </c>
      <c r="N193" s="10" t="n">
        <f aca="false">IF(A193="","",Z192)</f>
        <v>0</v>
      </c>
      <c r="O193" s="6" t="n">
        <f aca="false">IF(A193="","",Inputs!$B$18+N193)</f>
        <v>50000</v>
      </c>
      <c r="P193" s="5" t="n">
        <f aca="false">IF(A193="","",VLOOKUP(D193,DIvidend_Assumption!$A$3:$CX$103,($E$2+2),0)/12)</f>
        <v>0</v>
      </c>
      <c r="Q193" s="10" t="n">
        <f aca="false">IF(A193="","",IFERROR(AB192*P193,""))</f>
        <v>0</v>
      </c>
      <c r="R193" s="10" t="n">
        <f aca="false">IF(A193="","",IFERROR(IF(Inputs!$B$22="Accumulate",T193+Q193,IF(Inputs!$B$22="Premium Offset",MAX(0,T193+Q193-Inputs!$B$25),T193)),""))</f>
        <v>0</v>
      </c>
      <c r="S193" s="10" t="n">
        <f aca="false">IF(A193="","",R192)</f>
        <v>0</v>
      </c>
      <c r="T193" s="10" t="n">
        <f aca="false">IF(A193="","",IFERROR(S193*(1+Inputs!$B$23/12),""))</f>
        <v>0</v>
      </c>
      <c r="U193" s="6" t="n">
        <f aca="false">IF(A193="","",IF(D193&lt;=Inputs!$B$8,IF(Inputs!$B$22="Premium Offset",MAX(0,Inputs!$B$25-(Q193+T193)),Inputs!$B$25),0))</f>
        <v>77</v>
      </c>
      <c r="V193" s="10" t="n">
        <f aca="false">IF(A193="","",IF(Inputs!$B$22="Cash",Q193,0))</f>
        <v>0</v>
      </c>
      <c r="W193" s="10" t="n">
        <f aca="false">IF(A193="","",IF(Inputs!$B$22="PUA",Q193,0))</f>
        <v>0</v>
      </c>
      <c r="X193" s="12" t="n">
        <f aca="false">IF(A193="","",IFERROR(INDEX(PUA_TABLE!$D$4:$D$105,MATCH(E193,PUA_TABLE!$C$4:$C$105,1)),0))</f>
        <v>0.422087573508399</v>
      </c>
      <c r="Y193" s="10" t="n">
        <f aca="false">IF(A193="","",IF(W193&gt;0,IF(X193&gt;0,W193/X193,0),0))</f>
        <v>0</v>
      </c>
      <c r="Z193" s="10" t="n">
        <f aca="false">IF(A193="","",N193+Y193)</f>
        <v>0</v>
      </c>
      <c r="AA193" s="10" t="n">
        <f aca="false">IF(A193="","",IFERROR(Z193*INDEX(PUA_TABLE!$I$4:$I$105,MATCH(E193,PUA_TABLE!$C$4:$C$105,1))/1000,0))</f>
        <v>0</v>
      </c>
      <c r="AB193" s="10" t="n">
        <f aca="false">IF(A193="","",IFERROR(L193+AA193,0))</f>
        <v>21520.0066878079</v>
      </c>
      <c r="AC193" s="10" t="n">
        <f aca="false">IF(A193="","",IF(Inputs!$B$22="Premium Offset",MIN(Inputs!$B$25,Q193+T193),0))</f>
        <v>0</v>
      </c>
    </row>
    <row r="194" customFormat="false" ht="15" hidden="false" customHeight="false" outlineLevel="0" collapsed="false">
      <c r="A194" s="1" t="n">
        <f aca="false">IF(A193="","",IF(INT((C193+1)/12)+Inputs!$B$7&gt;MAX(MORTALITY!$A:$A),"",Inputs!$B$4))</f>
        <v>34</v>
      </c>
      <c r="B194" s="3" t="n">
        <f aca="false">IF(A194="","",EOMONTH(B193,1))</f>
        <v>27575</v>
      </c>
      <c r="C194" s="1" t="n">
        <f aca="false">IF(A194="","",C193+1)</f>
        <v>192</v>
      </c>
      <c r="D194" s="1" t="n">
        <f aca="false">IF(A194="","",INT(C194/12))</f>
        <v>16</v>
      </c>
      <c r="E194" s="1" t="n">
        <f aca="false">IF(A194="","",D194+Inputs!$B$7)</f>
        <v>32</v>
      </c>
      <c r="F194" s="3" t="n">
        <f aca="false">IF(A194="","",DATE(YEAR(B$2)+D194,MONTH(B$2),DAY(B$2)))</f>
        <v>27550</v>
      </c>
      <c r="G194" s="3" t="n">
        <f aca="false">IF(A194="","",DATE(YEAR(F194)+1,MONTH(F194),DAY(F194)))</f>
        <v>27916</v>
      </c>
      <c r="H194" s="10" t="n">
        <f aca="false">IF(A194="","",IF(G194&gt;F194,(B194-F194)/(G194-F194),0))</f>
        <v>0.0683060109289618</v>
      </c>
      <c r="I194" s="10" t="n">
        <f aca="false">IF(A194="","",IFERROR(INDEX(CV_RATES!$I:$I,MATCH(D194,CV_RATES!$C:$C,0)),0))</f>
        <v>430.515585981821</v>
      </c>
      <c r="J194" s="10" t="n">
        <f aca="false">IF(A194="","",IFERROR(IF(E194=MAX(MORTALITY!$A:$A),1000,INDEX(CV_RATES!$J:$J,MATCH(D194,CV_RATES!$C:$C,0))),0))</f>
        <v>439.079667929651</v>
      </c>
      <c r="K194" s="10" t="n">
        <f aca="false">IF(A194="","",IFERROR(I194+H194*(J194-I194),0))</f>
        <v>431.100564256946</v>
      </c>
      <c r="L194" s="10" t="n">
        <f aca="false">IF(A194="","",IFERROR(K194*Inputs!$B$9,0))</f>
        <v>21555.0282128473</v>
      </c>
      <c r="M194" s="10" t="n">
        <f aca="false">IF(A194="","",IFERROR(K194*Inputs!$B$10,0))</f>
        <v>68974.7969794187</v>
      </c>
      <c r="N194" s="10" t="n">
        <f aca="false">IF(A194="","",Z193)</f>
        <v>0</v>
      </c>
      <c r="O194" s="6" t="n">
        <f aca="false">IF(A194="","",Inputs!$B$18+N194)</f>
        <v>50000</v>
      </c>
      <c r="P194" s="5" t="n">
        <f aca="false">IF(A194="","",VLOOKUP(D194,DIvidend_Assumption!$A$3:$CX$103,($E$2+2),0)/12)</f>
        <v>0</v>
      </c>
      <c r="Q194" s="10" t="n">
        <f aca="false">IF(A194="","",IFERROR(AB193*P194,""))</f>
        <v>0</v>
      </c>
      <c r="R194" s="10" t="n">
        <f aca="false">IF(A194="","",IFERROR(IF(Inputs!$B$22="Accumulate",T194+Q194,IF(Inputs!$B$22="Premium Offset",MAX(0,T194+Q194-Inputs!$B$25),T194)),""))</f>
        <v>0</v>
      </c>
      <c r="S194" s="10" t="n">
        <f aca="false">IF(A194="","",R193)</f>
        <v>0</v>
      </c>
      <c r="T194" s="10" t="n">
        <f aca="false">IF(A194="","",IFERROR(S194*(1+Inputs!$B$23/12),""))</f>
        <v>0</v>
      </c>
      <c r="U194" s="6" t="n">
        <f aca="false">IF(A194="","",IF(D194&lt;=Inputs!$B$8,IF(Inputs!$B$22="Premium Offset",MAX(0,Inputs!$B$25-(Q194+T194)),Inputs!$B$25),0))</f>
        <v>77</v>
      </c>
      <c r="V194" s="10" t="n">
        <f aca="false">IF(A194="","",IF(Inputs!$B$22="Cash",Q194,0))</f>
        <v>0</v>
      </c>
      <c r="W194" s="10" t="n">
        <f aca="false">IF(A194="","",IF(Inputs!$B$22="PUA",Q194,0))</f>
        <v>0</v>
      </c>
      <c r="X194" s="12" t="n">
        <f aca="false">IF(A194="","",IFERROR(INDEX(PUA_TABLE!$D$4:$D$105,MATCH(E194,PUA_TABLE!$C$4:$C$105,1)),0))</f>
        <v>0.430515585981821</v>
      </c>
      <c r="Y194" s="10" t="n">
        <f aca="false">IF(A194="","",IF(W194&gt;0,IF(X194&gt;0,W194/X194,0),0))</f>
        <v>0</v>
      </c>
      <c r="Z194" s="10" t="n">
        <f aca="false">IF(A194="","",N194+Y194)</f>
        <v>0</v>
      </c>
      <c r="AA194" s="10" t="n">
        <f aca="false">IF(A194="","",IFERROR(Z194*INDEX(PUA_TABLE!$I$4:$I$105,MATCH(E194,PUA_TABLE!$C$4:$C$105,1))/1000,0))</f>
        <v>0</v>
      </c>
      <c r="AB194" s="10" t="n">
        <f aca="false">IF(A194="","",IFERROR(L194+AA194,0))</f>
        <v>21555.0282128473</v>
      </c>
      <c r="AC194" s="10" t="n">
        <f aca="false">IF(A194="","",IF(Inputs!$B$22="Premium Offset",MIN(Inputs!$B$25,Q194+T194),0))</f>
        <v>0</v>
      </c>
    </row>
    <row r="195" customFormat="false" ht="15" hidden="false" customHeight="false" outlineLevel="0" collapsed="false">
      <c r="A195" s="1" t="n">
        <f aca="false">IF(A194="","",IF(INT((C194+1)/12)+Inputs!$B$7&gt;MAX(MORTALITY!$A:$A),"",Inputs!$B$4))</f>
        <v>34</v>
      </c>
      <c r="B195" s="3" t="n">
        <f aca="false">IF(A195="","",EOMONTH(B194,1))</f>
        <v>27606</v>
      </c>
      <c r="C195" s="1" t="n">
        <f aca="false">IF(A195="","",C194+1)</f>
        <v>193</v>
      </c>
      <c r="D195" s="1" t="n">
        <f aca="false">IF(A195="","",INT(C195/12))</f>
        <v>16</v>
      </c>
      <c r="E195" s="1" t="n">
        <f aca="false">IF(A195="","",D195+Inputs!$B$7)</f>
        <v>32</v>
      </c>
      <c r="F195" s="3" t="n">
        <f aca="false">IF(A195="","",DATE(YEAR(B$2)+D195,MONTH(B$2),DAY(B$2)))</f>
        <v>27550</v>
      </c>
      <c r="G195" s="3" t="n">
        <f aca="false">IF(A195="","",DATE(YEAR(F195)+1,MONTH(F195),DAY(F195)))</f>
        <v>27916</v>
      </c>
      <c r="H195" s="10" t="n">
        <f aca="false">IF(A195="","",IF(G195&gt;F195,(B195-F195)/(G195-F195),0))</f>
        <v>0.153005464480874</v>
      </c>
      <c r="I195" s="10" t="n">
        <f aca="false">IF(A195="","",IFERROR(INDEX(CV_RATES!$I:$I,MATCH(D195,CV_RATES!$C:$C,0)),0))</f>
        <v>430.515585981821</v>
      </c>
      <c r="J195" s="10" t="n">
        <f aca="false">IF(A195="","",IFERROR(IF(E195=MAX(MORTALITY!$A:$A),1000,INDEX(CV_RATES!$J:$J,MATCH(D195,CV_RATES!$C:$C,0))),0))</f>
        <v>439.079667929651</v>
      </c>
      <c r="K195" s="10" t="n">
        <f aca="false">IF(A195="","",IFERROR(I195+H195*(J195-I195),0))</f>
        <v>431.825937318101</v>
      </c>
      <c r="L195" s="10" t="n">
        <f aca="false">IF(A195="","",IFERROR(K195*Inputs!$B$9,0))</f>
        <v>21591.2968659051</v>
      </c>
      <c r="M195" s="10" t="n">
        <f aca="false">IF(A195="","",IFERROR(K195*Inputs!$B$10,0))</f>
        <v>69090.8544930843</v>
      </c>
      <c r="N195" s="10" t="n">
        <f aca="false">IF(A195="","",Z194)</f>
        <v>0</v>
      </c>
      <c r="O195" s="6" t="n">
        <f aca="false">IF(A195="","",Inputs!$B$18+N195)</f>
        <v>50000</v>
      </c>
      <c r="P195" s="5" t="n">
        <f aca="false">IF(A195="","",VLOOKUP(D195,DIvidend_Assumption!$A$3:$CX$103,($E$2+2),0)/12)</f>
        <v>0</v>
      </c>
      <c r="Q195" s="10" t="n">
        <f aca="false">IF(A195="","",IFERROR(AB194*P195,""))</f>
        <v>0</v>
      </c>
      <c r="R195" s="10" t="n">
        <f aca="false">IF(A195="","",IFERROR(IF(Inputs!$B$22="Accumulate",T195+Q195,IF(Inputs!$B$22="Premium Offset",MAX(0,T195+Q195-Inputs!$B$25),T195)),""))</f>
        <v>0</v>
      </c>
      <c r="S195" s="10" t="n">
        <f aca="false">IF(A195="","",R194)</f>
        <v>0</v>
      </c>
      <c r="T195" s="10" t="n">
        <f aca="false">IF(A195="","",IFERROR(S195*(1+Inputs!$B$23/12),""))</f>
        <v>0</v>
      </c>
      <c r="U195" s="6" t="n">
        <f aca="false">IF(A195="","",IF(D195&lt;=Inputs!$B$8,IF(Inputs!$B$22="Premium Offset",MAX(0,Inputs!$B$25-(Q195+T195)),Inputs!$B$25),0))</f>
        <v>77</v>
      </c>
      <c r="V195" s="10" t="n">
        <f aca="false">IF(A195="","",IF(Inputs!$B$22="Cash",Q195,0))</f>
        <v>0</v>
      </c>
      <c r="W195" s="10" t="n">
        <f aca="false">IF(A195="","",IF(Inputs!$B$22="PUA",Q195,0))</f>
        <v>0</v>
      </c>
      <c r="X195" s="12" t="n">
        <f aca="false">IF(A195="","",IFERROR(INDEX(PUA_TABLE!$D$4:$D$105,MATCH(E195,PUA_TABLE!$C$4:$C$105,1)),0))</f>
        <v>0.430515585981821</v>
      </c>
      <c r="Y195" s="10" t="n">
        <f aca="false">IF(A195="","",IF(W195&gt;0,IF(X195&gt;0,W195/X195,0),0))</f>
        <v>0</v>
      </c>
      <c r="Z195" s="10" t="n">
        <f aca="false">IF(A195="","",N195+Y195)</f>
        <v>0</v>
      </c>
      <c r="AA195" s="10" t="n">
        <f aca="false">IF(A195="","",IFERROR(Z195*INDEX(PUA_TABLE!$I$4:$I$105,MATCH(E195,PUA_TABLE!$C$4:$C$105,1))/1000,0))</f>
        <v>0</v>
      </c>
      <c r="AB195" s="10" t="n">
        <f aca="false">IF(A195="","",IFERROR(L195+AA195,0))</f>
        <v>21591.2968659051</v>
      </c>
      <c r="AC195" s="10" t="n">
        <f aca="false">IF(A195="","",IF(Inputs!$B$22="Premium Offset",MIN(Inputs!$B$25,Q195+T195),0))</f>
        <v>0</v>
      </c>
    </row>
    <row r="196" customFormat="false" ht="15" hidden="false" customHeight="false" outlineLevel="0" collapsed="false">
      <c r="A196" s="1" t="n">
        <f aca="false">IF(A195="","",IF(INT((C195+1)/12)+Inputs!$B$7&gt;MAX(MORTALITY!$A:$A),"",Inputs!$B$4))</f>
        <v>34</v>
      </c>
      <c r="B196" s="3" t="n">
        <f aca="false">IF(A196="","",EOMONTH(B195,1))</f>
        <v>27637</v>
      </c>
      <c r="C196" s="1" t="n">
        <f aca="false">IF(A196="","",C195+1)</f>
        <v>194</v>
      </c>
      <c r="D196" s="1" t="n">
        <f aca="false">IF(A196="","",INT(C196/12))</f>
        <v>16</v>
      </c>
      <c r="E196" s="1" t="n">
        <f aca="false">IF(A196="","",D196+Inputs!$B$7)</f>
        <v>32</v>
      </c>
      <c r="F196" s="3" t="n">
        <f aca="false">IF(A196="","",DATE(YEAR(B$2)+D196,MONTH(B$2),DAY(B$2)))</f>
        <v>27550</v>
      </c>
      <c r="G196" s="3" t="n">
        <f aca="false">IF(A196="","",DATE(YEAR(F196)+1,MONTH(F196),DAY(F196)))</f>
        <v>27916</v>
      </c>
      <c r="H196" s="10" t="n">
        <f aca="false">IF(A196="","",IF(G196&gt;F196,(B196-F196)/(G196-F196),0))</f>
        <v>0.237704918032787</v>
      </c>
      <c r="I196" s="10" t="n">
        <f aca="false">IF(A196="","",IFERROR(INDEX(CV_RATES!$I:$I,MATCH(D196,CV_RATES!$C:$C,0)),0))</f>
        <v>430.515585981821</v>
      </c>
      <c r="J196" s="10" t="n">
        <f aca="false">IF(A196="","",IFERROR(IF(E196=MAX(MORTALITY!$A:$A),1000,INDEX(CV_RATES!$J:$J,MATCH(D196,CV_RATES!$C:$C,0))),0))</f>
        <v>439.079667929651</v>
      </c>
      <c r="K196" s="10" t="n">
        <f aca="false">IF(A196="","",IFERROR(I196+H196*(J196-I196),0))</f>
        <v>432.551310379256</v>
      </c>
      <c r="L196" s="10" t="n">
        <f aca="false">IF(A196="","",IFERROR(K196*Inputs!$B$9,0))</f>
        <v>21627.5655189628</v>
      </c>
      <c r="M196" s="10" t="n">
        <f aca="false">IF(A196="","",IFERROR(K196*Inputs!$B$10,0))</f>
        <v>69206.9120067499</v>
      </c>
      <c r="N196" s="10" t="n">
        <f aca="false">IF(A196="","",Z195)</f>
        <v>0</v>
      </c>
      <c r="O196" s="6" t="n">
        <f aca="false">IF(A196="","",Inputs!$B$18+N196)</f>
        <v>50000</v>
      </c>
      <c r="P196" s="5" t="n">
        <f aca="false">IF(A196="","",VLOOKUP(D196,DIvidend_Assumption!$A$3:$CX$103,($E$2+2),0)/12)</f>
        <v>0</v>
      </c>
      <c r="Q196" s="10" t="n">
        <f aca="false">IF(A196="","",IFERROR(AB195*P196,""))</f>
        <v>0</v>
      </c>
      <c r="R196" s="10" t="n">
        <f aca="false">IF(A196="","",IFERROR(IF(Inputs!$B$22="Accumulate",T196+Q196,IF(Inputs!$B$22="Premium Offset",MAX(0,T196+Q196-Inputs!$B$25),T196)),""))</f>
        <v>0</v>
      </c>
      <c r="S196" s="10" t="n">
        <f aca="false">IF(A196="","",R195)</f>
        <v>0</v>
      </c>
      <c r="T196" s="10" t="n">
        <f aca="false">IF(A196="","",IFERROR(S196*(1+Inputs!$B$23/12),""))</f>
        <v>0</v>
      </c>
      <c r="U196" s="6" t="n">
        <f aca="false">IF(A196="","",IF(D196&lt;=Inputs!$B$8,IF(Inputs!$B$22="Premium Offset",MAX(0,Inputs!$B$25-(Q196+T196)),Inputs!$B$25),0))</f>
        <v>77</v>
      </c>
      <c r="V196" s="10" t="n">
        <f aca="false">IF(A196="","",IF(Inputs!$B$22="Cash",Q196,0))</f>
        <v>0</v>
      </c>
      <c r="W196" s="10" t="n">
        <f aca="false">IF(A196="","",IF(Inputs!$B$22="PUA",Q196,0))</f>
        <v>0</v>
      </c>
      <c r="X196" s="12" t="n">
        <f aca="false">IF(A196="","",IFERROR(INDEX(PUA_TABLE!$D$4:$D$105,MATCH(E196,PUA_TABLE!$C$4:$C$105,1)),0))</f>
        <v>0.430515585981821</v>
      </c>
      <c r="Y196" s="10" t="n">
        <f aca="false">IF(A196="","",IF(W196&gt;0,IF(X196&gt;0,W196/X196,0),0))</f>
        <v>0</v>
      </c>
      <c r="Z196" s="10" t="n">
        <f aca="false">IF(A196="","",N196+Y196)</f>
        <v>0</v>
      </c>
      <c r="AA196" s="10" t="n">
        <f aca="false">IF(A196="","",IFERROR(Z196*INDEX(PUA_TABLE!$I$4:$I$105,MATCH(E196,PUA_TABLE!$C$4:$C$105,1))/1000,0))</f>
        <v>0</v>
      </c>
      <c r="AB196" s="10" t="n">
        <f aca="false">IF(A196="","",IFERROR(L196+AA196,0))</f>
        <v>21627.5655189628</v>
      </c>
      <c r="AC196" s="10" t="n">
        <f aca="false">IF(A196="","",IF(Inputs!$B$22="Premium Offset",MIN(Inputs!$B$25,Q196+T196),0))</f>
        <v>0</v>
      </c>
    </row>
    <row r="197" customFormat="false" ht="15" hidden="false" customHeight="false" outlineLevel="0" collapsed="false">
      <c r="A197" s="1" t="n">
        <f aca="false">IF(A196="","",IF(INT((C196+1)/12)+Inputs!$B$7&gt;MAX(MORTALITY!$A:$A),"",Inputs!$B$4))</f>
        <v>34</v>
      </c>
      <c r="B197" s="3" t="n">
        <f aca="false">IF(A197="","",EOMONTH(B196,1))</f>
        <v>27667</v>
      </c>
      <c r="C197" s="1" t="n">
        <f aca="false">IF(A197="","",C196+1)</f>
        <v>195</v>
      </c>
      <c r="D197" s="1" t="n">
        <f aca="false">IF(A197="","",INT(C197/12))</f>
        <v>16</v>
      </c>
      <c r="E197" s="1" t="n">
        <f aca="false">IF(A197="","",D197+Inputs!$B$7)</f>
        <v>32</v>
      </c>
      <c r="F197" s="3" t="n">
        <f aca="false">IF(A197="","",DATE(YEAR(B$2)+D197,MONTH(B$2),DAY(B$2)))</f>
        <v>27550</v>
      </c>
      <c r="G197" s="3" t="n">
        <f aca="false">IF(A197="","",DATE(YEAR(F197)+1,MONTH(F197),DAY(F197)))</f>
        <v>27916</v>
      </c>
      <c r="H197" s="10" t="n">
        <f aca="false">IF(A197="","",IF(G197&gt;F197,(B197-F197)/(G197-F197),0))</f>
        <v>0.319672131147541</v>
      </c>
      <c r="I197" s="10" t="n">
        <f aca="false">IF(A197="","",IFERROR(INDEX(CV_RATES!$I:$I,MATCH(D197,CV_RATES!$C:$C,0)),0))</f>
        <v>430.515585981821</v>
      </c>
      <c r="J197" s="10" t="n">
        <f aca="false">IF(A197="","",IFERROR(IF(E197=MAX(MORTALITY!$A:$A),1000,INDEX(CV_RATES!$J:$J,MATCH(D197,CV_RATES!$C:$C,0))),0))</f>
        <v>439.079667929651</v>
      </c>
      <c r="K197" s="10" t="n">
        <f aca="false">IF(A197="","",IFERROR(I197+H197*(J197-I197),0))</f>
        <v>433.253284309406</v>
      </c>
      <c r="L197" s="10" t="n">
        <f aca="false">IF(A197="","",IFERROR(K197*Inputs!$B$9,0))</f>
        <v>21662.6642154703</v>
      </c>
      <c r="M197" s="10" t="n">
        <f aca="false">IF(A197="","",IFERROR(K197*Inputs!$B$10,0))</f>
        <v>69319.2257296521</v>
      </c>
      <c r="N197" s="10" t="n">
        <f aca="false">IF(A197="","",Z196)</f>
        <v>0</v>
      </c>
      <c r="O197" s="6" t="n">
        <f aca="false">IF(A197="","",Inputs!$B$18+N197)</f>
        <v>50000</v>
      </c>
      <c r="P197" s="5" t="n">
        <f aca="false">IF(A197="","",VLOOKUP(D197,DIvidend_Assumption!$A$3:$CX$103,($E$2+2),0)/12)</f>
        <v>0</v>
      </c>
      <c r="Q197" s="10" t="n">
        <f aca="false">IF(A197="","",IFERROR(AB196*P197,""))</f>
        <v>0</v>
      </c>
      <c r="R197" s="10" t="n">
        <f aca="false">IF(A197="","",IFERROR(IF(Inputs!$B$22="Accumulate",T197+Q197,IF(Inputs!$B$22="Premium Offset",MAX(0,T197+Q197-Inputs!$B$25),T197)),""))</f>
        <v>0</v>
      </c>
      <c r="S197" s="10" t="n">
        <f aca="false">IF(A197="","",R196)</f>
        <v>0</v>
      </c>
      <c r="T197" s="10" t="n">
        <f aca="false">IF(A197="","",IFERROR(S197*(1+Inputs!$B$23/12),""))</f>
        <v>0</v>
      </c>
      <c r="U197" s="6" t="n">
        <f aca="false">IF(A197="","",IF(D197&lt;=Inputs!$B$8,IF(Inputs!$B$22="Premium Offset",MAX(0,Inputs!$B$25-(Q197+T197)),Inputs!$B$25),0))</f>
        <v>77</v>
      </c>
      <c r="V197" s="10" t="n">
        <f aca="false">IF(A197="","",IF(Inputs!$B$22="Cash",Q197,0))</f>
        <v>0</v>
      </c>
      <c r="W197" s="10" t="n">
        <f aca="false">IF(A197="","",IF(Inputs!$B$22="PUA",Q197,0))</f>
        <v>0</v>
      </c>
      <c r="X197" s="12" t="n">
        <f aca="false">IF(A197="","",IFERROR(INDEX(PUA_TABLE!$D$4:$D$105,MATCH(E197,PUA_TABLE!$C$4:$C$105,1)),0))</f>
        <v>0.430515585981821</v>
      </c>
      <c r="Y197" s="10" t="n">
        <f aca="false">IF(A197="","",IF(W197&gt;0,IF(X197&gt;0,W197/X197,0),0))</f>
        <v>0</v>
      </c>
      <c r="Z197" s="10" t="n">
        <f aca="false">IF(A197="","",N197+Y197)</f>
        <v>0</v>
      </c>
      <c r="AA197" s="10" t="n">
        <f aca="false">IF(A197="","",IFERROR(Z197*INDEX(PUA_TABLE!$I$4:$I$105,MATCH(E197,PUA_TABLE!$C$4:$C$105,1))/1000,0))</f>
        <v>0</v>
      </c>
      <c r="AB197" s="10" t="n">
        <f aca="false">IF(A197="","",IFERROR(L197+AA197,0))</f>
        <v>21662.6642154703</v>
      </c>
      <c r="AC197" s="10" t="n">
        <f aca="false">IF(A197="","",IF(Inputs!$B$22="Premium Offset",MIN(Inputs!$B$25,Q197+T197),0))</f>
        <v>0</v>
      </c>
    </row>
    <row r="198" customFormat="false" ht="15" hidden="false" customHeight="false" outlineLevel="0" collapsed="false">
      <c r="A198" s="1" t="n">
        <f aca="false">IF(A197="","",IF(INT((C197+1)/12)+Inputs!$B$7&gt;MAX(MORTALITY!$A:$A),"",Inputs!$B$4))</f>
        <v>34</v>
      </c>
      <c r="B198" s="3" t="n">
        <f aca="false">IF(A198="","",EOMONTH(B197,1))</f>
        <v>27698</v>
      </c>
      <c r="C198" s="1" t="n">
        <f aca="false">IF(A198="","",C197+1)</f>
        <v>196</v>
      </c>
      <c r="D198" s="1" t="n">
        <f aca="false">IF(A198="","",INT(C198/12))</f>
        <v>16</v>
      </c>
      <c r="E198" s="1" t="n">
        <f aca="false">IF(A198="","",D198+Inputs!$B$7)</f>
        <v>32</v>
      </c>
      <c r="F198" s="3" t="n">
        <f aca="false">IF(A198="","",DATE(YEAR(B$2)+D198,MONTH(B$2),DAY(B$2)))</f>
        <v>27550</v>
      </c>
      <c r="G198" s="3" t="n">
        <f aca="false">IF(A198="","",DATE(YEAR(F198)+1,MONTH(F198),DAY(F198)))</f>
        <v>27916</v>
      </c>
      <c r="H198" s="10" t="n">
        <f aca="false">IF(A198="","",IF(G198&gt;F198,(B198-F198)/(G198-F198),0))</f>
        <v>0.404371584699454</v>
      </c>
      <c r="I198" s="10" t="n">
        <f aca="false">IF(A198="","",IFERROR(INDEX(CV_RATES!$I:$I,MATCH(D198,CV_RATES!$C:$C,0)),0))</f>
        <v>430.515585981821</v>
      </c>
      <c r="J198" s="10" t="n">
        <f aca="false">IF(A198="","",IFERROR(IF(E198=MAX(MORTALITY!$A:$A),1000,INDEX(CV_RATES!$J:$J,MATCH(D198,CV_RATES!$C:$C,0))),0))</f>
        <v>439.079667929651</v>
      </c>
      <c r="K198" s="10" t="n">
        <f aca="false">IF(A198="","",IFERROR(I198+H198*(J198-I198),0))</f>
        <v>433.978657370561</v>
      </c>
      <c r="L198" s="10" t="n">
        <f aca="false">IF(A198="","",IFERROR(K198*Inputs!$B$9,0))</f>
        <v>21698.9328685281</v>
      </c>
      <c r="M198" s="10" t="n">
        <f aca="false">IF(A198="","",IFERROR(K198*Inputs!$B$10,0))</f>
        <v>69435.2832433177</v>
      </c>
      <c r="N198" s="10" t="n">
        <f aca="false">IF(A198="","",Z197)</f>
        <v>0</v>
      </c>
      <c r="O198" s="6" t="n">
        <f aca="false">IF(A198="","",Inputs!$B$18+N198)</f>
        <v>50000</v>
      </c>
      <c r="P198" s="5" t="n">
        <f aca="false">IF(A198="","",VLOOKUP(D198,DIvidend_Assumption!$A$3:$CX$103,($E$2+2),0)/12)</f>
        <v>0</v>
      </c>
      <c r="Q198" s="10" t="n">
        <f aca="false">IF(A198="","",IFERROR(AB197*P198,""))</f>
        <v>0</v>
      </c>
      <c r="R198" s="10" t="n">
        <f aca="false">IF(A198="","",IFERROR(IF(Inputs!$B$22="Accumulate",T198+Q198,IF(Inputs!$B$22="Premium Offset",MAX(0,T198+Q198-Inputs!$B$25),T198)),""))</f>
        <v>0</v>
      </c>
      <c r="S198" s="10" t="n">
        <f aca="false">IF(A198="","",R197)</f>
        <v>0</v>
      </c>
      <c r="T198" s="10" t="n">
        <f aca="false">IF(A198="","",IFERROR(S198*(1+Inputs!$B$23/12),""))</f>
        <v>0</v>
      </c>
      <c r="U198" s="6" t="n">
        <f aca="false">IF(A198="","",IF(D198&lt;=Inputs!$B$8,IF(Inputs!$B$22="Premium Offset",MAX(0,Inputs!$B$25-(Q198+T198)),Inputs!$B$25),0))</f>
        <v>77</v>
      </c>
      <c r="V198" s="10" t="n">
        <f aca="false">IF(A198="","",IF(Inputs!$B$22="Cash",Q198,0))</f>
        <v>0</v>
      </c>
      <c r="W198" s="10" t="n">
        <f aca="false">IF(A198="","",IF(Inputs!$B$22="PUA",Q198,0))</f>
        <v>0</v>
      </c>
      <c r="X198" s="12" t="n">
        <f aca="false">IF(A198="","",IFERROR(INDEX(PUA_TABLE!$D$4:$D$105,MATCH(E198,PUA_TABLE!$C$4:$C$105,1)),0))</f>
        <v>0.430515585981821</v>
      </c>
      <c r="Y198" s="10" t="n">
        <f aca="false">IF(A198="","",IF(W198&gt;0,IF(X198&gt;0,W198/X198,0),0))</f>
        <v>0</v>
      </c>
      <c r="Z198" s="10" t="n">
        <f aca="false">IF(A198="","",N198+Y198)</f>
        <v>0</v>
      </c>
      <c r="AA198" s="10" t="n">
        <f aca="false">IF(A198="","",IFERROR(Z198*INDEX(PUA_TABLE!$I$4:$I$105,MATCH(E198,PUA_TABLE!$C$4:$C$105,1))/1000,0))</f>
        <v>0</v>
      </c>
      <c r="AB198" s="10" t="n">
        <f aca="false">IF(A198="","",IFERROR(L198+AA198,0))</f>
        <v>21698.9328685281</v>
      </c>
      <c r="AC198" s="10" t="n">
        <f aca="false">IF(A198="","",IF(Inputs!$B$22="Premium Offset",MIN(Inputs!$B$25,Q198+T198),0))</f>
        <v>0</v>
      </c>
    </row>
    <row r="199" customFormat="false" ht="15" hidden="false" customHeight="false" outlineLevel="0" collapsed="false">
      <c r="A199" s="1" t="n">
        <f aca="false">IF(A198="","",IF(INT((C198+1)/12)+Inputs!$B$7&gt;MAX(MORTALITY!$A:$A),"",Inputs!$B$4))</f>
        <v>34</v>
      </c>
      <c r="B199" s="3" t="n">
        <f aca="false">IF(A199="","",EOMONTH(B198,1))</f>
        <v>27728</v>
      </c>
      <c r="C199" s="1" t="n">
        <f aca="false">IF(A199="","",C198+1)</f>
        <v>197</v>
      </c>
      <c r="D199" s="1" t="n">
        <f aca="false">IF(A199="","",INT(C199/12))</f>
        <v>16</v>
      </c>
      <c r="E199" s="1" t="n">
        <f aca="false">IF(A199="","",D199+Inputs!$B$7)</f>
        <v>32</v>
      </c>
      <c r="F199" s="3" t="n">
        <f aca="false">IF(A199="","",DATE(YEAR(B$2)+D199,MONTH(B$2),DAY(B$2)))</f>
        <v>27550</v>
      </c>
      <c r="G199" s="3" t="n">
        <f aca="false">IF(A199="","",DATE(YEAR(F199)+1,MONTH(F199),DAY(F199)))</f>
        <v>27916</v>
      </c>
      <c r="H199" s="10" t="n">
        <f aca="false">IF(A199="","",IF(G199&gt;F199,(B199-F199)/(G199-F199),0))</f>
        <v>0.486338797814208</v>
      </c>
      <c r="I199" s="10" t="n">
        <f aca="false">IF(A199="","",IFERROR(INDEX(CV_RATES!$I:$I,MATCH(D199,CV_RATES!$C:$C,0)),0))</f>
        <v>430.515585981821</v>
      </c>
      <c r="J199" s="10" t="n">
        <f aca="false">IF(A199="","",IFERROR(IF(E199=MAX(MORTALITY!$A:$A),1000,INDEX(CV_RATES!$J:$J,MATCH(D199,CV_RATES!$C:$C,0))),0))</f>
        <v>439.079667929651</v>
      </c>
      <c r="K199" s="10" t="n">
        <f aca="false">IF(A199="","",IFERROR(I199+H199*(J199-I199),0))</f>
        <v>434.680631300711</v>
      </c>
      <c r="L199" s="10" t="n">
        <f aca="false">IF(A199="","",IFERROR(K199*Inputs!$B$9,0))</f>
        <v>21734.0315650356</v>
      </c>
      <c r="M199" s="10" t="n">
        <f aca="false">IF(A199="","",IFERROR(K199*Inputs!$B$10,0))</f>
        <v>69547.5969662199</v>
      </c>
      <c r="N199" s="10" t="n">
        <f aca="false">IF(A199="","",Z198)</f>
        <v>0</v>
      </c>
      <c r="O199" s="6" t="n">
        <f aca="false">IF(A199="","",Inputs!$B$18+N199)</f>
        <v>50000</v>
      </c>
      <c r="P199" s="5" t="n">
        <f aca="false">IF(A199="","",VLOOKUP(D199,DIvidend_Assumption!$A$3:$CX$103,($E$2+2),0)/12)</f>
        <v>0</v>
      </c>
      <c r="Q199" s="10" t="n">
        <f aca="false">IF(A199="","",IFERROR(AB198*P199,""))</f>
        <v>0</v>
      </c>
      <c r="R199" s="10" t="n">
        <f aca="false">IF(A199="","",IFERROR(IF(Inputs!$B$22="Accumulate",T199+Q199,IF(Inputs!$B$22="Premium Offset",MAX(0,T199+Q199-Inputs!$B$25),T199)),""))</f>
        <v>0</v>
      </c>
      <c r="S199" s="10" t="n">
        <f aca="false">IF(A199="","",R198)</f>
        <v>0</v>
      </c>
      <c r="T199" s="10" t="n">
        <f aca="false">IF(A199="","",IFERROR(S199*(1+Inputs!$B$23/12),""))</f>
        <v>0</v>
      </c>
      <c r="U199" s="6" t="n">
        <f aca="false">IF(A199="","",IF(D199&lt;=Inputs!$B$8,IF(Inputs!$B$22="Premium Offset",MAX(0,Inputs!$B$25-(Q199+T199)),Inputs!$B$25),0))</f>
        <v>77</v>
      </c>
      <c r="V199" s="10" t="n">
        <f aca="false">IF(A199="","",IF(Inputs!$B$22="Cash",Q199,0))</f>
        <v>0</v>
      </c>
      <c r="W199" s="10" t="n">
        <f aca="false">IF(A199="","",IF(Inputs!$B$22="PUA",Q199,0))</f>
        <v>0</v>
      </c>
      <c r="X199" s="12" t="n">
        <f aca="false">IF(A199="","",IFERROR(INDEX(PUA_TABLE!$D$4:$D$105,MATCH(E199,PUA_TABLE!$C$4:$C$105,1)),0))</f>
        <v>0.430515585981821</v>
      </c>
      <c r="Y199" s="10" t="n">
        <f aca="false">IF(A199="","",IF(W199&gt;0,IF(X199&gt;0,W199/X199,0),0))</f>
        <v>0</v>
      </c>
      <c r="Z199" s="10" t="n">
        <f aca="false">IF(A199="","",N199+Y199)</f>
        <v>0</v>
      </c>
      <c r="AA199" s="10" t="n">
        <f aca="false">IF(A199="","",IFERROR(Z199*INDEX(PUA_TABLE!$I$4:$I$105,MATCH(E199,PUA_TABLE!$C$4:$C$105,1))/1000,0))</f>
        <v>0</v>
      </c>
      <c r="AB199" s="10" t="n">
        <f aca="false">IF(A199="","",IFERROR(L199+AA199,0))</f>
        <v>21734.0315650356</v>
      </c>
      <c r="AC199" s="10" t="n">
        <f aca="false">IF(A199="","",IF(Inputs!$B$22="Premium Offset",MIN(Inputs!$B$25,Q199+T199),0))</f>
        <v>0</v>
      </c>
    </row>
    <row r="200" customFormat="false" ht="15" hidden="false" customHeight="false" outlineLevel="0" collapsed="false">
      <c r="A200" s="1" t="n">
        <f aca="false">IF(A199="","",IF(INT((C199+1)/12)+Inputs!$B$7&gt;MAX(MORTALITY!$A:$A),"",Inputs!$B$4))</f>
        <v>34</v>
      </c>
      <c r="B200" s="3" t="n">
        <f aca="false">IF(A200="","",EOMONTH(B199,1))</f>
        <v>27759</v>
      </c>
      <c r="C200" s="1" t="n">
        <f aca="false">IF(A200="","",C199+1)</f>
        <v>198</v>
      </c>
      <c r="D200" s="1" t="n">
        <f aca="false">IF(A200="","",INT(C200/12))</f>
        <v>16</v>
      </c>
      <c r="E200" s="1" t="n">
        <f aca="false">IF(A200="","",D200+Inputs!$B$7)</f>
        <v>32</v>
      </c>
      <c r="F200" s="3" t="n">
        <f aca="false">IF(A200="","",DATE(YEAR(B$2)+D200,MONTH(B$2),DAY(B$2)))</f>
        <v>27550</v>
      </c>
      <c r="G200" s="3" t="n">
        <f aca="false">IF(A200="","",DATE(YEAR(F200)+1,MONTH(F200),DAY(F200)))</f>
        <v>27916</v>
      </c>
      <c r="H200" s="10" t="n">
        <f aca="false">IF(A200="","",IF(G200&gt;F200,(B200-F200)/(G200-F200),0))</f>
        <v>0.57103825136612</v>
      </c>
      <c r="I200" s="10" t="n">
        <f aca="false">IF(A200="","",IFERROR(INDEX(CV_RATES!$I:$I,MATCH(D200,CV_RATES!$C:$C,0)),0))</f>
        <v>430.515585981821</v>
      </c>
      <c r="J200" s="10" t="n">
        <f aca="false">IF(A200="","",IFERROR(IF(E200=MAX(MORTALITY!$A:$A),1000,INDEX(CV_RATES!$J:$J,MATCH(D200,CV_RATES!$C:$C,0))),0))</f>
        <v>439.079667929651</v>
      </c>
      <c r="K200" s="10" t="n">
        <f aca="false">IF(A200="","",IFERROR(I200+H200*(J200-I200),0))</f>
        <v>435.406004361866</v>
      </c>
      <c r="L200" s="10" t="n">
        <f aca="false">IF(A200="","",IFERROR(K200*Inputs!$B$9,0))</f>
        <v>21770.3002180933</v>
      </c>
      <c r="M200" s="10" t="n">
        <f aca="false">IF(A200="","",IFERROR(K200*Inputs!$B$10,0))</f>
        <v>69663.6544798855</v>
      </c>
      <c r="N200" s="10" t="n">
        <f aca="false">IF(A200="","",Z199)</f>
        <v>0</v>
      </c>
      <c r="O200" s="6" t="n">
        <f aca="false">IF(A200="","",Inputs!$B$18+N200)</f>
        <v>50000</v>
      </c>
      <c r="P200" s="5" t="n">
        <f aca="false">IF(A200="","",VLOOKUP(D200,DIvidend_Assumption!$A$3:$CX$103,($E$2+2),0)/12)</f>
        <v>0</v>
      </c>
      <c r="Q200" s="10" t="n">
        <f aca="false">IF(A200="","",IFERROR(AB199*P200,""))</f>
        <v>0</v>
      </c>
      <c r="R200" s="10" t="n">
        <f aca="false">IF(A200="","",IFERROR(IF(Inputs!$B$22="Accumulate",T200+Q200,IF(Inputs!$B$22="Premium Offset",MAX(0,T200+Q200-Inputs!$B$25),T200)),""))</f>
        <v>0</v>
      </c>
      <c r="S200" s="10" t="n">
        <f aca="false">IF(A200="","",R199)</f>
        <v>0</v>
      </c>
      <c r="T200" s="10" t="n">
        <f aca="false">IF(A200="","",IFERROR(S200*(1+Inputs!$B$23/12),""))</f>
        <v>0</v>
      </c>
      <c r="U200" s="6" t="n">
        <f aca="false">IF(A200="","",IF(D200&lt;=Inputs!$B$8,IF(Inputs!$B$22="Premium Offset",MAX(0,Inputs!$B$25-(Q200+T200)),Inputs!$B$25),0))</f>
        <v>77</v>
      </c>
      <c r="V200" s="10" t="n">
        <f aca="false">IF(A200="","",IF(Inputs!$B$22="Cash",Q200,0))</f>
        <v>0</v>
      </c>
      <c r="W200" s="10" t="n">
        <f aca="false">IF(A200="","",IF(Inputs!$B$22="PUA",Q200,0))</f>
        <v>0</v>
      </c>
      <c r="X200" s="12" t="n">
        <f aca="false">IF(A200="","",IFERROR(INDEX(PUA_TABLE!$D$4:$D$105,MATCH(E200,PUA_TABLE!$C$4:$C$105,1)),0))</f>
        <v>0.430515585981821</v>
      </c>
      <c r="Y200" s="10" t="n">
        <f aca="false">IF(A200="","",IF(W200&gt;0,IF(X200&gt;0,W200/X200,0),0))</f>
        <v>0</v>
      </c>
      <c r="Z200" s="10" t="n">
        <f aca="false">IF(A200="","",N200+Y200)</f>
        <v>0</v>
      </c>
      <c r="AA200" s="10" t="n">
        <f aca="false">IF(A200="","",IFERROR(Z200*INDEX(PUA_TABLE!$I$4:$I$105,MATCH(E200,PUA_TABLE!$C$4:$C$105,1))/1000,0))</f>
        <v>0</v>
      </c>
      <c r="AB200" s="10" t="n">
        <f aca="false">IF(A200="","",IFERROR(L200+AA200,0))</f>
        <v>21770.3002180933</v>
      </c>
      <c r="AC200" s="10" t="n">
        <f aca="false">IF(A200="","",IF(Inputs!$B$22="Premium Offset",MIN(Inputs!$B$25,Q200+T200),0))</f>
        <v>0</v>
      </c>
    </row>
    <row r="201" customFormat="false" ht="15" hidden="false" customHeight="false" outlineLevel="0" collapsed="false">
      <c r="A201" s="1" t="n">
        <f aca="false">IF(A200="","",IF(INT((C200+1)/12)+Inputs!$B$7&gt;MAX(MORTALITY!$A:$A),"",Inputs!$B$4))</f>
        <v>34</v>
      </c>
      <c r="B201" s="3" t="n">
        <f aca="false">IF(A201="","",EOMONTH(B200,1))</f>
        <v>27790</v>
      </c>
      <c r="C201" s="1" t="n">
        <f aca="false">IF(A201="","",C200+1)</f>
        <v>199</v>
      </c>
      <c r="D201" s="1" t="n">
        <f aca="false">IF(A201="","",INT(C201/12))</f>
        <v>16</v>
      </c>
      <c r="E201" s="1" t="n">
        <f aca="false">IF(A201="","",D201+Inputs!$B$7)</f>
        <v>32</v>
      </c>
      <c r="F201" s="3" t="n">
        <f aca="false">IF(A201="","",DATE(YEAR(B$2)+D201,MONTH(B$2),DAY(B$2)))</f>
        <v>27550</v>
      </c>
      <c r="G201" s="3" t="n">
        <f aca="false">IF(A201="","",DATE(YEAR(F201)+1,MONTH(F201),DAY(F201)))</f>
        <v>27916</v>
      </c>
      <c r="H201" s="10" t="n">
        <f aca="false">IF(A201="","",IF(G201&gt;F201,(B201-F201)/(G201-F201),0))</f>
        <v>0.655737704918033</v>
      </c>
      <c r="I201" s="10" t="n">
        <f aca="false">IF(A201="","",IFERROR(INDEX(CV_RATES!$I:$I,MATCH(D201,CV_RATES!$C:$C,0)),0))</f>
        <v>430.515585981821</v>
      </c>
      <c r="J201" s="10" t="n">
        <f aca="false">IF(A201="","",IFERROR(IF(E201=MAX(MORTALITY!$A:$A),1000,INDEX(CV_RATES!$J:$J,MATCH(D201,CV_RATES!$C:$C,0))),0))</f>
        <v>439.079667929651</v>
      </c>
      <c r="K201" s="10" t="n">
        <f aca="false">IF(A201="","",IFERROR(I201+H201*(J201-I201),0))</f>
        <v>436.131377423021</v>
      </c>
      <c r="L201" s="10" t="n">
        <f aca="false">IF(A201="","",IFERROR(K201*Inputs!$B$9,0))</f>
        <v>21806.5688711511</v>
      </c>
      <c r="M201" s="10" t="n">
        <f aca="false">IF(A201="","",IFERROR(K201*Inputs!$B$10,0))</f>
        <v>69779.7119935511</v>
      </c>
      <c r="N201" s="10" t="n">
        <f aca="false">IF(A201="","",Z200)</f>
        <v>0</v>
      </c>
      <c r="O201" s="6" t="n">
        <f aca="false">IF(A201="","",Inputs!$B$18+N201)</f>
        <v>50000</v>
      </c>
      <c r="P201" s="5" t="n">
        <f aca="false">IF(A201="","",VLOOKUP(D201,DIvidend_Assumption!$A$3:$CX$103,($E$2+2),0)/12)</f>
        <v>0</v>
      </c>
      <c r="Q201" s="10" t="n">
        <f aca="false">IF(A201="","",IFERROR(AB200*P201,""))</f>
        <v>0</v>
      </c>
      <c r="R201" s="10" t="n">
        <f aca="false">IF(A201="","",IFERROR(IF(Inputs!$B$22="Accumulate",T201+Q201,IF(Inputs!$B$22="Premium Offset",MAX(0,T201+Q201-Inputs!$B$25),T201)),""))</f>
        <v>0</v>
      </c>
      <c r="S201" s="10" t="n">
        <f aca="false">IF(A201="","",R200)</f>
        <v>0</v>
      </c>
      <c r="T201" s="10" t="n">
        <f aca="false">IF(A201="","",IFERROR(S201*(1+Inputs!$B$23/12),""))</f>
        <v>0</v>
      </c>
      <c r="U201" s="6" t="n">
        <f aca="false">IF(A201="","",IF(D201&lt;=Inputs!$B$8,IF(Inputs!$B$22="Premium Offset",MAX(0,Inputs!$B$25-(Q201+T201)),Inputs!$B$25),0))</f>
        <v>77</v>
      </c>
      <c r="V201" s="10" t="n">
        <f aca="false">IF(A201="","",IF(Inputs!$B$22="Cash",Q201,0))</f>
        <v>0</v>
      </c>
      <c r="W201" s="10" t="n">
        <f aca="false">IF(A201="","",IF(Inputs!$B$22="PUA",Q201,0))</f>
        <v>0</v>
      </c>
      <c r="X201" s="12" t="n">
        <f aca="false">IF(A201="","",IFERROR(INDEX(PUA_TABLE!$D$4:$D$105,MATCH(E201,PUA_TABLE!$C$4:$C$105,1)),0))</f>
        <v>0.430515585981821</v>
      </c>
      <c r="Y201" s="10" t="n">
        <f aca="false">IF(A201="","",IF(W201&gt;0,IF(X201&gt;0,W201/X201,0),0))</f>
        <v>0</v>
      </c>
      <c r="Z201" s="10" t="n">
        <f aca="false">IF(A201="","",N201+Y201)</f>
        <v>0</v>
      </c>
      <c r="AA201" s="10" t="n">
        <f aca="false">IF(A201="","",IFERROR(Z201*INDEX(PUA_TABLE!$I$4:$I$105,MATCH(E201,PUA_TABLE!$C$4:$C$105,1))/1000,0))</f>
        <v>0</v>
      </c>
      <c r="AB201" s="10" t="n">
        <f aca="false">IF(A201="","",IFERROR(L201+AA201,0))</f>
        <v>21806.5688711511</v>
      </c>
      <c r="AC201" s="10" t="n">
        <f aca="false">IF(A201="","",IF(Inputs!$B$22="Premium Offset",MIN(Inputs!$B$25,Q201+T201),0))</f>
        <v>0</v>
      </c>
    </row>
    <row r="202" customFormat="false" ht="15" hidden="false" customHeight="false" outlineLevel="0" collapsed="false">
      <c r="A202" s="1" t="n">
        <f aca="false">IF(A201="","",IF(INT((C201+1)/12)+Inputs!$B$7&gt;MAX(MORTALITY!$A:$A),"",Inputs!$B$4))</f>
        <v>34</v>
      </c>
      <c r="B202" s="3" t="n">
        <f aca="false">IF(A202="","",EOMONTH(B201,1))</f>
        <v>27819</v>
      </c>
      <c r="C202" s="1" t="n">
        <f aca="false">IF(A202="","",C201+1)</f>
        <v>200</v>
      </c>
      <c r="D202" s="1" t="n">
        <f aca="false">IF(A202="","",INT(C202/12))</f>
        <v>16</v>
      </c>
      <c r="E202" s="1" t="n">
        <f aca="false">IF(A202="","",D202+Inputs!$B$7)</f>
        <v>32</v>
      </c>
      <c r="F202" s="3" t="n">
        <f aca="false">IF(A202="","",DATE(YEAR(B$2)+D202,MONTH(B$2),DAY(B$2)))</f>
        <v>27550</v>
      </c>
      <c r="G202" s="3" t="n">
        <f aca="false">IF(A202="","",DATE(YEAR(F202)+1,MONTH(F202),DAY(F202)))</f>
        <v>27916</v>
      </c>
      <c r="H202" s="10" t="n">
        <f aca="false">IF(A202="","",IF(G202&gt;F202,(B202-F202)/(G202-F202),0))</f>
        <v>0.734972677595629</v>
      </c>
      <c r="I202" s="10" t="n">
        <f aca="false">IF(A202="","",IFERROR(INDEX(CV_RATES!$I:$I,MATCH(D202,CV_RATES!$C:$C,0)),0))</f>
        <v>430.515585981821</v>
      </c>
      <c r="J202" s="10" t="n">
        <f aca="false">IF(A202="","",IFERROR(IF(E202=MAX(MORTALITY!$A:$A),1000,INDEX(CV_RATES!$J:$J,MATCH(D202,CV_RATES!$C:$C,0))),0))</f>
        <v>439.079667929651</v>
      </c>
      <c r="K202" s="10" t="n">
        <f aca="false">IF(A202="","",IFERROR(I202+H202*(J202-I202),0))</f>
        <v>436.809952222166</v>
      </c>
      <c r="L202" s="10" t="n">
        <f aca="false">IF(A202="","",IFERROR(K202*Inputs!$B$9,0))</f>
        <v>21840.4976111083</v>
      </c>
      <c r="M202" s="10" t="n">
        <f aca="false">IF(A202="","",IFERROR(K202*Inputs!$B$10,0))</f>
        <v>69888.2819256899</v>
      </c>
      <c r="N202" s="10" t="n">
        <f aca="false">IF(A202="","",Z201)</f>
        <v>0</v>
      </c>
      <c r="O202" s="6" t="n">
        <f aca="false">IF(A202="","",Inputs!$B$18+N202)</f>
        <v>50000</v>
      </c>
      <c r="P202" s="5" t="n">
        <f aca="false">IF(A202="","",VLOOKUP(D202,DIvidend_Assumption!$A$3:$CX$103,($E$2+2),0)/12)</f>
        <v>0</v>
      </c>
      <c r="Q202" s="10" t="n">
        <f aca="false">IF(A202="","",IFERROR(AB201*P202,""))</f>
        <v>0</v>
      </c>
      <c r="R202" s="10" t="n">
        <f aca="false">IF(A202="","",IFERROR(IF(Inputs!$B$22="Accumulate",T202+Q202,IF(Inputs!$B$22="Premium Offset",MAX(0,T202+Q202-Inputs!$B$25),T202)),""))</f>
        <v>0</v>
      </c>
      <c r="S202" s="10" t="n">
        <f aca="false">IF(A202="","",R201)</f>
        <v>0</v>
      </c>
      <c r="T202" s="10" t="n">
        <f aca="false">IF(A202="","",IFERROR(S202*(1+Inputs!$B$23/12),""))</f>
        <v>0</v>
      </c>
      <c r="U202" s="6" t="n">
        <f aca="false">IF(A202="","",IF(D202&lt;=Inputs!$B$8,IF(Inputs!$B$22="Premium Offset",MAX(0,Inputs!$B$25-(Q202+T202)),Inputs!$B$25),0))</f>
        <v>77</v>
      </c>
      <c r="V202" s="10" t="n">
        <f aca="false">IF(A202="","",IF(Inputs!$B$22="Cash",Q202,0))</f>
        <v>0</v>
      </c>
      <c r="W202" s="10" t="n">
        <f aca="false">IF(A202="","",IF(Inputs!$B$22="PUA",Q202,0))</f>
        <v>0</v>
      </c>
      <c r="X202" s="12" t="n">
        <f aca="false">IF(A202="","",IFERROR(INDEX(PUA_TABLE!$D$4:$D$105,MATCH(E202,PUA_TABLE!$C$4:$C$105,1)),0))</f>
        <v>0.430515585981821</v>
      </c>
      <c r="Y202" s="10" t="n">
        <f aca="false">IF(A202="","",IF(W202&gt;0,IF(X202&gt;0,W202/X202,0),0))</f>
        <v>0</v>
      </c>
      <c r="Z202" s="10" t="n">
        <f aca="false">IF(A202="","",N202+Y202)</f>
        <v>0</v>
      </c>
      <c r="AA202" s="10" t="n">
        <f aca="false">IF(A202="","",IFERROR(Z202*INDEX(PUA_TABLE!$I$4:$I$105,MATCH(E202,PUA_TABLE!$C$4:$C$105,1))/1000,0))</f>
        <v>0</v>
      </c>
      <c r="AB202" s="10" t="n">
        <f aca="false">IF(A202="","",IFERROR(L202+AA202,0))</f>
        <v>21840.4976111083</v>
      </c>
      <c r="AC202" s="10" t="n">
        <f aca="false">IF(A202="","",IF(Inputs!$B$22="Premium Offset",MIN(Inputs!$B$25,Q202+T202),0))</f>
        <v>0</v>
      </c>
    </row>
    <row r="203" customFormat="false" ht="15" hidden="false" customHeight="false" outlineLevel="0" collapsed="false">
      <c r="A203" s="1" t="n">
        <f aca="false">IF(A202="","",IF(INT((C202+1)/12)+Inputs!$B$7&gt;MAX(MORTALITY!$A:$A),"",Inputs!$B$4))</f>
        <v>34</v>
      </c>
      <c r="B203" s="3" t="n">
        <f aca="false">IF(A203="","",EOMONTH(B202,1))</f>
        <v>27850</v>
      </c>
      <c r="C203" s="1" t="n">
        <f aca="false">IF(A203="","",C202+1)</f>
        <v>201</v>
      </c>
      <c r="D203" s="1" t="n">
        <f aca="false">IF(A203="","",INT(C203/12))</f>
        <v>16</v>
      </c>
      <c r="E203" s="1" t="n">
        <f aca="false">IF(A203="","",D203+Inputs!$B$7)</f>
        <v>32</v>
      </c>
      <c r="F203" s="3" t="n">
        <f aca="false">IF(A203="","",DATE(YEAR(B$2)+D203,MONTH(B$2),DAY(B$2)))</f>
        <v>27550</v>
      </c>
      <c r="G203" s="3" t="n">
        <f aca="false">IF(A203="","",DATE(YEAR(F203)+1,MONTH(F203),DAY(F203)))</f>
        <v>27916</v>
      </c>
      <c r="H203" s="10" t="n">
        <f aca="false">IF(A203="","",IF(G203&gt;F203,(B203-F203)/(G203-F203),0))</f>
        <v>0.819672131147541</v>
      </c>
      <c r="I203" s="10" t="n">
        <f aca="false">IF(A203="","",IFERROR(INDEX(CV_RATES!$I:$I,MATCH(D203,CV_RATES!$C:$C,0)),0))</f>
        <v>430.515585981821</v>
      </c>
      <c r="J203" s="10" t="n">
        <f aca="false">IF(A203="","",IFERROR(IF(E203=MAX(MORTALITY!$A:$A),1000,INDEX(CV_RATES!$J:$J,MATCH(D203,CV_RATES!$C:$C,0))),0))</f>
        <v>439.079667929651</v>
      </c>
      <c r="K203" s="10" t="n">
        <f aca="false">IF(A203="","",IFERROR(I203+H203*(J203-I203),0))</f>
        <v>437.535325283321</v>
      </c>
      <c r="L203" s="10" t="n">
        <f aca="false">IF(A203="","",IFERROR(K203*Inputs!$B$9,0))</f>
        <v>21876.7662641661</v>
      </c>
      <c r="M203" s="10" t="n">
        <f aca="false">IF(A203="","",IFERROR(K203*Inputs!$B$10,0))</f>
        <v>70004.3394393556</v>
      </c>
      <c r="N203" s="10" t="n">
        <f aca="false">IF(A203="","",Z202)</f>
        <v>0</v>
      </c>
      <c r="O203" s="6" t="n">
        <f aca="false">IF(A203="","",Inputs!$B$18+N203)</f>
        <v>50000</v>
      </c>
      <c r="P203" s="5" t="n">
        <f aca="false">IF(A203="","",VLOOKUP(D203,DIvidend_Assumption!$A$3:$CX$103,($E$2+2),0)/12)</f>
        <v>0</v>
      </c>
      <c r="Q203" s="10" t="n">
        <f aca="false">IF(A203="","",IFERROR(AB202*P203,""))</f>
        <v>0</v>
      </c>
      <c r="R203" s="10" t="n">
        <f aca="false">IF(A203="","",IFERROR(IF(Inputs!$B$22="Accumulate",T203+Q203,IF(Inputs!$B$22="Premium Offset",MAX(0,T203+Q203-Inputs!$B$25),T203)),""))</f>
        <v>0</v>
      </c>
      <c r="S203" s="10" t="n">
        <f aca="false">IF(A203="","",R202)</f>
        <v>0</v>
      </c>
      <c r="T203" s="10" t="n">
        <f aca="false">IF(A203="","",IFERROR(S203*(1+Inputs!$B$23/12),""))</f>
        <v>0</v>
      </c>
      <c r="U203" s="6" t="n">
        <f aca="false">IF(A203="","",IF(D203&lt;=Inputs!$B$8,IF(Inputs!$B$22="Premium Offset",MAX(0,Inputs!$B$25-(Q203+T203)),Inputs!$B$25),0))</f>
        <v>77</v>
      </c>
      <c r="V203" s="10" t="n">
        <f aca="false">IF(A203="","",IF(Inputs!$B$22="Cash",Q203,0))</f>
        <v>0</v>
      </c>
      <c r="W203" s="10" t="n">
        <f aca="false">IF(A203="","",IF(Inputs!$B$22="PUA",Q203,0))</f>
        <v>0</v>
      </c>
      <c r="X203" s="12" t="n">
        <f aca="false">IF(A203="","",IFERROR(INDEX(PUA_TABLE!$D$4:$D$105,MATCH(E203,PUA_TABLE!$C$4:$C$105,1)),0))</f>
        <v>0.430515585981821</v>
      </c>
      <c r="Y203" s="10" t="n">
        <f aca="false">IF(A203="","",IF(W203&gt;0,IF(X203&gt;0,W203/X203,0),0))</f>
        <v>0</v>
      </c>
      <c r="Z203" s="10" t="n">
        <f aca="false">IF(A203="","",N203+Y203)</f>
        <v>0</v>
      </c>
      <c r="AA203" s="10" t="n">
        <f aca="false">IF(A203="","",IFERROR(Z203*INDEX(PUA_TABLE!$I$4:$I$105,MATCH(E203,PUA_TABLE!$C$4:$C$105,1))/1000,0))</f>
        <v>0</v>
      </c>
      <c r="AB203" s="10" t="n">
        <f aca="false">IF(A203="","",IFERROR(L203+AA203,0))</f>
        <v>21876.7662641661</v>
      </c>
      <c r="AC203" s="10" t="n">
        <f aca="false">IF(A203="","",IF(Inputs!$B$22="Premium Offset",MIN(Inputs!$B$25,Q203+T203),0))</f>
        <v>0</v>
      </c>
    </row>
    <row r="204" customFormat="false" ht="15" hidden="false" customHeight="false" outlineLevel="0" collapsed="false">
      <c r="A204" s="1" t="n">
        <f aca="false">IF(A203="","",IF(INT((C203+1)/12)+Inputs!$B$7&gt;MAX(MORTALITY!$A:$A),"",Inputs!$B$4))</f>
        <v>34</v>
      </c>
      <c r="B204" s="3" t="n">
        <f aca="false">IF(A204="","",EOMONTH(B203,1))</f>
        <v>27880</v>
      </c>
      <c r="C204" s="1" t="n">
        <f aca="false">IF(A204="","",C203+1)</f>
        <v>202</v>
      </c>
      <c r="D204" s="1" t="n">
        <f aca="false">IF(A204="","",INT(C204/12))</f>
        <v>16</v>
      </c>
      <c r="E204" s="1" t="n">
        <f aca="false">IF(A204="","",D204+Inputs!$B$7)</f>
        <v>32</v>
      </c>
      <c r="F204" s="3" t="n">
        <f aca="false">IF(A204="","",DATE(YEAR(B$2)+D204,MONTH(B$2),DAY(B$2)))</f>
        <v>27550</v>
      </c>
      <c r="G204" s="3" t="n">
        <f aca="false">IF(A204="","",DATE(YEAR(F204)+1,MONTH(F204),DAY(F204)))</f>
        <v>27916</v>
      </c>
      <c r="H204" s="10" t="n">
        <f aca="false">IF(A204="","",IF(G204&gt;F204,(B204-F204)/(G204-F204),0))</f>
        <v>0.901639344262295</v>
      </c>
      <c r="I204" s="10" t="n">
        <f aca="false">IF(A204="","",IFERROR(INDEX(CV_RATES!$I:$I,MATCH(D204,CV_RATES!$C:$C,0)),0))</f>
        <v>430.515585981821</v>
      </c>
      <c r="J204" s="10" t="n">
        <f aca="false">IF(A204="","",IFERROR(IF(E204=MAX(MORTALITY!$A:$A),1000,INDEX(CV_RATES!$J:$J,MATCH(D204,CV_RATES!$C:$C,0))),0))</f>
        <v>439.079667929651</v>
      </c>
      <c r="K204" s="10" t="n">
        <f aca="false">IF(A204="","",IFERROR(I204+H204*(J204-I204),0))</f>
        <v>438.237299213471</v>
      </c>
      <c r="L204" s="10" t="n">
        <f aca="false">IF(A204="","",IFERROR(K204*Inputs!$B$9,0))</f>
        <v>21911.8649606736</v>
      </c>
      <c r="M204" s="10" t="n">
        <f aca="false">IF(A204="","",IFERROR(K204*Inputs!$B$10,0))</f>
        <v>70116.6531622578</v>
      </c>
      <c r="N204" s="10" t="n">
        <f aca="false">IF(A204="","",Z203)</f>
        <v>0</v>
      </c>
      <c r="O204" s="6" t="n">
        <f aca="false">IF(A204="","",Inputs!$B$18+N204)</f>
        <v>50000</v>
      </c>
      <c r="P204" s="5" t="n">
        <f aca="false">IF(A204="","",VLOOKUP(D204,DIvidend_Assumption!$A$3:$CX$103,($E$2+2),0)/12)</f>
        <v>0</v>
      </c>
      <c r="Q204" s="10" t="n">
        <f aca="false">IF(A204="","",IFERROR(AB203*P204,""))</f>
        <v>0</v>
      </c>
      <c r="R204" s="10" t="n">
        <f aca="false">IF(A204="","",IFERROR(IF(Inputs!$B$22="Accumulate",T204+Q204,IF(Inputs!$B$22="Premium Offset",MAX(0,T204+Q204-Inputs!$B$25),T204)),""))</f>
        <v>0</v>
      </c>
      <c r="S204" s="10" t="n">
        <f aca="false">IF(A204="","",R203)</f>
        <v>0</v>
      </c>
      <c r="T204" s="10" t="n">
        <f aca="false">IF(A204="","",IFERROR(S204*(1+Inputs!$B$23/12),""))</f>
        <v>0</v>
      </c>
      <c r="U204" s="6" t="n">
        <f aca="false">IF(A204="","",IF(D204&lt;=Inputs!$B$8,IF(Inputs!$B$22="Premium Offset",MAX(0,Inputs!$B$25-(Q204+T204)),Inputs!$B$25),0))</f>
        <v>77</v>
      </c>
      <c r="V204" s="10" t="n">
        <f aca="false">IF(A204="","",IF(Inputs!$B$22="Cash",Q204,0))</f>
        <v>0</v>
      </c>
      <c r="W204" s="10" t="n">
        <f aca="false">IF(A204="","",IF(Inputs!$B$22="PUA",Q204,0))</f>
        <v>0</v>
      </c>
      <c r="X204" s="12" t="n">
        <f aca="false">IF(A204="","",IFERROR(INDEX(PUA_TABLE!$D$4:$D$105,MATCH(E204,PUA_TABLE!$C$4:$C$105,1)),0))</f>
        <v>0.430515585981821</v>
      </c>
      <c r="Y204" s="10" t="n">
        <f aca="false">IF(A204="","",IF(W204&gt;0,IF(X204&gt;0,W204/X204,0),0))</f>
        <v>0</v>
      </c>
      <c r="Z204" s="10" t="n">
        <f aca="false">IF(A204="","",N204+Y204)</f>
        <v>0</v>
      </c>
      <c r="AA204" s="10" t="n">
        <f aca="false">IF(A204="","",IFERROR(Z204*INDEX(PUA_TABLE!$I$4:$I$105,MATCH(E204,PUA_TABLE!$C$4:$C$105,1))/1000,0))</f>
        <v>0</v>
      </c>
      <c r="AB204" s="10" t="n">
        <f aca="false">IF(A204="","",IFERROR(L204+AA204,0))</f>
        <v>21911.8649606736</v>
      </c>
      <c r="AC204" s="10" t="n">
        <f aca="false">IF(A204="","",IF(Inputs!$B$22="Premium Offset",MIN(Inputs!$B$25,Q204+T204),0))</f>
        <v>0</v>
      </c>
    </row>
    <row r="205" customFormat="false" ht="15" hidden="false" customHeight="false" outlineLevel="0" collapsed="false">
      <c r="A205" s="1" t="n">
        <f aca="false">IF(A204="","",IF(INT((C204+1)/12)+Inputs!$B$7&gt;MAX(MORTALITY!$A:$A),"",Inputs!$B$4))</f>
        <v>34</v>
      </c>
      <c r="B205" s="3" t="n">
        <f aca="false">IF(A205="","",EOMONTH(B204,1))</f>
        <v>27911</v>
      </c>
      <c r="C205" s="1" t="n">
        <f aca="false">IF(A205="","",C204+1)</f>
        <v>203</v>
      </c>
      <c r="D205" s="1" t="n">
        <f aca="false">IF(A205="","",INT(C205/12))</f>
        <v>16</v>
      </c>
      <c r="E205" s="1" t="n">
        <f aca="false">IF(A205="","",D205+Inputs!$B$7)</f>
        <v>32</v>
      </c>
      <c r="F205" s="3" t="n">
        <f aca="false">IF(A205="","",DATE(YEAR(B$2)+D205,MONTH(B$2),DAY(B$2)))</f>
        <v>27550</v>
      </c>
      <c r="G205" s="3" t="n">
        <f aca="false">IF(A205="","",DATE(YEAR(F205)+1,MONTH(F205),DAY(F205)))</f>
        <v>27916</v>
      </c>
      <c r="H205" s="10" t="n">
        <f aca="false">IF(A205="","",IF(G205&gt;F205,(B205-F205)/(G205-F205),0))</f>
        <v>0.986338797814208</v>
      </c>
      <c r="I205" s="10" t="n">
        <f aca="false">IF(A205="","",IFERROR(INDEX(CV_RATES!$I:$I,MATCH(D205,CV_RATES!$C:$C,0)),0))</f>
        <v>430.515585981821</v>
      </c>
      <c r="J205" s="10" t="n">
        <f aca="false">IF(A205="","",IFERROR(IF(E205=MAX(MORTALITY!$A:$A),1000,INDEX(CV_RATES!$J:$J,MATCH(D205,CV_RATES!$C:$C,0))),0))</f>
        <v>439.079667929651</v>
      </c>
      <c r="K205" s="10" t="n">
        <f aca="false">IF(A205="","",IFERROR(I205+H205*(J205-I205),0))</f>
        <v>438.962672274626</v>
      </c>
      <c r="L205" s="10" t="n">
        <f aca="false">IF(A205="","",IFERROR(K205*Inputs!$B$9,0))</f>
        <v>21948.1336137313</v>
      </c>
      <c r="M205" s="10" t="n">
        <f aca="false">IF(A205="","",IFERROR(K205*Inputs!$B$10,0))</f>
        <v>70232.7106759234</v>
      </c>
      <c r="N205" s="10" t="n">
        <f aca="false">IF(A205="","",Z204)</f>
        <v>0</v>
      </c>
      <c r="O205" s="6" t="n">
        <f aca="false">IF(A205="","",Inputs!$B$18+N205)</f>
        <v>50000</v>
      </c>
      <c r="P205" s="5" t="n">
        <f aca="false">IF(A205="","",VLOOKUP(D205,DIvidend_Assumption!$A$3:$CX$103,($E$2+2),0)/12)</f>
        <v>0</v>
      </c>
      <c r="Q205" s="10" t="n">
        <f aca="false">IF(A205="","",IFERROR(AB204*P205,""))</f>
        <v>0</v>
      </c>
      <c r="R205" s="10" t="n">
        <f aca="false">IF(A205="","",IFERROR(IF(Inputs!$B$22="Accumulate",T205+Q205,IF(Inputs!$B$22="Premium Offset",MAX(0,T205+Q205-Inputs!$B$25),T205)),""))</f>
        <v>0</v>
      </c>
      <c r="S205" s="10" t="n">
        <f aca="false">IF(A205="","",R204)</f>
        <v>0</v>
      </c>
      <c r="T205" s="10" t="n">
        <f aca="false">IF(A205="","",IFERROR(S205*(1+Inputs!$B$23/12),""))</f>
        <v>0</v>
      </c>
      <c r="U205" s="6" t="n">
        <f aca="false">IF(A205="","",IF(D205&lt;=Inputs!$B$8,IF(Inputs!$B$22="Premium Offset",MAX(0,Inputs!$B$25-(Q205+T205)),Inputs!$B$25),0))</f>
        <v>77</v>
      </c>
      <c r="V205" s="10" t="n">
        <f aca="false">IF(A205="","",IF(Inputs!$B$22="Cash",Q205,0))</f>
        <v>0</v>
      </c>
      <c r="W205" s="10" t="n">
        <f aca="false">IF(A205="","",IF(Inputs!$B$22="PUA",Q205,0))</f>
        <v>0</v>
      </c>
      <c r="X205" s="12" t="n">
        <f aca="false">IF(A205="","",IFERROR(INDEX(PUA_TABLE!$D$4:$D$105,MATCH(E205,PUA_TABLE!$C$4:$C$105,1)),0))</f>
        <v>0.430515585981821</v>
      </c>
      <c r="Y205" s="10" t="n">
        <f aca="false">IF(A205="","",IF(W205&gt;0,IF(X205&gt;0,W205/X205,0),0))</f>
        <v>0</v>
      </c>
      <c r="Z205" s="10" t="n">
        <f aca="false">IF(A205="","",N205+Y205)</f>
        <v>0</v>
      </c>
      <c r="AA205" s="10" t="n">
        <f aca="false">IF(A205="","",IFERROR(Z205*INDEX(PUA_TABLE!$I$4:$I$105,MATCH(E205,PUA_TABLE!$C$4:$C$105,1))/1000,0))</f>
        <v>0</v>
      </c>
      <c r="AB205" s="10" t="n">
        <f aca="false">IF(A205="","",IFERROR(L205+AA205,0))</f>
        <v>21948.1336137313</v>
      </c>
      <c r="AC205" s="10" t="n">
        <f aca="false">IF(A205="","",IF(Inputs!$B$22="Premium Offset",MIN(Inputs!$B$25,Q205+T205),0))</f>
        <v>0</v>
      </c>
    </row>
    <row r="206" customFormat="false" ht="15" hidden="false" customHeight="false" outlineLevel="0" collapsed="false">
      <c r="A206" s="1" t="n">
        <f aca="false">IF(A205="","",IF(INT((C205+1)/12)+Inputs!$B$7&gt;MAX(MORTALITY!$A:$A),"",Inputs!$B$4))</f>
        <v>34</v>
      </c>
      <c r="B206" s="3" t="n">
        <f aca="false">IF(A206="","",EOMONTH(B205,1))</f>
        <v>27941</v>
      </c>
      <c r="C206" s="1" t="n">
        <f aca="false">IF(A206="","",C205+1)</f>
        <v>204</v>
      </c>
      <c r="D206" s="1" t="n">
        <f aca="false">IF(A206="","",INT(C206/12))</f>
        <v>17</v>
      </c>
      <c r="E206" s="1" t="n">
        <f aca="false">IF(A206="","",D206+Inputs!$B$7)</f>
        <v>33</v>
      </c>
      <c r="F206" s="3" t="n">
        <f aca="false">IF(A206="","",DATE(YEAR(B$2)+D206,MONTH(B$2),DAY(B$2)))</f>
        <v>27916</v>
      </c>
      <c r="G206" s="3" t="n">
        <f aca="false">IF(A206="","",DATE(YEAR(F206)+1,MONTH(F206),DAY(F206)))</f>
        <v>28281</v>
      </c>
      <c r="H206" s="10" t="n">
        <f aca="false">IF(A206="","",IF(G206&gt;F206,(B206-F206)/(G206-F206),0))</f>
        <v>0.0684931506849315</v>
      </c>
      <c r="I206" s="10" t="n">
        <f aca="false">IF(A206="","",IFERROR(INDEX(CV_RATES!$I:$I,MATCH(D206,CV_RATES!$C:$C,0)),0))</f>
        <v>439.079667929651</v>
      </c>
      <c r="J206" s="10" t="n">
        <f aca="false">IF(A206="","",IFERROR(IF(E206=MAX(MORTALITY!$A:$A),1000,INDEX(CV_RATES!$J:$J,MATCH(D206,CV_RATES!$C:$C,0))),0))</f>
        <v>447.781519488184</v>
      </c>
      <c r="K206" s="10" t="n">
        <f aca="false">IF(A206="","",IFERROR(I206+H206*(J206-I206),0))</f>
        <v>439.675685159688</v>
      </c>
      <c r="L206" s="10" t="n">
        <f aca="false">IF(A206="","",IFERROR(K206*Inputs!$B$9,0))</f>
        <v>21983.7842579844</v>
      </c>
      <c r="M206" s="10" t="n">
        <f aca="false">IF(A206="","",IFERROR(K206*Inputs!$B$10,0))</f>
        <v>70346.7905984945</v>
      </c>
      <c r="N206" s="10" t="n">
        <f aca="false">IF(A206="","",Z205)</f>
        <v>0</v>
      </c>
      <c r="O206" s="6" t="n">
        <f aca="false">IF(A206="","",Inputs!$B$18+N206)</f>
        <v>50000</v>
      </c>
      <c r="P206" s="5" t="n">
        <f aca="false">IF(A206="","",VLOOKUP(D206,DIvidend_Assumption!$A$3:$CX$103,($E$2+2),0)/12)</f>
        <v>0</v>
      </c>
      <c r="Q206" s="10" t="n">
        <f aca="false">IF(A206="","",IFERROR(AB205*P206,""))</f>
        <v>0</v>
      </c>
      <c r="R206" s="10" t="n">
        <f aca="false">IF(A206="","",IFERROR(IF(Inputs!$B$22="Accumulate",T206+Q206,IF(Inputs!$B$22="Premium Offset",MAX(0,T206+Q206-Inputs!$B$25),T206)),""))</f>
        <v>0</v>
      </c>
      <c r="S206" s="10" t="n">
        <f aca="false">IF(A206="","",R205)</f>
        <v>0</v>
      </c>
      <c r="T206" s="10" t="n">
        <f aca="false">IF(A206="","",IFERROR(S206*(1+Inputs!$B$23/12),""))</f>
        <v>0</v>
      </c>
      <c r="U206" s="6" t="n">
        <f aca="false">IF(A206="","",IF(D206&lt;=Inputs!$B$8,IF(Inputs!$B$22="Premium Offset",MAX(0,Inputs!$B$25-(Q206+T206)),Inputs!$B$25),0))</f>
        <v>77</v>
      </c>
      <c r="V206" s="10" t="n">
        <f aca="false">IF(A206="","",IF(Inputs!$B$22="Cash",Q206,0))</f>
        <v>0</v>
      </c>
      <c r="W206" s="10" t="n">
        <f aca="false">IF(A206="","",IF(Inputs!$B$22="PUA",Q206,0))</f>
        <v>0</v>
      </c>
      <c r="X206" s="12" t="n">
        <f aca="false">IF(A206="","",IFERROR(INDEX(PUA_TABLE!$D$4:$D$105,MATCH(E206,PUA_TABLE!$C$4:$C$105,1)),0))</f>
        <v>0.439079667929651</v>
      </c>
      <c r="Y206" s="10" t="n">
        <f aca="false">IF(A206="","",IF(W206&gt;0,IF(X206&gt;0,W206/X206,0),0))</f>
        <v>0</v>
      </c>
      <c r="Z206" s="10" t="n">
        <f aca="false">IF(A206="","",N206+Y206)</f>
        <v>0</v>
      </c>
      <c r="AA206" s="10" t="n">
        <f aca="false">IF(A206="","",IFERROR(Z206*INDEX(PUA_TABLE!$I$4:$I$105,MATCH(E206,PUA_TABLE!$C$4:$C$105,1))/1000,0))</f>
        <v>0</v>
      </c>
      <c r="AB206" s="10" t="n">
        <f aca="false">IF(A206="","",IFERROR(L206+AA206,0))</f>
        <v>21983.7842579844</v>
      </c>
      <c r="AC206" s="10" t="n">
        <f aca="false">IF(A206="","",IF(Inputs!$B$22="Premium Offset",MIN(Inputs!$B$25,Q206+T206),0))</f>
        <v>0</v>
      </c>
    </row>
    <row r="207" customFormat="false" ht="15" hidden="false" customHeight="false" outlineLevel="0" collapsed="false">
      <c r="A207" s="1" t="n">
        <f aca="false">IF(A206="","",IF(INT((C206+1)/12)+Inputs!$B$7&gt;MAX(MORTALITY!$A:$A),"",Inputs!$B$4))</f>
        <v>34</v>
      </c>
      <c r="B207" s="3" t="n">
        <f aca="false">IF(A207="","",EOMONTH(B206,1))</f>
        <v>27972</v>
      </c>
      <c r="C207" s="1" t="n">
        <f aca="false">IF(A207="","",C206+1)</f>
        <v>205</v>
      </c>
      <c r="D207" s="1" t="n">
        <f aca="false">IF(A207="","",INT(C207/12))</f>
        <v>17</v>
      </c>
      <c r="E207" s="1" t="n">
        <f aca="false">IF(A207="","",D207+Inputs!$B$7)</f>
        <v>33</v>
      </c>
      <c r="F207" s="3" t="n">
        <f aca="false">IF(A207="","",DATE(YEAR(B$2)+D207,MONTH(B$2),DAY(B$2)))</f>
        <v>27916</v>
      </c>
      <c r="G207" s="3" t="n">
        <f aca="false">IF(A207="","",DATE(YEAR(F207)+1,MONTH(F207),DAY(F207)))</f>
        <v>28281</v>
      </c>
      <c r="H207" s="10" t="n">
        <f aca="false">IF(A207="","",IF(G207&gt;F207,(B207-F207)/(G207-F207),0))</f>
        <v>0.153424657534247</v>
      </c>
      <c r="I207" s="10" t="n">
        <f aca="false">IF(A207="","",IFERROR(INDEX(CV_RATES!$I:$I,MATCH(D207,CV_RATES!$C:$C,0)),0))</f>
        <v>439.079667929651</v>
      </c>
      <c r="J207" s="10" t="n">
        <f aca="false">IF(A207="","",IFERROR(IF(E207=MAX(MORTALITY!$A:$A),1000,INDEX(CV_RATES!$J:$J,MATCH(D207,CV_RATES!$C:$C,0))),0))</f>
        <v>447.781519488184</v>
      </c>
      <c r="K207" s="10" t="n">
        <f aca="false">IF(A207="","",IFERROR(I207+H207*(J207-I207),0))</f>
        <v>440.414746524933</v>
      </c>
      <c r="L207" s="10" t="n">
        <f aca="false">IF(A207="","",IFERROR(K207*Inputs!$B$9,0))</f>
        <v>22020.7373262466</v>
      </c>
      <c r="M207" s="10" t="n">
        <f aca="false">IF(A207="","",IFERROR(K207*Inputs!$B$10,0))</f>
        <v>70465.0381997497</v>
      </c>
      <c r="N207" s="10" t="n">
        <f aca="false">IF(A207="","",Z206)</f>
        <v>0</v>
      </c>
      <c r="O207" s="6" t="n">
        <f aca="false">IF(A207="","",Inputs!$B$18+N207)</f>
        <v>50000</v>
      </c>
      <c r="P207" s="5" t="n">
        <f aca="false">IF(A207="","",VLOOKUP(D207,DIvidend_Assumption!$A$3:$CX$103,($E$2+2),0)/12)</f>
        <v>0</v>
      </c>
      <c r="Q207" s="10" t="n">
        <f aca="false">IF(A207="","",IFERROR(AB206*P207,""))</f>
        <v>0</v>
      </c>
      <c r="R207" s="10" t="n">
        <f aca="false">IF(A207="","",IFERROR(IF(Inputs!$B$22="Accumulate",T207+Q207,IF(Inputs!$B$22="Premium Offset",MAX(0,T207+Q207-Inputs!$B$25),T207)),""))</f>
        <v>0</v>
      </c>
      <c r="S207" s="10" t="n">
        <f aca="false">IF(A207="","",R206)</f>
        <v>0</v>
      </c>
      <c r="T207" s="10" t="n">
        <f aca="false">IF(A207="","",IFERROR(S207*(1+Inputs!$B$23/12),""))</f>
        <v>0</v>
      </c>
      <c r="U207" s="6" t="n">
        <f aca="false">IF(A207="","",IF(D207&lt;=Inputs!$B$8,IF(Inputs!$B$22="Premium Offset",MAX(0,Inputs!$B$25-(Q207+T207)),Inputs!$B$25),0))</f>
        <v>77</v>
      </c>
      <c r="V207" s="10" t="n">
        <f aca="false">IF(A207="","",IF(Inputs!$B$22="Cash",Q207,0))</f>
        <v>0</v>
      </c>
      <c r="W207" s="10" t="n">
        <f aca="false">IF(A207="","",IF(Inputs!$B$22="PUA",Q207,0))</f>
        <v>0</v>
      </c>
      <c r="X207" s="12" t="n">
        <f aca="false">IF(A207="","",IFERROR(INDEX(PUA_TABLE!$D$4:$D$105,MATCH(E207,PUA_TABLE!$C$4:$C$105,1)),0))</f>
        <v>0.439079667929651</v>
      </c>
      <c r="Y207" s="10" t="n">
        <f aca="false">IF(A207="","",IF(W207&gt;0,IF(X207&gt;0,W207/X207,0),0))</f>
        <v>0</v>
      </c>
      <c r="Z207" s="10" t="n">
        <f aca="false">IF(A207="","",N207+Y207)</f>
        <v>0</v>
      </c>
      <c r="AA207" s="10" t="n">
        <f aca="false">IF(A207="","",IFERROR(Z207*INDEX(PUA_TABLE!$I$4:$I$105,MATCH(E207,PUA_TABLE!$C$4:$C$105,1))/1000,0))</f>
        <v>0</v>
      </c>
      <c r="AB207" s="10" t="n">
        <f aca="false">IF(A207="","",IFERROR(L207+AA207,0))</f>
        <v>22020.7373262466</v>
      </c>
      <c r="AC207" s="10" t="n">
        <f aca="false">IF(A207="","",IF(Inputs!$B$22="Premium Offset",MIN(Inputs!$B$25,Q207+T207),0))</f>
        <v>0</v>
      </c>
    </row>
    <row r="208" customFormat="false" ht="15" hidden="false" customHeight="false" outlineLevel="0" collapsed="false">
      <c r="A208" s="1" t="n">
        <f aca="false">IF(A207="","",IF(INT((C207+1)/12)+Inputs!$B$7&gt;MAX(MORTALITY!$A:$A),"",Inputs!$B$4))</f>
        <v>34</v>
      </c>
      <c r="B208" s="3" t="n">
        <f aca="false">IF(A208="","",EOMONTH(B207,1))</f>
        <v>28003</v>
      </c>
      <c r="C208" s="1" t="n">
        <f aca="false">IF(A208="","",C207+1)</f>
        <v>206</v>
      </c>
      <c r="D208" s="1" t="n">
        <f aca="false">IF(A208="","",INT(C208/12))</f>
        <v>17</v>
      </c>
      <c r="E208" s="1" t="n">
        <f aca="false">IF(A208="","",D208+Inputs!$B$7)</f>
        <v>33</v>
      </c>
      <c r="F208" s="3" t="n">
        <f aca="false">IF(A208="","",DATE(YEAR(B$2)+D208,MONTH(B$2),DAY(B$2)))</f>
        <v>27916</v>
      </c>
      <c r="G208" s="3" t="n">
        <f aca="false">IF(A208="","",DATE(YEAR(F208)+1,MONTH(F208),DAY(F208)))</f>
        <v>28281</v>
      </c>
      <c r="H208" s="10" t="n">
        <f aca="false">IF(A208="","",IF(G208&gt;F208,(B208-F208)/(G208-F208),0))</f>
        <v>0.238356164383562</v>
      </c>
      <c r="I208" s="10" t="n">
        <f aca="false">IF(A208="","",IFERROR(INDEX(CV_RATES!$I:$I,MATCH(D208,CV_RATES!$C:$C,0)),0))</f>
        <v>439.079667929651</v>
      </c>
      <c r="J208" s="10" t="n">
        <f aca="false">IF(A208="","",IFERROR(IF(E208=MAX(MORTALITY!$A:$A),1000,INDEX(CV_RATES!$J:$J,MATCH(D208,CV_RATES!$C:$C,0))),0))</f>
        <v>447.781519488184</v>
      </c>
      <c r="K208" s="10" t="n">
        <f aca="false">IF(A208="","",IFERROR(I208+H208*(J208-I208),0))</f>
        <v>441.153807890178</v>
      </c>
      <c r="L208" s="10" t="n">
        <f aca="false">IF(A208="","",IFERROR(K208*Inputs!$B$9,0))</f>
        <v>22057.6903945089</v>
      </c>
      <c r="M208" s="10" t="n">
        <f aca="false">IF(A208="","",IFERROR(K208*Inputs!$B$10,0))</f>
        <v>70583.2858010048</v>
      </c>
      <c r="N208" s="10" t="n">
        <f aca="false">IF(A208="","",Z207)</f>
        <v>0</v>
      </c>
      <c r="O208" s="6" t="n">
        <f aca="false">IF(A208="","",Inputs!$B$18+N208)</f>
        <v>50000</v>
      </c>
      <c r="P208" s="5" t="n">
        <f aca="false">IF(A208="","",VLOOKUP(D208,DIvidend_Assumption!$A$3:$CX$103,($E$2+2),0)/12)</f>
        <v>0</v>
      </c>
      <c r="Q208" s="10" t="n">
        <f aca="false">IF(A208="","",IFERROR(AB207*P208,""))</f>
        <v>0</v>
      </c>
      <c r="R208" s="10" t="n">
        <f aca="false">IF(A208="","",IFERROR(IF(Inputs!$B$22="Accumulate",T208+Q208,IF(Inputs!$B$22="Premium Offset",MAX(0,T208+Q208-Inputs!$B$25),T208)),""))</f>
        <v>0</v>
      </c>
      <c r="S208" s="10" t="n">
        <f aca="false">IF(A208="","",R207)</f>
        <v>0</v>
      </c>
      <c r="T208" s="10" t="n">
        <f aca="false">IF(A208="","",IFERROR(S208*(1+Inputs!$B$23/12),""))</f>
        <v>0</v>
      </c>
      <c r="U208" s="6" t="n">
        <f aca="false">IF(A208="","",IF(D208&lt;=Inputs!$B$8,IF(Inputs!$B$22="Premium Offset",MAX(0,Inputs!$B$25-(Q208+T208)),Inputs!$B$25),0))</f>
        <v>77</v>
      </c>
      <c r="V208" s="10" t="n">
        <f aca="false">IF(A208="","",IF(Inputs!$B$22="Cash",Q208,0))</f>
        <v>0</v>
      </c>
      <c r="W208" s="10" t="n">
        <f aca="false">IF(A208="","",IF(Inputs!$B$22="PUA",Q208,0))</f>
        <v>0</v>
      </c>
      <c r="X208" s="12" t="n">
        <f aca="false">IF(A208="","",IFERROR(INDEX(PUA_TABLE!$D$4:$D$105,MATCH(E208,PUA_TABLE!$C$4:$C$105,1)),0))</f>
        <v>0.439079667929651</v>
      </c>
      <c r="Y208" s="10" t="n">
        <f aca="false">IF(A208="","",IF(W208&gt;0,IF(X208&gt;0,W208/X208,0),0))</f>
        <v>0</v>
      </c>
      <c r="Z208" s="10" t="n">
        <f aca="false">IF(A208="","",N208+Y208)</f>
        <v>0</v>
      </c>
      <c r="AA208" s="10" t="n">
        <f aca="false">IF(A208="","",IFERROR(Z208*INDEX(PUA_TABLE!$I$4:$I$105,MATCH(E208,PUA_TABLE!$C$4:$C$105,1))/1000,0))</f>
        <v>0</v>
      </c>
      <c r="AB208" s="10" t="n">
        <f aca="false">IF(A208="","",IFERROR(L208+AA208,0))</f>
        <v>22057.6903945089</v>
      </c>
      <c r="AC208" s="10" t="n">
        <f aca="false">IF(A208="","",IF(Inputs!$B$22="Premium Offset",MIN(Inputs!$B$25,Q208+T208),0))</f>
        <v>0</v>
      </c>
    </row>
    <row r="209" customFormat="false" ht="15" hidden="false" customHeight="false" outlineLevel="0" collapsed="false">
      <c r="A209" s="1" t="n">
        <f aca="false">IF(A208="","",IF(INT((C208+1)/12)+Inputs!$B$7&gt;MAX(MORTALITY!$A:$A),"",Inputs!$B$4))</f>
        <v>34</v>
      </c>
      <c r="B209" s="3" t="n">
        <f aca="false">IF(A209="","",EOMONTH(B208,1))</f>
        <v>28033</v>
      </c>
      <c r="C209" s="1" t="n">
        <f aca="false">IF(A209="","",C208+1)</f>
        <v>207</v>
      </c>
      <c r="D209" s="1" t="n">
        <f aca="false">IF(A209="","",INT(C209/12))</f>
        <v>17</v>
      </c>
      <c r="E209" s="1" t="n">
        <f aca="false">IF(A209="","",D209+Inputs!$B$7)</f>
        <v>33</v>
      </c>
      <c r="F209" s="3" t="n">
        <f aca="false">IF(A209="","",DATE(YEAR(B$2)+D209,MONTH(B$2),DAY(B$2)))</f>
        <v>27916</v>
      </c>
      <c r="G209" s="3" t="n">
        <f aca="false">IF(A209="","",DATE(YEAR(F209)+1,MONTH(F209),DAY(F209)))</f>
        <v>28281</v>
      </c>
      <c r="H209" s="10" t="n">
        <f aca="false">IF(A209="","",IF(G209&gt;F209,(B209-F209)/(G209-F209),0))</f>
        <v>0.320547945205479</v>
      </c>
      <c r="I209" s="10" t="n">
        <f aca="false">IF(A209="","",IFERROR(INDEX(CV_RATES!$I:$I,MATCH(D209,CV_RATES!$C:$C,0)),0))</f>
        <v>439.079667929651</v>
      </c>
      <c r="J209" s="10" t="n">
        <f aca="false">IF(A209="","",IFERROR(IF(E209=MAX(MORTALITY!$A:$A),1000,INDEX(CV_RATES!$J:$J,MATCH(D209,CV_RATES!$C:$C,0))),0))</f>
        <v>447.781519488184</v>
      </c>
      <c r="K209" s="10" t="n">
        <f aca="false">IF(A209="","",IFERROR(I209+H209*(J209-I209),0))</f>
        <v>441.869028566222</v>
      </c>
      <c r="L209" s="10" t="n">
        <f aca="false">IF(A209="","",IFERROR(K209*Inputs!$B$9,0))</f>
        <v>22093.4514283111</v>
      </c>
      <c r="M209" s="10" t="n">
        <f aca="false">IF(A209="","",IFERROR(K209*Inputs!$B$10,0))</f>
        <v>70697.7189635098</v>
      </c>
      <c r="N209" s="10" t="n">
        <f aca="false">IF(A209="","",Z208)</f>
        <v>0</v>
      </c>
      <c r="O209" s="6" t="n">
        <f aca="false">IF(A209="","",Inputs!$B$18+N209)</f>
        <v>50000</v>
      </c>
      <c r="P209" s="5" t="n">
        <f aca="false">IF(A209="","",VLOOKUP(D209,DIvidend_Assumption!$A$3:$CX$103,($E$2+2),0)/12)</f>
        <v>0</v>
      </c>
      <c r="Q209" s="10" t="n">
        <f aca="false">IF(A209="","",IFERROR(AB208*P209,""))</f>
        <v>0</v>
      </c>
      <c r="R209" s="10" t="n">
        <f aca="false">IF(A209="","",IFERROR(IF(Inputs!$B$22="Accumulate",T209+Q209,IF(Inputs!$B$22="Premium Offset",MAX(0,T209+Q209-Inputs!$B$25),T209)),""))</f>
        <v>0</v>
      </c>
      <c r="S209" s="10" t="n">
        <f aca="false">IF(A209="","",R208)</f>
        <v>0</v>
      </c>
      <c r="T209" s="10" t="n">
        <f aca="false">IF(A209="","",IFERROR(S209*(1+Inputs!$B$23/12),""))</f>
        <v>0</v>
      </c>
      <c r="U209" s="6" t="n">
        <f aca="false">IF(A209="","",IF(D209&lt;=Inputs!$B$8,IF(Inputs!$B$22="Premium Offset",MAX(0,Inputs!$B$25-(Q209+T209)),Inputs!$B$25),0))</f>
        <v>77</v>
      </c>
      <c r="V209" s="10" t="n">
        <f aca="false">IF(A209="","",IF(Inputs!$B$22="Cash",Q209,0))</f>
        <v>0</v>
      </c>
      <c r="W209" s="10" t="n">
        <f aca="false">IF(A209="","",IF(Inputs!$B$22="PUA",Q209,0))</f>
        <v>0</v>
      </c>
      <c r="X209" s="12" t="n">
        <f aca="false">IF(A209="","",IFERROR(INDEX(PUA_TABLE!$D$4:$D$105,MATCH(E209,PUA_TABLE!$C$4:$C$105,1)),0))</f>
        <v>0.439079667929651</v>
      </c>
      <c r="Y209" s="10" t="n">
        <f aca="false">IF(A209="","",IF(W209&gt;0,IF(X209&gt;0,W209/X209,0),0))</f>
        <v>0</v>
      </c>
      <c r="Z209" s="10" t="n">
        <f aca="false">IF(A209="","",N209+Y209)</f>
        <v>0</v>
      </c>
      <c r="AA209" s="10" t="n">
        <f aca="false">IF(A209="","",IFERROR(Z209*INDEX(PUA_TABLE!$I$4:$I$105,MATCH(E209,PUA_TABLE!$C$4:$C$105,1))/1000,0))</f>
        <v>0</v>
      </c>
      <c r="AB209" s="10" t="n">
        <f aca="false">IF(A209="","",IFERROR(L209+AA209,0))</f>
        <v>22093.4514283111</v>
      </c>
      <c r="AC209" s="10" t="n">
        <f aca="false">IF(A209="","",IF(Inputs!$B$22="Premium Offset",MIN(Inputs!$B$25,Q209+T209),0))</f>
        <v>0</v>
      </c>
    </row>
    <row r="210" customFormat="false" ht="15" hidden="false" customHeight="false" outlineLevel="0" collapsed="false">
      <c r="A210" s="1" t="n">
        <f aca="false">IF(A209="","",IF(INT((C209+1)/12)+Inputs!$B$7&gt;MAX(MORTALITY!$A:$A),"",Inputs!$B$4))</f>
        <v>34</v>
      </c>
      <c r="B210" s="3" t="n">
        <f aca="false">IF(A210="","",EOMONTH(B209,1))</f>
        <v>28064</v>
      </c>
      <c r="C210" s="1" t="n">
        <f aca="false">IF(A210="","",C209+1)</f>
        <v>208</v>
      </c>
      <c r="D210" s="1" t="n">
        <f aca="false">IF(A210="","",INT(C210/12))</f>
        <v>17</v>
      </c>
      <c r="E210" s="1" t="n">
        <f aca="false">IF(A210="","",D210+Inputs!$B$7)</f>
        <v>33</v>
      </c>
      <c r="F210" s="3" t="n">
        <f aca="false">IF(A210="","",DATE(YEAR(B$2)+D210,MONTH(B$2),DAY(B$2)))</f>
        <v>27916</v>
      </c>
      <c r="G210" s="3" t="n">
        <f aca="false">IF(A210="","",DATE(YEAR(F210)+1,MONTH(F210),DAY(F210)))</f>
        <v>28281</v>
      </c>
      <c r="H210" s="10" t="n">
        <f aca="false">IF(A210="","",IF(G210&gt;F210,(B210-F210)/(G210-F210),0))</f>
        <v>0.405479452054795</v>
      </c>
      <c r="I210" s="10" t="n">
        <f aca="false">IF(A210="","",IFERROR(INDEX(CV_RATES!$I:$I,MATCH(D210,CV_RATES!$C:$C,0)),0))</f>
        <v>439.079667929651</v>
      </c>
      <c r="J210" s="10" t="n">
        <f aca="false">IF(A210="","",IFERROR(IF(E210=MAX(MORTALITY!$A:$A),1000,INDEX(CV_RATES!$J:$J,MATCH(D210,CV_RATES!$C:$C,0))),0))</f>
        <v>447.781519488184</v>
      </c>
      <c r="K210" s="10" t="n">
        <f aca="false">IF(A210="","",IFERROR(I210+H210*(J210-I210),0))</f>
        <v>442.608089931467</v>
      </c>
      <c r="L210" s="10" t="n">
        <f aca="false">IF(A210="","",IFERROR(K210*Inputs!$B$9,0))</f>
        <v>22130.4044965734</v>
      </c>
      <c r="M210" s="10" t="n">
        <f aca="false">IF(A210="","",IFERROR(K210*Inputs!$B$10,0))</f>
        <v>70815.9665647649</v>
      </c>
      <c r="N210" s="10" t="n">
        <f aca="false">IF(A210="","",Z209)</f>
        <v>0</v>
      </c>
      <c r="O210" s="6" t="n">
        <f aca="false">IF(A210="","",Inputs!$B$18+N210)</f>
        <v>50000</v>
      </c>
      <c r="P210" s="5" t="n">
        <f aca="false">IF(A210="","",VLOOKUP(D210,DIvidend_Assumption!$A$3:$CX$103,($E$2+2),0)/12)</f>
        <v>0</v>
      </c>
      <c r="Q210" s="10" t="n">
        <f aca="false">IF(A210="","",IFERROR(AB209*P210,""))</f>
        <v>0</v>
      </c>
      <c r="R210" s="10" t="n">
        <f aca="false">IF(A210="","",IFERROR(IF(Inputs!$B$22="Accumulate",T210+Q210,IF(Inputs!$B$22="Premium Offset",MAX(0,T210+Q210-Inputs!$B$25),T210)),""))</f>
        <v>0</v>
      </c>
      <c r="S210" s="10" t="n">
        <f aca="false">IF(A210="","",R209)</f>
        <v>0</v>
      </c>
      <c r="T210" s="10" t="n">
        <f aca="false">IF(A210="","",IFERROR(S210*(1+Inputs!$B$23/12),""))</f>
        <v>0</v>
      </c>
      <c r="U210" s="6" t="n">
        <f aca="false">IF(A210="","",IF(D210&lt;=Inputs!$B$8,IF(Inputs!$B$22="Premium Offset",MAX(0,Inputs!$B$25-(Q210+T210)),Inputs!$B$25),0))</f>
        <v>77</v>
      </c>
      <c r="V210" s="10" t="n">
        <f aca="false">IF(A210="","",IF(Inputs!$B$22="Cash",Q210,0))</f>
        <v>0</v>
      </c>
      <c r="W210" s="10" t="n">
        <f aca="false">IF(A210="","",IF(Inputs!$B$22="PUA",Q210,0))</f>
        <v>0</v>
      </c>
      <c r="X210" s="12" t="n">
        <f aca="false">IF(A210="","",IFERROR(INDEX(PUA_TABLE!$D$4:$D$105,MATCH(E210,PUA_TABLE!$C$4:$C$105,1)),0))</f>
        <v>0.439079667929651</v>
      </c>
      <c r="Y210" s="10" t="n">
        <f aca="false">IF(A210="","",IF(W210&gt;0,IF(X210&gt;0,W210/X210,0),0))</f>
        <v>0</v>
      </c>
      <c r="Z210" s="10" t="n">
        <f aca="false">IF(A210="","",N210+Y210)</f>
        <v>0</v>
      </c>
      <c r="AA210" s="10" t="n">
        <f aca="false">IF(A210="","",IFERROR(Z210*INDEX(PUA_TABLE!$I$4:$I$105,MATCH(E210,PUA_TABLE!$C$4:$C$105,1))/1000,0))</f>
        <v>0</v>
      </c>
      <c r="AB210" s="10" t="n">
        <f aca="false">IF(A210="","",IFERROR(L210+AA210,0))</f>
        <v>22130.4044965734</v>
      </c>
      <c r="AC210" s="10" t="n">
        <f aca="false">IF(A210="","",IF(Inputs!$B$22="Premium Offset",MIN(Inputs!$B$25,Q210+T210),0))</f>
        <v>0</v>
      </c>
    </row>
    <row r="211" customFormat="false" ht="15" hidden="false" customHeight="false" outlineLevel="0" collapsed="false">
      <c r="A211" s="1" t="n">
        <f aca="false">IF(A210="","",IF(INT((C210+1)/12)+Inputs!$B$7&gt;MAX(MORTALITY!$A:$A),"",Inputs!$B$4))</f>
        <v>34</v>
      </c>
      <c r="B211" s="3" t="n">
        <f aca="false">IF(A211="","",EOMONTH(B210,1))</f>
        <v>28094</v>
      </c>
      <c r="C211" s="1" t="n">
        <f aca="false">IF(A211="","",C210+1)</f>
        <v>209</v>
      </c>
      <c r="D211" s="1" t="n">
        <f aca="false">IF(A211="","",INT(C211/12))</f>
        <v>17</v>
      </c>
      <c r="E211" s="1" t="n">
        <f aca="false">IF(A211="","",D211+Inputs!$B$7)</f>
        <v>33</v>
      </c>
      <c r="F211" s="3" t="n">
        <f aca="false">IF(A211="","",DATE(YEAR(B$2)+D211,MONTH(B$2),DAY(B$2)))</f>
        <v>27916</v>
      </c>
      <c r="G211" s="3" t="n">
        <f aca="false">IF(A211="","",DATE(YEAR(F211)+1,MONTH(F211),DAY(F211)))</f>
        <v>28281</v>
      </c>
      <c r="H211" s="10" t="n">
        <f aca="false">IF(A211="","",IF(G211&gt;F211,(B211-F211)/(G211-F211),0))</f>
        <v>0.487671232876712</v>
      </c>
      <c r="I211" s="10" t="n">
        <f aca="false">IF(A211="","",IFERROR(INDEX(CV_RATES!$I:$I,MATCH(D211,CV_RATES!$C:$C,0)),0))</f>
        <v>439.079667929651</v>
      </c>
      <c r="J211" s="10" t="n">
        <f aca="false">IF(A211="","",IFERROR(IF(E211=MAX(MORTALITY!$A:$A),1000,INDEX(CV_RATES!$J:$J,MATCH(D211,CV_RATES!$C:$C,0))),0))</f>
        <v>447.781519488184</v>
      </c>
      <c r="K211" s="10" t="n">
        <f aca="false">IF(A211="","",IFERROR(I211+H211*(J211-I211),0))</f>
        <v>443.323310607511</v>
      </c>
      <c r="L211" s="10" t="n">
        <f aca="false">IF(A211="","",IFERROR(K211*Inputs!$B$9,0))</f>
        <v>22166.1655303755</v>
      </c>
      <c r="M211" s="10" t="n">
        <f aca="false">IF(A211="","",IFERROR(K211*Inputs!$B$10,0))</f>
        <v>70930.3997272699</v>
      </c>
      <c r="N211" s="10" t="n">
        <f aca="false">IF(A211="","",Z210)</f>
        <v>0</v>
      </c>
      <c r="O211" s="6" t="n">
        <f aca="false">IF(A211="","",Inputs!$B$18+N211)</f>
        <v>50000</v>
      </c>
      <c r="P211" s="5" t="n">
        <f aca="false">IF(A211="","",VLOOKUP(D211,DIvidend_Assumption!$A$3:$CX$103,($E$2+2),0)/12)</f>
        <v>0</v>
      </c>
      <c r="Q211" s="10" t="n">
        <f aca="false">IF(A211="","",IFERROR(AB210*P211,""))</f>
        <v>0</v>
      </c>
      <c r="R211" s="10" t="n">
        <f aca="false">IF(A211="","",IFERROR(IF(Inputs!$B$22="Accumulate",T211+Q211,IF(Inputs!$B$22="Premium Offset",MAX(0,T211+Q211-Inputs!$B$25),T211)),""))</f>
        <v>0</v>
      </c>
      <c r="S211" s="10" t="n">
        <f aca="false">IF(A211="","",R210)</f>
        <v>0</v>
      </c>
      <c r="T211" s="10" t="n">
        <f aca="false">IF(A211="","",IFERROR(S211*(1+Inputs!$B$23/12),""))</f>
        <v>0</v>
      </c>
      <c r="U211" s="6" t="n">
        <f aca="false">IF(A211="","",IF(D211&lt;=Inputs!$B$8,IF(Inputs!$B$22="Premium Offset",MAX(0,Inputs!$B$25-(Q211+T211)),Inputs!$B$25),0))</f>
        <v>77</v>
      </c>
      <c r="V211" s="10" t="n">
        <f aca="false">IF(A211="","",IF(Inputs!$B$22="Cash",Q211,0))</f>
        <v>0</v>
      </c>
      <c r="W211" s="10" t="n">
        <f aca="false">IF(A211="","",IF(Inputs!$B$22="PUA",Q211,0))</f>
        <v>0</v>
      </c>
      <c r="X211" s="12" t="n">
        <f aca="false">IF(A211="","",IFERROR(INDEX(PUA_TABLE!$D$4:$D$105,MATCH(E211,PUA_TABLE!$C$4:$C$105,1)),0))</f>
        <v>0.439079667929651</v>
      </c>
      <c r="Y211" s="10" t="n">
        <f aca="false">IF(A211="","",IF(W211&gt;0,IF(X211&gt;0,W211/X211,0),0))</f>
        <v>0</v>
      </c>
      <c r="Z211" s="10" t="n">
        <f aca="false">IF(A211="","",N211+Y211)</f>
        <v>0</v>
      </c>
      <c r="AA211" s="10" t="n">
        <f aca="false">IF(A211="","",IFERROR(Z211*INDEX(PUA_TABLE!$I$4:$I$105,MATCH(E211,PUA_TABLE!$C$4:$C$105,1))/1000,0))</f>
        <v>0</v>
      </c>
      <c r="AB211" s="10" t="n">
        <f aca="false">IF(A211="","",IFERROR(L211+AA211,0))</f>
        <v>22166.1655303755</v>
      </c>
      <c r="AC211" s="10" t="n">
        <f aca="false">IF(A211="","",IF(Inputs!$B$22="Premium Offset",MIN(Inputs!$B$25,Q211+T211),0))</f>
        <v>0</v>
      </c>
    </row>
    <row r="212" customFormat="false" ht="15" hidden="false" customHeight="false" outlineLevel="0" collapsed="false">
      <c r="A212" s="1" t="n">
        <f aca="false">IF(A211="","",IF(INT((C211+1)/12)+Inputs!$B$7&gt;MAX(MORTALITY!$A:$A),"",Inputs!$B$4))</f>
        <v>34</v>
      </c>
      <c r="B212" s="3" t="n">
        <f aca="false">IF(A212="","",EOMONTH(B211,1))</f>
        <v>28125</v>
      </c>
      <c r="C212" s="1" t="n">
        <f aca="false">IF(A212="","",C211+1)</f>
        <v>210</v>
      </c>
      <c r="D212" s="1" t="n">
        <f aca="false">IF(A212="","",INT(C212/12))</f>
        <v>17</v>
      </c>
      <c r="E212" s="1" t="n">
        <f aca="false">IF(A212="","",D212+Inputs!$B$7)</f>
        <v>33</v>
      </c>
      <c r="F212" s="3" t="n">
        <f aca="false">IF(A212="","",DATE(YEAR(B$2)+D212,MONTH(B$2),DAY(B$2)))</f>
        <v>27916</v>
      </c>
      <c r="G212" s="3" t="n">
        <f aca="false">IF(A212="","",DATE(YEAR(F212)+1,MONTH(F212),DAY(F212)))</f>
        <v>28281</v>
      </c>
      <c r="H212" s="10" t="n">
        <f aca="false">IF(A212="","",IF(G212&gt;F212,(B212-F212)/(G212-F212),0))</f>
        <v>0.572602739726027</v>
      </c>
      <c r="I212" s="10" t="n">
        <f aca="false">IF(A212="","",IFERROR(INDEX(CV_RATES!$I:$I,MATCH(D212,CV_RATES!$C:$C,0)),0))</f>
        <v>439.079667929651</v>
      </c>
      <c r="J212" s="10" t="n">
        <f aca="false">IF(A212="","",IFERROR(IF(E212=MAX(MORTALITY!$A:$A),1000,INDEX(CV_RATES!$J:$J,MATCH(D212,CV_RATES!$C:$C,0))),0))</f>
        <v>447.781519488184</v>
      </c>
      <c r="K212" s="10" t="n">
        <f aca="false">IF(A212="","",IFERROR(I212+H212*(J212-I212),0))</f>
        <v>444.062371972756</v>
      </c>
      <c r="L212" s="10" t="n">
        <f aca="false">IF(A212="","",IFERROR(K212*Inputs!$B$9,0))</f>
        <v>22203.1185986378</v>
      </c>
      <c r="M212" s="10" t="n">
        <f aca="false">IF(A212="","",IFERROR(K212*Inputs!$B$10,0))</f>
        <v>71048.6473285251</v>
      </c>
      <c r="N212" s="10" t="n">
        <f aca="false">IF(A212="","",Z211)</f>
        <v>0</v>
      </c>
      <c r="O212" s="6" t="n">
        <f aca="false">IF(A212="","",Inputs!$B$18+N212)</f>
        <v>50000</v>
      </c>
      <c r="P212" s="5" t="n">
        <f aca="false">IF(A212="","",VLOOKUP(D212,DIvidend_Assumption!$A$3:$CX$103,($E$2+2),0)/12)</f>
        <v>0</v>
      </c>
      <c r="Q212" s="10" t="n">
        <f aca="false">IF(A212="","",IFERROR(AB211*P212,""))</f>
        <v>0</v>
      </c>
      <c r="R212" s="10" t="n">
        <f aca="false">IF(A212="","",IFERROR(IF(Inputs!$B$22="Accumulate",T212+Q212,IF(Inputs!$B$22="Premium Offset",MAX(0,T212+Q212-Inputs!$B$25),T212)),""))</f>
        <v>0</v>
      </c>
      <c r="S212" s="10" t="n">
        <f aca="false">IF(A212="","",R211)</f>
        <v>0</v>
      </c>
      <c r="T212" s="10" t="n">
        <f aca="false">IF(A212="","",IFERROR(S212*(1+Inputs!$B$23/12),""))</f>
        <v>0</v>
      </c>
      <c r="U212" s="6" t="n">
        <f aca="false">IF(A212="","",IF(D212&lt;=Inputs!$B$8,IF(Inputs!$B$22="Premium Offset",MAX(0,Inputs!$B$25-(Q212+T212)),Inputs!$B$25),0))</f>
        <v>77</v>
      </c>
      <c r="V212" s="10" t="n">
        <f aca="false">IF(A212="","",IF(Inputs!$B$22="Cash",Q212,0))</f>
        <v>0</v>
      </c>
      <c r="W212" s="10" t="n">
        <f aca="false">IF(A212="","",IF(Inputs!$B$22="PUA",Q212,0))</f>
        <v>0</v>
      </c>
      <c r="X212" s="12" t="n">
        <f aca="false">IF(A212="","",IFERROR(INDEX(PUA_TABLE!$D$4:$D$105,MATCH(E212,PUA_TABLE!$C$4:$C$105,1)),0))</f>
        <v>0.439079667929651</v>
      </c>
      <c r="Y212" s="10" t="n">
        <f aca="false">IF(A212="","",IF(W212&gt;0,IF(X212&gt;0,W212/X212,0),0))</f>
        <v>0</v>
      </c>
      <c r="Z212" s="10" t="n">
        <f aca="false">IF(A212="","",N212+Y212)</f>
        <v>0</v>
      </c>
      <c r="AA212" s="10" t="n">
        <f aca="false">IF(A212="","",IFERROR(Z212*INDEX(PUA_TABLE!$I$4:$I$105,MATCH(E212,PUA_TABLE!$C$4:$C$105,1))/1000,0))</f>
        <v>0</v>
      </c>
      <c r="AB212" s="10" t="n">
        <f aca="false">IF(A212="","",IFERROR(L212+AA212,0))</f>
        <v>22203.1185986378</v>
      </c>
      <c r="AC212" s="10" t="n">
        <f aca="false">IF(A212="","",IF(Inputs!$B$22="Premium Offset",MIN(Inputs!$B$25,Q212+T212),0))</f>
        <v>0</v>
      </c>
    </row>
    <row r="213" customFormat="false" ht="15" hidden="false" customHeight="false" outlineLevel="0" collapsed="false">
      <c r="A213" s="1" t="n">
        <f aca="false">IF(A212="","",IF(INT((C212+1)/12)+Inputs!$B$7&gt;MAX(MORTALITY!$A:$A),"",Inputs!$B$4))</f>
        <v>34</v>
      </c>
      <c r="B213" s="3" t="n">
        <f aca="false">IF(A213="","",EOMONTH(B212,1))</f>
        <v>28156</v>
      </c>
      <c r="C213" s="1" t="n">
        <f aca="false">IF(A213="","",C212+1)</f>
        <v>211</v>
      </c>
      <c r="D213" s="1" t="n">
        <f aca="false">IF(A213="","",INT(C213/12))</f>
        <v>17</v>
      </c>
      <c r="E213" s="1" t="n">
        <f aca="false">IF(A213="","",D213+Inputs!$B$7)</f>
        <v>33</v>
      </c>
      <c r="F213" s="3" t="n">
        <f aca="false">IF(A213="","",DATE(YEAR(B$2)+D213,MONTH(B$2),DAY(B$2)))</f>
        <v>27916</v>
      </c>
      <c r="G213" s="3" t="n">
        <f aca="false">IF(A213="","",DATE(YEAR(F213)+1,MONTH(F213),DAY(F213)))</f>
        <v>28281</v>
      </c>
      <c r="H213" s="10" t="n">
        <f aca="false">IF(A213="","",IF(G213&gt;F213,(B213-F213)/(G213-F213),0))</f>
        <v>0.657534246575342</v>
      </c>
      <c r="I213" s="10" t="n">
        <f aca="false">IF(A213="","",IFERROR(INDEX(CV_RATES!$I:$I,MATCH(D213,CV_RATES!$C:$C,0)),0))</f>
        <v>439.079667929651</v>
      </c>
      <c r="J213" s="10" t="n">
        <f aca="false">IF(A213="","",IFERROR(IF(E213=MAX(MORTALITY!$A:$A),1000,INDEX(CV_RATES!$J:$J,MATCH(D213,CV_RATES!$C:$C,0))),0))</f>
        <v>447.781519488184</v>
      </c>
      <c r="K213" s="10" t="n">
        <f aca="false">IF(A213="","",IFERROR(I213+H213*(J213-I213),0))</f>
        <v>444.801433338001</v>
      </c>
      <c r="L213" s="10" t="n">
        <f aca="false">IF(A213="","",IFERROR(K213*Inputs!$B$9,0))</f>
        <v>22240.0716669001</v>
      </c>
      <c r="M213" s="10" t="n">
        <f aca="false">IF(A213="","",IFERROR(K213*Inputs!$B$10,0))</f>
        <v>71166.8949297802</v>
      </c>
      <c r="N213" s="10" t="n">
        <f aca="false">IF(A213="","",Z212)</f>
        <v>0</v>
      </c>
      <c r="O213" s="6" t="n">
        <f aca="false">IF(A213="","",Inputs!$B$18+N213)</f>
        <v>50000</v>
      </c>
      <c r="P213" s="5" t="n">
        <f aca="false">IF(A213="","",VLOOKUP(D213,DIvidend_Assumption!$A$3:$CX$103,($E$2+2),0)/12)</f>
        <v>0</v>
      </c>
      <c r="Q213" s="10" t="n">
        <f aca="false">IF(A213="","",IFERROR(AB212*P213,""))</f>
        <v>0</v>
      </c>
      <c r="R213" s="10" t="n">
        <f aca="false">IF(A213="","",IFERROR(IF(Inputs!$B$22="Accumulate",T213+Q213,IF(Inputs!$B$22="Premium Offset",MAX(0,T213+Q213-Inputs!$B$25),T213)),""))</f>
        <v>0</v>
      </c>
      <c r="S213" s="10" t="n">
        <f aca="false">IF(A213="","",R212)</f>
        <v>0</v>
      </c>
      <c r="T213" s="10" t="n">
        <f aca="false">IF(A213="","",IFERROR(S213*(1+Inputs!$B$23/12),""))</f>
        <v>0</v>
      </c>
      <c r="U213" s="6" t="n">
        <f aca="false">IF(A213="","",IF(D213&lt;=Inputs!$B$8,IF(Inputs!$B$22="Premium Offset",MAX(0,Inputs!$B$25-(Q213+T213)),Inputs!$B$25),0))</f>
        <v>77</v>
      </c>
      <c r="V213" s="10" t="n">
        <f aca="false">IF(A213="","",IF(Inputs!$B$22="Cash",Q213,0))</f>
        <v>0</v>
      </c>
      <c r="W213" s="10" t="n">
        <f aca="false">IF(A213="","",IF(Inputs!$B$22="PUA",Q213,0))</f>
        <v>0</v>
      </c>
      <c r="X213" s="12" t="n">
        <f aca="false">IF(A213="","",IFERROR(INDEX(PUA_TABLE!$D$4:$D$105,MATCH(E213,PUA_TABLE!$C$4:$C$105,1)),0))</f>
        <v>0.439079667929651</v>
      </c>
      <c r="Y213" s="10" t="n">
        <f aca="false">IF(A213="","",IF(W213&gt;0,IF(X213&gt;0,W213/X213,0),0))</f>
        <v>0</v>
      </c>
      <c r="Z213" s="10" t="n">
        <f aca="false">IF(A213="","",N213+Y213)</f>
        <v>0</v>
      </c>
      <c r="AA213" s="10" t="n">
        <f aca="false">IF(A213="","",IFERROR(Z213*INDEX(PUA_TABLE!$I$4:$I$105,MATCH(E213,PUA_TABLE!$C$4:$C$105,1))/1000,0))</f>
        <v>0</v>
      </c>
      <c r="AB213" s="10" t="n">
        <f aca="false">IF(A213="","",IFERROR(L213+AA213,0))</f>
        <v>22240.0716669001</v>
      </c>
      <c r="AC213" s="10" t="n">
        <f aca="false">IF(A213="","",IF(Inputs!$B$22="Premium Offset",MIN(Inputs!$B$25,Q213+T213),0))</f>
        <v>0</v>
      </c>
    </row>
    <row r="214" customFormat="false" ht="15" hidden="false" customHeight="false" outlineLevel="0" collapsed="false">
      <c r="A214" s="1" t="n">
        <f aca="false">IF(A213="","",IF(INT((C213+1)/12)+Inputs!$B$7&gt;MAX(MORTALITY!$A:$A),"",Inputs!$B$4))</f>
        <v>34</v>
      </c>
      <c r="B214" s="3" t="n">
        <f aca="false">IF(A214="","",EOMONTH(B213,1))</f>
        <v>28184</v>
      </c>
      <c r="C214" s="1" t="n">
        <f aca="false">IF(A214="","",C213+1)</f>
        <v>212</v>
      </c>
      <c r="D214" s="1" t="n">
        <f aca="false">IF(A214="","",INT(C214/12))</f>
        <v>17</v>
      </c>
      <c r="E214" s="1" t="n">
        <f aca="false">IF(A214="","",D214+Inputs!$B$7)</f>
        <v>33</v>
      </c>
      <c r="F214" s="3" t="n">
        <f aca="false">IF(A214="","",DATE(YEAR(B$2)+D214,MONTH(B$2),DAY(B$2)))</f>
        <v>27916</v>
      </c>
      <c r="G214" s="3" t="n">
        <f aca="false">IF(A214="","",DATE(YEAR(F214)+1,MONTH(F214),DAY(F214)))</f>
        <v>28281</v>
      </c>
      <c r="H214" s="10" t="n">
        <f aca="false">IF(A214="","",IF(G214&gt;F214,(B214-F214)/(G214-F214),0))</f>
        <v>0.734246575342466</v>
      </c>
      <c r="I214" s="10" t="n">
        <f aca="false">IF(A214="","",IFERROR(INDEX(CV_RATES!$I:$I,MATCH(D214,CV_RATES!$C:$C,0)),0))</f>
        <v>439.079667929651</v>
      </c>
      <c r="J214" s="10" t="n">
        <f aca="false">IF(A214="","",IFERROR(IF(E214=MAX(MORTALITY!$A:$A),1000,INDEX(CV_RATES!$J:$J,MATCH(D214,CV_RATES!$C:$C,0))),0))</f>
        <v>447.781519488184</v>
      </c>
      <c r="K214" s="10" t="n">
        <f aca="false">IF(A214="","",IFERROR(I214+H214*(J214-I214),0))</f>
        <v>445.468972635642</v>
      </c>
      <c r="L214" s="10" t="n">
        <f aca="false">IF(A214="","",IFERROR(K214*Inputs!$B$9,0))</f>
        <v>22273.4486317821</v>
      </c>
      <c r="M214" s="10" t="n">
        <f aca="false">IF(A214="","",IFERROR(K214*Inputs!$B$10,0))</f>
        <v>71273.6992147849</v>
      </c>
      <c r="N214" s="10" t="n">
        <f aca="false">IF(A214="","",Z213)</f>
        <v>0</v>
      </c>
      <c r="O214" s="6" t="n">
        <f aca="false">IF(A214="","",Inputs!$B$18+N214)</f>
        <v>50000</v>
      </c>
      <c r="P214" s="5" t="n">
        <f aca="false">IF(A214="","",VLOOKUP(D214,DIvidend_Assumption!$A$3:$CX$103,($E$2+2),0)/12)</f>
        <v>0</v>
      </c>
      <c r="Q214" s="10" t="n">
        <f aca="false">IF(A214="","",IFERROR(AB213*P214,""))</f>
        <v>0</v>
      </c>
      <c r="R214" s="10" t="n">
        <f aca="false">IF(A214="","",IFERROR(IF(Inputs!$B$22="Accumulate",T214+Q214,IF(Inputs!$B$22="Premium Offset",MAX(0,T214+Q214-Inputs!$B$25),T214)),""))</f>
        <v>0</v>
      </c>
      <c r="S214" s="10" t="n">
        <f aca="false">IF(A214="","",R213)</f>
        <v>0</v>
      </c>
      <c r="T214" s="10" t="n">
        <f aca="false">IF(A214="","",IFERROR(S214*(1+Inputs!$B$23/12),""))</f>
        <v>0</v>
      </c>
      <c r="U214" s="6" t="n">
        <f aca="false">IF(A214="","",IF(D214&lt;=Inputs!$B$8,IF(Inputs!$B$22="Premium Offset",MAX(0,Inputs!$B$25-(Q214+T214)),Inputs!$B$25),0))</f>
        <v>77</v>
      </c>
      <c r="V214" s="10" t="n">
        <f aca="false">IF(A214="","",IF(Inputs!$B$22="Cash",Q214,0))</f>
        <v>0</v>
      </c>
      <c r="W214" s="10" t="n">
        <f aca="false">IF(A214="","",IF(Inputs!$B$22="PUA",Q214,0))</f>
        <v>0</v>
      </c>
      <c r="X214" s="12" t="n">
        <f aca="false">IF(A214="","",IFERROR(INDEX(PUA_TABLE!$D$4:$D$105,MATCH(E214,PUA_TABLE!$C$4:$C$105,1)),0))</f>
        <v>0.439079667929651</v>
      </c>
      <c r="Y214" s="10" t="n">
        <f aca="false">IF(A214="","",IF(W214&gt;0,IF(X214&gt;0,W214/X214,0),0))</f>
        <v>0</v>
      </c>
      <c r="Z214" s="10" t="n">
        <f aca="false">IF(A214="","",N214+Y214)</f>
        <v>0</v>
      </c>
      <c r="AA214" s="10" t="n">
        <f aca="false">IF(A214="","",IFERROR(Z214*INDEX(PUA_TABLE!$I$4:$I$105,MATCH(E214,PUA_TABLE!$C$4:$C$105,1))/1000,0))</f>
        <v>0</v>
      </c>
      <c r="AB214" s="10" t="n">
        <f aca="false">IF(A214="","",IFERROR(L214+AA214,0))</f>
        <v>22273.4486317821</v>
      </c>
      <c r="AC214" s="10" t="n">
        <f aca="false">IF(A214="","",IF(Inputs!$B$22="Premium Offset",MIN(Inputs!$B$25,Q214+T214),0))</f>
        <v>0</v>
      </c>
    </row>
    <row r="215" customFormat="false" ht="15" hidden="false" customHeight="false" outlineLevel="0" collapsed="false">
      <c r="A215" s="1" t="n">
        <f aca="false">IF(A214="","",IF(INT((C214+1)/12)+Inputs!$B$7&gt;MAX(MORTALITY!$A:$A),"",Inputs!$B$4))</f>
        <v>34</v>
      </c>
      <c r="B215" s="3" t="n">
        <f aca="false">IF(A215="","",EOMONTH(B214,1))</f>
        <v>28215</v>
      </c>
      <c r="C215" s="1" t="n">
        <f aca="false">IF(A215="","",C214+1)</f>
        <v>213</v>
      </c>
      <c r="D215" s="1" t="n">
        <f aca="false">IF(A215="","",INT(C215/12))</f>
        <v>17</v>
      </c>
      <c r="E215" s="1" t="n">
        <f aca="false">IF(A215="","",D215+Inputs!$B$7)</f>
        <v>33</v>
      </c>
      <c r="F215" s="3" t="n">
        <f aca="false">IF(A215="","",DATE(YEAR(B$2)+D215,MONTH(B$2),DAY(B$2)))</f>
        <v>27916</v>
      </c>
      <c r="G215" s="3" t="n">
        <f aca="false">IF(A215="","",DATE(YEAR(F215)+1,MONTH(F215),DAY(F215)))</f>
        <v>28281</v>
      </c>
      <c r="H215" s="10" t="n">
        <f aca="false">IF(A215="","",IF(G215&gt;F215,(B215-F215)/(G215-F215),0))</f>
        <v>0.819178082191781</v>
      </c>
      <c r="I215" s="10" t="n">
        <f aca="false">IF(A215="","",IFERROR(INDEX(CV_RATES!$I:$I,MATCH(D215,CV_RATES!$C:$C,0)),0))</f>
        <v>439.079667929651</v>
      </c>
      <c r="J215" s="10" t="n">
        <f aca="false">IF(A215="","",IFERROR(IF(E215=MAX(MORTALITY!$A:$A),1000,INDEX(CV_RATES!$J:$J,MATCH(D215,CV_RATES!$C:$C,0))),0))</f>
        <v>447.781519488184</v>
      </c>
      <c r="K215" s="10" t="n">
        <f aca="false">IF(A215="","",IFERROR(I215+H215*(J215-I215),0))</f>
        <v>446.208034000887</v>
      </c>
      <c r="L215" s="10" t="n">
        <f aca="false">IF(A215="","",IFERROR(K215*Inputs!$B$9,0))</f>
        <v>22310.4017000444</v>
      </c>
      <c r="M215" s="10" t="n">
        <f aca="false">IF(A215="","",IFERROR(K215*Inputs!$B$10,0))</f>
        <v>71391.94681604</v>
      </c>
      <c r="N215" s="10" t="n">
        <f aca="false">IF(A215="","",Z214)</f>
        <v>0</v>
      </c>
      <c r="O215" s="6" t="n">
        <f aca="false">IF(A215="","",Inputs!$B$18+N215)</f>
        <v>50000</v>
      </c>
      <c r="P215" s="5" t="n">
        <f aca="false">IF(A215="","",VLOOKUP(D215,DIvidend_Assumption!$A$3:$CX$103,($E$2+2),0)/12)</f>
        <v>0</v>
      </c>
      <c r="Q215" s="10" t="n">
        <f aca="false">IF(A215="","",IFERROR(AB214*P215,""))</f>
        <v>0</v>
      </c>
      <c r="R215" s="10" t="n">
        <f aca="false">IF(A215="","",IFERROR(IF(Inputs!$B$22="Accumulate",T215+Q215,IF(Inputs!$B$22="Premium Offset",MAX(0,T215+Q215-Inputs!$B$25),T215)),""))</f>
        <v>0</v>
      </c>
      <c r="S215" s="10" t="n">
        <f aca="false">IF(A215="","",R214)</f>
        <v>0</v>
      </c>
      <c r="T215" s="10" t="n">
        <f aca="false">IF(A215="","",IFERROR(S215*(1+Inputs!$B$23/12),""))</f>
        <v>0</v>
      </c>
      <c r="U215" s="6" t="n">
        <f aca="false">IF(A215="","",IF(D215&lt;=Inputs!$B$8,IF(Inputs!$B$22="Premium Offset",MAX(0,Inputs!$B$25-(Q215+T215)),Inputs!$B$25),0))</f>
        <v>77</v>
      </c>
      <c r="V215" s="10" t="n">
        <f aca="false">IF(A215="","",IF(Inputs!$B$22="Cash",Q215,0))</f>
        <v>0</v>
      </c>
      <c r="W215" s="10" t="n">
        <f aca="false">IF(A215="","",IF(Inputs!$B$22="PUA",Q215,0))</f>
        <v>0</v>
      </c>
      <c r="X215" s="12" t="n">
        <f aca="false">IF(A215="","",IFERROR(INDEX(PUA_TABLE!$D$4:$D$105,MATCH(E215,PUA_TABLE!$C$4:$C$105,1)),0))</f>
        <v>0.439079667929651</v>
      </c>
      <c r="Y215" s="10" t="n">
        <f aca="false">IF(A215="","",IF(W215&gt;0,IF(X215&gt;0,W215/X215,0),0))</f>
        <v>0</v>
      </c>
      <c r="Z215" s="10" t="n">
        <f aca="false">IF(A215="","",N215+Y215)</f>
        <v>0</v>
      </c>
      <c r="AA215" s="10" t="n">
        <f aca="false">IF(A215="","",IFERROR(Z215*INDEX(PUA_TABLE!$I$4:$I$105,MATCH(E215,PUA_TABLE!$C$4:$C$105,1))/1000,0))</f>
        <v>0</v>
      </c>
      <c r="AB215" s="10" t="n">
        <f aca="false">IF(A215="","",IFERROR(L215+AA215,0))</f>
        <v>22310.4017000444</v>
      </c>
      <c r="AC215" s="10" t="n">
        <f aca="false">IF(A215="","",IF(Inputs!$B$22="Premium Offset",MIN(Inputs!$B$25,Q215+T215),0))</f>
        <v>0</v>
      </c>
    </row>
    <row r="216" customFormat="false" ht="15" hidden="false" customHeight="false" outlineLevel="0" collapsed="false">
      <c r="A216" s="1" t="n">
        <f aca="false">IF(A215="","",IF(INT((C215+1)/12)+Inputs!$B$7&gt;MAX(MORTALITY!$A:$A),"",Inputs!$B$4))</f>
        <v>34</v>
      </c>
      <c r="B216" s="3" t="n">
        <f aca="false">IF(A216="","",EOMONTH(B215,1))</f>
        <v>28245</v>
      </c>
      <c r="C216" s="1" t="n">
        <f aca="false">IF(A216="","",C215+1)</f>
        <v>214</v>
      </c>
      <c r="D216" s="1" t="n">
        <f aca="false">IF(A216="","",INT(C216/12))</f>
        <v>17</v>
      </c>
      <c r="E216" s="1" t="n">
        <f aca="false">IF(A216="","",D216+Inputs!$B$7)</f>
        <v>33</v>
      </c>
      <c r="F216" s="3" t="n">
        <f aca="false">IF(A216="","",DATE(YEAR(B$2)+D216,MONTH(B$2),DAY(B$2)))</f>
        <v>27916</v>
      </c>
      <c r="G216" s="3" t="n">
        <f aca="false">IF(A216="","",DATE(YEAR(F216)+1,MONTH(F216),DAY(F216)))</f>
        <v>28281</v>
      </c>
      <c r="H216" s="10" t="n">
        <f aca="false">IF(A216="","",IF(G216&gt;F216,(B216-F216)/(G216-F216),0))</f>
        <v>0.901369863013699</v>
      </c>
      <c r="I216" s="10" t="n">
        <f aca="false">IF(A216="","",IFERROR(INDEX(CV_RATES!$I:$I,MATCH(D216,CV_RATES!$C:$C,0)),0))</f>
        <v>439.079667929651</v>
      </c>
      <c r="J216" s="10" t="n">
        <f aca="false">IF(A216="","",IFERROR(IF(E216=MAX(MORTALITY!$A:$A),1000,INDEX(CV_RATES!$J:$J,MATCH(D216,CV_RATES!$C:$C,0))),0))</f>
        <v>447.781519488184</v>
      </c>
      <c r="K216" s="10" t="n">
        <f aca="false">IF(A216="","",IFERROR(I216+H216*(J216-I216),0))</f>
        <v>446.923254676931</v>
      </c>
      <c r="L216" s="10" t="n">
        <f aca="false">IF(A216="","",IFERROR(K216*Inputs!$B$9,0))</f>
        <v>22346.1627338466</v>
      </c>
      <c r="M216" s="10" t="n">
        <f aca="false">IF(A216="","",IFERROR(K216*Inputs!$B$10,0))</f>
        <v>71506.379978545</v>
      </c>
      <c r="N216" s="10" t="n">
        <f aca="false">IF(A216="","",Z215)</f>
        <v>0</v>
      </c>
      <c r="O216" s="6" t="n">
        <f aca="false">IF(A216="","",Inputs!$B$18+N216)</f>
        <v>50000</v>
      </c>
      <c r="P216" s="5" t="n">
        <f aca="false">IF(A216="","",VLOOKUP(D216,DIvidend_Assumption!$A$3:$CX$103,($E$2+2),0)/12)</f>
        <v>0</v>
      </c>
      <c r="Q216" s="10" t="n">
        <f aca="false">IF(A216="","",IFERROR(AB215*P216,""))</f>
        <v>0</v>
      </c>
      <c r="R216" s="10" t="n">
        <f aca="false">IF(A216="","",IFERROR(IF(Inputs!$B$22="Accumulate",T216+Q216,IF(Inputs!$B$22="Premium Offset",MAX(0,T216+Q216-Inputs!$B$25),T216)),""))</f>
        <v>0</v>
      </c>
      <c r="S216" s="10" t="n">
        <f aca="false">IF(A216="","",R215)</f>
        <v>0</v>
      </c>
      <c r="T216" s="10" t="n">
        <f aca="false">IF(A216="","",IFERROR(S216*(1+Inputs!$B$23/12),""))</f>
        <v>0</v>
      </c>
      <c r="U216" s="6" t="n">
        <f aca="false">IF(A216="","",IF(D216&lt;=Inputs!$B$8,IF(Inputs!$B$22="Premium Offset",MAX(0,Inputs!$B$25-(Q216+T216)),Inputs!$B$25),0))</f>
        <v>77</v>
      </c>
      <c r="V216" s="10" t="n">
        <f aca="false">IF(A216="","",IF(Inputs!$B$22="Cash",Q216,0))</f>
        <v>0</v>
      </c>
      <c r="W216" s="10" t="n">
        <f aca="false">IF(A216="","",IF(Inputs!$B$22="PUA",Q216,0))</f>
        <v>0</v>
      </c>
      <c r="X216" s="12" t="n">
        <f aca="false">IF(A216="","",IFERROR(INDEX(PUA_TABLE!$D$4:$D$105,MATCH(E216,PUA_TABLE!$C$4:$C$105,1)),0))</f>
        <v>0.439079667929651</v>
      </c>
      <c r="Y216" s="10" t="n">
        <f aca="false">IF(A216="","",IF(W216&gt;0,IF(X216&gt;0,W216/X216,0),0))</f>
        <v>0</v>
      </c>
      <c r="Z216" s="10" t="n">
        <f aca="false">IF(A216="","",N216+Y216)</f>
        <v>0</v>
      </c>
      <c r="AA216" s="10" t="n">
        <f aca="false">IF(A216="","",IFERROR(Z216*INDEX(PUA_TABLE!$I$4:$I$105,MATCH(E216,PUA_TABLE!$C$4:$C$105,1))/1000,0))</f>
        <v>0</v>
      </c>
      <c r="AB216" s="10" t="n">
        <f aca="false">IF(A216="","",IFERROR(L216+AA216,0))</f>
        <v>22346.1627338466</v>
      </c>
      <c r="AC216" s="10" t="n">
        <f aca="false">IF(A216="","",IF(Inputs!$B$22="Premium Offset",MIN(Inputs!$B$25,Q216+T216),0))</f>
        <v>0</v>
      </c>
    </row>
    <row r="217" customFormat="false" ht="15" hidden="false" customHeight="false" outlineLevel="0" collapsed="false">
      <c r="A217" s="1" t="n">
        <f aca="false">IF(A216="","",IF(INT((C216+1)/12)+Inputs!$B$7&gt;MAX(MORTALITY!$A:$A),"",Inputs!$B$4))</f>
        <v>34</v>
      </c>
      <c r="B217" s="3" t="n">
        <f aca="false">IF(A217="","",EOMONTH(B216,1))</f>
        <v>28276</v>
      </c>
      <c r="C217" s="1" t="n">
        <f aca="false">IF(A217="","",C216+1)</f>
        <v>215</v>
      </c>
      <c r="D217" s="1" t="n">
        <f aca="false">IF(A217="","",INT(C217/12))</f>
        <v>17</v>
      </c>
      <c r="E217" s="1" t="n">
        <f aca="false">IF(A217="","",D217+Inputs!$B$7)</f>
        <v>33</v>
      </c>
      <c r="F217" s="3" t="n">
        <f aca="false">IF(A217="","",DATE(YEAR(B$2)+D217,MONTH(B$2),DAY(B$2)))</f>
        <v>27916</v>
      </c>
      <c r="G217" s="3" t="n">
        <f aca="false">IF(A217="","",DATE(YEAR(F217)+1,MONTH(F217),DAY(F217)))</f>
        <v>28281</v>
      </c>
      <c r="H217" s="10" t="n">
        <f aca="false">IF(A217="","",IF(G217&gt;F217,(B217-F217)/(G217-F217),0))</f>
        <v>0.986301369863014</v>
      </c>
      <c r="I217" s="10" t="n">
        <f aca="false">IF(A217="","",IFERROR(INDEX(CV_RATES!$I:$I,MATCH(D217,CV_RATES!$C:$C,0)),0))</f>
        <v>439.079667929651</v>
      </c>
      <c r="J217" s="10" t="n">
        <f aca="false">IF(A217="","",IFERROR(IF(E217=MAX(MORTALITY!$A:$A),1000,INDEX(CV_RATES!$J:$J,MATCH(D217,CV_RATES!$C:$C,0))),0))</f>
        <v>447.781519488184</v>
      </c>
      <c r="K217" s="10" t="n">
        <f aca="false">IF(A217="","",IFERROR(I217+H217*(J217-I217),0))</f>
        <v>447.662316042176</v>
      </c>
      <c r="L217" s="10" t="n">
        <f aca="false">IF(A217="","",IFERROR(K217*Inputs!$B$9,0))</f>
        <v>22383.1158021088</v>
      </c>
      <c r="M217" s="10" t="n">
        <f aca="false">IF(A217="","",IFERROR(K217*Inputs!$B$10,0))</f>
        <v>71624.6275798001</v>
      </c>
      <c r="N217" s="10" t="n">
        <f aca="false">IF(A217="","",Z216)</f>
        <v>0</v>
      </c>
      <c r="O217" s="6" t="n">
        <f aca="false">IF(A217="","",Inputs!$B$18+N217)</f>
        <v>50000</v>
      </c>
      <c r="P217" s="5" t="n">
        <f aca="false">IF(A217="","",VLOOKUP(D217,DIvidend_Assumption!$A$3:$CX$103,($E$2+2),0)/12)</f>
        <v>0</v>
      </c>
      <c r="Q217" s="10" t="n">
        <f aca="false">IF(A217="","",IFERROR(AB216*P217,""))</f>
        <v>0</v>
      </c>
      <c r="R217" s="10" t="n">
        <f aca="false">IF(A217="","",IFERROR(IF(Inputs!$B$22="Accumulate",T217+Q217,IF(Inputs!$B$22="Premium Offset",MAX(0,T217+Q217-Inputs!$B$25),T217)),""))</f>
        <v>0</v>
      </c>
      <c r="S217" s="10" t="n">
        <f aca="false">IF(A217="","",R216)</f>
        <v>0</v>
      </c>
      <c r="T217" s="10" t="n">
        <f aca="false">IF(A217="","",IFERROR(S217*(1+Inputs!$B$23/12),""))</f>
        <v>0</v>
      </c>
      <c r="U217" s="6" t="n">
        <f aca="false">IF(A217="","",IF(D217&lt;=Inputs!$B$8,IF(Inputs!$B$22="Premium Offset",MAX(0,Inputs!$B$25-(Q217+T217)),Inputs!$B$25),0))</f>
        <v>77</v>
      </c>
      <c r="V217" s="10" t="n">
        <f aca="false">IF(A217="","",IF(Inputs!$B$22="Cash",Q217,0))</f>
        <v>0</v>
      </c>
      <c r="W217" s="10" t="n">
        <f aca="false">IF(A217="","",IF(Inputs!$B$22="PUA",Q217,0))</f>
        <v>0</v>
      </c>
      <c r="X217" s="12" t="n">
        <f aca="false">IF(A217="","",IFERROR(INDEX(PUA_TABLE!$D$4:$D$105,MATCH(E217,PUA_TABLE!$C$4:$C$105,1)),0))</f>
        <v>0.439079667929651</v>
      </c>
      <c r="Y217" s="10" t="n">
        <f aca="false">IF(A217="","",IF(W217&gt;0,IF(X217&gt;0,W217/X217,0),0))</f>
        <v>0</v>
      </c>
      <c r="Z217" s="10" t="n">
        <f aca="false">IF(A217="","",N217+Y217)</f>
        <v>0</v>
      </c>
      <c r="AA217" s="10" t="n">
        <f aca="false">IF(A217="","",IFERROR(Z217*INDEX(PUA_TABLE!$I$4:$I$105,MATCH(E217,PUA_TABLE!$C$4:$C$105,1))/1000,0))</f>
        <v>0</v>
      </c>
      <c r="AB217" s="10" t="n">
        <f aca="false">IF(A217="","",IFERROR(L217+AA217,0))</f>
        <v>22383.1158021088</v>
      </c>
      <c r="AC217" s="10" t="n">
        <f aca="false">IF(A217="","",IF(Inputs!$B$22="Premium Offset",MIN(Inputs!$B$25,Q217+T217),0))</f>
        <v>0</v>
      </c>
    </row>
    <row r="218" customFormat="false" ht="15" hidden="false" customHeight="false" outlineLevel="0" collapsed="false">
      <c r="A218" s="1" t="n">
        <f aca="false">IF(A217="","",IF(INT((C217+1)/12)+Inputs!$B$7&gt;MAX(MORTALITY!$A:$A),"",Inputs!$B$4))</f>
        <v>34</v>
      </c>
      <c r="B218" s="3" t="n">
        <f aca="false">IF(A218="","",EOMONTH(B217,1))</f>
        <v>28306</v>
      </c>
      <c r="C218" s="1" t="n">
        <f aca="false">IF(A218="","",C217+1)</f>
        <v>216</v>
      </c>
      <c r="D218" s="1" t="n">
        <f aca="false">IF(A218="","",INT(C218/12))</f>
        <v>18</v>
      </c>
      <c r="E218" s="1" t="n">
        <f aca="false">IF(A218="","",D218+Inputs!$B$7)</f>
        <v>34</v>
      </c>
      <c r="F218" s="3" t="n">
        <f aca="false">IF(A218="","",DATE(YEAR(B$2)+D218,MONTH(B$2),DAY(B$2)))</f>
        <v>28281</v>
      </c>
      <c r="G218" s="3" t="n">
        <f aca="false">IF(A218="","",DATE(YEAR(F218)+1,MONTH(F218),DAY(F218)))</f>
        <v>28646</v>
      </c>
      <c r="H218" s="10" t="n">
        <f aca="false">IF(A218="","",IF(G218&gt;F218,(B218-F218)/(G218-F218),0))</f>
        <v>0.0684931506849315</v>
      </c>
      <c r="I218" s="10" t="n">
        <f aca="false">IF(A218="","",IFERROR(INDEX(CV_RATES!$I:$I,MATCH(D218,CV_RATES!$C:$C,0)),0))</f>
        <v>447.781519488184</v>
      </c>
      <c r="J218" s="10" t="n">
        <f aca="false">IF(A218="","",IFERROR(IF(E218=MAX(MORTALITY!$A:$A),1000,INDEX(CV_RATES!$J:$J,MATCH(D218,CV_RATES!$C:$C,0))),0))</f>
        <v>456.612321072052</v>
      </c>
      <c r="K218" s="10" t="n">
        <f aca="false">IF(A218="","",IFERROR(I218+H218*(J218-I218),0))</f>
        <v>448.386368911736</v>
      </c>
      <c r="L218" s="10" t="n">
        <f aca="false">IF(A218="","",IFERROR(K218*Inputs!$B$9,0))</f>
        <v>22419.3184455868</v>
      </c>
      <c r="M218" s="10" t="n">
        <f aca="false">IF(A218="","",IFERROR(K218*Inputs!$B$10,0))</f>
        <v>71740.4738667711</v>
      </c>
      <c r="N218" s="10" t="n">
        <f aca="false">IF(A218="","",Z217)</f>
        <v>0</v>
      </c>
      <c r="O218" s="6" t="n">
        <f aca="false">IF(A218="","",Inputs!$B$18+N218)</f>
        <v>50000</v>
      </c>
      <c r="P218" s="5" t="n">
        <f aca="false">IF(A218="","",VLOOKUP(D218,DIvidend_Assumption!$A$3:$CX$103,($E$2+2),0)/12)</f>
        <v>0</v>
      </c>
      <c r="Q218" s="10" t="n">
        <f aca="false">IF(A218="","",IFERROR(AB217*P218,""))</f>
        <v>0</v>
      </c>
      <c r="R218" s="10" t="n">
        <f aca="false">IF(A218="","",IFERROR(IF(Inputs!$B$22="Accumulate",T218+Q218,IF(Inputs!$B$22="Premium Offset",MAX(0,T218+Q218-Inputs!$B$25),T218)),""))</f>
        <v>0</v>
      </c>
      <c r="S218" s="10" t="n">
        <f aca="false">IF(A218="","",R217)</f>
        <v>0</v>
      </c>
      <c r="T218" s="10" t="n">
        <f aca="false">IF(A218="","",IFERROR(S218*(1+Inputs!$B$23/12),""))</f>
        <v>0</v>
      </c>
      <c r="U218" s="6" t="n">
        <f aca="false">IF(A218="","",IF(D218&lt;=Inputs!$B$8,IF(Inputs!$B$22="Premium Offset",MAX(0,Inputs!$B$25-(Q218+T218)),Inputs!$B$25),0))</f>
        <v>77</v>
      </c>
      <c r="V218" s="10" t="n">
        <f aca="false">IF(A218="","",IF(Inputs!$B$22="Cash",Q218,0))</f>
        <v>0</v>
      </c>
      <c r="W218" s="10" t="n">
        <f aca="false">IF(A218="","",IF(Inputs!$B$22="PUA",Q218,0))</f>
        <v>0</v>
      </c>
      <c r="X218" s="12" t="n">
        <f aca="false">IF(A218="","",IFERROR(INDEX(PUA_TABLE!$D$4:$D$105,MATCH(E218,PUA_TABLE!$C$4:$C$105,1)),0))</f>
        <v>0.447781519488184</v>
      </c>
      <c r="Y218" s="10" t="n">
        <f aca="false">IF(A218="","",IF(W218&gt;0,IF(X218&gt;0,W218/X218,0),0))</f>
        <v>0</v>
      </c>
      <c r="Z218" s="10" t="n">
        <f aca="false">IF(A218="","",N218+Y218)</f>
        <v>0</v>
      </c>
      <c r="AA218" s="10" t="n">
        <f aca="false">IF(A218="","",IFERROR(Z218*INDEX(PUA_TABLE!$I$4:$I$105,MATCH(E218,PUA_TABLE!$C$4:$C$105,1))/1000,0))</f>
        <v>0</v>
      </c>
      <c r="AB218" s="10" t="n">
        <f aca="false">IF(A218="","",IFERROR(L218+AA218,0))</f>
        <v>22419.3184455868</v>
      </c>
      <c r="AC218" s="10" t="n">
        <f aca="false">IF(A218="","",IF(Inputs!$B$22="Premium Offset",MIN(Inputs!$B$25,Q218+T218),0))</f>
        <v>0</v>
      </c>
    </row>
    <row r="219" customFormat="false" ht="15" hidden="false" customHeight="false" outlineLevel="0" collapsed="false">
      <c r="A219" s="1" t="n">
        <f aca="false">IF(A218="","",IF(INT((C218+1)/12)+Inputs!$B$7&gt;MAX(MORTALITY!$A:$A),"",Inputs!$B$4))</f>
        <v>34</v>
      </c>
      <c r="B219" s="3" t="n">
        <f aca="false">IF(A219="","",EOMONTH(B218,1))</f>
        <v>28337</v>
      </c>
      <c r="C219" s="1" t="n">
        <f aca="false">IF(A219="","",C218+1)</f>
        <v>217</v>
      </c>
      <c r="D219" s="1" t="n">
        <f aca="false">IF(A219="","",INT(C219/12))</f>
        <v>18</v>
      </c>
      <c r="E219" s="1" t="n">
        <f aca="false">IF(A219="","",D219+Inputs!$B$7)</f>
        <v>34</v>
      </c>
      <c r="F219" s="3" t="n">
        <f aca="false">IF(A219="","",DATE(YEAR(B$2)+D219,MONTH(B$2),DAY(B$2)))</f>
        <v>28281</v>
      </c>
      <c r="G219" s="3" t="n">
        <f aca="false">IF(A219="","",DATE(YEAR(F219)+1,MONTH(F219),DAY(F219)))</f>
        <v>28646</v>
      </c>
      <c r="H219" s="10" t="n">
        <f aca="false">IF(A219="","",IF(G219&gt;F219,(B219-F219)/(G219-F219),0))</f>
        <v>0.153424657534247</v>
      </c>
      <c r="I219" s="10" t="n">
        <f aca="false">IF(A219="","",IFERROR(INDEX(CV_RATES!$I:$I,MATCH(D219,CV_RATES!$C:$C,0)),0))</f>
        <v>447.781519488184</v>
      </c>
      <c r="J219" s="10" t="n">
        <f aca="false">IF(A219="","",IFERROR(IF(E219=MAX(MORTALITY!$A:$A),1000,INDEX(CV_RATES!$J:$J,MATCH(D219,CV_RATES!$C:$C,0))),0))</f>
        <v>456.612321072052</v>
      </c>
      <c r="K219" s="10" t="n">
        <f aca="false">IF(A219="","",IFERROR(I219+H219*(J219-I219),0))</f>
        <v>449.136382196942</v>
      </c>
      <c r="L219" s="10" t="n">
        <f aca="false">IF(A219="","",IFERROR(K219*Inputs!$B$9,0))</f>
        <v>22456.8191098471</v>
      </c>
      <c r="M219" s="10" t="n">
        <f aca="false">IF(A219="","",IFERROR(K219*Inputs!$B$10,0))</f>
        <v>71860.4737423641</v>
      </c>
      <c r="N219" s="10" t="n">
        <f aca="false">IF(A219="","",Z218)</f>
        <v>0</v>
      </c>
      <c r="O219" s="6" t="n">
        <f aca="false">IF(A219="","",Inputs!$B$18+N219)</f>
        <v>50000</v>
      </c>
      <c r="P219" s="5" t="n">
        <f aca="false">IF(A219="","",VLOOKUP(D219,DIvidend_Assumption!$A$3:$CX$103,($E$2+2),0)/12)</f>
        <v>0</v>
      </c>
      <c r="Q219" s="10" t="n">
        <f aca="false">IF(A219="","",IFERROR(AB218*P219,""))</f>
        <v>0</v>
      </c>
      <c r="R219" s="10" t="n">
        <f aca="false">IF(A219="","",IFERROR(IF(Inputs!$B$22="Accumulate",T219+Q219,IF(Inputs!$B$22="Premium Offset",MAX(0,T219+Q219-Inputs!$B$25),T219)),""))</f>
        <v>0</v>
      </c>
      <c r="S219" s="10" t="n">
        <f aca="false">IF(A219="","",R218)</f>
        <v>0</v>
      </c>
      <c r="T219" s="10" t="n">
        <f aca="false">IF(A219="","",IFERROR(S219*(1+Inputs!$B$23/12),""))</f>
        <v>0</v>
      </c>
      <c r="U219" s="6" t="n">
        <f aca="false">IF(A219="","",IF(D219&lt;=Inputs!$B$8,IF(Inputs!$B$22="Premium Offset",MAX(0,Inputs!$B$25-(Q219+T219)),Inputs!$B$25),0))</f>
        <v>77</v>
      </c>
      <c r="V219" s="10" t="n">
        <f aca="false">IF(A219="","",IF(Inputs!$B$22="Cash",Q219,0))</f>
        <v>0</v>
      </c>
      <c r="W219" s="10" t="n">
        <f aca="false">IF(A219="","",IF(Inputs!$B$22="PUA",Q219,0))</f>
        <v>0</v>
      </c>
      <c r="X219" s="12" t="n">
        <f aca="false">IF(A219="","",IFERROR(INDEX(PUA_TABLE!$D$4:$D$105,MATCH(E219,PUA_TABLE!$C$4:$C$105,1)),0))</f>
        <v>0.447781519488184</v>
      </c>
      <c r="Y219" s="10" t="n">
        <f aca="false">IF(A219="","",IF(W219&gt;0,IF(X219&gt;0,W219/X219,0),0))</f>
        <v>0</v>
      </c>
      <c r="Z219" s="10" t="n">
        <f aca="false">IF(A219="","",N219+Y219)</f>
        <v>0</v>
      </c>
      <c r="AA219" s="10" t="n">
        <f aca="false">IF(A219="","",IFERROR(Z219*INDEX(PUA_TABLE!$I$4:$I$105,MATCH(E219,PUA_TABLE!$C$4:$C$105,1))/1000,0))</f>
        <v>0</v>
      </c>
      <c r="AB219" s="10" t="n">
        <f aca="false">IF(A219="","",IFERROR(L219+AA219,0))</f>
        <v>22456.8191098471</v>
      </c>
      <c r="AC219" s="10" t="n">
        <f aca="false">IF(A219="","",IF(Inputs!$B$22="Premium Offset",MIN(Inputs!$B$25,Q219+T219),0))</f>
        <v>0</v>
      </c>
    </row>
    <row r="220" customFormat="false" ht="15" hidden="false" customHeight="false" outlineLevel="0" collapsed="false">
      <c r="A220" s="1" t="n">
        <f aca="false">IF(A219="","",IF(INT((C219+1)/12)+Inputs!$B$7&gt;MAX(MORTALITY!$A:$A),"",Inputs!$B$4))</f>
        <v>34</v>
      </c>
      <c r="B220" s="3" t="n">
        <f aca="false">IF(A220="","",EOMONTH(B219,1))</f>
        <v>28368</v>
      </c>
      <c r="C220" s="1" t="n">
        <f aca="false">IF(A220="","",C219+1)</f>
        <v>218</v>
      </c>
      <c r="D220" s="1" t="n">
        <f aca="false">IF(A220="","",INT(C220/12))</f>
        <v>18</v>
      </c>
      <c r="E220" s="1" t="n">
        <f aca="false">IF(A220="","",D220+Inputs!$B$7)</f>
        <v>34</v>
      </c>
      <c r="F220" s="3" t="n">
        <f aca="false">IF(A220="","",DATE(YEAR(B$2)+D220,MONTH(B$2),DAY(B$2)))</f>
        <v>28281</v>
      </c>
      <c r="G220" s="3" t="n">
        <f aca="false">IF(A220="","",DATE(YEAR(F220)+1,MONTH(F220),DAY(F220)))</f>
        <v>28646</v>
      </c>
      <c r="H220" s="10" t="n">
        <f aca="false">IF(A220="","",IF(G220&gt;F220,(B220-F220)/(G220-F220),0))</f>
        <v>0.238356164383562</v>
      </c>
      <c r="I220" s="10" t="n">
        <f aca="false">IF(A220="","",IFERROR(INDEX(CV_RATES!$I:$I,MATCH(D220,CV_RATES!$C:$C,0)),0))</f>
        <v>447.781519488184</v>
      </c>
      <c r="J220" s="10" t="n">
        <f aca="false">IF(A220="","",IFERROR(IF(E220=MAX(MORTALITY!$A:$A),1000,INDEX(CV_RATES!$J:$J,MATCH(D220,CV_RATES!$C:$C,0))),0))</f>
        <v>456.612321072052</v>
      </c>
      <c r="K220" s="10" t="n">
        <f aca="false">IF(A220="","",IFERROR(I220+H220*(J220-I220),0))</f>
        <v>449.886395482147</v>
      </c>
      <c r="L220" s="10" t="n">
        <f aca="false">IF(A220="","",IFERROR(K220*Inputs!$B$9,0))</f>
        <v>22494.3197741073</v>
      </c>
      <c r="M220" s="10" t="n">
        <f aca="false">IF(A220="","",IFERROR(K220*Inputs!$B$10,0))</f>
        <v>71980.473617957</v>
      </c>
      <c r="N220" s="10" t="n">
        <f aca="false">IF(A220="","",Z219)</f>
        <v>0</v>
      </c>
      <c r="O220" s="6" t="n">
        <f aca="false">IF(A220="","",Inputs!$B$18+N220)</f>
        <v>50000</v>
      </c>
      <c r="P220" s="5" t="n">
        <f aca="false">IF(A220="","",VLOOKUP(D220,DIvidend_Assumption!$A$3:$CX$103,($E$2+2),0)/12)</f>
        <v>0</v>
      </c>
      <c r="Q220" s="10" t="n">
        <f aca="false">IF(A220="","",IFERROR(AB219*P220,""))</f>
        <v>0</v>
      </c>
      <c r="R220" s="10" t="n">
        <f aca="false">IF(A220="","",IFERROR(IF(Inputs!$B$22="Accumulate",T220+Q220,IF(Inputs!$B$22="Premium Offset",MAX(0,T220+Q220-Inputs!$B$25),T220)),""))</f>
        <v>0</v>
      </c>
      <c r="S220" s="10" t="n">
        <f aca="false">IF(A220="","",R219)</f>
        <v>0</v>
      </c>
      <c r="T220" s="10" t="n">
        <f aca="false">IF(A220="","",IFERROR(S220*(1+Inputs!$B$23/12),""))</f>
        <v>0</v>
      </c>
      <c r="U220" s="6" t="n">
        <f aca="false">IF(A220="","",IF(D220&lt;=Inputs!$B$8,IF(Inputs!$B$22="Premium Offset",MAX(0,Inputs!$B$25-(Q220+T220)),Inputs!$B$25),0))</f>
        <v>77</v>
      </c>
      <c r="V220" s="10" t="n">
        <f aca="false">IF(A220="","",IF(Inputs!$B$22="Cash",Q220,0))</f>
        <v>0</v>
      </c>
      <c r="W220" s="10" t="n">
        <f aca="false">IF(A220="","",IF(Inputs!$B$22="PUA",Q220,0))</f>
        <v>0</v>
      </c>
      <c r="X220" s="12" t="n">
        <f aca="false">IF(A220="","",IFERROR(INDEX(PUA_TABLE!$D$4:$D$105,MATCH(E220,PUA_TABLE!$C$4:$C$105,1)),0))</f>
        <v>0.447781519488184</v>
      </c>
      <c r="Y220" s="10" t="n">
        <f aca="false">IF(A220="","",IF(W220&gt;0,IF(X220&gt;0,W220/X220,0),0))</f>
        <v>0</v>
      </c>
      <c r="Z220" s="10" t="n">
        <f aca="false">IF(A220="","",N220+Y220)</f>
        <v>0</v>
      </c>
      <c r="AA220" s="10" t="n">
        <f aca="false">IF(A220="","",IFERROR(Z220*INDEX(PUA_TABLE!$I$4:$I$105,MATCH(E220,PUA_TABLE!$C$4:$C$105,1))/1000,0))</f>
        <v>0</v>
      </c>
      <c r="AB220" s="10" t="n">
        <f aca="false">IF(A220="","",IFERROR(L220+AA220,0))</f>
        <v>22494.3197741073</v>
      </c>
      <c r="AC220" s="10" t="n">
        <f aca="false">IF(A220="","",IF(Inputs!$B$22="Premium Offset",MIN(Inputs!$B$25,Q220+T220),0))</f>
        <v>0</v>
      </c>
    </row>
    <row r="221" customFormat="false" ht="15" hidden="false" customHeight="false" outlineLevel="0" collapsed="false">
      <c r="A221" s="1" t="n">
        <f aca="false">IF(A220="","",IF(INT((C220+1)/12)+Inputs!$B$7&gt;MAX(MORTALITY!$A:$A),"",Inputs!$B$4))</f>
        <v>34</v>
      </c>
      <c r="B221" s="3" t="n">
        <f aca="false">IF(A221="","",EOMONTH(B220,1))</f>
        <v>28398</v>
      </c>
      <c r="C221" s="1" t="n">
        <f aca="false">IF(A221="","",C220+1)</f>
        <v>219</v>
      </c>
      <c r="D221" s="1" t="n">
        <f aca="false">IF(A221="","",INT(C221/12))</f>
        <v>18</v>
      </c>
      <c r="E221" s="1" t="n">
        <f aca="false">IF(A221="","",D221+Inputs!$B$7)</f>
        <v>34</v>
      </c>
      <c r="F221" s="3" t="n">
        <f aca="false">IF(A221="","",DATE(YEAR(B$2)+D221,MONTH(B$2),DAY(B$2)))</f>
        <v>28281</v>
      </c>
      <c r="G221" s="3" t="n">
        <f aca="false">IF(A221="","",DATE(YEAR(F221)+1,MONTH(F221),DAY(F221)))</f>
        <v>28646</v>
      </c>
      <c r="H221" s="10" t="n">
        <f aca="false">IF(A221="","",IF(G221&gt;F221,(B221-F221)/(G221-F221),0))</f>
        <v>0.320547945205479</v>
      </c>
      <c r="I221" s="10" t="n">
        <f aca="false">IF(A221="","",IFERROR(INDEX(CV_RATES!$I:$I,MATCH(D221,CV_RATES!$C:$C,0)),0))</f>
        <v>447.781519488184</v>
      </c>
      <c r="J221" s="10" t="n">
        <f aca="false">IF(A221="","",IFERROR(IF(E221=MAX(MORTALITY!$A:$A),1000,INDEX(CV_RATES!$J:$J,MATCH(D221,CV_RATES!$C:$C,0))),0))</f>
        <v>456.612321072052</v>
      </c>
      <c r="K221" s="10" t="n">
        <f aca="false">IF(A221="","",IFERROR(I221+H221*(J221-I221),0))</f>
        <v>450.61221479041</v>
      </c>
      <c r="L221" s="10" t="n">
        <f aca="false">IF(A221="","",IFERROR(K221*Inputs!$B$9,0))</f>
        <v>22530.6107395205</v>
      </c>
      <c r="M221" s="10" t="n">
        <f aca="false">IF(A221="","",IFERROR(K221*Inputs!$B$10,0))</f>
        <v>72096.6025298212</v>
      </c>
      <c r="N221" s="10" t="n">
        <f aca="false">IF(A221="","",Z220)</f>
        <v>0</v>
      </c>
      <c r="O221" s="6" t="n">
        <f aca="false">IF(A221="","",Inputs!$B$18+N221)</f>
        <v>50000</v>
      </c>
      <c r="P221" s="5" t="n">
        <f aca="false">IF(A221="","",VLOOKUP(D221,DIvidend_Assumption!$A$3:$CX$103,($E$2+2),0)/12)</f>
        <v>0</v>
      </c>
      <c r="Q221" s="10" t="n">
        <f aca="false">IF(A221="","",IFERROR(AB220*P221,""))</f>
        <v>0</v>
      </c>
      <c r="R221" s="10" t="n">
        <f aca="false">IF(A221="","",IFERROR(IF(Inputs!$B$22="Accumulate",T221+Q221,IF(Inputs!$B$22="Premium Offset",MAX(0,T221+Q221-Inputs!$B$25),T221)),""))</f>
        <v>0</v>
      </c>
      <c r="S221" s="10" t="n">
        <f aca="false">IF(A221="","",R220)</f>
        <v>0</v>
      </c>
      <c r="T221" s="10" t="n">
        <f aca="false">IF(A221="","",IFERROR(S221*(1+Inputs!$B$23/12),""))</f>
        <v>0</v>
      </c>
      <c r="U221" s="6" t="n">
        <f aca="false">IF(A221="","",IF(D221&lt;=Inputs!$B$8,IF(Inputs!$B$22="Premium Offset",MAX(0,Inputs!$B$25-(Q221+T221)),Inputs!$B$25),0))</f>
        <v>77</v>
      </c>
      <c r="V221" s="10" t="n">
        <f aca="false">IF(A221="","",IF(Inputs!$B$22="Cash",Q221,0))</f>
        <v>0</v>
      </c>
      <c r="W221" s="10" t="n">
        <f aca="false">IF(A221="","",IF(Inputs!$B$22="PUA",Q221,0))</f>
        <v>0</v>
      </c>
      <c r="X221" s="12" t="n">
        <f aca="false">IF(A221="","",IFERROR(INDEX(PUA_TABLE!$D$4:$D$105,MATCH(E221,PUA_TABLE!$C$4:$C$105,1)),0))</f>
        <v>0.447781519488184</v>
      </c>
      <c r="Y221" s="10" t="n">
        <f aca="false">IF(A221="","",IF(W221&gt;0,IF(X221&gt;0,W221/X221,0),0))</f>
        <v>0</v>
      </c>
      <c r="Z221" s="10" t="n">
        <f aca="false">IF(A221="","",N221+Y221)</f>
        <v>0</v>
      </c>
      <c r="AA221" s="10" t="n">
        <f aca="false">IF(A221="","",IFERROR(Z221*INDEX(PUA_TABLE!$I$4:$I$105,MATCH(E221,PUA_TABLE!$C$4:$C$105,1))/1000,0))</f>
        <v>0</v>
      </c>
      <c r="AB221" s="10" t="n">
        <f aca="false">IF(A221="","",IFERROR(L221+AA221,0))</f>
        <v>22530.6107395205</v>
      </c>
      <c r="AC221" s="10" t="n">
        <f aca="false">IF(A221="","",IF(Inputs!$B$22="Premium Offset",MIN(Inputs!$B$25,Q221+T221),0))</f>
        <v>0</v>
      </c>
    </row>
    <row r="222" customFormat="false" ht="15" hidden="false" customHeight="false" outlineLevel="0" collapsed="false">
      <c r="A222" s="1" t="n">
        <f aca="false">IF(A221="","",IF(INT((C221+1)/12)+Inputs!$B$7&gt;MAX(MORTALITY!$A:$A),"",Inputs!$B$4))</f>
        <v>34</v>
      </c>
      <c r="B222" s="3" t="n">
        <f aca="false">IF(A222="","",EOMONTH(B221,1))</f>
        <v>28429</v>
      </c>
      <c r="C222" s="1" t="n">
        <f aca="false">IF(A222="","",C221+1)</f>
        <v>220</v>
      </c>
      <c r="D222" s="1" t="n">
        <f aca="false">IF(A222="","",INT(C222/12))</f>
        <v>18</v>
      </c>
      <c r="E222" s="1" t="n">
        <f aca="false">IF(A222="","",D222+Inputs!$B$7)</f>
        <v>34</v>
      </c>
      <c r="F222" s="3" t="n">
        <f aca="false">IF(A222="","",DATE(YEAR(B$2)+D222,MONTH(B$2),DAY(B$2)))</f>
        <v>28281</v>
      </c>
      <c r="G222" s="3" t="n">
        <f aca="false">IF(A222="","",DATE(YEAR(F222)+1,MONTH(F222),DAY(F222)))</f>
        <v>28646</v>
      </c>
      <c r="H222" s="10" t="n">
        <f aca="false">IF(A222="","",IF(G222&gt;F222,(B222-F222)/(G222-F222),0))</f>
        <v>0.405479452054795</v>
      </c>
      <c r="I222" s="10" t="n">
        <f aca="false">IF(A222="","",IFERROR(INDEX(CV_RATES!$I:$I,MATCH(D222,CV_RATES!$C:$C,0)),0))</f>
        <v>447.781519488184</v>
      </c>
      <c r="J222" s="10" t="n">
        <f aca="false">IF(A222="","",IFERROR(IF(E222=MAX(MORTALITY!$A:$A),1000,INDEX(CV_RATES!$J:$J,MATCH(D222,CV_RATES!$C:$C,0))),0))</f>
        <v>456.612321072052</v>
      </c>
      <c r="K222" s="10" t="n">
        <f aca="false">IF(A222="","",IFERROR(I222+H222*(J222-I222),0))</f>
        <v>451.362228075615</v>
      </c>
      <c r="L222" s="10" t="n">
        <f aca="false">IF(A222="","",IFERROR(K222*Inputs!$B$9,0))</f>
        <v>22568.1114037808</v>
      </c>
      <c r="M222" s="10" t="n">
        <f aca="false">IF(A222="","",IFERROR(K222*Inputs!$B$10,0))</f>
        <v>72216.6024054142</v>
      </c>
      <c r="N222" s="10" t="n">
        <f aca="false">IF(A222="","",Z221)</f>
        <v>0</v>
      </c>
      <c r="O222" s="6" t="n">
        <f aca="false">IF(A222="","",Inputs!$B$18+N222)</f>
        <v>50000</v>
      </c>
      <c r="P222" s="5" t="n">
        <f aca="false">IF(A222="","",VLOOKUP(D222,DIvidend_Assumption!$A$3:$CX$103,($E$2+2),0)/12)</f>
        <v>0</v>
      </c>
      <c r="Q222" s="10" t="n">
        <f aca="false">IF(A222="","",IFERROR(AB221*P222,""))</f>
        <v>0</v>
      </c>
      <c r="R222" s="10" t="n">
        <f aca="false">IF(A222="","",IFERROR(IF(Inputs!$B$22="Accumulate",T222+Q222,IF(Inputs!$B$22="Premium Offset",MAX(0,T222+Q222-Inputs!$B$25),T222)),""))</f>
        <v>0</v>
      </c>
      <c r="S222" s="10" t="n">
        <f aca="false">IF(A222="","",R221)</f>
        <v>0</v>
      </c>
      <c r="T222" s="10" t="n">
        <f aca="false">IF(A222="","",IFERROR(S222*(1+Inputs!$B$23/12),""))</f>
        <v>0</v>
      </c>
      <c r="U222" s="6" t="n">
        <f aca="false">IF(A222="","",IF(D222&lt;=Inputs!$B$8,IF(Inputs!$B$22="Premium Offset",MAX(0,Inputs!$B$25-(Q222+T222)),Inputs!$B$25),0))</f>
        <v>77</v>
      </c>
      <c r="V222" s="10" t="n">
        <f aca="false">IF(A222="","",IF(Inputs!$B$22="Cash",Q222,0))</f>
        <v>0</v>
      </c>
      <c r="W222" s="10" t="n">
        <f aca="false">IF(A222="","",IF(Inputs!$B$22="PUA",Q222,0))</f>
        <v>0</v>
      </c>
      <c r="X222" s="12" t="n">
        <f aca="false">IF(A222="","",IFERROR(INDEX(PUA_TABLE!$D$4:$D$105,MATCH(E222,PUA_TABLE!$C$4:$C$105,1)),0))</f>
        <v>0.447781519488184</v>
      </c>
      <c r="Y222" s="10" t="n">
        <f aca="false">IF(A222="","",IF(W222&gt;0,IF(X222&gt;0,W222/X222,0),0))</f>
        <v>0</v>
      </c>
      <c r="Z222" s="10" t="n">
        <f aca="false">IF(A222="","",N222+Y222)</f>
        <v>0</v>
      </c>
      <c r="AA222" s="10" t="n">
        <f aca="false">IF(A222="","",IFERROR(Z222*INDEX(PUA_TABLE!$I$4:$I$105,MATCH(E222,PUA_TABLE!$C$4:$C$105,1))/1000,0))</f>
        <v>0</v>
      </c>
      <c r="AB222" s="10" t="n">
        <f aca="false">IF(A222="","",IFERROR(L222+AA222,0))</f>
        <v>22568.1114037808</v>
      </c>
      <c r="AC222" s="10" t="n">
        <f aca="false">IF(A222="","",IF(Inputs!$B$22="Premium Offset",MIN(Inputs!$B$25,Q222+T222),0))</f>
        <v>0</v>
      </c>
    </row>
    <row r="223" customFormat="false" ht="15" hidden="false" customHeight="false" outlineLevel="0" collapsed="false">
      <c r="A223" s="1" t="n">
        <f aca="false">IF(A222="","",IF(INT((C222+1)/12)+Inputs!$B$7&gt;MAX(MORTALITY!$A:$A),"",Inputs!$B$4))</f>
        <v>34</v>
      </c>
      <c r="B223" s="3" t="n">
        <f aca="false">IF(A223="","",EOMONTH(B222,1))</f>
        <v>28459</v>
      </c>
      <c r="C223" s="1" t="n">
        <f aca="false">IF(A223="","",C222+1)</f>
        <v>221</v>
      </c>
      <c r="D223" s="1" t="n">
        <f aca="false">IF(A223="","",INT(C223/12))</f>
        <v>18</v>
      </c>
      <c r="E223" s="1" t="n">
        <f aca="false">IF(A223="","",D223+Inputs!$B$7)</f>
        <v>34</v>
      </c>
      <c r="F223" s="3" t="n">
        <f aca="false">IF(A223="","",DATE(YEAR(B$2)+D223,MONTH(B$2),DAY(B$2)))</f>
        <v>28281</v>
      </c>
      <c r="G223" s="3" t="n">
        <f aca="false">IF(A223="","",DATE(YEAR(F223)+1,MONTH(F223),DAY(F223)))</f>
        <v>28646</v>
      </c>
      <c r="H223" s="10" t="n">
        <f aca="false">IF(A223="","",IF(G223&gt;F223,(B223-F223)/(G223-F223),0))</f>
        <v>0.487671232876712</v>
      </c>
      <c r="I223" s="10" t="n">
        <f aca="false">IF(A223="","",IFERROR(INDEX(CV_RATES!$I:$I,MATCH(D223,CV_RATES!$C:$C,0)),0))</f>
        <v>447.781519488184</v>
      </c>
      <c r="J223" s="10" t="n">
        <f aca="false">IF(A223="","",IFERROR(IF(E223=MAX(MORTALITY!$A:$A),1000,INDEX(CV_RATES!$J:$J,MATCH(D223,CV_RATES!$C:$C,0))),0))</f>
        <v>456.612321072052</v>
      </c>
      <c r="K223" s="10" t="n">
        <f aca="false">IF(A223="","",IFERROR(I223+H223*(J223-I223),0))</f>
        <v>452.088047383878</v>
      </c>
      <c r="L223" s="10" t="n">
        <f aca="false">IF(A223="","",IFERROR(K223*Inputs!$B$9,0))</f>
        <v>22604.4023691939</v>
      </c>
      <c r="M223" s="10" t="n">
        <f aca="false">IF(A223="","",IFERROR(K223*Inputs!$B$10,0))</f>
        <v>72332.7313172784</v>
      </c>
      <c r="N223" s="10" t="n">
        <f aca="false">IF(A223="","",Z222)</f>
        <v>0</v>
      </c>
      <c r="O223" s="6" t="n">
        <f aca="false">IF(A223="","",Inputs!$B$18+N223)</f>
        <v>50000</v>
      </c>
      <c r="P223" s="5" t="n">
        <f aca="false">IF(A223="","",VLOOKUP(D223,DIvidend_Assumption!$A$3:$CX$103,($E$2+2),0)/12)</f>
        <v>0</v>
      </c>
      <c r="Q223" s="10" t="n">
        <f aca="false">IF(A223="","",IFERROR(AB222*P223,""))</f>
        <v>0</v>
      </c>
      <c r="R223" s="10" t="n">
        <f aca="false">IF(A223="","",IFERROR(IF(Inputs!$B$22="Accumulate",T223+Q223,IF(Inputs!$B$22="Premium Offset",MAX(0,T223+Q223-Inputs!$B$25),T223)),""))</f>
        <v>0</v>
      </c>
      <c r="S223" s="10" t="n">
        <f aca="false">IF(A223="","",R222)</f>
        <v>0</v>
      </c>
      <c r="T223" s="10" t="n">
        <f aca="false">IF(A223="","",IFERROR(S223*(1+Inputs!$B$23/12),""))</f>
        <v>0</v>
      </c>
      <c r="U223" s="6" t="n">
        <f aca="false">IF(A223="","",IF(D223&lt;=Inputs!$B$8,IF(Inputs!$B$22="Premium Offset",MAX(0,Inputs!$B$25-(Q223+T223)),Inputs!$B$25),0))</f>
        <v>77</v>
      </c>
      <c r="V223" s="10" t="n">
        <f aca="false">IF(A223="","",IF(Inputs!$B$22="Cash",Q223,0))</f>
        <v>0</v>
      </c>
      <c r="W223" s="10" t="n">
        <f aca="false">IF(A223="","",IF(Inputs!$B$22="PUA",Q223,0))</f>
        <v>0</v>
      </c>
      <c r="X223" s="12" t="n">
        <f aca="false">IF(A223="","",IFERROR(INDEX(PUA_TABLE!$D$4:$D$105,MATCH(E223,PUA_TABLE!$C$4:$C$105,1)),0))</f>
        <v>0.447781519488184</v>
      </c>
      <c r="Y223" s="10" t="n">
        <f aca="false">IF(A223="","",IF(W223&gt;0,IF(X223&gt;0,W223/X223,0),0))</f>
        <v>0</v>
      </c>
      <c r="Z223" s="10" t="n">
        <f aca="false">IF(A223="","",N223+Y223)</f>
        <v>0</v>
      </c>
      <c r="AA223" s="10" t="n">
        <f aca="false">IF(A223="","",IFERROR(Z223*INDEX(PUA_TABLE!$I$4:$I$105,MATCH(E223,PUA_TABLE!$C$4:$C$105,1))/1000,0))</f>
        <v>0</v>
      </c>
      <c r="AB223" s="10" t="n">
        <f aca="false">IF(A223="","",IFERROR(L223+AA223,0))</f>
        <v>22604.4023691939</v>
      </c>
      <c r="AC223" s="10" t="n">
        <f aca="false">IF(A223="","",IF(Inputs!$B$22="Premium Offset",MIN(Inputs!$B$25,Q223+T223),0))</f>
        <v>0</v>
      </c>
    </row>
    <row r="224" customFormat="false" ht="15" hidden="false" customHeight="false" outlineLevel="0" collapsed="false">
      <c r="A224" s="1" t="n">
        <f aca="false">IF(A223="","",IF(INT((C223+1)/12)+Inputs!$B$7&gt;MAX(MORTALITY!$A:$A),"",Inputs!$B$4))</f>
        <v>34</v>
      </c>
      <c r="B224" s="3" t="n">
        <f aca="false">IF(A224="","",EOMONTH(B223,1))</f>
        <v>28490</v>
      </c>
      <c r="C224" s="1" t="n">
        <f aca="false">IF(A224="","",C223+1)</f>
        <v>222</v>
      </c>
      <c r="D224" s="1" t="n">
        <f aca="false">IF(A224="","",INT(C224/12))</f>
        <v>18</v>
      </c>
      <c r="E224" s="1" t="n">
        <f aca="false">IF(A224="","",D224+Inputs!$B$7)</f>
        <v>34</v>
      </c>
      <c r="F224" s="3" t="n">
        <f aca="false">IF(A224="","",DATE(YEAR(B$2)+D224,MONTH(B$2),DAY(B$2)))</f>
        <v>28281</v>
      </c>
      <c r="G224" s="3" t="n">
        <f aca="false">IF(A224="","",DATE(YEAR(F224)+1,MONTH(F224),DAY(F224)))</f>
        <v>28646</v>
      </c>
      <c r="H224" s="10" t="n">
        <f aca="false">IF(A224="","",IF(G224&gt;F224,(B224-F224)/(G224-F224),0))</f>
        <v>0.572602739726027</v>
      </c>
      <c r="I224" s="10" t="n">
        <f aca="false">IF(A224="","",IFERROR(INDEX(CV_RATES!$I:$I,MATCH(D224,CV_RATES!$C:$C,0)),0))</f>
        <v>447.781519488184</v>
      </c>
      <c r="J224" s="10" t="n">
        <f aca="false">IF(A224="","",IFERROR(IF(E224=MAX(MORTALITY!$A:$A),1000,INDEX(CV_RATES!$J:$J,MATCH(D224,CV_RATES!$C:$C,0))),0))</f>
        <v>456.612321072052</v>
      </c>
      <c r="K224" s="10" t="n">
        <f aca="false">IF(A224="","",IFERROR(I224+H224*(J224-I224),0))</f>
        <v>452.838060669083</v>
      </c>
      <c r="L224" s="10" t="n">
        <f aca="false">IF(A224="","",IFERROR(K224*Inputs!$B$9,0))</f>
        <v>22641.9030334542</v>
      </c>
      <c r="M224" s="10" t="n">
        <f aca="false">IF(A224="","",IFERROR(K224*Inputs!$B$10,0))</f>
        <v>72452.7311928714</v>
      </c>
      <c r="N224" s="10" t="n">
        <f aca="false">IF(A224="","",Z223)</f>
        <v>0</v>
      </c>
      <c r="O224" s="6" t="n">
        <f aca="false">IF(A224="","",Inputs!$B$18+N224)</f>
        <v>50000</v>
      </c>
      <c r="P224" s="5" t="n">
        <f aca="false">IF(A224="","",VLOOKUP(D224,DIvidend_Assumption!$A$3:$CX$103,($E$2+2),0)/12)</f>
        <v>0</v>
      </c>
      <c r="Q224" s="10" t="n">
        <f aca="false">IF(A224="","",IFERROR(AB223*P224,""))</f>
        <v>0</v>
      </c>
      <c r="R224" s="10" t="n">
        <f aca="false">IF(A224="","",IFERROR(IF(Inputs!$B$22="Accumulate",T224+Q224,IF(Inputs!$B$22="Premium Offset",MAX(0,T224+Q224-Inputs!$B$25),T224)),""))</f>
        <v>0</v>
      </c>
      <c r="S224" s="10" t="n">
        <f aca="false">IF(A224="","",R223)</f>
        <v>0</v>
      </c>
      <c r="T224" s="10" t="n">
        <f aca="false">IF(A224="","",IFERROR(S224*(1+Inputs!$B$23/12),""))</f>
        <v>0</v>
      </c>
      <c r="U224" s="6" t="n">
        <f aca="false">IF(A224="","",IF(D224&lt;=Inputs!$B$8,IF(Inputs!$B$22="Premium Offset",MAX(0,Inputs!$B$25-(Q224+T224)),Inputs!$B$25),0))</f>
        <v>77</v>
      </c>
      <c r="V224" s="10" t="n">
        <f aca="false">IF(A224="","",IF(Inputs!$B$22="Cash",Q224,0))</f>
        <v>0</v>
      </c>
      <c r="W224" s="10" t="n">
        <f aca="false">IF(A224="","",IF(Inputs!$B$22="PUA",Q224,0))</f>
        <v>0</v>
      </c>
      <c r="X224" s="12" t="n">
        <f aca="false">IF(A224="","",IFERROR(INDEX(PUA_TABLE!$D$4:$D$105,MATCH(E224,PUA_TABLE!$C$4:$C$105,1)),0))</f>
        <v>0.447781519488184</v>
      </c>
      <c r="Y224" s="10" t="n">
        <f aca="false">IF(A224="","",IF(W224&gt;0,IF(X224&gt;0,W224/X224,0),0))</f>
        <v>0</v>
      </c>
      <c r="Z224" s="10" t="n">
        <f aca="false">IF(A224="","",N224+Y224)</f>
        <v>0</v>
      </c>
      <c r="AA224" s="10" t="n">
        <f aca="false">IF(A224="","",IFERROR(Z224*INDEX(PUA_TABLE!$I$4:$I$105,MATCH(E224,PUA_TABLE!$C$4:$C$105,1))/1000,0))</f>
        <v>0</v>
      </c>
      <c r="AB224" s="10" t="n">
        <f aca="false">IF(A224="","",IFERROR(L224+AA224,0))</f>
        <v>22641.9030334542</v>
      </c>
      <c r="AC224" s="10" t="n">
        <f aca="false">IF(A224="","",IF(Inputs!$B$22="Premium Offset",MIN(Inputs!$B$25,Q224+T224),0))</f>
        <v>0</v>
      </c>
    </row>
    <row r="225" customFormat="false" ht="15" hidden="false" customHeight="false" outlineLevel="0" collapsed="false">
      <c r="A225" s="1" t="n">
        <f aca="false">IF(A224="","",IF(INT((C224+1)/12)+Inputs!$B$7&gt;MAX(MORTALITY!$A:$A),"",Inputs!$B$4))</f>
        <v>34</v>
      </c>
      <c r="B225" s="3" t="n">
        <f aca="false">IF(A225="","",EOMONTH(B224,1))</f>
        <v>28521</v>
      </c>
      <c r="C225" s="1" t="n">
        <f aca="false">IF(A225="","",C224+1)</f>
        <v>223</v>
      </c>
      <c r="D225" s="1" t="n">
        <f aca="false">IF(A225="","",INT(C225/12))</f>
        <v>18</v>
      </c>
      <c r="E225" s="1" t="n">
        <f aca="false">IF(A225="","",D225+Inputs!$B$7)</f>
        <v>34</v>
      </c>
      <c r="F225" s="3" t="n">
        <f aca="false">IF(A225="","",DATE(YEAR(B$2)+D225,MONTH(B$2),DAY(B$2)))</f>
        <v>28281</v>
      </c>
      <c r="G225" s="3" t="n">
        <f aca="false">IF(A225="","",DATE(YEAR(F225)+1,MONTH(F225),DAY(F225)))</f>
        <v>28646</v>
      </c>
      <c r="H225" s="10" t="n">
        <f aca="false">IF(A225="","",IF(G225&gt;F225,(B225-F225)/(G225-F225),0))</f>
        <v>0.657534246575342</v>
      </c>
      <c r="I225" s="10" t="n">
        <f aca="false">IF(A225="","",IFERROR(INDEX(CV_RATES!$I:$I,MATCH(D225,CV_RATES!$C:$C,0)),0))</f>
        <v>447.781519488184</v>
      </c>
      <c r="J225" s="10" t="n">
        <f aca="false">IF(A225="","",IFERROR(IF(E225=MAX(MORTALITY!$A:$A),1000,INDEX(CV_RATES!$J:$J,MATCH(D225,CV_RATES!$C:$C,0))),0))</f>
        <v>456.612321072052</v>
      </c>
      <c r="K225" s="10" t="n">
        <f aca="false">IF(A225="","",IFERROR(I225+H225*(J225-I225),0))</f>
        <v>453.588073954289</v>
      </c>
      <c r="L225" s="10" t="n">
        <f aca="false">IF(A225="","",IFERROR(K225*Inputs!$B$9,0))</f>
        <v>22679.4036977144</v>
      </c>
      <c r="M225" s="10" t="n">
        <f aca="false">IF(A225="","",IFERROR(K225*Inputs!$B$10,0))</f>
        <v>72572.7310684643</v>
      </c>
      <c r="N225" s="10" t="n">
        <f aca="false">IF(A225="","",Z224)</f>
        <v>0</v>
      </c>
      <c r="O225" s="6" t="n">
        <f aca="false">IF(A225="","",Inputs!$B$18+N225)</f>
        <v>50000</v>
      </c>
      <c r="P225" s="5" t="n">
        <f aca="false">IF(A225="","",VLOOKUP(D225,DIvidend_Assumption!$A$3:$CX$103,($E$2+2),0)/12)</f>
        <v>0</v>
      </c>
      <c r="Q225" s="10" t="n">
        <f aca="false">IF(A225="","",IFERROR(AB224*P225,""))</f>
        <v>0</v>
      </c>
      <c r="R225" s="10" t="n">
        <f aca="false">IF(A225="","",IFERROR(IF(Inputs!$B$22="Accumulate",T225+Q225,IF(Inputs!$B$22="Premium Offset",MAX(0,T225+Q225-Inputs!$B$25),T225)),""))</f>
        <v>0</v>
      </c>
      <c r="S225" s="10" t="n">
        <f aca="false">IF(A225="","",R224)</f>
        <v>0</v>
      </c>
      <c r="T225" s="10" t="n">
        <f aca="false">IF(A225="","",IFERROR(S225*(1+Inputs!$B$23/12),""))</f>
        <v>0</v>
      </c>
      <c r="U225" s="6" t="n">
        <f aca="false">IF(A225="","",IF(D225&lt;=Inputs!$B$8,IF(Inputs!$B$22="Premium Offset",MAX(0,Inputs!$B$25-(Q225+T225)),Inputs!$B$25),0))</f>
        <v>77</v>
      </c>
      <c r="V225" s="10" t="n">
        <f aca="false">IF(A225="","",IF(Inputs!$B$22="Cash",Q225,0))</f>
        <v>0</v>
      </c>
      <c r="W225" s="10" t="n">
        <f aca="false">IF(A225="","",IF(Inputs!$B$22="PUA",Q225,0))</f>
        <v>0</v>
      </c>
      <c r="X225" s="12" t="n">
        <f aca="false">IF(A225="","",IFERROR(INDEX(PUA_TABLE!$D$4:$D$105,MATCH(E225,PUA_TABLE!$C$4:$C$105,1)),0))</f>
        <v>0.447781519488184</v>
      </c>
      <c r="Y225" s="10" t="n">
        <f aca="false">IF(A225="","",IF(W225&gt;0,IF(X225&gt;0,W225/X225,0),0))</f>
        <v>0</v>
      </c>
      <c r="Z225" s="10" t="n">
        <f aca="false">IF(A225="","",N225+Y225)</f>
        <v>0</v>
      </c>
      <c r="AA225" s="10" t="n">
        <f aca="false">IF(A225="","",IFERROR(Z225*INDEX(PUA_TABLE!$I$4:$I$105,MATCH(E225,PUA_TABLE!$C$4:$C$105,1))/1000,0))</f>
        <v>0</v>
      </c>
      <c r="AB225" s="10" t="n">
        <f aca="false">IF(A225="","",IFERROR(L225+AA225,0))</f>
        <v>22679.4036977144</v>
      </c>
      <c r="AC225" s="10" t="n">
        <f aca="false">IF(A225="","",IF(Inputs!$B$22="Premium Offset",MIN(Inputs!$B$25,Q225+T225),0))</f>
        <v>0</v>
      </c>
    </row>
    <row r="226" customFormat="false" ht="15" hidden="false" customHeight="false" outlineLevel="0" collapsed="false">
      <c r="A226" s="1" t="n">
        <f aca="false">IF(A225="","",IF(INT((C225+1)/12)+Inputs!$B$7&gt;MAX(MORTALITY!$A:$A),"",Inputs!$B$4))</f>
        <v>34</v>
      </c>
      <c r="B226" s="3" t="n">
        <f aca="false">IF(A226="","",EOMONTH(B225,1))</f>
        <v>28549</v>
      </c>
      <c r="C226" s="1" t="n">
        <f aca="false">IF(A226="","",C225+1)</f>
        <v>224</v>
      </c>
      <c r="D226" s="1" t="n">
        <f aca="false">IF(A226="","",INT(C226/12))</f>
        <v>18</v>
      </c>
      <c r="E226" s="1" t="n">
        <f aca="false">IF(A226="","",D226+Inputs!$B$7)</f>
        <v>34</v>
      </c>
      <c r="F226" s="3" t="n">
        <f aca="false">IF(A226="","",DATE(YEAR(B$2)+D226,MONTH(B$2),DAY(B$2)))</f>
        <v>28281</v>
      </c>
      <c r="G226" s="3" t="n">
        <f aca="false">IF(A226="","",DATE(YEAR(F226)+1,MONTH(F226),DAY(F226)))</f>
        <v>28646</v>
      </c>
      <c r="H226" s="10" t="n">
        <f aca="false">IF(A226="","",IF(G226&gt;F226,(B226-F226)/(G226-F226),0))</f>
        <v>0.734246575342466</v>
      </c>
      <c r="I226" s="10" t="n">
        <f aca="false">IF(A226="","",IFERROR(INDEX(CV_RATES!$I:$I,MATCH(D226,CV_RATES!$C:$C,0)),0))</f>
        <v>447.781519488184</v>
      </c>
      <c r="J226" s="10" t="n">
        <f aca="false">IF(A226="","",IFERROR(IF(E226=MAX(MORTALITY!$A:$A),1000,INDEX(CV_RATES!$J:$J,MATCH(D226,CV_RATES!$C:$C,0))),0))</f>
        <v>456.612321072052</v>
      </c>
      <c r="K226" s="10" t="n">
        <f aca="false">IF(A226="","",IFERROR(I226+H226*(J226-I226),0))</f>
        <v>454.265505308668</v>
      </c>
      <c r="L226" s="10" t="n">
        <f aca="false">IF(A226="","",IFERROR(K226*Inputs!$B$9,0))</f>
        <v>22713.2752654334</v>
      </c>
      <c r="M226" s="10" t="n">
        <f aca="false">IF(A226="","",IFERROR(K226*Inputs!$B$10,0))</f>
        <v>72681.1180528709</v>
      </c>
      <c r="N226" s="10" t="n">
        <f aca="false">IF(A226="","",Z225)</f>
        <v>0</v>
      </c>
      <c r="O226" s="6" t="n">
        <f aca="false">IF(A226="","",Inputs!$B$18+N226)</f>
        <v>50000</v>
      </c>
      <c r="P226" s="5" t="n">
        <f aca="false">IF(A226="","",VLOOKUP(D226,DIvidend_Assumption!$A$3:$CX$103,($E$2+2),0)/12)</f>
        <v>0</v>
      </c>
      <c r="Q226" s="10" t="n">
        <f aca="false">IF(A226="","",IFERROR(AB225*P226,""))</f>
        <v>0</v>
      </c>
      <c r="R226" s="10" t="n">
        <f aca="false">IF(A226="","",IFERROR(IF(Inputs!$B$22="Accumulate",T226+Q226,IF(Inputs!$B$22="Premium Offset",MAX(0,T226+Q226-Inputs!$B$25),T226)),""))</f>
        <v>0</v>
      </c>
      <c r="S226" s="10" t="n">
        <f aca="false">IF(A226="","",R225)</f>
        <v>0</v>
      </c>
      <c r="T226" s="10" t="n">
        <f aca="false">IF(A226="","",IFERROR(S226*(1+Inputs!$B$23/12),""))</f>
        <v>0</v>
      </c>
      <c r="U226" s="6" t="n">
        <f aca="false">IF(A226="","",IF(D226&lt;=Inputs!$B$8,IF(Inputs!$B$22="Premium Offset",MAX(0,Inputs!$B$25-(Q226+T226)),Inputs!$B$25),0))</f>
        <v>77</v>
      </c>
      <c r="V226" s="10" t="n">
        <f aca="false">IF(A226="","",IF(Inputs!$B$22="Cash",Q226,0))</f>
        <v>0</v>
      </c>
      <c r="W226" s="10" t="n">
        <f aca="false">IF(A226="","",IF(Inputs!$B$22="PUA",Q226,0))</f>
        <v>0</v>
      </c>
      <c r="X226" s="12" t="n">
        <f aca="false">IF(A226="","",IFERROR(INDEX(PUA_TABLE!$D$4:$D$105,MATCH(E226,PUA_TABLE!$C$4:$C$105,1)),0))</f>
        <v>0.447781519488184</v>
      </c>
      <c r="Y226" s="10" t="n">
        <f aca="false">IF(A226="","",IF(W226&gt;0,IF(X226&gt;0,W226/X226,0),0))</f>
        <v>0</v>
      </c>
      <c r="Z226" s="10" t="n">
        <f aca="false">IF(A226="","",N226+Y226)</f>
        <v>0</v>
      </c>
      <c r="AA226" s="10" t="n">
        <f aca="false">IF(A226="","",IFERROR(Z226*INDEX(PUA_TABLE!$I$4:$I$105,MATCH(E226,PUA_TABLE!$C$4:$C$105,1))/1000,0))</f>
        <v>0</v>
      </c>
      <c r="AB226" s="10" t="n">
        <f aca="false">IF(A226="","",IFERROR(L226+AA226,0))</f>
        <v>22713.2752654334</v>
      </c>
      <c r="AC226" s="10" t="n">
        <f aca="false">IF(A226="","",IF(Inputs!$B$22="Premium Offset",MIN(Inputs!$B$25,Q226+T226),0))</f>
        <v>0</v>
      </c>
    </row>
    <row r="227" customFormat="false" ht="15" hidden="false" customHeight="false" outlineLevel="0" collapsed="false">
      <c r="A227" s="1" t="n">
        <f aca="false">IF(A226="","",IF(INT((C226+1)/12)+Inputs!$B$7&gt;MAX(MORTALITY!$A:$A),"",Inputs!$B$4))</f>
        <v>34</v>
      </c>
      <c r="B227" s="3" t="n">
        <f aca="false">IF(A227="","",EOMONTH(B226,1))</f>
        <v>28580</v>
      </c>
      <c r="C227" s="1" t="n">
        <f aca="false">IF(A227="","",C226+1)</f>
        <v>225</v>
      </c>
      <c r="D227" s="1" t="n">
        <f aca="false">IF(A227="","",INT(C227/12))</f>
        <v>18</v>
      </c>
      <c r="E227" s="1" t="n">
        <f aca="false">IF(A227="","",D227+Inputs!$B$7)</f>
        <v>34</v>
      </c>
      <c r="F227" s="3" t="n">
        <f aca="false">IF(A227="","",DATE(YEAR(B$2)+D227,MONTH(B$2),DAY(B$2)))</f>
        <v>28281</v>
      </c>
      <c r="G227" s="3" t="n">
        <f aca="false">IF(A227="","",DATE(YEAR(F227)+1,MONTH(F227),DAY(F227)))</f>
        <v>28646</v>
      </c>
      <c r="H227" s="10" t="n">
        <f aca="false">IF(A227="","",IF(G227&gt;F227,(B227-F227)/(G227-F227),0))</f>
        <v>0.819178082191781</v>
      </c>
      <c r="I227" s="10" t="n">
        <f aca="false">IF(A227="","",IFERROR(INDEX(CV_RATES!$I:$I,MATCH(D227,CV_RATES!$C:$C,0)),0))</f>
        <v>447.781519488184</v>
      </c>
      <c r="J227" s="10" t="n">
        <f aca="false">IF(A227="","",IFERROR(IF(E227=MAX(MORTALITY!$A:$A),1000,INDEX(CV_RATES!$J:$J,MATCH(D227,CV_RATES!$C:$C,0))),0))</f>
        <v>456.612321072052</v>
      </c>
      <c r="K227" s="10" t="n">
        <f aca="false">IF(A227="","",IFERROR(I227+H227*(J227-I227),0))</f>
        <v>455.015518593873</v>
      </c>
      <c r="L227" s="10" t="n">
        <f aca="false">IF(A227="","",IFERROR(K227*Inputs!$B$9,0))</f>
        <v>22750.7759296936</v>
      </c>
      <c r="M227" s="10" t="n">
        <f aca="false">IF(A227="","",IFERROR(K227*Inputs!$B$10,0))</f>
        <v>72801.1179284639</v>
      </c>
      <c r="N227" s="10" t="n">
        <f aca="false">IF(A227="","",Z226)</f>
        <v>0</v>
      </c>
      <c r="O227" s="6" t="n">
        <f aca="false">IF(A227="","",Inputs!$B$18+N227)</f>
        <v>50000</v>
      </c>
      <c r="P227" s="5" t="n">
        <f aca="false">IF(A227="","",VLOOKUP(D227,DIvidend_Assumption!$A$3:$CX$103,($E$2+2),0)/12)</f>
        <v>0</v>
      </c>
      <c r="Q227" s="10" t="n">
        <f aca="false">IF(A227="","",IFERROR(AB226*P227,""))</f>
        <v>0</v>
      </c>
      <c r="R227" s="10" t="n">
        <f aca="false">IF(A227="","",IFERROR(IF(Inputs!$B$22="Accumulate",T227+Q227,IF(Inputs!$B$22="Premium Offset",MAX(0,T227+Q227-Inputs!$B$25),T227)),""))</f>
        <v>0</v>
      </c>
      <c r="S227" s="10" t="n">
        <f aca="false">IF(A227="","",R226)</f>
        <v>0</v>
      </c>
      <c r="T227" s="10" t="n">
        <f aca="false">IF(A227="","",IFERROR(S227*(1+Inputs!$B$23/12),""))</f>
        <v>0</v>
      </c>
      <c r="U227" s="6" t="n">
        <f aca="false">IF(A227="","",IF(D227&lt;=Inputs!$B$8,IF(Inputs!$B$22="Premium Offset",MAX(0,Inputs!$B$25-(Q227+T227)),Inputs!$B$25),0))</f>
        <v>77</v>
      </c>
      <c r="V227" s="10" t="n">
        <f aca="false">IF(A227="","",IF(Inputs!$B$22="Cash",Q227,0))</f>
        <v>0</v>
      </c>
      <c r="W227" s="10" t="n">
        <f aca="false">IF(A227="","",IF(Inputs!$B$22="PUA",Q227,0))</f>
        <v>0</v>
      </c>
      <c r="X227" s="12" t="n">
        <f aca="false">IF(A227="","",IFERROR(INDEX(PUA_TABLE!$D$4:$D$105,MATCH(E227,PUA_TABLE!$C$4:$C$105,1)),0))</f>
        <v>0.447781519488184</v>
      </c>
      <c r="Y227" s="10" t="n">
        <f aca="false">IF(A227="","",IF(W227&gt;0,IF(X227&gt;0,W227/X227,0),0))</f>
        <v>0</v>
      </c>
      <c r="Z227" s="10" t="n">
        <f aca="false">IF(A227="","",N227+Y227)</f>
        <v>0</v>
      </c>
      <c r="AA227" s="10" t="n">
        <f aca="false">IF(A227="","",IFERROR(Z227*INDEX(PUA_TABLE!$I$4:$I$105,MATCH(E227,PUA_TABLE!$C$4:$C$105,1))/1000,0))</f>
        <v>0</v>
      </c>
      <c r="AB227" s="10" t="n">
        <f aca="false">IF(A227="","",IFERROR(L227+AA227,0))</f>
        <v>22750.7759296936</v>
      </c>
      <c r="AC227" s="10" t="n">
        <f aca="false">IF(A227="","",IF(Inputs!$B$22="Premium Offset",MIN(Inputs!$B$25,Q227+T227),0))</f>
        <v>0</v>
      </c>
    </row>
    <row r="228" customFormat="false" ht="15" hidden="false" customHeight="false" outlineLevel="0" collapsed="false">
      <c r="A228" s="1" t="n">
        <f aca="false">IF(A227="","",IF(INT((C227+1)/12)+Inputs!$B$7&gt;MAX(MORTALITY!$A:$A),"",Inputs!$B$4))</f>
        <v>34</v>
      </c>
      <c r="B228" s="3" t="n">
        <f aca="false">IF(A228="","",EOMONTH(B227,1))</f>
        <v>28610</v>
      </c>
      <c r="C228" s="1" t="n">
        <f aca="false">IF(A228="","",C227+1)</f>
        <v>226</v>
      </c>
      <c r="D228" s="1" t="n">
        <f aca="false">IF(A228="","",INT(C228/12))</f>
        <v>18</v>
      </c>
      <c r="E228" s="1" t="n">
        <f aca="false">IF(A228="","",D228+Inputs!$B$7)</f>
        <v>34</v>
      </c>
      <c r="F228" s="3" t="n">
        <f aca="false">IF(A228="","",DATE(YEAR(B$2)+D228,MONTH(B$2),DAY(B$2)))</f>
        <v>28281</v>
      </c>
      <c r="G228" s="3" t="n">
        <f aca="false">IF(A228="","",DATE(YEAR(F228)+1,MONTH(F228),DAY(F228)))</f>
        <v>28646</v>
      </c>
      <c r="H228" s="10" t="n">
        <f aca="false">IF(A228="","",IF(G228&gt;F228,(B228-F228)/(G228-F228),0))</f>
        <v>0.901369863013699</v>
      </c>
      <c r="I228" s="10" t="n">
        <f aca="false">IF(A228="","",IFERROR(INDEX(CV_RATES!$I:$I,MATCH(D228,CV_RATES!$C:$C,0)),0))</f>
        <v>447.781519488184</v>
      </c>
      <c r="J228" s="10" t="n">
        <f aca="false">IF(A228="","",IFERROR(IF(E228=MAX(MORTALITY!$A:$A),1000,INDEX(CV_RATES!$J:$J,MATCH(D228,CV_RATES!$C:$C,0))),0))</f>
        <v>456.612321072052</v>
      </c>
      <c r="K228" s="10" t="n">
        <f aca="false">IF(A228="","",IFERROR(I228+H228*(J228-I228),0))</f>
        <v>455.741337902136</v>
      </c>
      <c r="L228" s="10" t="n">
        <f aca="false">IF(A228="","",IFERROR(K228*Inputs!$B$9,0))</f>
        <v>22787.0668951068</v>
      </c>
      <c r="M228" s="10" t="n">
        <f aca="false">IF(A228="","",IFERROR(K228*Inputs!$B$10,0))</f>
        <v>72917.2468403281</v>
      </c>
      <c r="N228" s="10" t="n">
        <f aca="false">IF(A228="","",Z227)</f>
        <v>0</v>
      </c>
      <c r="O228" s="6" t="n">
        <f aca="false">IF(A228="","",Inputs!$B$18+N228)</f>
        <v>50000</v>
      </c>
      <c r="P228" s="5" t="n">
        <f aca="false">IF(A228="","",VLOOKUP(D228,DIvidend_Assumption!$A$3:$CX$103,($E$2+2),0)/12)</f>
        <v>0</v>
      </c>
      <c r="Q228" s="10" t="n">
        <f aca="false">IF(A228="","",IFERROR(AB227*P228,""))</f>
        <v>0</v>
      </c>
      <c r="R228" s="10" t="n">
        <f aca="false">IF(A228="","",IFERROR(IF(Inputs!$B$22="Accumulate",T228+Q228,IF(Inputs!$B$22="Premium Offset",MAX(0,T228+Q228-Inputs!$B$25),T228)),""))</f>
        <v>0</v>
      </c>
      <c r="S228" s="10" t="n">
        <f aca="false">IF(A228="","",R227)</f>
        <v>0</v>
      </c>
      <c r="T228" s="10" t="n">
        <f aca="false">IF(A228="","",IFERROR(S228*(1+Inputs!$B$23/12),""))</f>
        <v>0</v>
      </c>
      <c r="U228" s="6" t="n">
        <f aca="false">IF(A228="","",IF(D228&lt;=Inputs!$B$8,IF(Inputs!$B$22="Premium Offset",MAX(0,Inputs!$B$25-(Q228+T228)),Inputs!$B$25),0))</f>
        <v>77</v>
      </c>
      <c r="V228" s="10" t="n">
        <f aca="false">IF(A228="","",IF(Inputs!$B$22="Cash",Q228,0))</f>
        <v>0</v>
      </c>
      <c r="W228" s="10" t="n">
        <f aca="false">IF(A228="","",IF(Inputs!$B$22="PUA",Q228,0))</f>
        <v>0</v>
      </c>
      <c r="X228" s="12" t="n">
        <f aca="false">IF(A228="","",IFERROR(INDEX(PUA_TABLE!$D$4:$D$105,MATCH(E228,PUA_TABLE!$C$4:$C$105,1)),0))</f>
        <v>0.447781519488184</v>
      </c>
      <c r="Y228" s="10" t="n">
        <f aca="false">IF(A228="","",IF(W228&gt;0,IF(X228&gt;0,W228/X228,0),0))</f>
        <v>0</v>
      </c>
      <c r="Z228" s="10" t="n">
        <f aca="false">IF(A228="","",N228+Y228)</f>
        <v>0</v>
      </c>
      <c r="AA228" s="10" t="n">
        <f aca="false">IF(A228="","",IFERROR(Z228*INDEX(PUA_TABLE!$I$4:$I$105,MATCH(E228,PUA_TABLE!$C$4:$C$105,1))/1000,0))</f>
        <v>0</v>
      </c>
      <c r="AB228" s="10" t="n">
        <f aca="false">IF(A228="","",IFERROR(L228+AA228,0))</f>
        <v>22787.0668951068</v>
      </c>
      <c r="AC228" s="10" t="n">
        <f aca="false">IF(A228="","",IF(Inputs!$B$22="Premium Offset",MIN(Inputs!$B$25,Q228+T228),0))</f>
        <v>0</v>
      </c>
    </row>
    <row r="229" customFormat="false" ht="15" hidden="false" customHeight="false" outlineLevel="0" collapsed="false">
      <c r="A229" s="1" t="n">
        <f aca="false">IF(A228="","",IF(INT((C228+1)/12)+Inputs!$B$7&gt;MAX(MORTALITY!$A:$A),"",Inputs!$B$4))</f>
        <v>34</v>
      </c>
      <c r="B229" s="3" t="n">
        <f aca="false">IF(A229="","",EOMONTH(B228,1))</f>
        <v>28641</v>
      </c>
      <c r="C229" s="1" t="n">
        <f aca="false">IF(A229="","",C228+1)</f>
        <v>227</v>
      </c>
      <c r="D229" s="1" t="n">
        <f aca="false">IF(A229="","",INT(C229/12))</f>
        <v>18</v>
      </c>
      <c r="E229" s="1" t="n">
        <f aca="false">IF(A229="","",D229+Inputs!$B$7)</f>
        <v>34</v>
      </c>
      <c r="F229" s="3" t="n">
        <f aca="false">IF(A229="","",DATE(YEAR(B$2)+D229,MONTH(B$2),DAY(B$2)))</f>
        <v>28281</v>
      </c>
      <c r="G229" s="3" t="n">
        <f aca="false">IF(A229="","",DATE(YEAR(F229)+1,MONTH(F229),DAY(F229)))</f>
        <v>28646</v>
      </c>
      <c r="H229" s="10" t="n">
        <f aca="false">IF(A229="","",IF(G229&gt;F229,(B229-F229)/(G229-F229),0))</f>
        <v>0.986301369863014</v>
      </c>
      <c r="I229" s="10" t="n">
        <f aca="false">IF(A229="","",IFERROR(INDEX(CV_RATES!$I:$I,MATCH(D229,CV_RATES!$C:$C,0)),0))</f>
        <v>447.781519488184</v>
      </c>
      <c r="J229" s="10" t="n">
        <f aca="false">IF(A229="","",IFERROR(IF(E229=MAX(MORTALITY!$A:$A),1000,INDEX(CV_RATES!$J:$J,MATCH(D229,CV_RATES!$C:$C,0))),0))</f>
        <v>456.612321072052</v>
      </c>
      <c r="K229" s="10" t="n">
        <f aca="false">IF(A229="","",IFERROR(I229+H229*(J229-I229),0))</f>
        <v>456.491351187341</v>
      </c>
      <c r="L229" s="10" t="n">
        <f aca="false">IF(A229="","",IFERROR(K229*Inputs!$B$9,0))</f>
        <v>22824.5675593671</v>
      </c>
      <c r="M229" s="10" t="n">
        <f aca="false">IF(A229="","",IFERROR(K229*Inputs!$B$10,0))</f>
        <v>73037.246715921</v>
      </c>
      <c r="N229" s="10" t="n">
        <f aca="false">IF(A229="","",Z228)</f>
        <v>0</v>
      </c>
      <c r="O229" s="6" t="n">
        <f aca="false">IF(A229="","",Inputs!$B$18+N229)</f>
        <v>50000</v>
      </c>
      <c r="P229" s="5" t="n">
        <f aca="false">IF(A229="","",VLOOKUP(D229,DIvidend_Assumption!$A$3:$CX$103,($E$2+2),0)/12)</f>
        <v>0</v>
      </c>
      <c r="Q229" s="10" t="n">
        <f aca="false">IF(A229="","",IFERROR(AB228*P229,""))</f>
        <v>0</v>
      </c>
      <c r="R229" s="10" t="n">
        <f aca="false">IF(A229="","",IFERROR(IF(Inputs!$B$22="Accumulate",T229+Q229,IF(Inputs!$B$22="Premium Offset",MAX(0,T229+Q229-Inputs!$B$25),T229)),""))</f>
        <v>0</v>
      </c>
      <c r="S229" s="10" t="n">
        <f aca="false">IF(A229="","",R228)</f>
        <v>0</v>
      </c>
      <c r="T229" s="10" t="n">
        <f aca="false">IF(A229="","",IFERROR(S229*(1+Inputs!$B$23/12),""))</f>
        <v>0</v>
      </c>
      <c r="U229" s="6" t="n">
        <f aca="false">IF(A229="","",IF(D229&lt;=Inputs!$B$8,IF(Inputs!$B$22="Premium Offset",MAX(0,Inputs!$B$25-(Q229+T229)),Inputs!$B$25),0))</f>
        <v>77</v>
      </c>
      <c r="V229" s="10" t="n">
        <f aca="false">IF(A229="","",IF(Inputs!$B$22="Cash",Q229,0))</f>
        <v>0</v>
      </c>
      <c r="W229" s="10" t="n">
        <f aca="false">IF(A229="","",IF(Inputs!$B$22="PUA",Q229,0))</f>
        <v>0</v>
      </c>
      <c r="X229" s="12" t="n">
        <f aca="false">IF(A229="","",IFERROR(INDEX(PUA_TABLE!$D$4:$D$105,MATCH(E229,PUA_TABLE!$C$4:$C$105,1)),0))</f>
        <v>0.447781519488184</v>
      </c>
      <c r="Y229" s="10" t="n">
        <f aca="false">IF(A229="","",IF(W229&gt;0,IF(X229&gt;0,W229/X229,0),0))</f>
        <v>0</v>
      </c>
      <c r="Z229" s="10" t="n">
        <f aca="false">IF(A229="","",N229+Y229)</f>
        <v>0</v>
      </c>
      <c r="AA229" s="10" t="n">
        <f aca="false">IF(A229="","",IFERROR(Z229*INDEX(PUA_TABLE!$I$4:$I$105,MATCH(E229,PUA_TABLE!$C$4:$C$105,1))/1000,0))</f>
        <v>0</v>
      </c>
      <c r="AB229" s="10" t="n">
        <f aca="false">IF(A229="","",IFERROR(L229+AA229,0))</f>
        <v>22824.5675593671</v>
      </c>
      <c r="AC229" s="10" t="n">
        <f aca="false">IF(A229="","",IF(Inputs!$B$22="Premium Offset",MIN(Inputs!$B$25,Q229+T229),0))</f>
        <v>0</v>
      </c>
    </row>
    <row r="230" customFormat="false" ht="15" hidden="false" customHeight="false" outlineLevel="0" collapsed="false">
      <c r="A230" s="1" t="n">
        <f aca="false">IF(A229="","",IF(INT((C229+1)/12)+Inputs!$B$7&gt;MAX(MORTALITY!$A:$A),"",Inputs!$B$4))</f>
        <v>34</v>
      </c>
      <c r="B230" s="3" t="n">
        <f aca="false">IF(A230="","",EOMONTH(B229,1))</f>
        <v>28671</v>
      </c>
      <c r="C230" s="1" t="n">
        <f aca="false">IF(A230="","",C229+1)</f>
        <v>228</v>
      </c>
      <c r="D230" s="1" t="n">
        <f aca="false">IF(A230="","",INT(C230/12))</f>
        <v>19</v>
      </c>
      <c r="E230" s="1" t="n">
        <f aca="false">IF(A230="","",D230+Inputs!$B$7)</f>
        <v>35</v>
      </c>
      <c r="F230" s="3" t="n">
        <f aca="false">IF(A230="","",DATE(YEAR(B$2)+D230,MONTH(B$2),DAY(B$2)))</f>
        <v>28646</v>
      </c>
      <c r="G230" s="3" t="n">
        <f aca="false">IF(A230="","",DATE(YEAR(F230)+1,MONTH(F230),DAY(F230)))</f>
        <v>29011</v>
      </c>
      <c r="H230" s="10" t="n">
        <f aca="false">IF(A230="","",IF(G230&gt;F230,(B230-F230)/(G230-F230),0))</f>
        <v>0.0684931506849315</v>
      </c>
      <c r="I230" s="10" t="n">
        <f aca="false">IF(A230="","",IFERROR(INDEX(CV_RATES!$I:$I,MATCH(D230,CV_RATES!$C:$C,0)),0))</f>
        <v>456.612321072052</v>
      </c>
      <c r="J230" s="10" t="n">
        <f aca="false">IF(A230="","",IFERROR(IF(E230=MAX(MORTALITY!$A:$A),1000,INDEX(CV_RATES!$J:$J,MATCH(D230,CV_RATES!$C:$C,0))),0))</f>
        <v>465.574616588996</v>
      </c>
      <c r="K230" s="10" t="n">
        <f aca="false">IF(A230="","",IFERROR(I230+H230*(J230-I230),0))</f>
        <v>457.226176929377</v>
      </c>
      <c r="L230" s="10" t="n">
        <f aca="false">IF(A230="","",IFERROR(K230*Inputs!$B$9,0))</f>
        <v>22861.3088464688</v>
      </c>
      <c r="M230" s="10" t="n">
        <f aca="false">IF(A230="","",IFERROR(K230*Inputs!$B$10,0))</f>
        <v>73154.8166301695</v>
      </c>
      <c r="N230" s="10" t="n">
        <f aca="false">IF(A230="","",Z229)</f>
        <v>0</v>
      </c>
      <c r="O230" s="6" t="n">
        <f aca="false">IF(A230="","",Inputs!$B$18+N230)</f>
        <v>50000</v>
      </c>
      <c r="P230" s="5" t="n">
        <f aca="false">IF(A230="","",VLOOKUP(D230,DIvidend_Assumption!$A$3:$CX$103,($E$2+2),0)/12)</f>
        <v>0</v>
      </c>
      <c r="Q230" s="10" t="n">
        <f aca="false">IF(A230="","",IFERROR(AB229*P230,""))</f>
        <v>0</v>
      </c>
      <c r="R230" s="10" t="n">
        <f aca="false">IF(A230="","",IFERROR(IF(Inputs!$B$22="Accumulate",T230+Q230,IF(Inputs!$B$22="Premium Offset",MAX(0,T230+Q230-Inputs!$B$25),T230)),""))</f>
        <v>0</v>
      </c>
      <c r="S230" s="10" t="n">
        <f aca="false">IF(A230="","",R229)</f>
        <v>0</v>
      </c>
      <c r="T230" s="10" t="n">
        <f aca="false">IF(A230="","",IFERROR(S230*(1+Inputs!$B$23/12),""))</f>
        <v>0</v>
      </c>
      <c r="U230" s="6" t="n">
        <f aca="false">IF(A230="","",IF(D230&lt;=Inputs!$B$8,IF(Inputs!$B$22="Premium Offset",MAX(0,Inputs!$B$25-(Q230+T230)),Inputs!$B$25),0))</f>
        <v>77</v>
      </c>
      <c r="V230" s="10" t="n">
        <f aca="false">IF(A230="","",IF(Inputs!$B$22="Cash",Q230,0))</f>
        <v>0</v>
      </c>
      <c r="W230" s="10" t="n">
        <f aca="false">IF(A230="","",IF(Inputs!$B$22="PUA",Q230,0))</f>
        <v>0</v>
      </c>
      <c r="X230" s="12" t="n">
        <f aca="false">IF(A230="","",IFERROR(INDEX(PUA_TABLE!$D$4:$D$105,MATCH(E230,PUA_TABLE!$C$4:$C$105,1)),0))</f>
        <v>0.456612321072052</v>
      </c>
      <c r="Y230" s="10" t="n">
        <f aca="false">IF(A230="","",IF(W230&gt;0,IF(X230&gt;0,W230/X230,0),0))</f>
        <v>0</v>
      </c>
      <c r="Z230" s="10" t="n">
        <f aca="false">IF(A230="","",N230+Y230)</f>
        <v>0</v>
      </c>
      <c r="AA230" s="10" t="n">
        <f aca="false">IF(A230="","",IFERROR(Z230*INDEX(PUA_TABLE!$I$4:$I$105,MATCH(E230,PUA_TABLE!$C$4:$C$105,1))/1000,0))</f>
        <v>0</v>
      </c>
      <c r="AB230" s="10" t="n">
        <f aca="false">IF(A230="","",IFERROR(L230+AA230,0))</f>
        <v>22861.3088464688</v>
      </c>
      <c r="AC230" s="10" t="n">
        <f aca="false">IF(A230="","",IF(Inputs!$B$22="Premium Offset",MIN(Inputs!$B$25,Q230+T230),0))</f>
        <v>0</v>
      </c>
    </row>
    <row r="231" customFormat="false" ht="15" hidden="false" customHeight="false" outlineLevel="0" collapsed="false">
      <c r="A231" s="1" t="n">
        <f aca="false">IF(A230="","",IF(INT((C230+1)/12)+Inputs!$B$7&gt;MAX(MORTALITY!$A:$A),"",Inputs!$B$4))</f>
        <v>34</v>
      </c>
      <c r="B231" s="3" t="n">
        <f aca="false">IF(A231="","",EOMONTH(B230,1))</f>
        <v>28702</v>
      </c>
      <c r="C231" s="1" t="n">
        <f aca="false">IF(A231="","",C230+1)</f>
        <v>229</v>
      </c>
      <c r="D231" s="1" t="n">
        <f aca="false">IF(A231="","",INT(C231/12))</f>
        <v>19</v>
      </c>
      <c r="E231" s="1" t="n">
        <f aca="false">IF(A231="","",D231+Inputs!$B$7)</f>
        <v>35</v>
      </c>
      <c r="F231" s="3" t="n">
        <f aca="false">IF(A231="","",DATE(YEAR(B$2)+D231,MONTH(B$2),DAY(B$2)))</f>
        <v>28646</v>
      </c>
      <c r="G231" s="3" t="n">
        <f aca="false">IF(A231="","",DATE(YEAR(F231)+1,MONTH(F231),DAY(F231)))</f>
        <v>29011</v>
      </c>
      <c r="H231" s="10" t="n">
        <f aca="false">IF(A231="","",IF(G231&gt;F231,(B231-F231)/(G231-F231),0))</f>
        <v>0.153424657534247</v>
      </c>
      <c r="I231" s="10" t="n">
        <f aca="false">IF(A231="","",IFERROR(INDEX(CV_RATES!$I:$I,MATCH(D231,CV_RATES!$C:$C,0)),0))</f>
        <v>456.612321072052</v>
      </c>
      <c r="J231" s="10" t="n">
        <f aca="false">IF(A231="","",IFERROR(IF(E231=MAX(MORTALITY!$A:$A),1000,INDEX(CV_RATES!$J:$J,MATCH(D231,CV_RATES!$C:$C,0))),0))</f>
        <v>465.574616588996</v>
      </c>
      <c r="K231" s="10" t="n">
        <f aca="false">IF(A231="","",IFERROR(I231+H231*(J231-I231),0))</f>
        <v>457.98735819246</v>
      </c>
      <c r="L231" s="10" t="n">
        <f aca="false">IF(A231="","",IFERROR(K231*Inputs!$B$9,0))</f>
        <v>22899.367909623</v>
      </c>
      <c r="M231" s="10" t="n">
        <f aca="false">IF(A231="","",IFERROR(K231*Inputs!$B$10,0))</f>
        <v>73276.603348719</v>
      </c>
      <c r="N231" s="10" t="n">
        <f aca="false">IF(A231="","",Z230)</f>
        <v>0</v>
      </c>
      <c r="O231" s="6" t="n">
        <f aca="false">IF(A231="","",Inputs!$B$18+N231)</f>
        <v>50000</v>
      </c>
      <c r="P231" s="5" t="n">
        <f aca="false">IF(A231="","",VLOOKUP(D231,DIvidend_Assumption!$A$3:$CX$103,($E$2+2),0)/12)</f>
        <v>0</v>
      </c>
      <c r="Q231" s="10" t="n">
        <f aca="false">IF(A231="","",IFERROR(AB230*P231,""))</f>
        <v>0</v>
      </c>
      <c r="R231" s="10" t="n">
        <f aca="false">IF(A231="","",IFERROR(IF(Inputs!$B$22="Accumulate",T231+Q231,IF(Inputs!$B$22="Premium Offset",MAX(0,T231+Q231-Inputs!$B$25),T231)),""))</f>
        <v>0</v>
      </c>
      <c r="S231" s="10" t="n">
        <f aca="false">IF(A231="","",R230)</f>
        <v>0</v>
      </c>
      <c r="T231" s="10" t="n">
        <f aca="false">IF(A231="","",IFERROR(S231*(1+Inputs!$B$23/12),""))</f>
        <v>0</v>
      </c>
      <c r="U231" s="6" t="n">
        <f aca="false">IF(A231="","",IF(D231&lt;=Inputs!$B$8,IF(Inputs!$B$22="Premium Offset",MAX(0,Inputs!$B$25-(Q231+T231)),Inputs!$B$25),0))</f>
        <v>77</v>
      </c>
      <c r="V231" s="10" t="n">
        <f aca="false">IF(A231="","",IF(Inputs!$B$22="Cash",Q231,0))</f>
        <v>0</v>
      </c>
      <c r="W231" s="10" t="n">
        <f aca="false">IF(A231="","",IF(Inputs!$B$22="PUA",Q231,0))</f>
        <v>0</v>
      </c>
      <c r="X231" s="12" t="n">
        <f aca="false">IF(A231="","",IFERROR(INDEX(PUA_TABLE!$D$4:$D$105,MATCH(E231,PUA_TABLE!$C$4:$C$105,1)),0))</f>
        <v>0.456612321072052</v>
      </c>
      <c r="Y231" s="10" t="n">
        <f aca="false">IF(A231="","",IF(W231&gt;0,IF(X231&gt;0,W231/X231,0),0))</f>
        <v>0</v>
      </c>
      <c r="Z231" s="10" t="n">
        <f aca="false">IF(A231="","",N231+Y231)</f>
        <v>0</v>
      </c>
      <c r="AA231" s="10" t="n">
        <f aca="false">IF(A231="","",IFERROR(Z231*INDEX(PUA_TABLE!$I$4:$I$105,MATCH(E231,PUA_TABLE!$C$4:$C$105,1))/1000,0))</f>
        <v>0</v>
      </c>
      <c r="AB231" s="10" t="n">
        <f aca="false">IF(A231="","",IFERROR(L231+AA231,0))</f>
        <v>22899.367909623</v>
      </c>
      <c r="AC231" s="10" t="n">
        <f aca="false">IF(A231="","",IF(Inputs!$B$22="Premium Offset",MIN(Inputs!$B$25,Q231+T231),0))</f>
        <v>0</v>
      </c>
    </row>
    <row r="232" customFormat="false" ht="15" hidden="false" customHeight="false" outlineLevel="0" collapsed="false">
      <c r="A232" s="1" t="n">
        <f aca="false">IF(A231="","",IF(INT((C231+1)/12)+Inputs!$B$7&gt;MAX(MORTALITY!$A:$A),"",Inputs!$B$4))</f>
        <v>34</v>
      </c>
      <c r="B232" s="3" t="n">
        <f aca="false">IF(A232="","",EOMONTH(B231,1))</f>
        <v>28733</v>
      </c>
      <c r="C232" s="1" t="n">
        <f aca="false">IF(A232="","",C231+1)</f>
        <v>230</v>
      </c>
      <c r="D232" s="1" t="n">
        <f aca="false">IF(A232="","",INT(C232/12))</f>
        <v>19</v>
      </c>
      <c r="E232" s="1" t="n">
        <f aca="false">IF(A232="","",D232+Inputs!$B$7)</f>
        <v>35</v>
      </c>
      <c r="F232" s="3" t="n">
        <f aca="false">IF(A232="","",DATE(YEAR(B$2)+D232,MONTH(B$2),DAY(B$2)))</f>
        <v>28646</v>
      </c>
      <c r="G232" s="3" t="n">
        <f aca="false">IF(A232="","",DATE(YEAR(F232)+1,MONTH(F232),DAY(F232)))</f>
        <v>29011</v>
      </c>
      <c r="H232" s="10" t="n">
        <f aca="false">IF(A232="","",IF(G232&gt;F232,(B232-F232)/(G232-F232),0))</f>
        <v>0.238356164383562</v>
      </c>
      <c r="I232" s="10" t="n">
        <f aca="false">IF(A232="","",IFERROR(INDEX(CV_RATES!$I:$I,MATCH(D232,CV_RATES!$C:$C,0)),0))</f>
        <v>456.612321072052</v>
      </c>
      <c r="J232" s="10" t="n">
        <f aca="false">IF(A232="","",IFERROR(IF(E232=MAX(MORTALITY!$A:$A),1000,INDEX(CV_RATES!$J:$J,MATCH(D232,CV_RATES!$C:$C,0))),0))</f>
        <v>465.574616588996</v>
      </c>
      <c r="K232" s="10" t="n">
        <f aca="false">IF(A232="","",IFERROR(I232+H232*(J232-I232),0))</f>
        <v>458.748539455543</v>
      </c>
      <c r="L232" s="10" t="n">
        <f aca="false">IF(A232="","",IFERROR(K232*Inputs!$B$9,0))</f>
        <v>22937.4269727771</v>
      </c>
      <c r="M232" s="10" t="n">
        <f aca="false">IF(A232="","",IFERROR(K232*Inputs!$B$10,0))</f>
        <v>73398.3900672685</v>
      </c>
      <c r="N232" s="10" t="n">
        <f aca="false">IF(A232="","",Z231)</f>
        <v>0</v>
      </c>
      <c r="O232" s="6" t="n">
        <f aca="false">IF(A232="","",Inputs!$B$18+N232)</f>
        <v>50000</v>
      </c>
      <c r="P232" s="5" t="n">
        <f aca="false">IF(A232="","",VLOOKUP(D232,DIvidend_Assumption!$A$3:$CX$103,($E$2+2),0)/12)</f>
        <v>0</v>
      </c>
      <c r="Q232" s="10" t="n">
        <f aca="false">IF(A232="","",IFERROR(AB231*P232,""))</f>
        <v>0</v>
      </c>
      <c r="R232" s="10" t="n">
        <f aca="false">IF(A232="","",IFERROR(IF(Inputs!$B$22="Accumulate",T232+Q232,IF(Inputs!$B$22="Premium Offset",MAX(0,T232+Q232-Inputs!$B$25),T232)),""))</f>
        <v>0</v>
      </c>
      <c r="S232" s="10" t="n">
        <f aca="false">IF(A232="","",R231)</f>
        <v>0</v>
      </c>
      <c r="T232" s="10" t="n">
        <f aca="false">IF(A232="","",IFERROR(S232*(1+Inputs!$B$23/12),""))</f>
        <v>0</v>
      </c>
      <c r="U232" s="6" t="n">
        <f aca="false">IF(A232="","",IF(D232&lt;=Inputs!$B$8,IF(Inputs!$B$22="Premium Offset",MAX(0,Inputs!$B$25-(Q232+T232)),Inputs!$B$25),0))</f>
        <v>77</v>
      </c>
      <c r="V232" s="10" t="n">
        <f aca="false">IF(A232="","",IF(Inputs!$B$22="Cash",Q232,0))</f>
        <v>0</v>
      </c>
      <c r="W232" s="10" t="n">
        <f aca="false">IF(A232="","",IF(Inputs!$B$22="PUA",Q232,0))</f>
        <v>0</v>
      </c>
      <c r="X232" s="12" t="n">
        <f aca="false">IF(A232="","",IFERROR(INDEX(PUA_TABLE!$D$4:$D$105,MATCH(E232,PUA_TABLE!$C$4:$C$105,1)),0))</f>
        <v>0.456612321072052</v>
      </c>
      <c r="Y232" s="10" t="n">
        <f aca="false">IF(A232="","",IF(W232&gt;0,IF(X232&gt;0,W232/X232,0),0))</f>
        <v>0</v>
      </c>
      <c r="Z232" s="10" t="n">
        <f aca="false">IF(A232="","",N232+Y232)</f>
        <v>0</v>
      </c>
      <c r="AA232" s="10" t="n">
        <f aca="false">IF(A232="","",IFERROR(Z232*INDEX(PUA_TABLE!$I$4:$I$105,MATCH(E232,PUA_TABLE!$C$4:$C$105,1))/1000,0))</f>
        <v>0</v>
      </c>
      <c r="AB232" s="10" t="n">
        <f aca="false">IF(A232="","",IFERROR(L232+AA232,0))</f>
        <v>22937.4269727771</v>
      </c>
      <c r="AC232" s="10" t="n">
        <f aca="false">IF(A232="","",IF(Inputs!$B$22="Premium Offset",MIN(Inputs!$B$25,Q232+T232),0))</f>
        <v>0</v>
      </c>
    </row>
    <row r="233" customFormat="false" ht="15" hidden="false" customHeight="false" outlineLevel="0" collapsed="false">
      <c r="A233" s="1" t="n">
        <f aca="false">IF(A232="","",IF(INT((C232+1)/12)+Inputs!$B$7&gt;MAX(MORTALITY!$A:$A),"",Inputs!$B$4))</f>
        <v>34</v>
      </c>
      <c r="B233" s="3" t="n">
        <f aca="false">IF(A233="","",EOMONTH(B232,1))</f>
        <v>28763</v>
      </c>
      <c r="C233" s="1" t="n">
        <f aca="false">IF(A233="","",C232+1)</f>
        <v>231</v>
      </c>
      <c r="D233" s="1" t="n">
        <f aca="false">IF(A233="","",INT(C233/12))</f>
        <v>19</v>
      </c>
      <c r="E233" s="1" t="n">
        <f aca="false">IF(A233="","",D233+Inputs!$B$7)</f>
        <v>35</v>
      </c>
      <c r="F233" s="3" t="n">
        <f aca="false">IF(A233="","",DATE(YEAR(B$2)+D233,MONTH(B$2),DAY(B$2)))</f>
        <v>28646</v>
      </c>
      <c r="G233" s="3" t="n">
        <f aca="false">IF(A233="","",DATE(YEAR(F233)+1,MONTH(F233),DAY(F233)))</f>
        <v>29011</v>
      </c>
      <c r="H233" s="10" t="n">
        <f aca="false">IF(A233="","",IF(G233&gt;F233,(B233-F233)/(G233-F233),0))</f>
        <v>0.320547945205479</v>
      </c>
      <c r="I233" s="10" t="n">
        <f aca="false">IF(A233="","",IFERROR(INDEX(CV_RATES!$I:$I,MATCH(D233,CV_RATES!$C:$C,0)),0))</f>
        <v>456.612321072052</v>
      </c>
      <c r="J233" s="10" t="n">
        <f aca="false">IF(A233="","",IFERROR(IF(E233=MAX(MORTALITY!$A:$A),1000,INDEX(CV_RATES!$J:$J,MATCH(D233,CV_RATES!$C:$C,0))),0))</f>
        <v>465.574616588996</v>
      </c>
      <c r="K233" s="10" t="n">
        <f aca="false">IF(A233="","",IFERROR(I233+H233*(J233-I233),0))</f>
        <v>459.485166484333</v>
      </c>
      <c r="L233" s="10" t="n">
        <f aca="false">IF(A233="","",IFERROR(K233*Inputs!$B$9,0))</f>
        <v>22974.2583242166</v>
      </c>
      <c r="M233" s="10" t="n">
        <f aca="false">IF(A233="","",IFERROR(K233*Inputs!$B$10,0))</f>
        <v>73516.2481819938</v>
      </c>
      <c r="N233" s="10" t="n">
        <f aca="false">IF(A233="","",Z232)</f>
        <v>0</v>
      </c>
      <c r="O233" s="6" t="n">
        <f aca="false">IF(A233="","",Inputs!$B$18+N233)</f>
        <v>50000</v>
      </c>
      <c r="P233" s="5" t="n">
        <f aca="false">IF(A233="","",VLOOKUP(D233,DIvidend_Assumption!$A$3:$CX$103,($E$2+2),0)/12)</f>
        <v>0</v>
      </c>
      <c r="Q233" s="10" t="n">
        <f aca="false">IF(A233="","",IFERROR(AB232*P233,""))</f>
        <v>0</v>
      </c>
      <c r="R233" s="10" t="n">
        <f aca="false">IF(A233="","",IFERROR(IF(Inputs!$B$22="Accumulate",T233+Q233,IF(Inputs!$B$22="Premium Offset",MAX(0,T233+Q233-Inputs!$B$25),T233)),""))</f>
        <v>0</v>
      </c>
      <c r="S233" s="10" t="n">
        <f aca="false">IF(A233="","",R232)</f>
        <v>0</v>
      </c>
      <c r="T233" s="10" t="n">
        <f aca="false">IF(A233="","",IFERROR(S233*(1+Inputs!$B$23/12),""))</f>
        <v>0</v>
      </c>
      <c r="U233" s="6" t="n">
        <f aca="false">IF(A233="","",IF(D233&lt;=Inputs!$B$8,IF(Inputs!$B$22="Premium Offset",MAX(0,Inputs!$B$25-(Q233+T233)),Inputs!$B$25),0))</f>
        <v>77</v>
      </c>
      <c r="V233" s="10" t="n">
        <f aca="false">IF(A233="","",IF(Inputs!$B$22="Cash",Q233,0))</f>
        <v>0</v>
      </c>
      <c r="W233" s="10" t="n">
        <f aca="false">IF(A233="","",IF(Inputs!$B$22="PUA",Q233,0))</f>
        <v>0</v>
      </c>
      <c r="X233" s="12" t="n">
        <f aca="false">IF(A233="","",IFERROR(INDEX(PUA_TABLE!$D$4:$D$105,MATCH(E233,PUA_TABLE!$C$4:$C$105,1)),0))</f>
        <v>0.456612321072052</v>
      </c>
      <c r="Y233" s="10" t="n">
        <f aca="false">IF(A233="","",IF(W233&gt;0,IF(X233&gt;0,W233/X233,0),0))</f>
        <v>0</v>
      </c>
      <c r="Z233" s="10" t="n">
        <f aca="false">IF(A233="","",N233+Y233)</f>
        <v>0</v>
      </c>
      <c r="AA233" s="10" t="n">
        <f aca="false">IF(A233="","",IFERROR(Z233*INDEX(PUA_TABLE!$I$4:$I$105,MATCH(E233,PUA_TABLE!$C$4:$C$105,1))/1000,0))</f>
        <v>0</v>
      </c>
      <c r="AB233" s="10" t="n">
        <f aca="false">IF(A233="","",IFERROR(L233+AA233,0))</f>
        <v>22974.2583242166</v>
      </c>
      <c r="AC233" s="10" t="n">
        <f aca="false">IF(A233="","",IF(Inputs!$B$22="Premium Offset",MIN(Inputs!$B$25,Q233+T233),0))</f>
        <v>0</v>
      </c>
    </row>
    <row r="234" customFormat="false" ht="15" hidden="false" customHeight="false" outlineLevel="0" collapsed="false">
      <c r="A234" s="1" t="n">
        <f aca="false">IF(A233="","",IF(INT((C233+1)/12)+Inputs!$B$7&gt;MAX(MORTALITY!$A:$A),"",Inputs!$B$4))</f>
        <v>34</v>
      </c>
      <c r="B234" s="3" t="n">
        <f aca="false">IF(A234="","",EOMONTH(B233,1))</f>
        <v>28794</v>
      </c>
      <c r="C234" s="1" t="n">
        <f aca="false">IF(A234="","",C233+1)</f>
        <v>232</v>
      </c>
      <c r="D234" s="1" t="n">
        <f aca="false">IF(A234="","",INT(C234/12))</f>
        <v>19</v>
      </c>
      <c r="E234" s="1" t="n">
        <f aca="false">IF(A234="","",D234+Inputs!$B$7)</f>
        <v>35</v>
      </c>
      <c r="F234" s="3" t="n">
        <f aca="false">IF(A234="","",DATE(YEAR(B$2)+D234,MONTH(B$2),DAY(B$2)))</f>
        <v>28646</v>
      </c>
      <c r="G234" s="3" t="n">
        <f aca="false">IF(A234="","",DATE(YEAR(F234)+1,MONTH(F234),DAY(F234)))</f>
        <v>29011</v>
      </c>
      <c r="H234" s="10" t="n">
        <f aca="false">IF(A234="","",IF(G234&gt;F234,(B234-F234)/(G234-F234),0))</f>
        <v>0.405479452054795</v>
      </c>
      <c r="I234" s="10" t="n">
        <f aca="false">IF(A234="","",IFERROR(INDEX(CV_RATES!$I:$I,MATCH(D234,CV_RATES!$C:$C,0)),0))</f>
        <v>456.612321072052</v>
      </c>
      <c r="J234" s="10" t="n">
        <f aca="false">IF(A234="","",IFERROR(IF(E234=MAX(MORTALITY!$A:$A),1000,INDEX(CV_RATES!$J:$J,MATCH(D234,CV_RATES!$C:$C,0))),0))</f>
        <v>465.574616588996</v>
      </c>
      <c r="K234" s="10" t="n">
        <f aca="false">IF(A234="","",IFERROR(I234+H234*(J234-I234),0))</f>
        <v>460.246347747416</v>
      </c>
      <c r="L234" s="10" t="n">
        <f aca="false">IF(A234="","",IFERROR(K234*Inputs!$B$9,0))</f>
        <v>23012.3173873708</v>
      </c>
      <c r="M234" s="10" t="n">
        <f aca="false">IF(A234="","",IFERROR(K234*Inputs!$B$10,0))</f>
        <v>73638.0349005433</v>
      </c>
      <c r="N234" s="10" t="n">
        <f aca="false">IF(A234="","",Z233)</f>
        <v>0</v>
      </c>
      <c r="O234" s="6" t="n">
        <f aca="false">IF(A234="","",Inputs!$B$18+N234)</f>
        <v>50000</v>
      </c>
      <c r="P234" s="5" t="n">
        <f aca="false">IF(A234="","",VLOOKUP(D234,DIvidend_Assumption!$A$3:$CX$103,($E$2+2),0)/12)</f>
        <v>0</v>
      </c>
      <c r="Q234" s="10" t="n">
        <f aca="false">IF(A234="","",IFERROR(AB233*P234,""))</f>
        <v>0</v>
      </c>
      <c r="R234" s="10" t="n">
        <f aca="false">IF(A234="","",IFERROR(IF(Inputs!$B$22="Accumulate",T234+Q234,IF(Inputs!$B$22="Premium Offset",MAX(0,T234+Q234-Inputs!$B$25),T234)),""))</f>
        <v>0</v>
      </c>
      <c r="S234" s="10" t="n">
        <f aca="false">IF(A234="","",R233)</f>
        <v>0</v>
      </c>
      <c r="T234" s="10" t="n">
        <f aca="false">IF(A234="","",IFERROR(S234*(1+Inputs!$B$23/12),""))</f>
        <v>0</v>
      </c>
      <c r="U234" s="6" t="n">
        <f aca="false">IF(A234="","",IF(D234&lt;=Inputs!$B$8,IF(Inputs!$B$22="Premium Offset",MAX(0,Inputs!$B$25-(Q234+T234)),Inputs!$B$25),0))</f>
        <v>77</v>
      </c>
      <c r="V234" s="10" t="n">
        <f aca="false">IF(A234="","",IF(Inputs!$B$22="Cash",Q234,0))</f>
        <v>0</v>
      </c>
      <c r="W234" s="10" t="n">
        <f aca="false">IF(A234="","",IF(Inputs!$B$22="PUA",Q234,0))</f>
        <v>0</v>
      </c>
      <c r="X234" s="12" t="n">
        <f aca="false">IF(A234="","",IFERROR(INDEX(PUA_TABLE!$D$4:$D$105,MATCH(E234,PUA_TABLE!$C$4:$C$105,1)),0))</f>
        <v>0.456612321072052</v>
      </c>
      <c r="Y234" s="10" t="n">
        <f aca="false">IF(A234="","",IF(W234&gt;0,IF(X234&gt;0,W234/X234,0),0))</f>
        <v>0</v>
      </c>
      <c r="Z234" s="10" t="n">
        <f aca="false">IF(A234="","",N234+Y234)</f>
        <v>0</v>
      </c>
      <c r="AA234" s="10" t="n">
        <f aca="false">IF(A234="","",IFERROR(Z234*INDEX(PUA_TABLE!$I$4:$I$105,MATCH(E234,PUA_TABLE!$C$4:$C$105,1))/1000,0))</f>
        <v>0</v>
      </c>
      <c r="AB234" s="10" t="n">
        <f aca="false">IF(A234="","",IFERROR(L234+AA234,0))</f>
        <v>23012.3173873708</v>
      </c>
      <c r="AC234" s="10" t="n">
        <f aca="false">IF(A234="","",IF(Inputs!$B$22="Premium Offset",MIN(Inputs!$B$25,Q234+T234),0))</f>
        <v>0</v>
      </c>
    </row>
    <row r="235" customFormat="false" ht="15" hidden="false" customHeight="false" outlineLevel="0" collapsed="false">
      <c r="A235" s="1" t="n">
        <f aca="false">IF(A234="","",IF(INT((C234+1)/12)+Inputs!$B$7&gt;MAX(MORTALITY!$A:$A),"",Inputs!$B$4))</f>
        <v>34</v>
      </c>
      <c r="B235" s="3" t="n">
        <f aca="false">IF(A235="","",EOMONTH(B234,1))</f>
        <v>28824</v>
      </c>
      <c r="C235" s="1" t="n">
        <f aca="false">IF(A235="","",C234+1)</f>
        <v>233</v>
      </c>
      <c r="D235" s="1" t="n">
        <f aca="false">IF(A235="","",INT(C235/12))</f>
        <v>19</v>
      </c>
      <c r="E235" s="1" t="n">
        <f aca="false">IF(A235="","",D235+Inputs!$B$7)</f>
        <v>35</v>
      </c>
      <c r="F235" s="3" t="n">
        <f aca="false">IF(A235="","",DATE(YEAR(B$2)+D235,MONTH(B$2),DAY(B$2)))</f>
        <v>28646</v>
      </c>
      <c r="G235" s="3" t="n">
        <f aca="false">IF(A235="","",DATE(YEAR(F235)+1,MONTH(F235),DAY(F235)))</f>
        <v>29011</v>
      </c>
      <c r="H235" s="10" t="n">
        <f aca="false">IF(A235="","",IF(G235&gt;F235,(B235-F235)/(G235-F235),0))</f>
        <v>0.487671232876712</v>
      </c>
      <c r="I235" s="10" t="n">
        <f aca="false">IF(A235="","",IFERROR(INDEX(CV_RATES!$I:$I,MATCH(D235,CV_RATES!$C:$C,0)),0))</f>
        <v>456.612321072052</v>
      </c>
      <c r="J235" s="10" t="n">
        <f aca="false">IF(A235="","",IFERROR(IF(E235=MAX(MORTALITY!$A:$A),1000,INDEX(CV_RATES!$J:$J,MATCH(D235,CV_RATES!$C:$C,0))),0))</f>
        <v>465.574616588996</v>
      </c>
      <c r="K235" s="10" t="n">
        <f aca="false">IF(A235="","",IFERROR(I235+H235*(J235-I235),0))</f>
        <v>460.982974776206</v>
      </c>
      <c r="L235" s="10" t="n">
        <f aca="false">IF(A235="","",IFERROR(K235*Inputs!$B$9,0))</f>
        <v>23049.1487388103</v>
      </c>
      <c r="M235" s="10" t="n">
        <f aca="false">IF(A235="","",IFERROR(K235*Inputs!$B$10,0))</f>
        <v>73755.8930152686</v>
      </c>
      <c r="N235" s="10" t="n">
        <f aca="false">IF(A235="","",Z234)</f>
        <v>0</v>
      </c>
      <c r="O235" s="6" t="n">
        <f aca="false">IF(A235="","",Inputs!$B$18+N235)</f>
        <v>50000</v>
      </c>
      <c r="P235" s="5" t="n">
        <f aca="false">IF(A235="","",VLOOKUP(D235,DIvidend_Assumption!$A$3:$CX$103,($E$2+2),0)/12)</f>
        <v>0</v>
      </c>
      <c r="Q235" s="10" t="n">
        <f aca="false">IF(A235="","",IFERROR(AB234*P235,""))</f>
        <v>0</v>
      </c>
      <c r="R235" s="10" t="n">
        <f aca="false">IF(A235="","",IFERROR(IF(Inputs!$B$22="Accumulate",T235+Q235,IF(Inputs!$B$22="Premium Offset",MAX(0,T235+Q235-Inputs!$B$25),T235)),""))</f>
        <v>0</v>
      </c>
      <c r="S235" s="10" t="n">
        <f aca="false">IF(A235="","",R234)</f>
        <v>0</v>
      </c>
      <c r="T235" s="10" t="n">
        <f aca="false">IF(A235="","",IFERROR(S235*(1+Inputs!$B$23/12),""))</f>
        <v>0</v>
      </c>
      <c r="U235" s="6" t="n">
        <f aca="false">IF(A235="","",IF(D235&lt;=Inputs!$B$8,IF(Inputs!$B$22="Premium Offset",MAX(0,Inputs!$B$25-(Q235+T235)),Inputs!$B$25),0))</f>
        <v>77</v>
      </c>
      <c r="V235" s="10" t="n">
        <f aca="false">IF(A235="","",IF(Inputs!$B$22="Cash",Q235,0))</f>
        <v>0</v>
      </c>
      <c r="W235" s="10" t="n">
        <f aca="false">IF(A235="","",IF(Inputs!$B$22="PUA",Q235,0))</f>
        <v>0</v>
      </c>
      <c r="X235" s="12" t="n">
        <f aca="false">IF(A235="","",IFERROR(INDEX(PUA_TABLE!$D$4:$D$105,MATCH(E235,PUA_TABLE!$C$4:$C$105,1)),0))</f>
        <v>0.456612321072052</v>
      </c>
      <c r="Y235" s="10" t="n">
        <f aca="false">IF(A235="","",IF(W235&gt;0,IF(X235&gt;0,W235/X235,0),0))</f>
        <v>0</v>
      </c>
      <c r="Z235" s="10" t="n">
        <f aca="false">IF(A235="","",N235+Y235)</f>
        <v>0</v>
      </c>
      <c r="AA235" s="10" t="n">
        <f aca="false">IF(A235="","",IFERROR(Z235*INDEX(PUA_TABLE!$I$4:$I$105,MATCH(E235,PUA_TABLE!$C$4:$C$105,1))/1000,0))</f>
        <v>0</v>
      </c>
      <c r="AB235" s="10" t="n">
        <f aca="false">IF(A235="","",IFERROR(L235+AA235,0))</f>
        <v>23049.1487388103</v>
      </c>
      <c r="AC235" s="10" t="n">
        <f aca="false">IF(A235="","",IF(Inputs!$B$22="Premium Offset",MIN(Inputs!$B$25,Q235+T235),0))</f>
        <v>0</v>
      </c>
    </row>
    <row r="236" customFormat="false" ht="15" hidden="false" customHeight="false" outlineLevel="0" collapsed="false">
      <c r="A236" s="1" t="n">
        <f aca="false">IF(A235="","",IF(INT((C235+1)/12)+Inputs!$B$7&gt;MAX(MORTALITY!$A:$A),"",Inputs!$B$4))</f>
        <v>34</v>
      </c>
      <c r="B236" s="3" t="n">
        <f aca="false">IF(A236="","",EOMONTH(B235,1))</f>
        <v>28855</v>
      </c>
      <c r="C236" s="1" t="n">
        <f aca="false">IF(A236="","",C235+1)</f>
        <v>234</v>
      </c>
      <c r="D236" s="1" t="n">
        <f aca="false">IF(A236="","",INT(C236/12))</f>
        <v>19</v>
      </c>
      <c r="E236" s="1" t="n">
        <f aca="false">IF(A236="","",D236+Inputs!$B$7)</f>
        <v>35</v>
      </c>
      <c r="F236" s="3" t="n">
        <f aca="false">IF(A236="","",DATE(YEAR(B$2)+D236,MONTH(B$2),DAY(B$2)))</f>
        <v>28646</v>
      </c>
      <c r="G236" s="3" t="n">
        <f aca="false">IF(A236="","",DATE(YEAR(F236)+1,MONTH(F236),DAY(F236)))</f>
        <v>29011</v>
      </c>
      <c r="H236" s="10" t="n">
        <f aca="false">IF(A236="","",IF(G236&gt;F236,(B236-F236)/(G236-F236),0))</f>
        <v>0.572602739726027</v>
      </c>
      <c r="I236" s="10" t="n">
        <f aca="false">IF(A236="","",IFERROR(INDEX(CV_RATES!$I:$I,MATCH(D236,CV_RATES!$C:$C,0)),0))</f>
        <v>456.612321072052</v>
      </c>
      <c r="J236" s="10" t="n">
        <f aca="false">IF(A236="","",IFERROR(IF(E236=MAX(MORTALITY!$A:$A),1000,INDEX(CV_RATES!$J:$J,MATCH(D236,CV_RATES!$C:$C,0))),0))</f>
        <v>465.574616588996</v>
      </c>
      <c r="K236" s="10" t="n">
        <f aca="false">IF(A236="","",IFERROR(I236+H236*(J236-I236),0))</f>
        <v>461.744156039289</v>
      </c>
      <c r="L236" s="10" t="n">
        <f aca="false">IF(A236="","",IFERROR(K236*Inputs!$B$9,0))</f>
        <v>23087.2078019644</v>
      </c>
      <c r="M236" s="10" t="n">
        <f aca="false">IF(A236="","",IFERROR(K236*Inputs!$B$10,0))</f>
        <v>73877.6797338181</v>
      </c>
      <c r="N236" s="10" t="n">
        <f aca="false">IF(A236="","",Z235)</f>
        <v>0</v>
      </c>
      <c r="O236" s="6" t="n">
        <f aca="false">IF(A236="","",Inputs!$B$18+N236)</f>
        <v>50000</v>
      </c>
      <c r="P236" s="5" t="n">
        <f aca="false">IF(A236="","",VLOOKUP(D236,DIvidend_Assumption!$A$3:$CX$103,($E$2+2),0)/12)</f>
        <v>0</v>
      </c>
      <c r="Q236" s="10" t="n">
        <f aca="false">IF(A236="","",IFERROR(AB235*P236,""))</f>
        <v>0</v>
      </c>
      <c r="R236" s="10" t="n">
        <f aca="false">IF(A236="","",IFERROR(IF(Inputs!$B$22="Accumulate",T236+Q236,IF(Inputs!$B$22="Premium Offset",MAX(0,T236+Q236-Inputs!$B$25),T236)),""))</f>
        <v>0</v>
      </c>
      <c r="S236" s="10" t="n">
        <f aca="false">IF(A236="","",R235)</f>
        <v>0</v>
      </c>
      <c r="T236" s="10" t="n">
        <f aca="false">IF(A236="","",IFERROR(S236*(1+Inputs!$B$23/12),""))</f>
        <v>0</v>
      </c>
      <c r="U236" s="6" t="n">
        <f aca="false">IF(A236="","",IF(D236&lt;=Inputs!$B$8,IF(Inputs!$B$22="Premium Offset",MAX(0,Inputs!$B$25-(Q236+T236)),Inputs!$B$25),0))</f>
        <v>77</v>
      </c>
      <c r="V236" s="10" t="n">
        <f aca="false">IF(A236="","",IF(Inputs!$B$22="Cash",Q236,0))</f>
        <v>0</v>
      </c>
      <c r="W236" s="10" t="n">
        <f aca="false">IF(A236="","",IF(Inputs!$B$22="PUA",Q236,0))</f>
        <v>0</v>
      </c>
      <c r="X236" s="12" t="n">
        <f aca="false">IF(A236="","",IFERROR(INDEX(PUA_TABLE!$D$4:$D$105,MATCH(E236,PUA_TABLE!$C$4:$C$105,1)),0))</f>
        <v>0.456612321072052</v>
      </c>
      <c r="Y236" s="10" t="n">
        <f aca="false">IF(A236="","",IF(W236&gt;0,IF(X236&gt;0,W236/X236,0),0))</f>
        <v>0</v>
      </c>
      <c r="Z236" s="10" t="n">
        <f aca="false">IF(A236="","",N236+Y236)</f>
        <v>0</v>
      </c>
      <c r="AA236" s="10" t="n">
        <f aca="false">IF(A236="","",IFERROR(Z236*INDEX(PUA_TABLE!$I$4:$I$105,MATCH(E236,PUA_TABLE!$C$4:$C$105,1))/1000,0))</f>
        <v>0</v>
      </c>
      <c r="AB236" s="10" t="n">
        <f aca="false">IF(A236="","",IFERROR(L236+AA236,0))</f>
        <v>23087.2078019644</v>
      </c>
      <c r="AC236" s="10" t="n">
        <f aca="false">IF(A236="","",IF(Inputs!$B$22="Premium Offset",MIN(Inputs!$B$25,Q236+T236),0))</f>
        <v>0</v>
      </c>
    </row>
    <row r="237" customFormat="false" ht="15" hidden="false" customHeight="false" outlineLevel="0" collapsed="false">
      <c r="A237" s="1" t="n">
        <f aca="false">IF(A236="","",IF(INT((C236+1)/12)+Inputs!$B$7&gt;MAX(MORTALITY!$A:$A),"",Inputs!$B$4))</f>
        <v>34</v>
      </c>
      <c r="B237" s="3" t="n">
        <f aca="false">IF(A237="","",EOMONTH(B236,1))</f>
        <v>28886</v>
      </c>
      <c r="C237" s="1" t="n">
        <f aca="false">IF(A237="","",C236+1)</f>
        <v>235</v>
      </c>
      <c r="D237" s="1" t="n">
        <f aca="false">IF(A237="","",INT(C237/12))</f>
        <v>19</v>
      </c>
      <c r="E237" s="1" t="n">
        <f aca="false">IF(A237="","",D237+Inputs!$B$7)</f>
        <v>35</v>
      </c>
      <c r="F237" s="3" t="n">
        <f aca="false">IF(A237="","",DATE(YEAR(B$2)+D237,MONTH(B$2),DAY(B$2)))</f>
        <v>28646</v>
      </c>
      <c r="G237" s="3" t="n">
        <f aca="false">IF(A237="","",DATE(YEAR(F237)+1,MONTH(F237),DAY(F237)))</f>
        <v>29011</v>
      </c>
      <c r="H237" s="10" t="n">
        <f aca="false">IF(A237="","",IF(G237&gt;F237,(B237-F237)/(G237-F237),0))</f>
        <v>0.657534246575342</v>
      </c>
      <c r="I237" s="10" t="n">
        <f aca="false">IF(A237="","",IFERROR(INDEX(CV_RATES!$I:$I,MATCH(D237,CV_RATES!$C:$C,0)),0))</f>
        <v>456.612321072052</v>
      </c>
      <c r="J237" s="10" t="n">
        <f aca="false">IF(A237="","",IFERROR(IF(E237=MAX(MORTALITY!$A:$A),1000,INDEX(CV_RATES!$J:$J,MATCH(D237,CV_RATES!$C:$C,0))),0))</f>
        <v>465.574616588996</v>
      </c>
      <c r="K237" s="10" t="n">
        <f aca="false">IF(A237="","",IFERROR(I237+H237*(J237-I237),0))</f>
        <v>462.505337302371</v>
      </c>
      <c r="L237" s="10" t="n">
        <f aca="false">IF(A237="","",IFERROR(K237*Inputs!$B$9,0))</f>
        <v>23125.2668651186</v>
      </c>
      <c r="M237" s="10" t="n">
        <f aca="false">IF(A237="","",IFERROR(K237*Inputs!$B$10,0))</f>
        <v>73999.4664523675</v>
      </c>
      <c r="N237" s="10" t="n">
        <f aca="false">IF(A237="","",Z236)</f>
        <v>0</v>
      </c>
      <c r="O237" s="6" t="n">
        <f aca="false">IF(A237="","",Inputs!$B$18+N237)</f>
        <v>50000</v>
      </c>
      <c r="P237" s="5" t="n">
        <f aca="false">IF(A237="","",VLOOKUP(D237,DIvidend_Assumption!$A$3:$CX$103,($E$2+2),0)/12)</f>
        <v>0</v>
      </c>
      <c r="Q237" s="10" t="n">
        <f aca="false">IF(A237="","",IFERROR(AB236*P237,""))</f>
        <v>0</v>
      </c>
      <c r="R237" s="10" t="n">
        <f aca="false">IF(A237="","",IFERROR(IF(Inputs!$B$22="Accumulate",T237+Q237,IF(Inputs!$B$22="Premium Offset",MAX(0,T237+Q237-Inputs!$B$25),T237)),""))</f>
        <v>0</v>
      </c>
      <c r="S237" s="10" t="n">
        <f aca="false">IF(A237="","",R236)</f>
        <v>0</v>
      </c>
      <c r="T237" s="10" t="n">
        <f aca="false">IF(A237="","",IFERROR(S237*(1+Inputs!$B$23/12),""))</f>
        <v>0</v>
      </c>
      <c r="U237" s="6" t="n">
        <f aca="false">IF(A237="","",IF(D237&lt;=Inputs!$B$8,IF(Inputs!$B$22="Premium Offset",MAX(0,Inputs!$B$25-(Q237+T237)),Inputs!$B$25),0))</f>
        <v>77</v>
      </c>
      <c r="V237" s="10" t="n">
        <f aca="false">IF(A237="","",IF(Inputs!$B$22="Cash",Q237,0))</f>
        <v>0</v>
      </c>
      <c r="W237" s="10" t="n">
        <f aca="false">IF(A237="","",IF(Inputs!$B$22="PUA",Q237,0))</f>
        <v>0</v>
      </c>
      <c r="X237" s="12" t="n">
        <f aca="false">IF(A237="","",IFERROR(INDEX(PUA_TABLE!$D$4:$D$105,MATCH(E237,PUA_TABLE!$C$4:$C$105,1)),0))</f>
        <v>0.456612321072052</v>
      </c>
      <c r="Y237" s="10" t="n">
        <f aca="false">IF(A237="","",IF(W237&gt;0,IF(X237&gt;0,W237/X237,0),0))</f>
        <v>0</v>
      </c>
      <c r="Z237" s="10" t="n">
        <f aca="false">IF(A237="","",N237+Y237)</f>
        <v>0</v>
      </c>
      <c r="AA237" s="10" t="n">
        <f aca="false">IF(A237="","",IFERROR(Z237*INDEX(PUA_TABLE!$I$4:$I$105,MATCH(E237,PUA_TABLE!$C$4:$C$105,1))/1000,0))</f>
        <v>0</v>
      </c>
      <c r="AB237" s="10" t="n">
        <f aca="false">IF(A237="","",IFERROR(L237+AA237,0))</f>
        <v>23125.2668651186</v>
      </c>
      <c r="AC237" s="10" t="n">
        <f aca="false">IF(A237="","",IF(Inputs!$B$22="Premium Offset",MIN(Inputs!$B$25,Q237+T237),0))</f>
        <v>0</v>
      </c>
    </row>
    <row r="238" customFormat="false" ht="15" hidden="false" customHeight="false" outlineLevel="0" collapsed="false">
      <c r="A238" s="1" t="n">
        <f aca="false">IF(A237="","",IF(INT((C237+1)/12)+Inputs!$B$7&gt;MAX(MORTALITY!$A:$A),"",Inputs!$B$4))</f>
        <v>34</v>
      </c>
      <c r="B238" s="3" t="n">
        <f aca="false">IF(A238="","",EOMONTH(B237,1))</f>
        <v>28914</v>
      </c>
      <c r="C238" s="1" t="n">
        <f aca="false">IF(A238="","",C237+1)</f>
        <v>236</v>
      </c>
      <c r="D238" s="1" t="n">
        <f aca="false">IF(A238="","",INT(C238/12))</f>
        <v>19</v>
      </c>
      <c r="E238" s="1" t="n">
        <f aca="false">IF(A238="","",D238+Inputs!$B$7)</f>
        <v>35</v>
      </c>
      <c r="F238" s="3" t="n">
        <f aca="false">IF(A238="","",DATE(YEAR(B$2)+D238,MONTH(B$2),DAY(B$2)))</f>
        <v>28646</v>
      </c>
      <c r="G238" s="3" t="n">
        <f aca="false">IF(A238="","",DATE(YEAR(F238)+1,MONTH(F238),DAY(F238)))</f>
        <v>29011</v>
      </c>
      <c r="H238" s="10" t="n">
        <f aca="false">IF(A238="","",IF(G238&gt;F238,(B238-F238)/(G238-F238),0))</f>
        <v>0.734246575342466</v>
      </c>
      <c r="I238" s="10" t="n">
        <f aca="false">IF(A238="","",IFERROR(INDEX(CV_RATES!$I:$I,MATCH(D238,CV_RATES!$C:$C,0)),0))</f>
        <v>456.612321072052</v>
      </c>
      <c r="J238" s="10" t="n">
        <f aca="false">IF(A238="","",IFERROR(IF(E238=MAX(MORTALITY!$A:$A),1000,INDEX(CV_RATES!$J:$J,MATCH(D238,CV_RATES!$C:$C,0))),0))</f>
        <v>465.574616588996</v>
      </c>
      <c r="K238" s="10" t="n">
        <f aca="false">IF(A238="","",IFERROR(I238+H238*(J238-I238),0))</f>
        <v>463.192855862575</v>
      </c>
      <c r="L238" s="10" t="n">
        <f aca="false">IF(A238="","",IFERROR(K238*Inputs!$B$9,0))</f>
        <v>23159.6427931288</v>
      </c>
      <c r="M238" s="10" t="n">
        <f aca="false">IF(A238="","",IFERROR(K238*Inputs!$B$10,0))</f>
        <v>74109.4673594445</v>
      </c>
      <c r="N238" s="10" t="n">
        <f aca="false">IF(A238="","",Z237)</f>
        <v>0</v>
      </c>
      <c r="O238" s="6" t="n">
        <f aca="false">IF(A238="","",Inputs!$B$18+N238)</f>
        <v>50000</v>
      </c>
      <c r="P238" s="5" t="n">
        <f aca="false">IF(A238="","",VLOOKUP(D238,DIvidend_Assumption!$A$3:$CX$103,($E$2+2),0)/12)</f>
        <v>0</v>
      </c>
      <c r="Q238" s="10" t="n">
        <f aca="false">IF(A238="","",IFERROR(AB237*P238,""))</f>
        <v>0</v>
      </c>
      <c r="R238" s="10" t="n">
        <f aca="false">IF(A238="","",IFERROR(IF(Inputs!$B$22="Accumulate",T238+Q238,IF(Inputs!$B$22="Premium Offset",MAX(0,T238+Q238-Inputs!$B$25),T238)),""))</f>
        <v>0</v>
      </c>
      <c r="S238" s="10" t="n">
        <f aca="false">IF(A238="","",R237)</f>
        <v>0</v>
      </c>
      <c r="T238" s="10" t="n">
        <f aca="false">IF(A238="","",IFERROR(S238*(1+Inputs!$B$23/12),""))</f>
        <v>0</v>
      </c>
      <c r="U238" s="6" t="n">
        <f aca="false">IF(A238="","",IF(D238&lt;=Inputs!$B$8,IF(Inputs!$B$22="Premium Offset",MAX(0,Inputs!$B$25-(Q238+T238)),Inputs!$B$25),0))</f>
        <v>77</v>
      </c>
      <c r="V238" s="10" t="n">
        <f aca="false">IF(A238="","",IF(Inputs!$B$22="Cash",Q238,0))</f>
        <v>0</v>
      </c>
      <c r="W238" s="10" t="n">
        <f aca="false">IF(A238="","",IF(Inputs!$B$22="PUA",Q238,0))</f>
        <v>0</v>
      </c>
      <c r="X238" s="12" t="n">
        <f aca="false">IF(A238="","",IFERROR(INDEX(PUA_TABLE!$D$4:$D$105,MATCH(E238,PUA_TABLE!$C$4:$C$105,1)),0))</f>
        <v>0.456612321072052</v>
      </c>
      <c r="Y238" s="10" t="n">
        <f aca="false">IF(A238="","",IF(W238&gt;0,IF(X238&gt;0,W238/X238,0),0))</f>
        <v>0</v>
      </c>
      <c r="Z238" s="10" t="n">
        <f aca="false">IF(A238="","",N238+Y238)</f>
        <v>0</v>
      </c>
      <c r="AA238" s="10" t="n">
        <f aca="false">IF(A238="","",IFERROR(Z238*INDEX(PUA_TABLE!$I$4:$I$105,MATCH(E238,PUA_TABLE!$C$4:$C$105,1))/1000,0))</f>
        <v>0</v>
      </c>
      <c r="AB238" s="10" t="n">
        <f aca="false">IF(A238="","",IFERROR(L238+AA238,0))</f>
        <v>23159.6427931288</v>
      </c>
      <c r="AC238" s="10" t="n">
        <f aca="false">IF(A238="","",IF(Inputs!$B$22="Premium Offset",MIN(Inputs!$B$25,Q238+T238),0))</f>
        <v>0</v>
      </c>
    </row>
    <row r="239" customFormat="false" ht="15" hidden="false" customHeight="false" outlineLevel="0" collapsed="false">
      <c r="A239" s="1" t="n">
        <f aca="false">IF(A238="","",IF(INT((C238+1)/12)+Inputs!$B$7&gt;MAX(MORTALITY!$A:$A),"",Inputs!$B$4))</f>
        <v>34</v>
      </c>
      <c r="B239" s="3" t="n">
        <f aca="false">IF(A239="","",EOMONTH(B238,1))</f>
        <v>28945</v>
      </c>
      <c r="C239" s="1" t="n">
        <f aca="false">IF(A239="","",C238+1)</f>
        <v>237</v>
      </c>
      <c r="D239" s="1" t="n">
        <f aca="false">IF(A239="","",INT(C239/12))</f>
        <v>19</v>
      </c>
      <c r="E239" s="1" t="n">
        <f aca="false">IF(A239="","",D239+Inputs!$B$7)</f>
        <v>35</v>
      </c>
      <c r="F239" s="3" t="n">
        <f aca="false">IF(A239="","",DATE(YEAR(B$2)+D239,MONTH(B$2),DAY(B$2)))</f>
        <v>28646</v>
      </c>
      <c r="G239" s="3" t="n">
        <f aca="false">IF(A239="","",DATE(YEAR(F239)+1,MONTH(F239),DAY(F239)))</f>
        <v>29011</v>
      </c>
      <c r="H239" s="10" t="n">
        <f aca="false">IF(A239="","",IF(G239&gt;F239,(B239-F239)/(G239-F239),0))</f>
        <v>0.819178082191781</v>
      </c>
      <c r="I239" s="10" t="n">
        <f aca="false">IF(A239="","",IFERROR(INDEX(CV_RATES!$I:$I,MATCH(D239,CV_RATES!$C:$C,0)),0))</f>
        <v>456.612321072052</v>
      </c>
      <c r="J239" s="10" t="n">
        <f aca="false">IF(A239="","",IFERROR(IF(E239=MAX(MORTALITY!$A:$A),1000,INDEX(CV_RATES!$J:$J,MATCH(D239,CV_RATES!$C:$C,0))),0))</f>
        <v>465.574616588996</v>
      </c>
      <c r="K239" s="10" t="n">
        <f aca="false">IF(A239="","",IFERROR(I239+H239*(J239-I239),0))</f>
        <v>463.954037125658</v>
      </c>
      <c r="L239" s="10" t="n">
        <f aca="false">IF(A239="","",IFERROR(K239*Inputs!$B$9,0))</f>
        <v>23197.7018562829</v>
      </c>
      <c r="M239" s="10" t="n">
        <f aca="false">IF(A239="","",IFERROR(K239*Inputs!$B$10,0))</f>
        <v>74231.254077994</v>
      </c>
      <c r="N239" s="10" t="n">
        <f aca="false">IF(A239="","",Z238)</f>
        <v>0</v>
      </c>
      <c r="O239" s="6" t="n">
        <f aca="false">IF(A239="","",Inputs!$B$18+N239)</f>
        <v>50000</v>
      </c>
      <c r="P239" s="5" t="n">
        <f aca="false">IF(A239="","",VLOOKUP(D239,DIvidend_Assumption!$A$3:$CX$103,($E$2+2),0)/12)</f>
        <v>0</v>
      </c>
      <c r="Q239" s="10" t="n">
        <f aca="false">IF(A239="","",IFERROR(AB238*P239,""))</f>
        <v>0</v>
      </c>
      <c r="R239" s="10" t="n">
        <f aca="false">IF(A239="","",IFERROR(IF(Inputs!$B$22="Accumulate",T239+Q239,IF(Inputs!$B$22="Premium Offset",MAX(0,T239+Q239-Inputs!$B$25),T239)),""))</f>
        <v>0</v>
      </c>
      <c r="S239" s="10" t="n">
        <f aca="false">IF(A239="","",R238)</f>
        <v>0</v>
      </c>
      <c r="T239" s="10" t="n">
        <f aca="false">IF(A239="","",IFERROR(S239*(1+Inputs!$B$23/12),""))</f>
        <v>0</v>
      </c>
      <c r="U239" s="6" t="n">
        <f aca="false">IF(A239="","",IF(D239&lt;=Inputs!$B$8,IF(Inputs!$B$22="Premium Offset",MAX(0,Inputs!$B$25-(Q239+T239)),Inputs!$B$25),0))</f>
        <v>77</v>
      </c>
      <c r="V239" s="10" t="n">
        <f aca="false">IF(A239="","",IF(Inputs!$B$22="Cash",Q239,0))</f>
        <v>0</v>
      </c>
      <c r="W239" s="10" t="n">
        <f aca="false">IF(A239="","",IF(Inputs!$B$22="PUA",Q239,0))</f>
        <v>0</v>
      </c>
      <c r="X239" s="12" t="n">
        <f aca="false">IF(A239="","",IFERROR(INDEX(PUA_TABLE!$D$4:$D$105,MATCH(E239,PUA_TABLE!$C$4:$C$105,1)),0))</f>
        <v>0.456612321072052</v>
      </c>
      <c r="Y239" s="10" t="n">
        <f aca="false">IF(A239="","",IF(W239&gt;0,IF(X239&gt;0,W239/X239,0),0))</f>
        <v>0</v>
      </c>
      <c r="Z239" s="10" t="n">
        <f aca="false">IF(A239="","",N239+Y239)</f>
        <v>0</v>
      </c>
      <c r="AA239" s="10" t="n">
        <f aca="false">IF(A239="","",IFERROR(Z239*INDEX(PUA_TABLE!$I$4:$I$105,MATCH(E239,PUA_TABLE!$C$4:$C$105,1))/1000,0))</f>
        <v>0</v>
      </c>
      <c r="AB239" s="10" t="n">
        <f aca="false">IF(A239="","",IFERROR(L239+AA239,0))</f>
        <v>23197.7018562829</v>
      </c>
      <c r="AC239" s="10" t="n">
        <f aca="false">IF(A239="","",IF(Inputs!$B$22="Premium Offset",MIN(Inputs!$B$25,Q239+T239),0))</f>
        <v>0</v>
      </c>
    </row>
    <row r="240" customFormat="false" ht="15" hidden="false" customHeight="false" outlineLevel="0" collapsed="false">
      <c r="A240" s="1" t="n">
        <f aca="false">IF(A239="","",IF(INT((C239+1)/12)+Inputs!$B$7&gt;MAX(MORTALITY!$A:$A),"",Inputs!$B$4))</f>
        <v>34</v>
      </c>
      <c r="B240" s="3" t="n">
        <f aca="false">IF(A240="","",EOMONTH(B239,1))</f>
        <v>28975</v>
      </c>
      <c r="C240" s="1" t="n">
        <f aca="false">IF(A240="","",C239+1)</f>
        <v>238</v>
      </c>
      <c r="D240" s="1" t="n">
        <f aca="false">IF(A240="","",INT(C240/12))</f>
        <v>19</v>
      </c>
      <c r="E240" s="1" t="n">
        <f aca="false">IF(A240="","",D240+Inputs!$B$7)</f>
        <v>35</v>
      </c>
      <c r="F240" s="3" t="n">
        <f aca="false">IF(A240="","",DATE(YEAR(B$2)+D240,MONTH(B$2),DAY(B$2)))</f>
        <v>28646</v>
      </c>
      <c r="G240" s="3" t="n">
        <f aca="false">IF(A240="","",DATE(YEAR(F240)+1,MONTH(F240),DAY(F240)))</f>
        <v>29011</v>
      </c>
      <c r="H240" s="10" t="n">
        <f aca="false">IF(A240="","",IF(G240&gt;F240,(B240-F240)/(G240-F240),0))</f>
        <v>0.901369863013699</v>
      </c>
      <c r="I240" s="10" t="n">
        <f aca="false">IF(A240="","",IFERROR(INDEX(CV_RATES!$I:$I,MATCH(D240,CV_RATES!$C:$C,0)),0))</f>
        <v>456.612321072052</v>
      </c>
      <c r="J240" s="10" t="n">
        <f aca="false">IF(A240="","",IFERROR(IF(E240=MAX(MORTALITY!$A:$A),1000,INDEX(CV_RATES!$J:$J,MATCH(D240,CV_RATES!$C:$C,0))),0))</f>
        <v>465.574616588996</v>
      </c>
      <c r="K240" s="10" t="n">
        <f aca="false">IF(A240="","",IFERROR(I240+H240*(J240-I240),0))</f>
        <v>464.690664154448</v>
      </c>
      <c r="L240" s="10" t="n">
        <f aca="false">IF(A240="","",IFERROR(K240*Inputs!$B$9,0))</f>
        <v>23234.5332077224</v>
      </c>
      <c r="M240" s="10" t="n">
        <f aca="false">IF(A240="","",IFERROR(K240*Inputs!$B$10,0))</f>
        <v>74349.1121927193</v>
      </c>
      <c r="N240" s="10" t="n">
        <f aca="false">IF(A240="","",Z239)</f>
        <v>0</v>
      </c>
      <c r="O240" s="6" t="n">
        <f aca="false">IF(A240="","",Inputs!$B$18+N240)</f>
        <v>50000</v>
      </c>
      <c r="P240" s="5" t="n">
        <f aca="false">IF(A240="","",VLOOKUP(D240,DIvidend_Assumption!$A$3:$CX$103,($E$2+2),0)/12)</f>
        <v>0</v>
      </c>
      <c r="Q240" s="10" t="n">
        <f aca="false">IF(A240="","",IFERROR(AB239*P240,""))</f>
        <v>0</v>
      </c>
      <c r="R240" s="10" t="n">
        <f aca="false">IF(A240="","",IFERROR(IF(Inputs!$B$22="Accumulate",T240+Q240,IF(Inputs!$B$22="Premium Offset",MAX(0,T240+Q240-Inputs!$B$25),T240)),""))</f>
        <v>0</v>
      </c>
      <c r="S240" s="10" t="n">
        <f aca="false">IF(A240="","",R239)</f>
        <v>0</v>
      </c>
      <c r="T240" s="10" t="n">
        <f aca="false">IF(A240="","",IFERROR(S240*(1+Inputs!$B$23/12),""))</f>
        <v>0</v>
      </c>
      <c r="U240" s="6" t="n">
        <f aca="false">IF(A240="","",IF(D240&lt;=Inputs!$B$8,IF(Inputs!$B$22="Premium Offset",MAX(0,Inputs!$B$25-(Q240+T240)),Inputs!$B$25),0))</f>
        <v>77</v>
      </c>
      <c r="V240" s="10" t="n">
        <f aca="false">IF(A240="","",IF(Inputs!$B$22="Cash",Q240,0))</f>
        <v>0</v>
      </c>
      <c r="W240" s="10" t="n">
        <f aca="false">IF(A240="","",IF(Inputs!$B$22="PUA",Q240,0))</f>
        <v>0</v>
      </c>
      <c r="X240" s="12" t="n">
        <f aca="false">IF(A240="","",IFERROR(INDEX(PUA_TABLE!$D$4:$D$105,MATCH(E240,PUA_TABLE!$C$4:$C$105,1)),0))</f>
        <v>0.456612321072052</v>
      </c>
      <c r="Y240" s="10" t="n">
        <f aca="false">IF(A240="","",IF(W240&gt;0,IF(X240&gt;0,W240/X240,0),0))</f>
        <v>0</v>
      </c>
      <c r="Z240" s="10" t="n">
        <f aca="false">IF(A240="","",N240+Y240)</f>
        <v>0</v>
      </c>
      <c r="AA240" s="10" t="n">
        <f aca="false">IF(A240="","",IFERROR(Z240*INDEX(PUA_TABLE!$I$4:$I$105,MATCH(E240,PUA_TABLE!$C$4:$C$105,1))/1000,0))</f>
        <v>0</v>
      </c>
      <c r="AB240" s="10" t="n">
        <f aca="false">IF(A240="","",IFERROR(L240+AA240,0))</f>
        <v>23234.5332077224</v>
      </c>
      <c r="AC240" s="10" t="n">
        <f aca="false">IF(A240="","",IF(Inputs!$B$22="Premium Offset",MIN(Inputs!$B$25,Q240+T240),0))</f>
        <v>0</v>
      </c>
    </row>
    <row r="241" customFormat="false" ht="15" hidden="false" customHeight="false" outlineLevel="0" collapsed="false">
      <c r="A241" s="1" t="n">
        <f aca="false">IF(A240="","",IF(INT((C240+1)/12)+Inputs!$B$7&gt;MAX(MORTALITY!$A:$A),"",Inputs!$B$4))</f>
        <v>34</v>
      </c>
      <c r="B241" s="3" t="n">
        <f aca="false">IF(A241="","",EOMONTH(B240,1))</f>
        <v>29006</v>
      </c>
      <c r="C241" s="1" t="n">
        <f aca="false">IF(A241="","",C240+1)</f>
        <v>239</v>
      </c>
      <c r="D241" s="1" t="n">
        <f aca="false">IF(A241="","",INT(C241/12))</f>
        <v>19</v>
      </c>
      <c r="E241" s="1" t="n">
        <f aca="false">IF(A241="","",D241+Inputs!$B$7)</f>
        <v>35</v>
      </c>
      <c r="F241" s="3" t="n">
        <f aca="false">IF(A241="","",DATE(YEAR(B$2)+D241,MONTH(B$2),DAY(B$2)))</f>
        <v>28646</v>
      </c>
      <c r="G241" s="3" t="n">
        <f aca="false">IF(A241="","",DATE(YEAR(F241)+1,MONTH(F241),DAY(F241)))</f>
        <v>29011</v>
      </c>
      <c r="H241" s="10" t="n">
        <f aca="false">IF(A241="","",IF(G241&gt;F241,(B241-F241)/(G241-F241),0))</f>
        <v>0.986301369863014</v>
      </c>
      <c r="I241" s="10" t="n">
        <f aca="false">IF(A241="","",IFERROR(INDEX(CV_RATES!$I:$I,MATCH(D241,CV_RATES!$C:$C,0)),0))</f>
        <v>456.612321072052</v>
      </c>
      <c r="J241" s="10" t="n">
        <f aca="false">IF(A241="","",IFERROR(IF(E241=MAX(MORTALITY!$A:$A),1000,INDEX(CV_RATES!$J:$J,MATCH(D241,CV_RATES!$C:$C,0))),0))</f>
        <v>465.574616588996</v>
      </c>
      <c r="K241" s="10" t="n">
        <f aca="false">IF(A241="","",IFERROR(I241+H241*(J241-I241),0))</f>
        <v>465.451845417531</v>
      </c>
      <c r="L241" s="10" t="n">
        <f aca="false">IF(A241="","",IFERROR(K241*Inputs!$B$9,0))</f>
        <v>23272.5922708766</v>
      </c>
      <c r="M241" s="10" t="n">
        <f aca="false">IF(A241="","",IFERROR(K241*Inputs!$B$10,0))</f>
        <v>74470.8989112688</v>
      </c>
      <c r="N241" s="10" t="n">
        <f aca="false">IF(A241="","",Z240)</f>
        <v>0</v>
      </c>
      <c r="O241" s="6" t="n">
        <f aca="false">IF(A241="","",Inputs!$B$18+N241)</f>
        <v>50000</v>
      </c>
      <c r="P241" s="5" t="n">
        <f aca="false">IF(A241="","",VLOOKUP(D241,DIvidend_Assumption!$A$3:$CX$103,($E$2+2),0)/12)</f>
        <v>0</v>
      </c>
      <c r="Q241" s="10" t="n">
        <f aca="false">IF(A241="","",IFERROR(AB240*P241,""))</f>
        <v>0</v>
      </c>
      <c r="R241" s="10" t="n">
        <f aca="false">IF(A241="","",IFERROR(IF(Inputs!$B$22="Accumulate",T241+Q241,IF(Inputs!$B$22="Premium Offset",MAX(0,T241+Q241-Inputs!$B$25),T241)),""))</f>
        <v>0</v>
      </c>
      <c r="S241" s="10" t="n">
        <f aca="false">IF(A241="","",R240)</f>
        <v>0</v>
      </c>
      <c r="T241" s="10" t="n">
        <f aca="false">IF(A241="","",IFERROR(S241*(1+Inputs!$B$23/12),""))</f>
        <v>0</v>
      </c>
      <c r="U241" s="6" t="n">
        <f aca="false">IF(A241="","",IF(D241&lt;=Inputs!$B$8,IF(Inputs!$B$22="Premium Offset",MAX(0,Inputs!$B$25-(Q241+T241)),Inputs!$B$25),0))</f>
        <v>77</v>
      </c>
      <c r="V241" s="10" t="n">
        <f aca="false">IF(A241="","",IF(Inputs!$B$22="Cash",Q241,0))</f>
        <v>0</v>
      </c>
      <c r="W241" s="10" t="n">
        <f aca="false">IF(A241="","",IF(Inputs!$B$22="PUA",Q241,0))</f>
        <v>0</v>
      </c>
      <c r="X241" s="12" t="n">
        <f aca="false">IF(A241="","",IFERROR(INDEX(PUA_TABLE!$D$4:$D$105,MATCH(E241,PUA_TABLE!$C$4:$C$105,1)),0))</f>
        <v>0.456612321072052</v>
      </c>
      <c r="Y241" s="10" t="n">
        <f aca="false">IF(A241="","",IF(W241&gt;0,IF(X241&gt;0,W241/X241,0),0))</f>
        <v>0</v>
      </c>
      <c r="Z241" s="10" t="n">
        <f aca="false">IF(A241="","",N241+Y241)</f>
        <v>0</v>
      </c>
      <c r="AA241" s="10" t="n">
        <f aca="false">IF(A241="","",IFERROR(Z241*INDEX(PUA_TABLE!$I$4:$I$105,MATCH(E241,PUA_TABLE!$C$4:$C$105,1))/1000,0))</f>
        <v>0</v>
      </c>
      <c r="AB241" s="10" t="n">
        <f aca="false">IF(A241="","",IFERROR(L241+AA241,0))</f>
        <v>23272.5922708766</v>
      </c>
      <c r="AC241" s="10" t="n">
        <f aca="false">IF(A241="","",IF(Inputs!$B$22="Premium Offset",MIN(Inputs!$B$25,Q241+T241),0))</f>
        <v>0</v>
      </c>
    </row>
    <row r="242" customFormat="false" ht="15" hidden="false" customHeight="false" outlineLevel="0" collapsed="false">
      <c r="A242" s="1" t="n">
        <f aca="false">IF(A241="","",IF(INT((C241+1)/12)+Inputs!$B$7&gt;MAX(MORTALITY!$A:$A),"",Inputs!$B$4))</f>
        <v>34</v>
      </c>
      <c r="B242" s="3" t="n">
        <f aca="false">IF(A242="","",EOMONTH(B241,1))</f>
        <v>29036</v>
      </c>
      <c r="C242" s="1" t="n">
        <f aca="false">IF(A242="","",C241+1)</f>
        <v>240</v>
      </c>
      <c r="D242" s="1" t="n">
        <f aca="false">IF(A242="","",INT(C242/12))</f>
        <v>20</v>
      </c>
      <c r="E242" s="1" t="n">
        <f aca="false">IF(A242="","",D242+Inputs!$B$7)</f>
        <v>36</v>
      </c>
      <c r="F242" s="3" t="n">
        <f aca="false">IF(A242="","",DATE(YEAR(B$2)+D242,MONTH(B$2),DAY(B$2)))</f>
        <v>29011</v>
      </c>
      <c r="G242" s="3" t="n">
        <f aca="false">IF(A242="","",DATE(YEAR(F242)+1,MONTH(F242),DAY(F242)))</f>
        <v>29377</v>
      </c>
      <c r="H242" s="10" t="n">
        <f aca="false">IF(A242="","",IF(G242&gt;F242,(B242-F242)/(G242-F242),0))</f>
        <v>0.0683060109289618</v>
      </c>
      <c r="I242" s="10" t="n">
        <f aca="false">IF(A242="","",IFERROR(INDEX(CV_RATES!$I:$I,MATCH(D242,CV_RATES!$C:$C,0)),0))</f>
        <v>465.574616588996</v>
      </c>
      <c r="J242" s="10" t="n">
        <f aca="false">IF(A242="","",IFERROR(IF(E242=MAX(MORTALITY!$A:$A),1000,INDEX(CV_RATES!$J:$J,MATCH(D242,CV_RATES!$C:$C,0))),0))</f>
        <v>474.660833655286</v>
      </c>
      <c r="K242" s="10" t="n">
        <f aca="false">IF(A242="","",IFERROR(I242+H242*(J242-I242),0))</f>
        <v>466.195259831229</v>
      </c>
      <c r="L242" s="10" t="n">
        <f aca="false">IF(A242="","",IFERROR(K242*Inputs!$B$9,0))</f>
        <v>23309.7629915615</v>
      </c>
      <c r="M242" s="10" t="n">
        <f aca="false">IF(A242="","",IFERROR(K242*Inputs!$B$10,0))</f>
        <v>74589.8429872172</v>
      </c>
      <c r="N242" s="10" t="n">
        <f aca="false">IF(A242="","",Z241)</f>
        <v>0</v>
      </c>
      <c r="O242" s="6" t="n">
        <f aca="false">IF(A242="","",Inputs!$B$18+N242)</f>
        <v>50000</v>
      </c>
      <c r="P242" s="5" t="n">
        <f aca="false">IF(A242="","",VLOOKUP(D242,DIvidend_Assumption!$A$3:$CX$103,($E$2+2),0)/12)</f>
        <v>0</v>
      </c>
      <c r="Q242" s="10" t="n">
        <f aca="false">IF(A242="","",IFERROR(AB241*P242,""))</f>
        <v>0</v>
      </c>
      <c r="R242" s="10" t="n">
        <f aca="false">IF(A242="","",IFERROR(IF(Inputs!$B$22="Accumulate",T242+Q242,IF(Inputs!$B$22="Premium Offset",MAX(0,T242+Q242-Inputs!$B$25),T242)),""))</f>
        <v>0</v>
      </c>
      <c r="S242" s="10" t="n">
        <f aca="false">IF(A242="","",R241)</f>
        <v>0</v>
      </c>
      <c r="T242" s="10" t="n">
        <f aca="false">IF(A242="","",IFERROR(S242*(1+Inputs!$B$23/12),""))</f>
        <v>0</v>
      </c>
      <c r="U242" s="6" t="n">
        <f aca="false">IF(A242="","",IF(D242&lt;=Inputs!$B$8,IF(Inputs!$B$22="Premium Offset",MAX(0,Inputs!$B$25-(Q242+T242)),Inputs!$B$25),0))</f>
        <v>77</v>
      </c>
      <c r="V242" s="10" t="n">
        <f aca="false">IF(A242="","",IF(Inputs!$B$22="Cash",Q242,0))</f>
        <v>0</v>
      </c>
      <c r="W242" s="10" t="n">
        <f aca="false">IF(A242="","",IF(Inputs!$B$22="PUA",Q242,0))</f>
        <v>0</v>
      </c>
      <c r="X242" s="12" t="n">
        <f aca="false">IF(A242="","",IFERROR(INDEX(PUA_TABLE!$D$4:$D$105,MATCH(E242,PUA_TABLE!$C$4:$C$105,1)),0))</f>
        <v>0.465574616588996</v>
      </c>
      <c r="Y242" s="10" t="n">
        <f aca="false">IF(A242="","",IF(W242&gt;0,IF(X242&gt;0,W242/X242,0),0))</f>
        <v>0</v>
      </c>
      <c r="Z242" s="10" t="n">
        <f aca="false">IF(A242="","",N242+Y242)</f>
        <v>0</v>
      </c>
      <c r="AA242" s="10" t="n">
        <f aca="false">IF(A242="","",IFERROR(Z242*INDEX(PUA_TABLE!$I$4:$I$105,MATCH(E242,PUA_TABLE!$C$4:$C$105,1))/1000,0))</f>
        <v>0</v>
      </c>
      <c r="AB242" s="10" t="n">
        <f aca="false">IF(A242="","",IFERROR(L242+AA242,0))</f>
        <v>23309.7629915615</v>
      </c>
      <c r="AC242" s="10" t="n">
        <f aca="false">IF(A242="","",IF(Inputs!$B$22="Premium Offset",MIN(Inputs!$B$25,Q242+T242),0))</f>
        <v>0</v>
      </c>
    </row>
    <row r="243" customFormat="false" ht="15" hidden="false" customHeight="false" outlineLevel="0" collapsed="false">
      <c r="A243" s="1" t="n">
        <f aca="false">IF(A242="","",IF(INT((C242+1)/12)+Inputs!$B$7&gt;MAX(MORTALITY!$A:$A),"",Inputs!$B$4))</f>
        <v>34</v>
      </c>
      <c r="B243" s="3" t="n">
        <f aca="false">IF(A243="","",EOMONTH(B242,1))</f>
        <v>29067</v>
      </c>
      <c r="C243" s="1" t="n">
        <f aca="false">IF(A243="","",C242+1)</f>
        <v>241</v>
      </c>
      <c r="D243" s="1" t="n">
        <f aca="false">IF(A243="","",INT(C243/12))</f>
        <v>20</v>
      </c>
      <c r="E243" s="1" t="n">
        <f aca="false">IF(A243="","",D243+Inputs!$B$7)</f>
        <v>36</v>
      </c>
      <c r="F243" s="3" t="n">
        <f aca="false">IF(A243="","",DATE(YEAR(B$2)+D243,MONTH(B$2),DAY(B$2)))</f>
        <v>29011</v>
      </c>
      <c r="G243" s="3" t="n">
        <f aca="false">IF(A243="","",DATE(YEAR(F243)+1,MONTH(F243),DAY(F243)))</f>
        <v>29377</v>
      </c>
      <c r="H243" s="10" t="n">
        <f aca="false">IF(A243="","",IF(G243&gt;F243,(B243-F243)/(G243-F243),0))</f>
        <v>0.153005464480874</v>
      </c>
      <c r="I243" s="10" t="n">
        <f aca="false">IF(A243="","",IFERROR(INDEX(CV_RATES!$I:$I,MATCH(D243,CV_RATES!$C:$C,0)),0))</f>
        <v>465.574616588996</v>
      </c>
      <c r="J243" s="10" t="n">
        <f aca="false">IF(A243="","",IFERROR(IF(E243=MAX(MORTALITY!$A:$A),1000,INDEX(CV_RATES!$J:$J,MATCH(D243,CV_RATES!$C:$C,0))),0))</f>
        <v>474.660833655286</v>
      </c>
      <c r="K243" s="10" t="n">
        <f aca="false">IF(A243="","",IFERROR(I243+H243*(J243-I243),0))</f>
        <v>466.964857451598</v>
      </c>
      <c r="L243" s="10" t="n">
        <f aca="false">IF(A243="","",IFERROR(K243*Inputs!$B$9,0))</f>
        <v>23348.2428725799</v>
      </c>
      <c r="M243" s="10" t="n">
        <f aca="false">IF(A243="","",IFERROR(K243*Inputs!$B$10,0))</f>
        <v>74712.9762976833</v>
      </c>
      <c r="N243" s="10" t="n">
        <f aca="false">IF(A243="","",Z242)</f>
        <v>0</v>
      </c>
      <c r="O243" s="6" t="n">
        <f aca="false">IF(A243="","",Inputs!$B$18+N243)</f>
        <v>50000</v>
      </c>
      <c r="P243" s="5" t="n">
        <f aca="false">IF(A243="","",VLOOKUP(D243,DIvidend_Assumption!$A$3:$CX$103,($E$2+2),0)/12)</f>
        <v>0</v>
      </c>
      <c r="Q243" s="10" t="n">
        <f aca="false">IF(A243="","",IFERROR(AB242*P243,""))</f>
        <v>0</v>
      </c>
      <c r="R243" s="10" t="n">
        <f aca="false">IF(A243="","",IFERROR(IF(Inputs!$B$22="Accumulate",T243+Q243,IF(Inputs!$B$22="Premium Offset",MAX(0,T243+Q243-Inputs!$B$25),T243)),""))</f>
        <v>0</v>
      </c>
      <c r="S243" s="10" t="n">
        <f aca="false">IF(A243="","",R242)</f>
        <v>0</v>
      </c>
      <c r="T243" s="10" t="n">
        <f aca="false">IF(A243="","",IFERROR(S243*(1+Inputs!$B$23/12),""))</f>
        <v>0</v>
      </c>
      <c r="U243" s="6" t="n">
        <f aca="false">IF(A243="","",IF(D243&lt;=Inputs!$B$8,IF(Inputs!$B$22="Premium Offset",MAX(0,Inputs!$B$25-(Q243+T243)),Inputs!$B$25),0))</f>
        <v>77</v>
      </c>
      <c r="V243" s="10" t="n">
        <f aca="false">IF(A243="","",IF(Inputs!$B$22="Cash",Q243,0))</f>
        <v>0</v>
      </c>
      <c r="W243" s="10" t="n">
        <f aca="false">IF(A243="","",IF(Inputs!$B$22="PUA",Q243,0))</f>
        <v>0</v>
      </c>
      <c r="X243" s="12" t="n">
        <f aca="false">IF(A243="","",IFERROR(INDEX(PUA_TABLE!$D$4:$D$105,MATCH(E243,PUA_TABLE!$C$4:$C$105,1)),0))</f>
        <v>0.465574616588996</v>
      </c>
      <c r="Y243" s="10" t="n">
        <f aca="false">IF(A243="","",IF(W243&gt;0,IF(X243&gt;0,W243/X243,0),0))</f>
        <v>0</v>
      </c>
      <c r="Z243" s="10" t="n">
        <f aca="false">IF(A243="","",N243+Y243)</f>
        <v>0</v>
      </c>
      <c r="AA243" s="10" t="n">
        <f aca="false">IF(A243="","",IFERROR(Z243*INDEX(PUA_TABLE!$I$4:$I$105,MATCH(E243,PUA_TABLE!$C$4:$C$105,1))/1000,0))</f>
        <v>0</v>
      </c>
      <c r="AB243" s="10" t="n">
        <f aca="false">IF(A243="","",IFERROR(L243+AA243,0))</f>
        <v>23348.2428725799</v>
      </c>
      <c r="AC243" s="10" t="n">
        <f aca="false">IF(A243="","",IF(Inputs!$B$22="Premium Offset",MIN(Inputs!$B$25,Q243+T243),0))</f>
        <v>0</v>
      </c>
    </row>
    <row r="244" customFormat="false" ht="15" hidden="false" customHeight="false" outlineLevel="0" collapsed="false">
      <c r="A244" s="1" t="n">
        <f aca="false">IF(A243="","",IF(INT((C243+1)/12)+Inputs!$B$7&gt;MAX(MORTALITY!$A:$A),"",Inputs!$B$4))</f>
        <v>34</v>
      </c>
      <c r="B244" s="3" t="n">
        <f aca="false">IF(A244="","",EOMONTH(B243,1))</f>
        <v>29098</v>
      </c>
      <c r="C244" s="1" t="n">
        <f aca="false">IF(A244="","",C243+1)</f>
        <v>242</v>
      </c>
      <c r="D244" s="1" t="n">
        <f aca="false">IF(A244="","",INT(C244/12))</f>
        <v>20</v>
      </c>
      <c r="E244" s="1" t="n">
        <f aca="false">IF(A244="","",D244+Inputs!$B$7)</f>
        <v>36</v>
      </c>
      <c r="F244" s="3" t="n">
        <f aca="false">IF(A244="","",DATE(YEAR(B$2)+D244,MONTH(B$2),DAY(B$2)))</f>
        <v>29011</v>
      </c>
      <c r="G244" s="3" t="n">
        <f aca="false">IF(A244="","",DATE(YEAR(F244)+1,MONTH(F244),DAY(F244)))</f>
        <v>29377</v>
      </c>
      <c r="H244" s="10" t="n">
        <f aca="false">IF(A244="","",IF(G244&gt;F244,(B244-F244)/(G244-F244),0))</f>
        <v>0.237704918032787</v>
      </c>
      <c r="I244" s="10" t="n">
        <f aca="false">IF(A244="","",IFERROR(INDEX(CV_RATES!$I:$I,MATCH(D244,CV_RATES!$C:$C,0)),0))</f>
        <v>465.574616588996</v>
      </c>
      <c r="J244" s="10" t="n">
        <f aca="false">IF(A244="","",IFERROR(IF(E244=MAX(MORTALITY!$A:$A),1000,INDEX(CV_RATES!$J:$J,MATCH(D244,CV_RATES!$C:$C,0))),0))</f>
        <v>474.660833655286</v>
      </c>
      <c r="K244" s="10" t="n">
        <f aca="false">IF(A244="","",IFERROR(I244+H244*(J244-I244),0))</f>
        <v>467.734455071967</v>
      </c>
      <c r="L244" s="10" t="n">
        <f aca="false">IF(A244="","",IFERROR(K244*Inputs!$B$9,0))</f>
        <v>23386.7227535983</v>
      </c>
      <c r="M244" s="10" t="n">
        <f aca="false">IF(A244="","",IFERROR(K244*Inputs!$B$10,0))</f>
        <v>74836.1096081495</v>
      </c>
      <c r="N244" s="10" t="n">
        <f aca="false">IF(A244="","",Z243)</f>
        <v>0</v>
      </c>
      <c r="O244" s="6" t="n">
        <f aca="false">IF(A244="","",Inputs!$B$18+N244)</f>
        <v>50000</v>
      </c>
      <c r="P244" s="5" t="n">
        <f aca="false">IF(A244="","",VLOOKUP(D244,DIvidend_Assumption!$A$3:$CX$103,($E$2+2),0)/12)</f>
        <v>0</v>
      </c>
      <c r="Q244" s="10" t="n">
        <f aca="false">IF(A244="","",IFERROR(AB243*P244,""))</f>
        <v>0</v>
      </c>
      <c r="R244" s="10" t="n">
        <f aca="false">IF(A244="","",IFERROR(IF(Inputs!$B$22="Accumulate",T244+Q244,IF(Inputs!$B$22="Premium Offset",MAX(0,T244+Q244-Inputs!$B$25),T244)),""))</f>
        <v>0</v>
      </c>
      <c r="S244" s="10" t="n">
        <f aca="false">IF(A244="","",R243)</f>
        <v>0</v>
      </c>
      <c r="T244" s="10" t="n">
        <f aca="false">IF(A244="","",IFERROR(S244*(1+Inputs!$B$23/12),""))</f>
        <v>0</v>
      </c>
      <c r="U244" s="6" t="n">
        <f aca="false">IF(A244="","",IF(D244&lt;=Inputs!$B$8,IF(Inputs!$B$22="Premium Offset",MAX(0,Inputs!$B$25-(Q244+T244)),Inputs!$B$25),0))</f>
        <v>77</v>
      </c>
      <c r="V244" s="10" t="n">
        <f aca="false">IF(A244="","",IF(Inputs!$B$22="Cash",Q244,0))</f>
        <v>0</v>
      </c>
      <c r="W244" s="10" t="n">
        <f aca="false">IF(A244="","",IF(Inputs!$B$22="PUA",Q244,0))</f>
        <v>0</v>
      </c>
      <c r="X244" s="12" t="n">
        <f aca="false">IF(A244="","",IFERROR(INDEX(PUA_TABLE!$D$4:$D$105,MATCH(E244,PUA_TABLE!$C$4:$C$105,1)),0))</f>
        <v>0.465574616588996</v>
      </c>
      <c r="Y244" s="10" t="n">
        <f aca="false">IF(A244="","",IF(W244&gt;0,IF(X244&gt;0,W244/X244,0),0))</f>
        <v>0</v>
      </c>
      <c r="Z244" s="10" t="n">
        <f aca="false">IF(A244="","",N244+Y244)</f>
        <v>0</v>
      </c>
      <c r="AA244" s="10" t="n">
        <f aca="false">IF(A244="","",IFERROR(Z244*INDEX(PUA_TABLE!$I$4:$I$105,MATCH(E244,PUA_TABLE!$C$4:$C$105,1))/1000,0))</f>
        <v>0</v>
      </c>
      <c r="AB244" s="10" t="n">
        <f aca="false">IF(A244="","",IFERROR(L244+AA244,0))</f>
        <v>23386.7227535983</v>
      </c>
      <c r="AC244" s="10" t="n">
        <f aca="false">IF(A244="","",IF(Inputs!$B$22="Premium Offset",MIN(Inputs!$B$25,Q244+T244),0))</f>
        <v>0</v>
      </c>
    </row>
    <row r="245" customFormat="false" ht="15" hidden="false" customHeight="false" outlineLevel="0" collapsed="false">
      <c r="A245" s="1" t="n">
        <f aca="false">IF(A244="","",IF(INT((C244+1)/12)+Inputs!$B$7&gt;MAX(MORTALITY!$A:$A),"",Inputs!$B$4))</f>
        <v>34</v>
      </c>
      <c r="B245" s="3" t="n">
        <f aca="false">IF(A245="","",EOMONTH(B244,1))</f>
        <v>29128</v>
      </c>
      <c r="C245" s="1" t="n">
        <f aca="false">IF(A245="","",C244+1)</f>
        <v>243</v>
      </c>
      <c r="D245" s="1" t="n">
        <f aca="false">IF(A245="","",INT(C245/12))</f>
        <v>20</v>
      </c>
      <c r="E245" s="1" t="n">
        <f aca="false">IF(A245="","",D245+Inputs!$B$7)</f>
        <v>36</v>
      </c>
      <c r="F245" s="3" t="n">
        <f aca="false">IF(A245="","",DATE(YEAR(B$2)+D245,MONTH(B$2),DAY(B$2)))</f>
        <v>29011</v>
      </c>
      <c r="G245" s="3" t="n">
        <f aca="false">IF(A245="","",DATE(YEAR(F245)+1,MONTH(F245),DAY(F245)))</f>
        <v>29377</v>
      </c>
      <c r="H245" s="10" t="n">
        <f aca="false">IF(A245="","",IF(G245&gt;F245,(B245-F245)/(G245-F245),0))</f>
        <v>0.319672131147541</v>
      </c>
      <c r="I245" s="10" t="n">
        <f aca="false">IF(A245="","",IFERROR(INDEX(CV_RATES!$I:$I,MATCH(D245,CV_RATES!$C:$C,0)),0))</f>
        <v>465.574616588996</v>
      </c>
      <c r="J245" s="10" t="n">
        <f aca="false">IF(A245="","",IFERROR(IF(E245=MAX(MORTALITY!$A:$A),1000,INDEX(CV_RATES!$J:$J,MATCH(D245,CV_RATES!$C:$C,0))),0))</f>
        <v>474.660833655286</v>
      </c>
      <c r="K245" s="10" t="n">
        <f aca="false">IF(A245="","",IFERROR(I245+H245*(J245-I245),0))</f>
        <v>468.479226962646</v>
      </c>
      <c r="L245" s="10" t="n">
        <f aca="false">IF(A245="","",IFERROR(K245*Inputs!$B$9,0))</f>
        <v>23423.9613481323</v>
      </c>
      <c r="M245" s="10" t="n">
        <f aca="false">IF(A245="","",IFERROR(K245*Inputs!$B$10,0))</f>
        <v>74955.2708763425</v>
      </c>
      <c r="N245" s="10" t="n">
        <f aca="false">IF(A245="","",Z244)</f>
        <v>0</v>
      </c>
      <c r="O245" s="6" t="n">
        <f aca="false">IF(A245="","",Inputs!$B$18+N245)</f>
        <v>50000</v>
      </c>
      <c r="P245" s="5" t="n">
        <f aca="false">IF(A245="","",VLOOKUP(D245,DIvidend_Assumption!$A$3:$CX$103,($E$2+2),0)/12)</f>
        <v>0</v>
      </c>
      <c r="Q245" s="10" t="n">
        <f aca="false">IF(A245="","",IFERROR(AB244*P245,""))</f>
        <v>0</v>
      </c>
      <c r="R245" s="10" t="n">
        <f aca="false">IF(A245="","",IFERROR(IF(Inputs!$B$22="Accumulate",T245+Q245,IF(Inputs!$B$22="Premium Offset",MAX(0,T245+Q245-Inputs!$B$25),T245)),""))</f>
        <v>0</v>
      </c>
      <c r="S245" s="10" t="n">
        <f aca="false">IF(A245="","",R244)</f>
        <v>0</v>
      </c>
      <c r="T245" s="10" t="n">
        <f aca="false">IF(A245="","",IFERROR(S245*(1+Inputs!$B$23/12),""))</f>
        <v>0</v>
      </c>
      <c r="U245" s="6" t="n">
        <f aca="false">IF(A245="","",IF(D245&lt;=Inputs!$B$8,IF(Inputs!$B$22="Premium Offset",MAX(0,Inputs!$B$25-(Q245+T245)),Inputs!$B$25),0))</f>
        <v>77</v>
      </c>
      <c r="V245" s="10" t="n">
        <f aca="false">IF(A245="","",IF(Inputs!$B$22="Cash",Q245,0))</f>
        <v>0</v>
      </c>
      <c r="W245" s="10" t="n">
        <f aca="false">IF(A245="","",IF(Inputs!$B$22="PUA",Q245,0))</f>
        <v>0</v>
      </c>
      <c r="X245" s="12" t="n">
        <f aca="false">IF(A245="","",IFERROR(INDEX(PUA_TABLE!$D$4:$D$105,MATCH(E245,PUA_TABLE!$C$4:$C$105,1)),0))</f>
        <v>0.465574616588996</v>
      </c>
      <c r="Y245" s="10" t="n">
        <f aca="false">IF(A245="","",IF(W245&gt;0,IF(X245&gt;0,W245/X245,0),0))</f>
        <v>0</v>
      </c>
      <c r="Z245" s="10" t="n">
        <f aca="false">IF(A245="","",N245+Y245)</f>
        <v>0</v>
      </c>
      <c r="AA245" s="10" t="n">
        <f aca="false">IF(A245="","",IFERROR(Z245*INDEX(PUA_TABLE!$I$4:$I$105,MATCH(E245,PUA_TABLE!$C$4:$C$105,1))/1000,0))</f>
        <v>0</v>
      </c>
      <c r="AB245" s="10" t="n">
        <f aca="false">IF(A245="","",IFERROR(L245+AA245,0))</f>
        <v>23423.9613481323</v>
      </c>
      <c r="AC245" s="10" t="n">
        <f aca="false">IF(A245="","",IF(Inputs!$B$22="Premium Offset",MIN(Inputs!$B$25,Q245+T245),0))</f>
        <v>0</v>
      </c>
    </row>
    <row r="246" customFormat="false" ht="15" hidden="false" customHeight="false" outlineLevel="0" collapsed="false">
      <c r="A246" s="1" t="n">
        <f aca="false">IF(A245="","",IF(INT((C245+1)/12)+Inputs!$B$7&gt;MAX(MORTALITY!$A:$A),"",Inputs!$B$4))</f>
        <v>34</v>
      </c>
      <c r="B246" s="3" t="n">
        <f aca="false">IF(A246="","",EOMONTH(B245,1))</f>
        <v>29159</v>
      </c>
      <c r="C246" s="1" t="n">
        <f aca="false">IF(A246="","",C245+1)</f>
        <v>244</v>
      </c>
      <c r="D246" s="1" t="n">
        <f aca="false">IF(A246="","",INT(C246/12))</f>
        <v>20</v>
      </c>
      <c r="E246" s="1" t="n">
        <f aca="false">IF(A246="","",D246+Inputs!$B$7)</f>
        <v>36</v>
      </c>
      <c r="F246" s="3" t="n">
        <f aca="false">IF(A246="","",DATE(YEAR(B$2)+D246,MONTH(B$2),DAY(B$2)))</f>
        <v>29011</v>
      </c>
      <c r="G246" s="3" t="n">
        <f aca="false">IF(A246="","",DATE(YEAR(F246)+1,MONTH(F246),DAY(F246)))</f>
        <v>29377</v>
      </c>
      <c r="H246" s="10" t="n">
        <f aca="false">IF(A246="","",IF(G246&gt;F246,(B246-F246)/(G246-F246),0))</f>
        <v>0.404371584699454</v>
      </c>
      <c r="I246" s="10" t="n">
        <f aca="false">IF(A246="","",IFERROR(INDEX(CV_RATES!$I:$I,MATCH(D246,CV_RATES!$C:$C,0)),0))</f>
        <v>465.574616588996</v>
      </c>
      <c r="J246" s="10" t="n">
        <f aca="false">IF(A246="","",IFERROR(IF(E246=MAX(MORTALITY!$A:$A),1000,INDEX(CV_RATES!$J:$J,MATCH(D246,CV_RATES!$C:$C,0))),0))</f>
        <v>474.660833655286</v>
      </c>
      <c r="K246" s="10" t="n">
        <f aca="false">IF(A246="","",IFERROR(I246+H246*(J246-I246),0))</f>
        <v>469.248824583015</v>
      </c>
      <c r="L246" s="10" t="n">
        <f aca="false">IF(A246="","",IFERROR(K246*Inputs!$B$9,0))</f>
        <v>23462.4412291508</v>
      </c>
      <c r="M246" s="10" t="n">
        <f aca="false">IF(A246="","",IFERROR(K246*Inputs!$B$10,0))</f>
        <v>75078.4041868087</v>
      </c>
      <c r="N246" s="10" t="n">
        <f aca="false">IF(A246="","",Z245)</f>
        <v>0</v>
      </c>
      <c r="O246" s="6" t="n">
        <f aca="false">IF(A246="","",Inputs!$B$18+N246)</f>
        <v>50000</v>
      </c>
      <c r="P246" s="5" t="n">
        <f aca="false">IF(A246="","",VLOOKUP(D246,DIvidend_Assumption!$A$3:$CX$103,($E$2+2),0)/12)</f>
        <v>0</v>
      </c>
      <c r="Q246" s="10" t="n">
        <f aca="false">IF(A246="","",IFERROR(AB245*P246,""))</f>
        <v>0</v>
      </c>
      <c r="R246" s="10" t="n">
        <f aca="false">IF(A246="","",IFERROR(IF(Inputs!$B$22="Accumulate",T246+Q246,IF(Inputs!$B$22="Premium Offset",MAX(0,T246+Q246-Inputs!$B$25),T246)),""))</f>
        <v>0</v>
      </c>
      <c r="S246" s="10" t="n">
        <f aca="false">IF(A246="","",R245)</f>
        <v>0</v>
      </c>
      <c r="T246" s="10" t="n">
        <f aca="false">IF(A246="","",IFERROR(S246*(1+Inputs!$B$23/12),""))</f>
        <v>0</v>
      </c>
      <c r="U246" s="6" t="n">
        <f aca="false">IF(A246="","",IF(D246&lt;=Inputs!$B$8,IF(Inputs!$B$22="Premium Offset",MAX(0,Inputs!$B$25-(Q246+T246)),Inputs!$B$25),0))</f>
        <v>77</v>
      </c>
      <c r="V246" s="10" t="n">
        <f aca="false">IF(A246="","",IF(Inputs!$B$22="Cash",Q246,0))</f>
        <v>0</v>
      </c>
      <c r="W246" s="10" t="n">
        <f aca="false">IF(A246="","",IF(Inputs!$B$22="PUA",Q246,0))</f>
        <v>0</v>
      </c>
      <c r="X246" s="12" t="n">
        <f aca="false">IF(A246="","",IFERROR(INDEX(PUA_TABLE!$D$4:$D$105,MATCH(E246,PUA_TABLE!$C$4:$C$105,1)),0))</f>
        <v>0.465574616588996</v>
      </c>
      <c r="Y246" s="10" t="n">
        <f aca="false">IF(A246="","",IF(W246&gt;0,IF(X246&gt;0,W246/X246,0),0))</f>
        <v>0</v>
      </c>
      <c r="Z246" s="10" t="n">
        <f aca="false">IF(A246="","",N246+Y246)</f>
        <v>0</v>
      </c>
      <c r="AA246" s="10" t="n">
        <f aca="false">IF(A246="","",IFERROR(Z246*INDEX(PUA_TABLE!$I$4:$I$105,MATCH(E246,PUA_TABLE!$C$4:$C$105,1))/1000,0))</f>
        <v>0</v>
      </c>
      <c r="AB246" s="10" t="n">
        <f aca="false">IF(A246="","",IFERROR(L246+AA246,0))</f>
        <v>23462.4412291508</v>
      </c>
      <c r="AC246" s="10" t="n">
        <f aca="false">IF(A246="","",IF(Inputs!$B$22="Premium Offset",MIN(Inputs!$B$25,Q246+T246),0))</f>
        <v>0</v>
      </c>
    </row>
    <row r="247" customFormat="false" ht="15" hidden="false" customHeight="false" outlineLevel="0" collapsed="false">
      <c r="A247" s="1" t="n">
        <f aca="false">IF(A246="","",IF(INT((C246+1)/12)+Inputs!$B$7&gt;MAX(MORTALITY!$A:$A),"",Inputs!$B$4))</f>
        <v>34</v>
      </c>
      <c r="B247" s="3" t="n">
        <f aca="false">IF(A247="","",EOMONTH(B246,1))</f>
        <v>29189</v>
      </c>
      <c r="C247" s="1" t="n">
        <f aca="false">IF(A247="","",C246+1)</f>
        <v>245</v>
      </c>
      <c r="D247" s="1" t="n">
        <f aca="false">IF(A247="","",INT(C247/12))</f>
        <v>20</v>
      </c>
      <c r="E247" s="1" t="n">
        <f aca="false">IF(A247="","",D247+Inputs!$B$7)</f>
        <v>36</v>
      </c>
      <c r="F247" s="3" t="n">
        <f aca="false">IF(A247="","",DATE(YEAR(B$2)+D247,MONTH(B$2),DAY(B$2)))</f>
        <v>29011</v>
      </c>
      <c r="G247" s="3" t="n">
        <f aca="false">IF(A247="","",DATE(YEAR(F247)+1,MONTH(F247),DAY(F247)))</f>
        <v>29377</v>
      </c>
      <c r="H247" s="10" t="n">
        <f aca="false">IF(A247="","",IF(G247&gt;F247,(B247-F247)/(G247-F247),0))</f>
        <v>0.486338797814208</v>
      </c>
      <c r="I247" s="10" t="n">
        <f aca="false">IF(A247="","",IFERROR(INDEX(CV_RATES!$I:$I,MATCH(D247,CV_RATES!$C:$C,0)),0))</f>
        <v>465.574616588996</v>
      </c>
      <c r="J247" s="10" t="n">
        <f aca="false">IF(A247="","",IFERROR(IF(E247=MAX(MORTALITY!$A:$A),1000,INDEX(CV_RATES!$J:$J,MATCH(D247,CV_RATES!$C:$C,0))),0))</f>
        <v>474.660833655286</v>
      </c>
      <c r="K247" s="10" t="n">
        <f aca="false">IF(A247="","",IFERROR(I247+H247*(J247-I247),0))</f>
        <v>469.993596473695</v>
      </c>
      <c r="L247" s="10" t="n">
        <f aca="false">IF(A247="","",IFERROR(K247*Inputs!$B$9,0))</f>
        <v>23499.6798236847</v>
      </c>
      <c r="M247" s="10" t="n">
        <f aca="false">IF(A247="","",IFERROR(K247*Inputs!$B$10,0))</f>
        <v>75197.5654550017</v>
      </c>
      <c r="N247" s="10" t="n">
        <f aca="false">IF(A247="","",Z246)</f>
        <v>0</v>
      </c>
      <c r="O247" s="6" t="n">
        <f aca="false">IF(A247="","",Inputs!$B$18+N247)</f>
        <v>50000</v>
      </c>
      <c r="P247" s="5" t="n">
        <f aca="false">IF(A247="","",VLOOKUP(D247,DIvidend_Assumption!$A$3:$CX$103,($E$2+2),0)/12)</f>
        <v>0</v>
      </c>
      <c r="Q247" s="10" t="n">
        <f aca="false">IF(A247="","",IFERROR(AB246*P247,""))</f>
        <v>0</v>
      </c>
      <c r="R247" s="10" t="n">
        <f aca="false">IF(A247="","",IFERROR(IF(Inputs!$B$22="Accumulate",T247+Q247,IF(Inputs!$B$22="Premium Offset",MAX(0,T247+Q247-Inputs!$B$25),T247)),""))</f>
        <v>0</v>
      </c>
      <c r="S247" s="10" t="n">
        <f aca="false">IF(A247="","",R246)</f>
        <v>0</v>
      </c>
      <c r="T247" s="10" t="n">
        <f aca="false">IF(A247="","",IFERROR(S247*(1+Inputs!$B$23/12),""))</f>
        <v>0</v>
      </c>
      <c r="U247" s="6" t="n">
        <f aca="false">IF(A247="","",IF(D247&lt;=Inputs!$B$8,IF(Inputs!$B$22="Premium Offset",MAX(0,Inputs!$B$25-(Q247+T247)),Inputs!$B$25),0))</f>
        <v>77</v>
      </c>
      <c r="V247" s="10" t="n">
        <f aca="false">IF(A247="","",IF(Inputs!$B$22="Cash",Q247,0))</f>
        <v>0</v>
      </c>
      <c r="W247" s="10" t="n">
        <f aca="false">IF(A247="","",IF(Inputs!$B$22="PUA",Q247,0))</f>
        <v>0</v>
      </c>
      <c r="X247" s="12" t="n">
        <f aca="false">IF(A247="","",IFERROR(INDEX(PUA_TABLE!$D$4:$D$105,MATCH(E247,PUA_TABLE!$C$4:$C$105,1)),0))</f>
        <v>0.465574616588996</v>
      </c>
      <c r="Y247" s="10" t="n">
        <f aca="false">IF(A247="","",IF(W247&gt;0,IF(X247&gt;0,W247/X247,0),0))</f>
        <v>0</v>
      </c>
      <c r="Z247" s="10" t="n">
        <f aca="false">IF(A247="","",N247+Y247)</f>
        <v>0</v>
      </c>
      <c r="AA247" s="10" t="n">
        <f aca="false">IF(A247="","",IFERROR(Z247*INDEX(PUA_TABLE!$I$4:$I$105,MATCH(E247,PUA_TABLE!$C$4:$C$105,1))/1000,0))</f>
        <v>0</v>
      </c>
      <c r="AB247" s="10" t="n">
        <f aca="false">IF(A247="","",IFERROR(L247+AA247,0))</f>
        <v>23499.6798236847</v>
      </c>
      <c r="AC247" s="10" t="n">
        <f aca="false">IF(A247="","",IF(Inputs!$B$22="Premium Offset",MIN(Inputs!$B$25,Q247+T247),0))</f>
        <v>0</v>
      </c>
    </row>
    <row r="248" customFormat="false" ht="15" hidden="false" customHeight="false" outlineLevel="0" collapsed="false">
      <c r="A248" s="1" t="n">
        <f aca="false">IF(A247="","",IF(INT((C247+1)/12)+Inputs!$B$7&gt;MAX(MORTALITY!$A:$A),"",Inputs!$B$4))</f>
        <v>34</v>
      </c>
      <c r="B248" s="3" t="n">
        <f aca="false">IF(A248="","",EOMONTH(B247,1))</f>
        <v>29220</v>
      </c>
      <c r="C248" s="1" t="n">
        <f aca="false">IF(A248="","",C247+1)</f>
        <v>246</v>
      </c>
      <c r="D248" s="1" t="n">
        <f aca="false">IF(A248="","",INT(C248/12))</f>
        <v>20</v>
      </c>
      <c r="E248" s="1" t="n">
        <f aca="false">IF(A248="","",D248+Inputs!$B$7)</f>
        <v>36</v>
      </c>
      <c r="F248" s="3" t="n">
        <f aca="false">IF(A248="","",DATE(YEAR(B$2)+D248,MONTH(B$2),DAY(B$2)))</f>
        <v>29011</v>
      </c>
      <c r="G248" s="3" t="n">
        <f aca="false">IF(A248="","",DATE(YEAR(F248)+1,MONTH(F248),DAY(F248)))</f>
        <v>29377</v>
      </c>
      <c r="H248" s="10" t="n">
        <f aca="false">IF(A248="","",IF(G248&gt;F248,(B248-F248)/(G248-F248),0))</f>
        <v>0.57103825136612</v>
      </c>
      <c r="I248" s="10" t="n">
        <f aca="false">IF(A248="","",IFERROR(INDEX(CV_RATES!$I:$I,MATCH(D248,CV_RATES!$C:$C,0)),0))</f>
        <v>465.574616588996</v>
      </c>
      <c r="J248" s="10" t="n">
        <f aca="false">IF(A248="","",IFERROR(IF(E248=MAX(MORTALITY!$A:$A),1000,INDEX(CV_RATES!$J:$J,MATCH(D248,CV_RATES!$C:$C,0))),0))</f>
        <v>474.660833655286</v>
      </c>
      <c r="K248" s="10" t="n">
        <f aca="false">IF(A248="","",IFERROR(I248+H248*(J248-I248),0))</f>
        <v>470.763194094063</v>
      </c>
      <c r="L248" s="10" t="n">
        <f aca="false">IF(A248="","",IFERROR(K248*Inputs!$B$9,0))</f>
        <v>23538.1597047032</v>
      </c>
      <c r="M248" s="10" t="n">
        <f aca="false">IF(A248="","",IFERROR(K248*Inputs!$B$10,0))</f>
        <v>75320.6987654679</v>
      </c>
      <c r="N248" s="10" t="n">
        <f aca="false">IF(A248="","",Z247)</f>
        <v>0</v>
      </c>
      <c r="O248" s="6" t="n">
        <f aca="false">IF(A248="","",Inputs!$B$18+N248)</f>
        <v>50000</v>
      </c>
      <c r="P248" s="5" t="n">
        <f aca="false">IF(A248="","",VLOOKUP(D248,DIvidend_Assumption!$A$3:$CX$103,($E$2+2),0)/12)</f>
        <v>0</v>
      </c>
      <c r="Q248" s="10" t="n">
        <f aca="false">IF(A248="","",IFERROR(AB247*P248,""))</f>
        <v>0</v>
      </c>
      <c r="R248" s="10" t="n">
        <f aca="false">IF(A248="","",IFERROR(IF(Inputs!$B$22="Accumulate",T248+Q248,IF(Inputs!$B$22="Premium Offset",MAX(0,T248+Q248-Inputs!$B$25),T248)),""))</f>
        <v>0</v>
      </c>
      <c r="S248" s="10" t="n">
        <f aca="false">IF(A248="","",R247)</f>
        <v>0</v>
      </c>
      <c r="T248" s="10" t="n">
        <f aca="false">IF(A248="","",IFERROR(S248*(1+Inputs!$B$23/12),""))</f>
        <v>0</v>
      </c>
      <c r="U248" s="6" t="n">
        <f aca="false">IF(A248="","",IF(D248&lt;=Inputs!$B$8,IF(Inputs!$B$22="Premium Offset",MAX(0,Inputs!$B$25-(Q248+T248)),Inputs!$B$25),0))</f>
        <v>77</v>
      </c>
      <c r="V248" s="10" t="n">
        <f aca="false">IF(A248="","",IF(Inputs!$B$22="Cash",Q248,0))</f>
        <v>0</v>
      </c>
      <c r="W248" s="10" t="n">
        <f aca="false">IF(A248="","",IF(Inputs!$B$22="PUA",Q248,0))</f>
        <v>0</v>
      </c>
      <c r="X248" s="12" t="n">
        <f aca="false">IF(A248="","",IFERROR(INDEX(PUA_TABLE!$D$4:$D$105,MATCH(E248,PUA_TABLE!$C$4:$C$105,1)),0))</f>
        <v>0.465574616588996</v>
      </c>
      <c r="Y248" s="10" t="n">
        <f aca="false">IF(A248="","",IF(W248&gt;0,IF(X248&gt;0,W248/X248,0),0))</f>
        <v>0</v>
      </c>
      <c r="Z248" s="10" t="n">
        <f aca="false">IF(A248="","",N248+Y248)</f>
        <v>0</v>
      </c>
      <c r="AA248" s="10" t="n">
        <f aca="false">IF(A248="","",IFERROR(Z248*INDEX(PUA_TABLE!$I$4:$I$105,MATCH(E248,PUA_TABLE!$C$4:$C$105,1))/1000,0))</f>
        <v>0</v>
      </c>
      <c r="AB248" s="10" t="n">
        <f aca="false">IF(A248="","",IFERROR(L248+AA248,0))</f>
        <v>23538.1597047032</v>
      </c>
      <c r="AC248" s="10" t="n">
        <f aca="false">IF(A248="","",IF(Inputs!$B$22="Premium Offset",MIN(Inputs!$B$25,Q248+T248),0))</f>
        <v>0</v>
      </c>
    </row>
    <row r="249" customFormat="false" ht="15" hidden="false" customHeight="false" outlineLevel="0" collapsed="false">
      <c r="A249" s="1" t="n">
        <f aca="false">IF(A248="","",IF(INT((C248+1)/12)+Inputs!$B$7&gt;MAX(MORTALITY!$A:$A),"",Inputs!$B$4))</f>
        <v>34</v>
      </c>
      <c r="B249" s="3" t="n">
        <f aca="false">IF(A249="","",EOMONTH(B248,1))</f>
        <v>29251</v>
      </c>
      <c r="C249" s="1" t="n">
        <f aca="false">IF(A249="","",C248+1)</f>
        <v>247</v>
      </c>
      <c r="D249" s="1" t="n">
        <f aca="false">IF(A249="","",INT(C249/12))</f>
        <v>20</v>
      </c>
      <c r="E249" s="1" t="n">
        <f aca="false">IF(A249="","",D249+Inputs!$B$7)</f>
        <v>36</v>
      </c>
      <c r="F249" s="3" t="n">
        <f aca="false">IF(A249="","",DATE(YEAR(B$2)+D249,MONTH(B$2),DAY(B$2)))</f>
        <v>29011</v>
      </c>
      <c r="G249" s="3" t="n">
        <f aca="false">IF(A249="","",DATE(YEAR(F249)+1,MONTH(F249),DAY(F249)))</f>
        <v>29377</v>
      </c>
      <c r="H249" s="10" t="n">
        <f aca="false">IF(A249="","",IF(G249&gt;F249,(B249-F249)/(G249-F249),0))</f>
        <v>0.655737704918033</v>
      </c>
      <c r="I249" s="10" t="n">
        <f aca="false">IF(A249="","",IFERROR(INDEX(CV_RATES!$I:$I,MATCH(D249,CV_RATES!$C:$C,0)),0))</f>
        <v>465.574616588996</v>
      </c>
      <c r="J249" s="10" t="n">
        <f aca="false">IF(A249="","",IFERROR(IF(E249=MAX(MORTALITY!$A:$A),1000,INDEX(CV_RATES!$J:$J,MATCH(D249,CV_RATES!$C:$C,0))),0))</f>
        <v>474.660833655286</v>
      </c>
      <c r="K249" s="10" t="n">
        <f aca="false">IF(A249="","",IFERROR(I249+H249*(J249-I249),0))</f>
        <v>471.532791714432</v>
      </c>
      <c r="L249" s="10" t="n">
        <f aca="false">IF(A249="","",IFERROR(K249*Inputs!$B$9,0))</f>
        <v>23576.6395857216</v>
      </c>
      <c r="M249" s="10" t="n">
        <f aca="false">IF(A249="","",IFERROR(K249*Inputs!$B$10,0))</f>
        <v>75443.832075934</v>
      </c>
      <c r="N249" s="10" t="n">
        <f aca="false">IF(A249="","",Z248)</f>
        <v>0</v>
      </c>
      <c r="O249" s="6" t="n">
        <f aca="false">IF(A249="","",Inputs!$B$18+N249)</f>
        <v>50000</v>
      </c>
      <c r="P249" s="5" t="n">
        <f aca="false">IF(A249="","",VLOOKUP(D249,DIvidend_Assumption!$A$3:$CX$103,($E$2+2),0)/12)</f>
        <v>0</v>
      </c>
      <c r="Q249" s="10" t="n">
        <f aca="false">IF(A249="","",IFERROR(AB248*P249,""))</f>
        <v>0</v>
      </c>
      <c r="R249" s="10" t="n">
        <f aca="false">IF(A249="","",IFERROR(IF(Inputs!$B$22="Accumulate",T249+Q249,IF(Inputs!$B$22="Premium Offset",MAX(0,T249+Q249-Inputs!$B$25),T249)),""))</f>
        <v>0</v>
      </c>
      <c r="S249" s="10" t="n">
        <f aca="false">IF(A249="","",R248)</f>
        <v>0</v>
      </c>
      <c r="T249" s="10" t="n">
        <f aca="false">IF(A249="","",IFERROR(S249*(1+Inputs!$B$23/12),""))</f>
        <v>0</v>
      </c>
      <c r="U249" s="6" t="n">
        <f aca="false">IF(A249="","",IF(D249&lt;=Inputs!$B$8,IF(Inputs!$B$22="Premium Offset",MAX(0,Inputs!$B$25-(Q249+T249)),Inputs!$B$25),0))</f>
        <v>77</v>
      </c>
      <c r="V249" s="10" t="n">
        <f aca="false">IF(A249="","",IF(Inputs!$B$22="Cash",Q249,0))</f>
        <v>0</v>
      </c>
      <c r="W249" s="10" t="n">
        <f aca="false">IF(A249="","",IF(Inputs!$B$22="PUA",Q249,0))</f>
        <v>0</v>
      </c>
      <c r="X249" s="12" t="n">
        <f aca="false">IF(A249="","",IFERROR(INDEX(PUA_TABLE!$D$4:$D$105,MATCH(E249,PUA_TABLE!$C$4:$C$105,1)),0))</f>
        <v>0.465574616588996</v>
      </c>
      <c r="Y249" s="10" t="n">
        <f aca="false">IF(A249="","",IF(W249&gt;0,IF(X249&gt;0,W249/X249,0),0))</f>
        <v>0</v>
      </c>
      <c r="Z249" s="10" t="n">
        <f aca="false">IF(A249="","",N249+Y249)</f>
        <v>0</v>
      </c>
      <c r="AA249" s="10" t="n">
        <f aca="false">IF(A249="","",IFERROR(Z249*INDEX(PUA_TABLE!$I$4:$I$105,MATCH(E249,PUA_TABLE!$C$4:$C$105,1))/1000,0))</f>
        <v>0</v>
      </c>
      <c r="AB249" s="10" t="n">
        <f aca="false">IF(A249="","",IFERROR(L249+AA249,0))</f>
        <v>23576.6395857216</v>
      </c>
      <c r="AC249" s="10" t="n">
        <f aca="false">IF(A249="","",IF(Inputs!$B$22="Premium Offset",MIN(Inputs!$B$25,Q249+T249),0))</f>
        <v>0</v>
      </c>
    </row>
    <row r="250" customFormat="false" ht="15" hidden="false" customHeight="false" outlineLevel="0" collapsed="false">
      <c r="A250" s="1" t="n">
        <f aca="false">IF(A249="","",IF(INT((C249+1)/12)+Inputs!$B$7&gt;MAX(MORTALITY!$A:$A),"",Inputs!$B$4))</f>
        <v>34</v>
      </c>
      <c r="B250" s="3" t="n">
        <f aca="false">IF(A250="","",EOMONTH(B249,1))</f>
        <v>29280</v>
      </c>
      <c r="C250" s="1" t="n">
        <f aca="false">IF(A250="","",C249+1)</f>
        <v>248</v>
      </c>
      <c r="D250" s="1" t="n">
        <f aca="false">IF(A250="","",INT(C250/12))</f>
        <v>20</v>
      </c>
      <c r="E250" s="1" t="n">
        <f aca="false">IF(A250="","",D250+Inputs!$B$7)</f>
        <v>36</v>
      </c>
      <c r="F250" s="3" t="n">
        <f aca="false">IF(A250="","",DATE(YEAR(B$2)+D250,MONTH(B$2),DAY(B$2)))</f>
        <v>29011</v>
      </c>
      <c r="G250" s="3" t="n">
        <f aca="false">IF(A250="","",DATE(YEAR(F250)+1,MONTH(F250),DAY(F250)))</f>
        <v>29377</v>
      </c>
      <c r="H250" s="10" t="n">
        <f aca="false">IF(A250="","",IF(G250&gt;F250,(B250-F250)/(G250-F250),0))</f>
        <v>0.734972677595629</v>
      </c>
      <c r="I250" s="10" t="n">
        <f aca="false">IF(A250="","",IFERROR(INDEX(CV_RATES!$I:$I,MATCH(D250,CV_RATES!$C:$C,0)),0))</f>
        <v>465.574616588996</v>
      </c>
      <c r="J250" s="10" t="n">
        <f aca="false">IF(A250="","",IFERROR(IF(E250=MAX(MORTALITY!$A:$A),1000,INDEX(CV_RATES!$J:$J,MATCH(D250,CV_RATES!$C:$C,0))),0))</f>
        <v>474.660833655286</v>
      </c>
      <c r="K250" s="10" t="n">
        <f aca="false">IF(A250="","",IFERROR(I250+H250*(J250-I250),0))</f>
        <v>472.252737875422</v>
      </c>
      <c r="L250" s="10" t="n">
        <f aca="false">IF(A250="","",IFERROR(K250*Inputs!$B$9,0))</f>
        <v>23612.6368937711</v>
      </c>
      <c r="M250" s="10" t="n">
        <f aca="false">IF(A250="","",IFERROR(K250*Inputs!$B$10,0))</f>
        <v>75559.021301854</v>
      </c>
      <c r="N250" s="10" t="n">
        <f aca="false">IF(A250="","",Z249)</f>
        <v>0</v>
      </c>
      <c r="O250" s="6" t="n">
        <f aca="false">IF(A250="","",Inputs!$B$18+N250)</f>
        <v>50000</v>
      </c>
      <c r="P250" s="5" t="n">
        <f aca="false">IF(A250="","",VLOOKUP(D250,DIvidend_Assumption!$A$3:$CX$103,($E$2+2),0)/12)</f>
        <v>0</v>
      </c>
      <c r="Q250" s="10" t="n">
        <f aca="false">IF(A250="","",IFERROR(AB249*P250,""))</f>
        <v>0</v>
      </c>
      <c r="R250" s="10" t="n">
        <f aca="false">IF(A250="","",IFERROR(IF(Inputs!$B$22="Accumulate",T250+Q250,IF(Inputs!$B$22="Premium Offset",MAX(0,T250+Q250-Inputs!$B$25),T250)),""))</f>
        <v>0</v>
      </c>
      <c r="S250" s="10" t="n">
        <f aca="false">IF(A250="","",R249)</f>
        <v>0</v>
      </c>
      <c r="T250" s="10" t="n">
        <f aca="false">IF(A250="","",IFERROR(S250*(1+Inputs!$B$23/12),""))</f>
        <v>0</v>
      </c>
      <c r="U250" s="6" t="n">
        <f aca="false">IF(A250="","",IF(D250&lt;=Inputs!$B$8,IF(Inputs!$B$22="Premium Offset",MAX(0,Inputs!$B$25-(Q250+T250)),Inputs!$B$25),0))</f>
        <v>77</v>
      </c>
      <c r="V250" s="10" t="n">
        <f aca="false">IF(A250="","",IF(Inputs!$B$22="Cash",Q250,0))</f>
        <v>0</v>
      </c>
      <c r="W250" s="10" t="n">
        <f aca="false">IF(A250="","",IF(Inputs!$B$22="PUA",Q250,0))</f>
        <v>0</v>
      </c>
      <c r="X250" s="12" t="n">
        <f aca="false">IF(A250="","",IFERROR(INDEX(PUA_TABLE!$D$4:$D$105,MATCH(E250,PUA_TABLE!$C$4:$C$105,1)),0))</f>
        <v>0.465574616588996</v>
      </c>
      <c r="Y250" s="10" t="n">
        <f aca="false">IF(A250="","",IF(W250&gt;0,IF(X250&gt;0,W250/X250,0),0))</f>
        <v>0</v>
      </c>
      <c r="Z250" s="10" t="n">
        <f aca="false">IF(A250="","",N250+Y250)</f>
        <v>0</v>
      </c>
      <c r="AA250" s="10" t="n">
        <f aca="false">IF(A250="","",IFERROR(Z250*INDEX(PUA_TABLE!$I$4:$I$105,MATCH(E250,PUA_TABLE!$C$4:$C$105,1))/1000,0))</f>
        <v>0</v>
      </c>
      <c r="AB250" s="10" t="n">
        <f aca="false">IF(A250="","",IFERROR(L250+AA250,0))</f>
        <v>23612.6368937711</v>
      </c>
      <c r="AC250" s="10" t="n">
        <f aca="false">IF(A250="","",IF(Inputs!$B$22="Premium Offset",MIN(Inputs!$B$25,Q250+T250),0))</f>
        <v>0</v>
      </c>
    </row>
    <row r="251" customFormat="false" ht="15" hidden="false" customHeight="false" outlineLevel="0" collapsed="false">
      <c r="A251" s="1" t="n">
        <f aca="false">IF(A250="","",IF(INT((C250+1)/12)+Inputs!$B$7&gt;MAX(MORTALITY!$A:$A),"",Inputs!$B$4))</f>
        <v>34</v>
      </c>
      <c r="B251" s="3" t="n">
        <f aca="false">IF(A251="","",EOMONTH(B250,1))</f>
        <v>29311</v>
      </c>
      <c r="C251" s="1" t="n">
        <f aca="false">IF(A251="","",C250+1)</f>
        <v>249</v>
      </c>
      <c r="D251" s="1" t="n">
        <f aca="false">IF(A251="","",INT(C251/12))</f>
        <v>20</v>
      </c>
      <c r="E251" s="1" t="n">
        <f aca="false">IF(A251="","",D251+Inputs!$B$7)</f>
        <v>36</v>
      </c>
      <c r="F251" s="3" t="n">
        <f aca="false">IF(A251="","",DATE(YEAR(B$2)+D251,MONTH(B$2),DAY(B$2)))</f>
        <v>29011</v>
      </c>
      <c r="G251" s="3" t="n">
        <f aca="false">IF(A251="","",DATE(YEAR(F251)+1,MONTH(F251),DAY(F251)))</f>
        <v>29377</v>
      </c>
      <c r="H251" s="10" t="n">
        <f aca="false">IF(A251="","",IF(G251&gt;F251,(B251-F251)/(G251-F251),0))</f>
        <v>0.819672131147541</v>
      </c>
      <c r="I251" s="10" t="n">
        <f aca="false">IF(A251="","",IFERROR(INDEX(CV_RATES!$I:$I,MATCH(D251,CV_RATES!$C:$C,0)),0))</f>
        <v>465.574616588996</v>
      </c>
      <c r="J251" s="10" t="n">
        <f aca="false">IF(A251="","",IFERROR(IF(E251=MAX(MORTALITY!$A:$A),1000,INDEX(CV_RATES!$J:$J,MATCH(D251,CV_RATES!$C:$C,0))),0))</f>
        <v>474.660833655286</v>
      </c>
      <c r="K251" s="10" t="n">
        <f aca="false">IF(A251="","",IFERROR(I251+H251*(J251-I251),0))</f>
        <v>473.022335495791</v>
      </c>
      <c r="L251" s="10" t="n">
        <f aca="false">IF(A251="","",IFERROR(K251*Inputs!$B$9,0))</f>
        <v>23651.1167747896</v>
      </c>
      <c r="M251" s="10" t="n">
        <f aca="false">IF(A251="","",IFERROR(K251*Inputs!$B$10,0))</f>
        <v>75682.1546123201</v>
      </c>
      <c r="N251" s="10" t="n">
        <f aca="false">IF(A251="","",Z250)</f>
        <v>0</v>
      </c>
      <c r="O251" s="6" t="n">
        <f aca="false">IF(A251="","",Inputs!$B$18+N251)</f>
        <v>50000</v>
      </c>
      <c r="P251" s="5" t="n">
        <f aca="false">IF(A251="","",VLOOKUP(D251,DIvidend_Assumption!$A$3:$CX$103,($E$2+2),0)/12)</f>
        <v>0</v>
      </c>
      <c r="Q251" s="10" t="n">
        <f aca="false">IF(A251="","",IFERROR(AB250*P251,""))</f>
        <v>0</v>
      </c>
      <c r="R251" s="10" t="n">
        <f aca="false">IF(A251="","",IFERROR(IF(Inputs!$B$22="Accumulate",T251+Q251,IF(Inputs!$B$22="Premium Offset",MAX(0,T251+Q251-Inputs!$B$25),T251)),""))</f>
        <v>0</v>
      </c>
      <c r="S251" s="10" t="n">
        <f aca="false">IF(A251="","",R250)</f>
        <v>0</v>
      </c>
      <c r="T251" s="10" t="n">
        <f aca="false">IF(A251="","",IFERROR(S251*(1+Inputs!$B$23/12),""))</f>
        <v>0</v>
      </c>
      <c r="U251" s="6" t="n">
        <f aca="false">IF(A251="","",IF(D251&lt;=Inputs!$B$8,IF(Inputs!$B$22="Premium Offset",MAX(0,Inputs!$B$25-(Q251+T251)),Inputs!$B$25),0))</f>
        <v>77</v>
      </c>
      <c r="V251" s="10" t="n">
        <f aca="false">IF(A251="","",IF(Inputs!$B$22="Cash",Q251,0))</f>
        <v>0</v>
      </c>
      <c r="W251" s="10" t="n">
        <f aca="false">IF(A251="","",IF(Inputs!$B$22="PUA",Q251,0))</f>
        <v>0</v>
      </c>
      <c r="X251" s="12" t="n">
        <f aca="false">IF(A251="","",IFERROR(INDEX(PUA_TABLE!$D$4:$D$105,MATCH(E251,PUA_TABLE!$C$4:$C$105,1)),0))</f>
        <v>0.465574616588996</v>
      </c>
      <c r="Y251" s="10" t="n">
        <f aca="false">IF(A251="","",IF(W251&gt;0,IF(X251&gt;0,W251/X251,0),0))</f>
        <v>0</v>
      </c>
      <c r="Z251" s="10" t="n">
        <f aca="false">IF(A251="","",N251+Y251)</f>
        <v>0</v>
      </c>
      <c r="AA251" s="10" t="n">
        <f aca="false">IF(A251="","",IFERROR(Z251*INDEX(PUA_TABLE!$I$4:$I$105,MATCH(E251,PUA_TABLE!$C$4:$C$105,1))/1000,0))</f>
        <v>0</v>
      </c>
      <c r="AB251" s="10" t="n">
        <f aca="false">IF(A251="","",IFERROR(L251+AA251,0))</f>
        <v>23651.1167747896</v>
      </c>
      <c r="AC251" s="10" t="n">
        <f aca="false">IF(A251="","",IF(Inputs!$B$22="Premium Offset",MIN(Inputs!$B$25,Q251+T251),0))</f>
        <v>0</v>
      </c>
    </row>
    <row r="252" customFormat="false" ht="15" hidden="false" customHeight="false" outlineLevel="0" collapsed="false">
      <c r="A252" s="1" t="n">
        <f aca="false">IF(A251="","",IF(INT((C251+1)/12)+Inputs!$B$7&gt;MAX(MORTALITY!$A:$A),"",Inputs!$B$4))</f>
        <v>34</v>
      </c>
      <c r="B252" s="3" t="n">
        <f aca="false">IF(A252="","",EOMONTH(B251,1))</f>
        <v>29341</v>
      </c>
      <c r="C252" s="1" t="n">
        <f aca="false">IF(A252="","",C251+1)</f>
        <v>250</v>
      </c>
      <c r="D252" s="1" t="n">
        <f aca="false">IF(A252="","",INT(C252/12))</f>
        <v>20</v>
      </c>
      <c r="E252" s="1" t="n">
        <f aca="false">IF(A252="","",D252+Inputs!$B$7)</f>
        <v>36</v>
      </c>
      <c r="F252" s="3" t="n">
        <f aca="false">IF(A252="","",DATE(YEAR(B$2)+D252,MONTH(B$2),DAY(B$2)))</f>
        <v>29011</v>
      </c>
      <c r="G252" s="3" t="n">
        <f aca="false">IF(A252="","",DATE(YEAR(F252)+1,MONTH(F252),DAY(F252)))</f>
        <v>29377</v>
      </c>
      <c r="H252" s="10" t="n">
        <f aca="false">IF(A252="","",IF(G252&gt;F252,(B252-F252)/(G252-F252),0))</f>
        <v>0.901639344262295</v>
      </c>
      <c r="I252" s="10" t="n">
        <f aca="false">IF(A252="","",IFERROR(INDEX(CV_RATES!$I:$I,MATCH(D252,CV_RATES!$C:$C,0)),0))</f>
        <v>465.574616588996</v>
      </c>
      <c r="J252" s="10" t="n">
        <f aca="false">IF(A252="","",IFERROR(IF(E252=MAX(MORTALITY!$A:$A),1000,INDEX(CV_RATES!$J:$J,MATCH(D252,CV_RATES!$C:$C,0))),0))</f>
        <v>474.660833655286</v>
      </c>
      <c r="K252" s="10" t="n">
        <f aca="false">IF(A252="","",IFERROR(I252+H252*(J252-I252),0))</f>
        <v>473.767107386471</v>
      </c>
      <c r="L252" s="10" t="n">
        <f aca="false">IF(A252="","",IFERROR(K252*Inputs!$B$9,0))</f>
        <v>23688.3553693235</v>
      </c>
      <c r="M252" s="10" t="n">
        <f aca="false">IF(A252="","",IFERROR(K252*Inputs!$B$10,0))</f>
        <v>75801.3158805131</v>
      </c>
      <c r="N252" s="10" t="n">
        <f aca="false">IF(A252="","",Z251)</f>
        <v>0</v>
      </c>
      <c r="O252" s="6" t="n">
        <f aca="false">IF(A252="","",Inputs!$B$18+N252)</f>
        <v>50000</v>
      </c>
      <c r="P252" s="5" t="n">
        <f aca="false">IF(A252="","",VLOOKUP(D252,DIvidend_Assumption!$A$3:$CX$103,($E$2+2),0)/12)</f>
        <v>0</v>
      </c>
      <c r="Q252" s="10" t="n">
        <f aca="false">IF(A252="","",IFERROR(AB251*P252,""))</f>
        <v>0</v>
      </c>
      <c r="R252" s="10" t="n">
        <f aca="false">IF(A252="","",IFERROR(IF(Inputs!$B$22="Accumulate",T252+Q252,IF(Inputs!$B$22="Premium Offset",MAX(0,T252+Q252-Inputs!$B$25),T252)),""))</f>
        <v>0</v>
      </c>
      <c r="S252" s="10" t="n">
        <f aca="false">IF(A252="","",R251)</f>
        <v>0</v>
      </c>
      <c r="T252" s="10" t="n">
        <f aca="false">IF(A252="","",IFERROR(S252*(1+Inputs!$B$23/12),""))</f>
        <v>0</v>
      </c>
      <c r="U252" s="6" t="n">
        <f aca="false">IF(A252="","",IF(D252&lt;=Inputs!$B$8,IF(Inputs!$B$22="Premium Offset",MAX(0,Inputs!$B$25-(Q252+T252)),Inputs!$B$25),0))</f>
        <v>77</v>
      </c>
      <c r="V252" s="10" t="n">
        <f aca="false">IF(A252="","",IF(Inputs!$B$22="Cash",Q252,0))</f>
        <v>0</v>
      </c>
      <c r="W252" s="10" t="n">
        <f aca="false">IF(A252="","",IF(Inputs!$B$22="PUA",Q252,0))</f>
        <v>0</v>
      </c>
      <c r="X252" s="12" t="n">
        <f aca="false">IF(A252="","",IFERROR(INDEX(PUA_TABLE!$D$4:$D$105,MATCH(E252,PUA_TABLE!$C$4:$C$105,1)),0))</f>
        <v>0.465574616588996</v>
      </c>
      <c r="Y252" s="10" t="n">
        <f aca="false">IF(A252="","",IF(W252&gt;0,IF(X252&gt;0,W252/X252,0),0))</f>
        <v>0</v>
      </c>
      <c r="Z252" s="10" t="n">
        <f aca="false">IF(A252="","",N252+Y252)</f>
        <v>0</v>
      </c>
      <c r="AA252" s="10" t="n">
        <f aca="false">IF(A252="","",IFERROR(Z252*INDEX(PUA_TABLE!$I$4:$I$105,MATCH(E252,PUA_TABLE!$C$4:$C$105,1))/1000,0))</f>
        <v>0</v>
      </c>
      <c r="AB252" s="10" t="n">
        <f aca="false">IF(A252="","",IFERROR(L252+AA252,0))</f>
        <v>23688.3553693235</v>
      </c>
      <c r="AC252" s="10" t="n">
        <f aca="false">IF(A252="","",IF(Inputs!$B$22="Premium Offset",MIN(Inputs!$B$25,Q252+T252),0))</f>
        <v>0</v>
      </c>
    </row>
    <row r="253" customFormat="false" ht="15" hidden="false" customHeight="false" outlineLevel="0" collapsed="false">
      <c r="A253" s="1" t="n">
        <f aca="false">IF(A252="","",IF(INT((C252+1)/12)+Inputs!$B$7&gt;MAX(MORTALITY!$A:$A),"",Inputs!$B$4))</f>
        <v>34</v>
      </c>
      <c r="B253" s="3" t="n">
        <f aca="false">IF(A253="","",EOMONTH(B252,1))</f>
        <v>29372</v>
      </c>
      <c r="C253" s="1" t="n">
        <f aca="false">IF(A253="","",C252+1)</f>
        <v>251</v>
      </c>
      <c r="D253" s="1" t="n">
        <f aca="false">IF(A253="","",INT(C253/12))</f>
        <v>20</v>
      </c>
      <c r="E253" s="1" t="n">
        <f aca="false">IF(A253="","",D253+Inputs!$B$7)</f>
        <v>36</v>
      </c>
      <c r="F253" s="3" t="n">
        <f aca="false">IF(A253="","",DATE(YEAR(B$2)+D253,MONTH(B$2),DAY(B$2)))</f>
        <v>29011</v>
      </c>
      <c r="G253" s="3" t="n">
        <f aca="false">IF(A253="","",DATE(YEAR(F253)+1,MONTH(F253),DAY(F253)))</f>
        <v>29377</v>
      </c>
      <c r="H253" s="10" t="n">
        <f aca="false">IF(A253="","",IF(G253&gt;F253,(B253-F253)/(G253-F253),0))</f>
        <v>0.986338797814208</v>
      </c>
      <c r="I253" s="10" t="n">
        <f aca="false">IF(A253="","",IFERROR(INDEX(CV_RATES!$I:$I,MATCH(D253,CV_RATES!$C:$C,0)),0))</f>
        <v>465.574616588996</v>
      </c>
      <c r="J253" s="10" t="n">
        <f aca="false">IF(A253="","",IFERROR(IF(E253=MAX(MORTALITY!$A:$A),1000,INDEX(CV_RATES!$J:$J,MATCH(D253,CV_RATES!$C:$C,0))),0))</f>
        <v>474.660833655286</v>
      </c>
      <c r="K253" s="10" t="n">
        <f aca="false">IF(A253="","",IFERROR(I253+H253*(J253-I253),0))</f>
        <v>474.536705006839</v>
      </c>
      <c r="L253" s="10" t="n">
        <f aca="false">IF(A253="","",IFERROR(K253*Inputs!$B$9,0))</f>
        <v>23726.835250342</v>
      </c>
      <c r="M253" s="10" t="n">
        <f aca="false">IF(A253="","",IFERROR(K253*Inputs!$B$10,0))</f>
        <v>75924.4491909793</v>
      </c>
      <c r="N253" s="10" t="n">
        <f aca="false">IF(A253="","",Z252)</f>
        <v>0</v>
      </c>
      <c r="O253" s="6" t="n">
        <f aca="false">IF(A253="","",Inputs!$B$18+N253)</f>
        <v>50000</v>
      </c>
      <c r="P253" s="5" t="n">
        <f aca="false">IF(A253="","",VLOOKUP(D253,DIvidend_Assumption!$A$3:$CX$103,($E$2+2),0)/12)</f>
        <v>0</v>
      </c>
      <c r="Q253" s="10" t="n">
        <f aca="false">IF(A253="","",IFERROR(AB252*P253,""))</f>
        <v>0</v>
      </c>
      <c r="R253" s="10" t="n">
        <f aca="false">IF(A253="","",IFERROR(IF(Inputs!$B$22="Accumulate",T253+Q253,IF(Inputs!$B$22="Premium Offset",MAX(0,T253+Q253-Inputs!$B$25),T253)),""))</f>
        <v>0</v>
      </c>
      <c r="S253" s="10" t="n">
        <f aca="false">IF(A253="","",R252)</f>
        <v>0</v>
      </c>
      <c r="T253" s="10" t="n">
        <f aca="false">IF(A253="","",IFERROR(S253*(1+Inputs!$B$23/12),""))</f>
        <v>0</v>
      </c>
      <c r="U253" s="6" t="n">
        <f aca="false">IF(A253="","",IF(D253&lt;=Inputs!$B$8,IF(Inputs!$B$22="Premium Offset",MAX(0,Inputs!$B$25-(Q253+T253)),Inputs!$B$25),0))</f>
        <v>77</v>
      </c>
      <c r="V253" s="10" t="n">
        <f aca="false">IF(A253="","",IF(Inputs!$B$22="Cash",Q253,0))</f>
        <v>0</v>
      </c>
      <c r="W253" s="10" t="n">
        <f aca="false">IF(A253="","",IF(Inputs!$B$22="PUA",Q253,0))</f>
        <v>0</v>
      </c>
      <c r="X253" s="12" t="n">
        <f aca="false">IF(A253="","",IFERROR(INDEX(PUA_TABLE!$D$4:$D$105,MATCH(E253,PUA_TABLE!$C$4:$C$105,1)),0))</f>
        <v>0.465574616588996</v>
      </c>
      <c r="Y253" s="10" t="n">
        <f aca="false">IF(A253="","",IF(W253&gt;0,IF(X253&gt;0,W253/X253,0),0))</f>
        <v>0</v>
      </c>
      <c r="Z253" s="10" t="n">
        <f aca="false">IF(A253="","",N253+Y253)</f>
        <v>0</v>
      </c>
      <c r="AA253" s="10" t="n">
        <f aca="false">IF(A253="","",IFERROR(Z253*INDEX(PUA_TABLE!$I$4:$I$105,MATCH(E253,PUA_TABLE!$C$4:$C$105,1))/1000,0))</f>
        <v>0</v>
      </c>
      <c r="AB253" s="10" t="n">
        <f aca="false">IF(A253="","",IFERROR(L253+AA253,0))</f>
        <v>23726.835250342</v>
      </c>
      <c r="AC253" s="10" t="n">
        <f aca="false">IF(A253="","",IF(Inputs!$B$22="Premium Offset",MIN(Inputs!$B$25,Q253+T253),0))</f>
        <v>0</v>
      </c>
    </row>
    <row r="254" customFormat="false" ht="15" hidden="false" customHeight="false" outlineLevel="0" collapsed="false">
      <c r="A254" s="1" t="n">
        <f aca="false">IF(A253="","",IF(INT((C253+1)/12)+Inputs!$B$7&gt;MAX(MORTALITY!$A:$A),"",Inputs!$B$4))</f>
        <v>34</v>
      </c>
      <c r="B254" s="3" t="n">
        <f aca="false">IF(A254="","",EOMONTH(B253,1))</f>
        <v>29402</v>
      </c>
      <c r="C254" s="1" t="n">
        <f aca="false">IF(A254="","",C253+1)</f>
        <v>252</v>
      </c>
      <c r="D254" s="1" t="n">
        <f aca="false">IF(A254="","",INT(C254/12))</f>
        <v>21</v>
      </c>
      <c r="E254" s="1" t="n">
        <f aca="false">IF(A254="","",D254+Inputs!$B$7)</f>
        <v>37</v>
      </c>
      <c r="F254" s="3" t="n">
        <f aca="false">IF(A254="","",DATE(YEAR(B$2)+D254,MONTH(B$2),DAY(B$2)))</f>
        <v>29377</v>
      </c>
      <c r="G254" s="3" t="n">
        <f aca="false">IF(A254="","",DATE(YEAR(F254)+1,MONTH(F254),DAY(F254)))</f>
        <v>29742</v>
      </c>
      <c r="H254" s="10" t="n">
        <f aca="false">IF(A254="","",IF(G254&gt;F254,(B254-F254)/(G254-F254),0))</f>
        <v>0.0684931506849315</v>
      </c>
      <c r="I254" s="10" t="n">
        <f aca="false">IF(A254="","",IFERROR(INDEX(CV_RATES!$I:$I,MATCH(D254,CV_RATES!$C:$C,0)),0))</f>
        <v>474.660833655286</v>
      </c>
      <c r="J254" s="10" t="n">
        <f aca="false">IF(A254="","",IFERROR(IF(E254=MAX(MORTALITY!$A:$A),1000,INDEX(CV_RATES!$J:$J,MATCH(D254,CV_RATES!$C:$C,0))),0))</f>
        <v>483.869281295339</v>
      </c>
      <c r="K254" s="10" t="n">
        <f aca="false">IF(A254="","",IFERROR(I254+H254*(J254-I254),0))</f>
        <v>475.29154924707</v>
      </c>
      <c r="L254" s="10" t="n">
        <f aca="false">IF(A254="","",IFERROR(K254*Inputs!$B$9,0))</f>
        <v>23764.5774623535</v>
      </c>
      <c r="M254" s="10" t="n">
        <f aca="false">IF(A254="","",IFERROR(K254*Inputs!$B$10,0))</f>
        <v>76045.2220048835</v>
      </c>
      <c r="N254" s="10" t="n">
        <f aca="false">IF(A254="","",Z253)</f>
        <v>0</v>
      </c>
      <c r="O254" s="6" t="n">
        <f aca="false">IF(A254="","",Inputs!$B$18+N254)</f>
        <v>50000</v>
      </c>
      <c r="P254" s="5" t="n">
        <f aca="false">IF(A254="","",VLOOKUP(D254,DIvidend_Assumption!$A$3:$CX$103,($E$2+2),0)/12)</f>
        <v>0</v>
      </c>
      <c r="Q254" s="10" t="n">
        <f aca="false">IF(A254="","",IFERROR(AB253*P254,""))</f>
        <v>0</v>
      </c>
      <c r="R254" s="10" t="n">
        <f aca="false">IF(A254="","",IFERROR(IF(Inputs!$B$22="Accumulate",T254+Q254,IF(Inputs!$B$22="Premium Offset",MAX(0,T254+Q254-Inputs!$B$25),T254)),""))</f>
        <v>0</v>
      </c>
      <c r="S254" s="10" t="n">
        <f aca="false">IF(A254="","",R253)</f>
        <v>0</v>
      </c>
      <c r="T254" s="10" t="n">
        <f aca="false">IF(A254="","",IFERROR(S254*(1+Inputs!$B$23/12),""))</f>
        <v>0</v>
      </c>
      <c r="U254" s="6" t="n">
        <f aca="false">IF(A254="","",IF(D254&lt;=Inputs!$B$8,IF(Inputs!$B$22="Premium Offset",MAX(0,Inputs!$B$25-(Q254+T254)),Inputs!$B$25),0))</f>
        <v>77</v>
      </c>
      <c r="V254" s="10" t="n">
        <f aca="false">IF(A254="","",IF(Inputs!$B$22="Cash",Q254,0))</f>
        <v>0</v>
      </c>
      <c r="W254" s="10" t="n">
        <f aca="false">IF(A254="","",IF(Inputs!$B$22="PUA",Q254,0))</f>
        <v>0</v>
      </c>
      <c r="X254" s="12" t="n">
        <f aca="false">IF(A254="","",IFERROR(INDEX(PUA_TABLE!$D$4:$D$105,MATCH(E254,PUA_TABLE!$C$4:$C$105,1)),0))</f>
        <v>0.474660833655286</v>
      </c>
      <c r="Y254" s="10" t="n">
        <f aca="false">IF(A254="","",IF(W254&gt;0,IF(X254&gt;0,W254/X254,0),0))</f>
        <v>0</v>
      </c>
      <c r="Z254" s="10" t="n">
        <f aca="false">IF(A254="","",N254+Y254)</f>
        <v>0</v>
      </c>
      <c r="AA254" s="10" t="n">
        <f aca="false">IF(A254="","",IFERROR(Z254*INDEX(PUA_TABLE!$I$4:$I$105,MATCH(E254,PUA_TABLE!$C$4:$C$105,1))/1000,0))</f>
        <v>0</v>
      </c>
      <c r="AB254" s="10" t="n">
        <f aca="false">IF(A254="","",IFERROR(L254+AA254,0))</f>
        <v>23764.5774623535</v>
      </c>
      <c r="AC254" s="10" t="n">
        <f aca="false">IF(A254="","",IF(Inputs!$B$22="Premium Offset",MIN(Inputs!$B$25,Q254+T254),0))</f>
        <v>0</v>
      </c>
    </row>
    <row r="255" customFormat="false" ht="15" hidden="false" customHeight="false" outlineLevel="0" collapsed="false">
      <c r="A255" s="1" t="n">
        <f aca="false">IF(A254="","",IF(INT((C254+1)/12)+Inputs!$B$7&gt;MAX(MORTALITY!$A:$A),"",Inputs!$B$4))</f>
        <v>34</v>
      </c>
      <c r="B255" s="3" t="n">
        <f aca="false">IF(A255="","",EOMONTH(B254,1))</f>
        <v>29433</v>
      </c>
      <c r="C255" s="1" t="n">
        <f aca="false">IF(A255="","",C254+1)</f>
        <v>253</v>
      </c>
      <c r="D255" s="1" t="n">
        <f aca="false">IF(A255="","",INT(C255/12))</f>
        <v>21</v>
      </c>
      <c r="E255" s="1" t="n">
        <f aca="false">IF(A255="","",D255+Inputs!$B$7)</f>
        <v>37</v>
      </c>
      <c r="F255" s="3" t="n">
        <f aca="false">IF(A255="","",DATE(YEAR(B$2)+D255,MONTH(B$2),DAY(B$2)))</f>
        <v>29377</v>
      </c>
      <c r="G255" s="3" t="n">
        <f aca="false">IF(A255="","",DATE(YEAR(F255)+1,MONTH(F255),DAY(F255)))</f>
        <v>29742</v>
      </c>
      <c r="H255" s="10" t="n">
        <f aca="false">IF(A255="","",IF(G255&gt;F255,(B255-F255)/(G255-F255),0))</f>
        <v>0.153424657534247</v>
      </c>
      <c r="I255" s="10" t="n">
        <f aca="false">IF(A255="","",IFERROR(INDEX(CV_RATES!$I:$I,MATCH(D255,CV_RATES!$C:$C,0)),0))</f>
        <v>474.660833655286</v>
      </c>
      <c r="J255" s="10" t="n">
        <f aca="false">IF(A255="","",IFERROR(IF(E255=MAX(MORTALITY!$A:$A),1000,INDEX(CV_RATES!$J:$J,MATCH(D255,CV_RATES!$C:$C,0))),0))</f>
        <v>483.869281295339</v>
      </c>
      <c r="K255" s="10" t="n">
        <f aca="false">IF(A255="","",IFERROR(I255+H255*(J255-I255),0))</f>
        <v>476.073636580883</v>
      </c>
      <c r="L255" s="10" t="n">
        <f aca="false">IF(A255="","",IFERROR(K255*Inputs!$B$9,0))</f>
        <v>23803.6818290442</v>
      </c>
      <c r="M255" s="10" t="n">
        <f aca="false">IF(A255="","",IFERROR(K255*Inputs!$B$10,0))</f>
        <v>76170.3536320316</v>
      </c>
      <c r="N255" s="10" t="n">
        <f aca="false">IF(A255="","",Z254)</f>
        <v>0</v>
      </c>
      <c r="O255" s="6" t="n">
        <f aca="false">IF(A255="","",Inputs!$B$18+N255)</f>
        <v>50000</v>
      </c>
      <c r="P255" s="5" t="n">
        <f aca="false">IF(A255="","",VLOOKUP(D255,DIvidend_Assumption!$A$3:$CX$103,($E$2+2),0)/12)</f>
        <v>0</v>
      </c>
      <c r="Q255" s="10" t="n">
        <f aca="false">IF(A255="","",IFERROR(AB254*P255,""))</f>
        <v>0</v>
      </c>
      <c r="R255" s="10" t="n">
        <f aca="false">IF(A255="","",IFERROR(IF(Inputs!$B$22="Accumulate",T255+Q255,IF(Inputs!$B$22="Premium Offset",MAX(0,T255+Q255-Inputs!$B$25),T255)),""))</f>
        <v>0</v>
      </c>
      <c r="S255" s="10" t="n">
        <f aca="false">IF(A255="","",R254)</f>
        <v>0</v>
      </c>
      <c r="T255" s="10" t="n">
        <f aca="false">IF(A255="","",IFERROR(S255*(1+Inputs!$B$23/12),""))</f>
        <v>0</v>
      </c>
      <c r="U255" s="6" t="n">
        <f aca="false">IF(A255="","",IF(D255&lt;=Inputs!$B$8,IF(Inputs!$B$22="Premium Offset",MAX(0,Inputs!$B$25-(Q255+T255)),Inputs!$B$25),0))</f>
        <v>77</v>
      </c>
      <c r="V255" s="10" t="n">
        <f aca="false">IF(A255="","",IF(Inputs!$B$22="Cash",Q255,0))</f>
        <v>0</v>
      </c>
      <c r="W255" s="10" t="n">
        <f aca="false">IF(A255="","",IF(Inputs!$B$22="PUA",Q255,0))</f>
        <v>0</v>
      </c>
      <c r="X255" s="12" t="n">
        <f aca="false">IF(A255="","",IFERROR(INDEX(PUA_TABLE!$D$4:$D$105,MATCH(E255,PUA_TABLE!$C$4:$C$105,1)),0))</f>
        <v>0.474660833655286</v>
      </c>
      <c r="Y255" s="10" t="n">
        <f aca="false">IF(A255="","",IF(W255&gt;0,IF(X255&gt;0,W255/X255,0),0))</f>
        <v>0</v>
      </c>
      <c r="Z255" s="10" t="n">
        <f aca="false">IF(A255="","",N255+Y255)</f>
        <v>0</v>
      </c>
      <c r="AA255" s="10" t="n">
        <f aca="false">IF(A255="","",IFERROR(Z255*INDEX(PUA_TABLE!$I$4:$I$105,MATCH(E255,PUA_TABLE!$C$4:$C$105,1))/1000,0))</f>
        <v>0</v>
      </c>
      <c r="AB255" s="10" t="n">
        <f aca="false">IF(A255="","",IFERROR(L255+AA255,0))</f>
        <v>23803.6818290442</v>
      </c>
      <c r="AC255" s="10" t="n">
        <f aca="false">IF(A255="","",IF(Inputs!$B$22="Premium Offset",MIN(Inputs!$B$25,Q255+T255),0))</f>
        <v>0</v>
      </c>
    </row>
    <row r="256" customFormat="false" ht="15" hidden="false" customHeight="false" outlineLevel="0" collapsed="false">
      <c r="A256" s="1" t="n">
        <f aca="false">IF(A255="","",IF(INT((C255+1)/12)+Inputs!$B$7&gt;MAX(MORTALITY!$A:$A),"",Inputs!$B$4))</f>
        <v>34</v>
      </c>
      <c r="B256" s="3" t="n">
        <f aca="false">IF(A256="","",EOMONTH(B255,1))</f>
        <v>29464</v>
      </c>
      <c r="C256" s="1" t="n">
        <f aca="false">IF(A256="","",C255+1)</f>
        <v>254</v>
      </c>
      <c r="D256" s="1" t="n">
        <f aca="false">IF(A256="","",INT(C256/12))</f>
        <v>21</v>
      </c>
      <c r="E256" s="1" t="n">
        <f aca="false">IF(A256="","",D256+Inputs!$B$7)</f>
        <v>37</v>
      </c>
      <c r="F256" s="3" t="n">
        <f aca="false">IF(A256="","",DATE(YEAR(B$2)+D256,MONTH(B$2),DAY(B$2)))</f>
        <v>29377</v>
      </c>
      <c r="G256" s="3" t="n">
        <f aca="false">IF(A256="","",DATE(YEAR(F256)+1,MONTH(F256),DAY(F256)))</f>
        <v>29742</v>
      </c>
      <c r="H256" s="10" t="n">
        <f aca="false">IF(A256="","",IF(G256&gt;F256,(B256-F256)/(G256-F256),0))</f>
        <v>0.238356164383562</v>
      </c>
      <c r="I256" s="10" t="n">
        <f aca="false">IF(A256="","",IFERROR(INDEX(CV_RATES!$I:$I,MATCH(D256,CV_RATES!$C:$C,0)),0))</f>
        <v>474.660833655286</v>
      </c>
      <c r="J256" s="10" t="n">
        <f aca="false">IF(A256="","",IFERROR(IF(E256=MAX(MORTALITY!$A:$A),1000,INDEX(CV_RATES!$J:$J,MATCH(D256,CV_RATES!$C:$C,0))),0))</f>
        <v>483.869281295339</v>
      </c>
      <c r="K256" s="10" t="n">
        <f aca="false">IF(A256="","",IFERROR(I256+H256*(J256-I256),0))</f>
        <v>476.855723914696</v>
      </c>
      <c r="L256" s="10" t="n">
        <f aca="false">IF(A256="","",IFERROR(K256*Inputs!$B$9,0))</f>
        <v>23842.7861957348</v>
      </c>
      <c r="M256" s="10" t="n">
        <f aca="false">IF(A256="","",IFERROR(K256*Inputs!$B$10,0))</f>
        <v>76295.4852591796</v>
      </c>
      <c r="N256" s="10" t="n">
        <f aca="false">IF(A256="","",Z255)</f>
        <v>0</v>
      </c>
      <c r="O256" s="6" t="n">
        <f aca="false">IF(A256="","",Inputs!$B$18+N256)</f>
        <v>50000</v>
      </c>
      <c r="P256" s="5" t="n">
        <f aca="false">IF(A256="","",VLOOKUP(D256,DIvidend_Assumption!$A$3:$CX$103,($E$2+2),0)/12)</f>
        <v>0</v>
      </c>
      <c r="Q256" s="10" t="n">
        <f aca="false">IF(A256="","",IFERROR(AB255*P256,""))</f>
        <v>0</v>
      </c>
      <c r="R256" s="10" t="n">
        <f aca="false">IF(A256="","",IFERROR(IF(Inputs!$B$22="Accumulate",T256+Q256,IF(Inputs!$B$22="Premium Offset",MAX(0,T256+Q256-Inputs!$B$25),T256)),""))</f>
        <v>0</v>
      </c>
      <c r="S256" s="10" t="n">
        <f aca="false">IF(A256="","",R255)</f>
        <v>0</v>
      </c>
      <c r="T256" s="10" t="n">
        <f aca="false">IF(A256="","",IFERROR(S256*(1+Inputs!$B$23/12),""))</f>
        <v>0</v>
      </c>
      <c r="U256" s="6" t="n">
        <f aca="false">IF(A256="","",IF(D256&lt;=Inputs!$B$8,IF(Inputs!$B$22="Premium Offset",MAX(0,Inputs!$B$25-(Q256+T256)),Inputs!$B$25),0))</f>
        <v>77</v>
      </c>
      <c r="V256" s="10" t="n">
        <f aca="false">IF(A256="","",IF(Inputs!$B$22="Cash",Q256,0))</f>
        <v>0</v>
      </c>
      <c r="W256" s="10" t="n">
        <f aca="false">IF(A256="","",IF(Inputs!$B$22="PUA",Q256,0))</f>
        <v>0</v>
      </c>
      <c r="X256" s="12" t="n">
        <f aca="false">IF(A256="","",IFERROR(INDEX(PUA_TABLE!$D$4:$D$105,MATCH(E256,PUA_TABLE!$C$4:$C$105,1)),0))</f>
        <v>0.474660833655286</v>
      </c>
      <c r="Y256" s="10" t="n">
        <f aca="false">IF(A256="","",IF(W256&gt;0,IF(X256&gt;0,W256/X256,0),0))</f>
        <v>0</v>
      </c>
      <c r="Z256" s="10" t="n">
        <f aca="false">IF(A256="","",N256+Y256)</f>
        <v>0</v>
      </c>
      <c r="AA256" s="10" t="n">
        <f aca="false">IF(A256="","",IFERROR(Z256*INDEX(PUA_TABLE!$I$4:$I$105,MATCH(E256,PUA_TABLE!$C$4:$C$105,1))/1000,0))</f>
        <v>0</v>
      </c>
      <c r="AB256" s="10" t="n">
        <f aca="false">IF(A256="","",IFERROR(L256+AA256,0))</f>
        <v>23842.7861957348</v>
      </c>
      <c r="AC256" s="10" t="n">
        <f aca="false">IF(A256="","",IF(Inputs!$B$22="Premium Offset",MIN(Inputs!$B$25,Q256+T256),0))</f>
        <v>0</v>
      </c>
    </row>
    <row r="257" customFormat="false" ht="15" hidden="false" customHeight="false" outlineLevel="0" collapsed="false">
      <c r="A257" s="1" t="n">
        <f aca="false">IF(A256="","",IF(INT((C256+1)/12)+Inputs!$B$7&gt;MAX(MORTALITY!$A:$A),"",Inputs!$B$4))</f>
        <v>34</v>
      </c>
      <c r="B257" s="3" t="n">
        <f aca="false">IF(A257="","",EOMONTH(B256,1))</f>
        <v>29494</v>
      </c>
      <c r="C257" s="1" t="n">
        <f aca="false">IF(A257="","",C256+1)</f>
        <v>255</v>
      </c>
      <c r="D257" s="1" t="n">
        <f aca="false">IF(A257="","",INT(C257/12))</f>
        <v>21</v>
      </c>
      <c r="E257" s="1" t="n">
        <f aca="false">IF(A257="","",D257+Inputs!$B$7)</f>
        <v>37</v>
      </c>
      <c r="F257" s="3" t="n">
        <f aca="false">IF(A257="","",DATE(YEAR(B$2)+D257,MONTH(B$2),DAY(B$2)))</f>
        <v>29377</v>
      </c>
      <c r="G257" s="3" t="n">
        <f aca="false">IF(A257="","",DATE(YEAR(F257)+1,MONTH(F257),DAY(F257)))</f>
        <v>29742</v>
      </c>
      <c r="H257" s="10" t="n">
        <f aca="false">IF(A257="","",IF(G257&gt;F257,(B257-F257)/(G257-F257),0))</f>
        <v>0.320547945205479</v>
      </c>
      <c r="I257" s="10" t="n">
        <f aca="false">IF(A257="","",IFERROR(INDEX(CV_RATES!$I:$I,MATCH(D257,CV_RATES!$C:$C,0)),0))</f>
        <v>474.660833655286</v>
      </c>
      <c r="J257" s="10" t="n">
        <f aca="false">IF(A257="","",IFERROR(IF(E257=MAX(MORTALITY!$A:$A),1000,INDEX(CV_RATES!$J:$J,MATCH(D257,CV_RATES!$C:$C,0))),0))</f>
        <v>483.869281295339</v>
      </c>
      <c r="K257" s="10" t="n">
        <f aca="false">IF(A257="","",IFERROR(I257+H257*(J257-I257),0))</f>
        <v>477.612582624837</v>
      </c>
      <c r="L257" s="10" t="n">
        <f aca="false">IF(A257="","",IFERROR(K257*Inputs!$B$9,0))</f>
        <v>23880.6291312419</v>
      </c>
      <c r="M257" s="10" t="n">
        <f aca="false">IF(A257="","",IFERROR(K257*Inputs!$B$10,0))</f>
        <v>76416.5803822261</v>
      </c>
      <c r="N257" s="10" t="n">
        <f aca="false">IF(A257="","",Z256)</f>
        <v>0</v>
      </c>
      <c r="O257" s="6" t="n">
        <f aca="false">IF(A257="","",Inputs!$B$18+N257)</f>
        <v>50000</v>
      </c>
      <c r="P257" s="5" t="n">
        <f aca="false">IF(A257="","",VLOOKUP(D257,DIvidend_Assumption!$A$3:$CX$103,($E$2+2),0)/12)</f>
        <v>0</v>
      </c>
      <c r="Q257" s="10" t="n">
        <f aca="false">IF(A257="","",IFERROR(AB256*P257,""))</f>
        <v>0</v>
      </c>
      <c r="R257" s="10" t="n">
        <f aca="false">IF(A257="","",IFERROR(IF(Inputs!$B$22="Accumulate",T257+Q257,IF(Inputs!$B$22="Premium Offset",MAX(0,T257+Q257-Inputs!$B$25),T257)),""))</f>
        <v>0</v>
      </c>
      <c r="S257" s="10" t="n">
        <f aca="false">IF(A257="","",R256)</f>
        <v>0</v>
      </c>
      <c r="T257" s="10" t="n">
        <f aca="false">IF(A257="","",IFERROR(S257*(1+Inputs!$B$23/12),""))</f>
        <v>0</v>
      </c>
      <c r="U257" s="6" t="n">
        <f aca="false">IF(A257="","",IF(D257&lt;=Inputs!$B$8,IF(Inputs!$B$22="Premium Offset",MAX(0,Inputs!$B$25-(Q257+T257)),Inputs!$B$25),0))</f>
        <v>77</v>
      </c>
      <c r="V257" s="10" t="n">
        <f aca="false">IF(A257="","",IF(Inputs!$B$22="Cash",Q257,0))</f>
        <v>0</v>
      </c>
      <c r="W257" s="10" t="n">
        <f aca="false">IF(A257="","",IF(Inputs!$B$22="PUA",Q257,0))</f>
        <v>0</v>
      </c>
      <c r="X257" s="12" t="n">
        <f aca="false">IF(A257="","",IFERROR(INDEX(PUA_TABLE!$D$4:$D$105,MATCH(E257,PUA_TABLE!$C$4:$C$105,1)),0))</f>
        <v>0.474660833655286</v>
      </c>
      <c r="Y257" s="10" t="n">
        <f aca="false">IF(A257="","",IF(W257&gt;0,IF(X257&gt;0,W257/X257,0),0))</f>
        <v>0</v>
      </c>
      <c r="Z257" s="10" t="n">
        <f aca="false">IF(A257="","",N257+Y257)</f>
        <v>0</v>
      </c>
      <c r="AA257" s="10" t="n">
        <f aca="false">IF(A257="","",IFERROR(Z257*INDEX(PUA_TABLE!$I$4:$I$105,MATCH(E257,PUA_TABLE!$C$4:$C$105,1))/1000,0))</f>
        <v>0</v>
      </c>
      <c r="AB257" s="10" t="n">
        <f aca="false">IF(A257="","",IFERROR(L257+AA257,0))</f>
        <v>23880.6291312419</v>
      </c>
      <c r="AC257" s="10" t="n">
        <f aca="false">IF(A257="","",IF(Inputs!$B$22="Premium Offset",MIN(Inputs!$B$25,Q257+T257),0))</f>
        <v>0</v>
      </c>
    </row>
    <row r="258" customFormat="false" ht="15" hidden="false" customHeight="false" outlineLevel="0" collapsed="false">
      <c r="A258" s="1" t="n">
        <f aca="false">IF(A257="","",IF(INT((C257+1)/12)+Inputs!$B$7&gt;MAX(MORTALITY!$A:$A),"",Inputs!$B$4))</f>
        <v>34</v>
      </c>
      <c r="B258" s="3" t="n">
        <f aca="false">IF(A258="","",EOMONTH(B257,1))</f>
        <v>29525</v>
      </c>
      <c r="C258" s="1" t="n">
        <f aca="false">IF(A258="","",C257+1)</f>
        <v>256</v>
      </c>
      <c r="D258" s="1" t="n">
        <f aca="false">IF(A258="","",INT(C258/12))</f>
        <v>21</v>
      </c>
      <c r="E258" s="1" t="n">
        <f aca="false">IF(A258="","",D258+Inputs!$B$7)</f>
        <v>37</v>
      </c>
      <c r="F258" s="3" t="n">
        <f aca="false">IF(A258="","",DATE(YEAR(B$2)+D258,MONTH(B$2),DAY(B$2)))</f>
        <v>29377</v>
      </c>
      <c r="G258" s="3" t="n">
        <f aca="false">IF(A258="","",DATE(YEAR(F258)+1,MONTH(F258),DAY(F258)))</f>
        <v>29742</v>
      </c>
      <c r="H258" s="10" t="n">
        <f aca="false">IF(A258="","",IF(G258&gt;F258,(B258-F258)/(G258-F258),0))</f>
        <v>0.405479452054795</v>
      </c>
      <c r="I258" s="10" t="n">
        <f aca="false">IF(A258="","",IFERROR(INDEX(CV_RATES!$I:$I,MATCH(D258,CV_RATES!$C:$C,0)),0))</f>
        <v>474.660833655286</v>
      </c>
      <c r="J258" s="10" t="n">
        <f aca="false">IF(A258="","",IFERROR(IF(E258=MAX(MORTALITY!$A:$A),1000,INDEX(CV_RATES!$J:$J,MATCH(D258,CV_RATES!$C:$C,0))),0))</f>
        <v>483.869281295339</v>
      </c>
      <c r="K258" s="10" t="n">
        <f aca="false">IF(A258="","",IFERROR(I258+H258*(J258-I258),0))</f>
        <v>478.39466995865</v>
      </c>
      <c r="L258" s="10" t="n">
        <f aca="false">IF(A258="","",IFERROR(K258*Inputs!$B$9,0))</f>
        <v>23919.7334979325</v>
      </c>
      <c r="M258" s="10" t="n">
        <f aca="false">IF(A258="","",IFERROR(K258*Inputs!$B$10,0))</f>
        <v>76541.7120093741</v>
      </c>
      <c r="N258" s="10" t="n">
        <f aca="false">IF(A258="","",Z257)</f>
        <v>0</v>
      </c>
      <c r="O258" s="6" t="n">
        <f aca="false">IF(A258="","",Inputs!$B$18+N258)</f>
        <v>50000</v>
      </c>
      <c r="P258" s="5" t="n">
        <f aca="false">IF(A258="","",VLOOKUP(D258,DIvidend_Assumption!$A$3:$CX$103,($E$2+2),0)/12)</f>
        <v>0</v>
      </c>
      <c r="Q258" s="10" t="n">
        <f aca="false">IF(A258="","",IFERROR(AB257*P258,""))</f>
        <v>0</v>
      </c>
      <c r="R258" s="10" t="n">
        <f aca="false">IF(A258="","",IFERROR(IF(Inputs!$B$22="Accumulate",T258+Q258,IF(Inputs!$B$22="Premium Offset",MAX(0,T258+Q258-Inputs!$B$25),T258)),""))</f>
        <v>0</v>
      </c>
      <c r="S258" s="10" t="n">
        <f aca="false">IF(A258="","",R257)</f>
        <v>0</v>
      </c>
      <c r="T258" s="10" t="n">
        <f aca="false">IF(A258="","",IFERROR(S258*(1+Inputs!$B$23/12),""))</f>
        <v>0</v>
      </c>
      <c r="U258" s="6" t="n">
        <f aca="false">IF(A258="","",IF(D258&lt;=Inputs!$B$8,IF(Inputs!$B$22="Premium Offset",MAX(0,Inputs!$B$25-(Q258+T258)),Inputs!$B$25),0))</f>
        <v>77</v>
      </c>
      <c r="V258" s="10" t="n">
        <f aca="false">IF(A258="","",IF(Inputs!$B$22="Cash",Q258,0))</f>
        <v>0</v>
      </c>
      <c r="W258" s="10" t="n">
        <f aca="false">IF(A258="","",IF(Inputs!$B$22="PUA",Q258,0))</f>
        <v>0</v>
      </c>
      <c r="X258" s="12" t="n">
        <f aca="false">IF(A258="","",IFERROR(INDEX(PUA_TABLE!$D$4:$D$105,MATCH(E258,PUA_TABLE!$C$4:$C$105,1)),0))</f>
        <v>0.474660833655286</v>
      </c>
      <c r="Y258" s="10" t="n">
        <f aca="false">IF(A258="","",IF(W258&gt;0,IF(X258&gt;0,W258/X258,0),0))</f>
        <v>0</v>
      </c>
      <c r="Z258" s="10" t="n">
        <f aca="false">IF(A258="","",N258+Y258)</f>
        <v>0</v>
      </c>
      <c r="AA258" s="10" t="n">
        <f aca="false">IF(A258="","",IFERROR(Z258*INDEX(PUA_TABLE!$I$4:$I$105,MATCH(E258,PUA_TABLE!$C$4:$C$105,1))/1000,0))</f>
        <v>0</v>
      </c>
      <c r="AB258" s="10" t="n">
        <f aca="false">IF(A258="","",IFERROR(L258+AA258,0))</f>
        <v>23919.7334979325</v>
      </c>
      <c r="AC258" s="10" t="n">
        <f aca="false">IF(A258="","",IF(Inputs!$B$22="Premium Offset",MIN(Inputs!$B$25,Q258+T258),0))</f>
        <v>0</v>
      </c>
    </row>
    <row r="259" customFormat="false" ht="15" hidden="false" customHeight="false" outlineLevel="0" collapsed="false">
      <c r="A259" s="1" t="n">
        <f aca="false">IF(A258="","",IF(INT((C258+1)/12)+Inputs!$B$7&gt;MAX(MORTALITY!$A:$A),"",Inputs!$B$4))</f>
        <v>34</v>
      </c>
      <c r="B259" s="3" t="n">
        <f aca="false">IF(A259="","",EOMONTH(B258,1))</f>
        <v>29555</v>
      </c>
      <c r="C259" s="1" t="n">
        <f aca="false">IF(A259="","",C258+1)</f>
        <v>257</v>
      </c>
      <c r="D259" s="1" t="n">
        <f aca="false">IF(A259="","",INT(C259/12))</f>
        <v>21</v>
      </c>
      <c r="E259" s="1" t="n">
        <f aca="false">IF(A259="","",D259+Inputs!$B$7)</f>
        <v>37</v>
      </c>
      <c r="F259" s="3" t="n">
        <f aca="false">IF(A259="","",DATE(YEAR(B$2)+D259,MONTH(B$2),DAY(B$2)))</f>
        <v>29377</v>
      </c>
      <c r="G259" s="3" t="n">
        <f aca="false">IF(A259="","",DATE(YEAR(F259)+1,MONTH(F259),DAY(F259)))</f>
        <v>29742</v>
      </c>
      <c r="H259" s="10" t="n">
        <f aca="false">IF(A259="","",IF(G259&gt;F259,(B259-F259)/(G259-F259),0))</f>
        <v>0.487671232876712</v>
      </c>
      <c r="I259" s="10" t="n">
        <f aca="false">IF(A259="","",IFERROR(INDEX(CV_RATES!$I:$I,MATCH(D259,CV_RATES!$C:$C,0)),0))</f>
        <v>474.660833655286</v>
      </c>
      <c r="J259" s="10" t="n">
        <f aca="false">IF(A259="","",IFERROR(IF(E259=MAX(MORTALITY!$A:$A),1000,INDEX(CV_RATES!$J:$J,MATCH(D259,CV_RATES!$C:$C,0))),0))</f>
        <v>483.869281295339</v>
      </c>
      <c r="K259" s="10" t="n">
        <f aca="false">IF(A259="","",IFERROR(I259+H259*(J259-I259),0))</f>
        <v>479.151528668791</v>
      </c>
      <c r="L259" s="10" t="n">
        <f aca="false">IF(A259="","",IFERROR(K259*Inputs!$B$9,0))</f>
        <v>23957.5764334396</v>
      </c>
      <c r="M259" s="10" t="n">
        <f aca="false">IF(A259="","",IFERROR(K259*Inputs!$B$10,0))</f>
        <v>76662.8071324206</v>
      </c>
      <c r="N259" s="10" t="n">
        <f aca="false">IF(A259="","",Z258)</f>
        <v>0</v>
      </c>
      <c r="O259" s="6" t="n">
        <f aca="false">IF(A259="","",Inputs!$B$18+N259)</f>
        <v>50000</v>
      </c>
      <c r="P259" s="5" t="n">
        <f aca="false">IF(A259="","",VLOOKUP(D259,DIvidend_Assumption!$A$3:$CX$103,($E$2+2),0)/12)</f>
        <v>0</v>
      </c>
      <c r="Q259" s="10" t="n">
        <f aca="false">IF(A259="","",IFERROR(AB258*P259,""))</f>
        <v>0</v>
      </c>
      <c r="R259" s="10" t="n">
        <f aca="false">IF(A259="","",IFERROR(IF(Inputs!$B$22="Accumulate",T259+Q259,IF(Inputs!$B$22="Premium Offset",MAX(0,T259+Q259-Inputs!$B$25),T259)),""))</f>
        <v>0</v>
      </c>
      <c r="S259" s="10" t="n">
        <f aca="false">IF(A259="","",R258)</f>
        <v>0</v>
      </c>
      <c r="T259" s="10" t="n">
        <f aca="false">IF(A259="","",IFERROR(S259*(1+Inputs!$B$23/12),""))</f>
        <v>0</v>
      </c>
      <c r="U259" s="6" t="n">
        <f aca="false">IF(A259="","",IF(D259&lt;=Inputs!$B$8,IF(Inputs!$B$22="Premium Offset",MAX(0,Inputs!$B$25-(Q259+T259)),Inputs!$B$25),0))</f>
        <v>77</v>
      </c>
      <c r="V259" s="10" t="n">
        <f aca="false">IF(A259="","",IF(Inputs!$B$22="Cash",Q259,0))</f>
        <v>0</v>
      </c>
      <c r="W259" s="10" t="n">
        <f aca="false">IF(A259="","",IF(Inputs!$B$22="PUA",Q259,0))</f>
        <v>0</v>
      </c>
      <c r="X259" s="12" t="n">
        <f aca="false">IF(A259="","",IFERROR(INDEX(PUA_TABLE!$D$4:$D$105,MATCH(E259,PUA_TABLE!$C$4:$C$105,1)),0))</f>
        <v>0.474660833655286</v>
      </c>
      <c r="Y259" s="10" t="n">
        <f aca="false">IF(A259="","",IF(W259&gt;0,IF(X259&gt;0,W259/X259,0),0))</f>
        <v>0</v>
      </c>
      <c r="Z259" s="10" t="n">
        <f aca="false">IF(A259="","",N259+Y259)</f>
        <v>0</v>
      </c>
      <c r="AA259" s="10" t="n">
        <f aca="false">IF(A259="","",IFERROR(Z259*INDEX(PUA_TABLE!$I$4:$I$105,MATCH(E259,PUA_TABLE!$C$4:$C$105,1))/1000,0))</f>
        <v>0</v>
      </c>
      <c r="AB259" s="10" t="n">
        <f aca="false">IF(A259="","",IFERROR(L259+AA259,0))</f>
        <v>23957.5764334396</v>
      </c>
      <c r="AC259" s="10" t="n">
        <f aca="false">IF(A259="","",IF(Inputs!$B$22="Premium Offset",MIN(Inputs!$B$25,Q259+T259),0))</f>
        <v>0</v>
      </c>
    </row>
    <row r="260" customFormat="false" ht="15" hidden="false" customHeight="false" outlineLevel="0" collapsed="false">
      <c r="A260" s="1" t="n">
        <f aca="false">IF(A259="","",IF(INT((C259+1)/12)+Inputs!$B$7&gt;MAX(MORTALITY!$A:$A),"",Inputs!$B$4))</f>
        <v>34</v>
      </c>
      <c r="B260" s="3" t="n">
        <f aca="false">IF(A260="","",EOMONTH(B259,1))</f>
        <v>29586</v>
      </c>
      <c r="C260" s="1" t="n">
        <f aca="false">IF(A260="","",C259+1)</f>
        <v>258</v>
      </c>
      <c r="D260" s="1" t="n">
        <f aca="false">IF(A260="","",INT(C260/12))</f>
        <v>21</v>
      </c>
      <c r="E260" s="1" t="n">
        <f aca="false">IF(A260="","",D260+Inputs!$B$7)</f>
        <v>37</v>
      </c>
      <c r="F260" s="3" t="n">
        <f aca="false">IF(A260="","",DATE(YEAR(B$2)+D260,MONTH(B$2),DAY(B$2)))</f>
        <v>29377</v>
      </c>
      <c r="G260" s="3" t="n">
        <f aca="false">IF(A260="","",DATE(YEAR(F260)+1,MONTH(F260),DAY(F260)))</f>
        <v>29742</v>
      </c>
      <c r="H260" s="10" t="n">
        <f aca="false">IF(A260="","",IF(G260&gt;F260,(B260-F260)/(G260-F260),0))</f>
        <v>0.572602739726027</v>
      </c>
      <c r="I260" s="10" t="n">
        <f aca="false">IF(A260="","",IFERROR(INDEX(CV_RATES!$I:$I,MATCH(D260,CV_RATES!$C:$C,0)),0))</f>
        <v>474.660833655286</v>
      </c>
      <c r="J260" s="10" t="n">
        <f aca="false">IF(A260="","",IFERROR(IF(E260=MAX(MORTALITY!$A:$A),1000,INDEX(CV_RATES!$J:$J,MATCH(D260,CV_RATES!$C:$C,0))),0))</f>
        <v>483.869281295339</v>
      </c>
      <c r="K260" s="10" t="n">
        <f aca="false">IF(A260="","",IFERROR(I260+H260*(J260-I260),0))</f>
        <v>479.933616002604</v>
      </c>
      <c r="L260" s="10" t="n">
        <f aca="false">IF(A260="","",IFERROR(K260*Inputs!$B$9,0))</f>
        <v>23996.6808001302</v>
      </c>
      <c r="M260" s="10" t="n">
        <f aca="false">IF(A260="","",IFERROR(K260*Inputs!$B$10,0))</f>
        <v>76787.9387595687</v>
      </c>
      <c r="N260" s="10" t="n">
        <f aca="false">IF(A260="","",Z259)</f>
        <v>0</v>
      </c>
      <c r="O260" s="6" t="n">
        <f aca="false">IF(A260="","",Inputs!$B$18+N260)</f>
        <v>50000</v>
      </c>
      <c r="P260" s="5" t="n">
        <f aca="false">IF(A260="","",VLOOKUP(D260,DIvidend_Assumption!$A$3:$CX$103,($E$2+2),0)/12)</f>
        <v>0</v>
      </c>
      <c r="Q260" s="10" t="n">
        <f aca="false">IF(A260="","",IFERROR(AB259*P260,""))</f>
        <v>0</v>
      </c>
      <c r="R260" s="10" t="n">
        <f aca="false">IF(A260="","",IFERROR(IF(Inputs!$B$22="Accumulate",T260+Q260,IF(Inputs!$B$22="Premium Offset",MAX(0,T260+Q260-Inputs!$B$25),T260)),""))</f>
        <v>0</v>
      </c>
      <c r="S260" s="10" t="n">
        <f aca="false">IF(A260="","",R259)</f>
        <v>0</v>
      </c>
      <c r="T260" s="10" t="n">
        <f aca="false">IF(A260="","",IFERROR(S260*(1+Inputs!$B$23/12),""))</f>
        <v>0</v>
      </c>
      <c r="U260" s="6" t="n">
        <f aca="false">IF(A260="","",IF(D260&lt;=Inputs!$B$8,IF(Inputs!$B$22="Premium Offset",MAX(0,Inputs!$B$25-(Q260+T260)),Inputs!$B$25),0))</f>
        <v>77</v>
      </c>
      <c r="V260" s="10" t="n">
        <f aca="false">IF(A260="","",IF(Inputs!$B$22="Cash",Q260,0))</f>
        <v>0</v>
      </c>
      <c r="W260" s="10" t="n">
        <f aca="false">IF(A260="","",IF(Inputs!$B$22="PUA",Q260,0))</f>
        <v>0</v>
      </c>
      <c r="X260" s="12" t="n">
        <f aca="false">IF(A260="","",IFERROR(INDEX(PUA_TABLE!$D$4:$D$105,MATCH(E260,PUA_TABLE!$C$4:$C$105,1)),0))</f>
        <v>0.474660833655286</v>
      </c>
      <c r="Y260" s="10" t="n">
        <f aca="false">IF(A260="","",IF(W260&gt;0,IF(X260&gt;0,W260/X260,0),0))</f>
        <v>0</v>
      </c>
      <c r="Z260" s="10" t="n">
        <f aca="false">IF(A260="","",N260+Y260)</f>
        <v>0</v>
      </c>
      <c r="AA260" s="10" t="n">
        <f aca="false">IF(A260="","",IFERROR(Z260*INDEX(PUA_TABLE!$I$4:$I$105,MATCH(E260,PUA_TABLE!$C$4:$C$105,1))/1000,0))</f>
        <v>0</v>
      </c>
      <c r="AB260" s="10" t="n">
        <f aca="false">IF(A260="","",IFERROR(L260+AA260,0))</f>
        <v>23996.6808001302</v>
      </c>
      <c r="AC260" s="10" t="n">
        <f aca="false">IF(A260="","",IF(Inputs!$B$22="Premium Offset",MIN(Inputs!$B$25,Q260+T260),0))</f>
        <v>0</v>
      </c>
    </row>
    <row r="261" customFormat="false" ht="15" hidden="false" customHeight="false" outlineLevel="0" collapsed="false">
      <c r="A261" s="1" t="n">
        <f aca="false">IF(A260="","",IF(INT((C260+1)/12)+Inputs!$B$7&gt;MAX(MORTALITY!$A:$A),"",Inputs!$B$4))</f>
        <v>34</v>
      </c>
      <c r="B261" s="3" t="n">
        <f aca="false">IF(A261="","",EOMONTH(B260,1))</f>
        <v>29617</v>
      </c>
      <c r="C261" s="1" t="n">
        <f aca="false">IF(A261="","",C260+1)</f>
        <v>259</v>
      </c>
      <c r="D261" s="1" t="n">
        <f aca="false">IF(A261="","",INT(C261/12))</f>
        <v>21</v>
      </c>
      <c r="E261" s="1" t="n">
        <f aca="false">IF(A261="","",D261+Inputs!$B$7)</f>
        <v>37</v>
      </c>
      <c r="F261" s="3" t="n">
        <f aca="false">IF(A261="","",DATE(YEAR(B$2)+D261,MONTH(B$2),DAY(B$2)))</f>
        <v>29377</v>
      </c>
      <c r="G261" s="3" t="n">
        <f aca="false">IF(A261="","",DATE(YEAR(F261)+1,MONTH(F261),DAY(F261)))</f>
        <v>29742</v>
      </c>
      <c r="H261" s="10" t="n">
        <f aca="false">IF(A261="","",IF(G261&gt;F261,(B261-F261)/(G261-F261),0))</f>
        <v>0.657534246575342</v>
      </c>
      <c r="I261" s="10" t="n">
        <f aca="false">IF(A261="","",IFERROR(INDEX(CV_RATES!$I:$I,MATCH(D261,CV_RATES!$C:$C,0)),0))</f>
        <v>474.660833655286</v>
      </c>
      <c r="J261" s="10" t="n">
        <f aca="false">IF(A261="","",IFERROR(IF(E261=MAX(MORTALITY!$A:$A),1000,INDEX(CV_RATES!$J:$J,MATCH(D261,CV_RATES!$C:$C,0))),0))</f>
        <v>483.869281295339</v>
      </c>
      <c r="K261" s="10" t="n">
        <f aca="false">IF(A261="","",IFERROR(I261+H261*(J261-I261),0))</f>
        <v>480.715703336417</v>
      </c>
      <c r="L261" s="10" t="n">
        <f aca="false">IF(A261="","",IFERROR(K261*Inputs!$B$9,0))</f>
        <v>24035.7851668208</v>
      </c>
      <c r="M261" s="10" t="n">
        <f aca="false">IF(A261="","",IFERROR(K261*Inputs!$B$10,0))</f>
        <v>76913.0703867167</v>
      </c>
      <c r="N261" s="10" t="n">
        <f aca="false">IF(A261="","",Z260)</f>
        <v>0</v>
      </c>
      <c r="O261" s="6" t="n">
        <f aca="false">IF(A261="","",Inputs!$B$18+N261)</f>
        <v>50000</v>
      </c>
      <c r="P261" s="5" t="n">
        <f aca="false">IF(A261="","",VLOOKUP(D261,DIvidend_Assumption!$A$3:$CX$103,($E$2+2),0)/12)</f>
        <v>0</v>
      </c>
      <c r="Q261" s="10" t="n">
        <f aca="false">IF(A261="","",IFERROR(AB260*P261,""))</f>
        <v>0</v>
      </c>
      <c r="R261" s="10" t="n">
        <f aca="false">IF(A261="","",IFERROR(IF(Inputs!$B$22="Accumulate",T261+Q261,IF(Inputs!$B$22="Premium Offset",MAX(0,T261+Q261-Inputs!$B$25),T261)),""))</f>
        <v>0</v>
      </c>
      <c r="S261" s="10" t="n">
        <f aca="false">IF(A261="","",R260)</f>
        <v>0</v>
      </c>
      <c r="T261" s="10" t="n">
        <f aca="false">IF(A261="","",IFERROR(S261*(1+Inputs!$B$23/12),""))</f>
        <v>0</v>
      </c>
      <c r="U261" s="6" t="n">
        <f aca="false">IF(A261="","",IF(D261&lt;=Inputs!$B$8,IF(Inputs!$B$22="Premium Offset",MAX(0,Inputs!$B$25-(Q261+T261)),Inputs!$B$25),0))</f>
        <v>77</v>
      </c>
      <c r="V261" s="10" t="n">
        <f aca="false">IF(A261="","",IF(Inputs!$B$22="Cash",Q261,0))</f>
        <v>0</v>
      </c>
      <c r="W261" s="10" t="n">
        <f aca="false">IF(A261="","",IF(Inputs!$B$22="PUA",Q261,0))</f>
        <v>0</v>
      </c>
      <c r="X261" s="12" t="n">
        <f aca="false">IF(A261="","",IFERROR(INDEX(PUA_TABLE!$D$4:$D$105,MATCH(E261,PUA_TABLE!$C$4:$C$105,1)),0))</f>
        <v>0.474660833655286</v>
      </c>
      <c r="Y261" s="10" t="n">
        <f aca="false">IF(A261="","",IF(W261&gt;0,IF(X261&gt;0,W261/X261,0),0))</f>
        <v>0</v>
      </c>
      <c r="Z261" s="10" t="n">
        <f aca="false">IF(A261="","",N261+Y261)</f>
        <v>0</v>
      </c>
      <c r="AA261" s="10" t="n">
        <f aca="false">IF(A261="","",IFERROR(Z261*INDEX(PUA_TABLE!$I$4:$I$105,MATCH(E261,PUA_TABLE!$C$4:$C$105,1))/1000,0))</f>
        <v>0</v>
      </c>
      <c r="AB261" s="10" t="n">
        <f aca="false">IF(A261="","",IFERROR(L261+AA261,0))</f>
        <v>24035.7851668208</v>
      </c>
      <c r="AC261" s="10" t="n">
        <f aca="false">IF(A261="","",IF(Inputs!$B$22="Premium Offset",MIN(Inputs!$B$25,Q261+T261),0))</f>
        <v>0</v>
      </c>
    </row>
    <row r="262" customFormat="false" ht="15" hidden="false" customHeight="false" outlineLevel="0" collapsed="false">
      <c r="A262" s="1" t="n">
        <f aca="false">IF(A261="","",IF(INT((C261+1)/12)+Inputs!$B$7&gt;MAX(MORTALITY!$A:$A),"",Inputs!$B$4))</f>
        <v>34</v>
      </c>
      <c r="B262" s="3" t="n">
        <f aca="false">IF(A262="","",EOMONTH(B261,1))</f>
        <v>29645</v>
      </c>
      <c r="C262" s="1" t="n">
        <f aca="false">IF(A262="","",C261+1)</f>
        <v>260</v>
      </c>
      <c r="D262" s="1" t="n">
        <f aca="false">IF(A262="","",INT(C262/12))</f>
        <v>21</v>
      </c>
      <c r="E262" s="1" t="n">
        <f aca="false">IF(A262="","",D262+Inputs!$B$7)</f>
        <v>37</v>
      </c>
      <c r="F262" s="3" t="n">
        <f aca="false">IF(A262="","",DATE(YEAR(B$2)+D262,MONTH(B$2),DAY(B$2)))</f>
        <v>29377</v>
      </c>
      <c r="G262" s="3" t="n">
        <f aca="false">IF(A262="","",DATE(YEAR(F262)+1,MONTH(F262),DAY(F262)))</f>
        <v>29742</v>
      </c>
      <c r="H262" s="10" t="n">
        <f aca="false">IF(A262="","",IF(G262&gt;F262,(B262-F262)/(G262-F262),0))</f>
        <v>0.734246575342466</v>
      </c>
      <c r="I262" s="10" t="n">
        <f aca="false">IF(A262="","",IFERROR(INDEX(CV_RATES!$I:$I,MATCH(D262,CV_RATES!$C:$C,0)),0))</f>
        <v>474.660833655286</v>
      </c>
      <c r="J262" s="10" t="n">
        <f aca="false">IF(A262="","",IFERROR(IF(E262=MAX(MORTALITY!$A:$A),1000,INDEX(CV_RATES!$J:$J,MATCH(D262,CV_RATES!$C:$C,0))),0))</f>
        <v>483.869281295339</v>
      </c>
      <c r="K262" s="10" t="n">
        <f aca="false">IF(A262="","",IFERROR(I262+H262*(J262-I262),0))</f>
        <v>481.422104799215</v>
      </c>
      <c r="L262" s="10" t="n">
        <f aca="false">IF(A262="","",IFERROR(K262*Inputs!$B$9,0))</f>
        <v>24071.1052399608</v>
      </c>
      <c r="M262" s="10" t="n">
        <f aca="false">IF(A262="","",IFERROR(K262*Inputs!$B$10,0))</f>
        <v>77026.0925015601</v>
      </c>
      <c r="N262" s="10" t="n">
        <f aca="false">IF(A262="","",Z261)</f>
        <v>0</v>
      </c>
      <c r="O262" s="6" t="n">
        <f aca="false">IF(A262="","",Inputs!$B$18+N262)</f>
        <v>50000</v>
      </c>
      <c r="P262" s="5" t="n">
        <f aca="false">IF(A262="","",VLOOKUP(D262,DIvidend_Assumption!$A$3:$CX$103,($E$2+2),0)/12)</f>
        <v>0</v>
      </c>
      <c r="Q262" s="10" t="n">
        <f aca="false">IF(A262="","",IFERROR(AB261*P262,""))</f>
        <v>0</v>
      </c>
      <c r="R262" s="10" t="n">
        <f aca="false">IF(A262="","",IFERROR(IF(Inputs!$B$22="Accumulate",T262+Q262,IF(Inputs!$B$22="Premium Offset",MAX(0,T262+Q262-Inputs!$B$25),T262)),""))</f>
        <v>0</v>
      </c>
      <c r="S262" s="10" t="n">
        <f aca="false">IF(A262="","",R261)</f>
        <v>0</v>
      </c>
      <c r="T262" s="10" t="n">
        <f aca="false">IF(A262="","",IFERROR(S262*(1+Inputs!$B$23/12),""))</f>
        <v>0</v>
      </c>
      <c r="U262" s="6" t="n">
        <f aca="false">IF(A262="","",IF(D262&lt;=Inputs!$B$8,IF(Inputs!$B$22="Premium Offset",MAX(0,Inputs!$B$25-(Q262+T262)),Inputs!$B$25),0))</f>
        <v>77</v>
      </c>
      <c r="V262" s="10" t="n">
        <f aca="false">IF(A262="","",IF(Inputs!$B$22="Cash",Q262,0))</f>
        <v>0</v>
      </c>
      <c r="W262" s="10" t="n">
        <f aca="false">IF(A262="","",IF(Inputs!$B$22="PUA",Q262,0))</f>
        <v>0</v>
      </c>
      <c r="X262" s="12" t="n">
        <f aca="false">IF(A262="","",IFERROR(INDEX(PUA_TABLE!$D$4:$D$105,MATCH(E262,PUA_TABLE!$C$4:$C$105,1)),0))</f>
        <v>0.474660833655286</v>
      </c>
      <c r="Y262" s="10" t="n">
        <f aca="false">IF(A262="","",IF(W262&gt;0,IF(X262&gt;0,W262/X262,0),0))</f>
        <v>0</v>
      </c>
      <c r="Z262" s="10" t="n">
        <f aca="false">IF(A262="","",N262+Y262)</f>
        <v>0</v>
      </c>
      <c r="AA262" s="10" t="n">
        <f aca="false">IF(A262="","",IFERROR(Z262*INDEX(PUA_TABLE!$I$4:$I$105,MATCH(E262,PUA_TABLE!$C$4:$C$105,1))/1000,0))</f>
        <v>0</v>
      </c>
      <c r="AB262" s="10" t="n">
        <f aca="false">IF(A262="","",IFERROR(L262+AA262,0))</f>
        <v>24071.1052399608</v>
      </c>
      <c r="AC262" s="10" t="n">
        <f aca="false">IF(A262="","",IF(Inputs!$B$22="Premium Offset",MIN(Inputs!$B$25,Q262+T262),0))</f>
        <v>0</v>
      </c>
    </row>
    <row r="263" customFormat="false" ht="15" hidden="false" customHeight="false" outlineLevel="0" collapsed="false">
      <c r="A263" s="1" t="n">
        <f aca="false">IF(A262="","",IF(INT((C262+1)/12)+Inputs!$B$7&gt;MAX(MORTALITY!$A:$A),"",Inputs!$B$4))</f>
        <v>34</v>
      </c>
      <c r="B263" s="3" t="n">
        <f aca="false">IF(A263="","",EOMONTH(B262,1))</f>
        <v>29676</v>
      </c>
      <c r="C263" s="1" t="n">
        <f aca="false">IF(A263="","",C262+1)</f>
        <v>261</v>
      </c>
      <c r="D263" s="1" t="n">
        <f aca="false">IF(A263="","",INT(C263/12))</f>
        <v>21</v>
      </c>
      <c r="E263" s="1" t="n">
        <f aca="false">IF(A263="","",D263+Inputs!$B$7)</f>
        <v>37</v>
      </c>
      <c r="F263" s="3" t="n">
        <f aca="false">IF(A263="","",DATE(YEAR(B$2)+D263,MONTH(B$2),DAY(B$2)))</f>
        <v>29377</v>
      </c>
      <c r="G263" s="3" t="n">
        <f aca="false">IF(A263="","",DATE(YEAR(F263)+1,MONTH(F263),DAY(F263)))</f>
        <v>29742</v>
      </c>
      <c r="H263" s="10" t="n">
        <f aca="false">IF(A263="","",IF(G263&gt;F263,(B263-F263)/(G263-F263),0))</f>
        <v>0.819178082191781</v>
      </c>
      <c r="I263" s="10" t="n">
        <f aca="false">IF(A263="","",IFERROR(INDEX(CV_RATES!$I:$I,MATCH(D263,CV_RATES!$C:$C,0)),0))</f>
        <v>474.660833655286</v>
      </c>
      <c r="J263" s="10" t="n">
        <f aca="false">IF(A263="","",IFERROR(IF(E263=MAX(MORTALITY!$A:$A),1000,INDEX(CV_RATES!$J:$J,MATCH(D263,CV_RATES!$C:$C,0))),0))</f>
        <v>483.869281295339</v>
      </c>
      <c r="K263" s="10" t="n">
        <f aca="false">IF(A263="","",IFERROR(I263+H263*(J263-I263),0))</f>
        <v>482.204192133028</v>
      </c>
      <c r="L263" s="10" t="n">
        <f aca="false">IF(A263="","",IFERROR(K263*Inputs!$B$9,0))</f>
        <v>24110.2096066514</v>
      </c>
      <c r="M263" s="10" t="n">
        <f aca="false">IF(A263="","",IFERROR(K263*Inputs!$B$10,0))</f>
        <v>77151.2241287081</v>
      </c>
      <c r="N263" s="10" t="n">
        <f aca="false">IF(A263="","",Z262)</f>
        <v>0</v>
      </c>
      <c r="O263" s="6" t="n">
        <f aca="false">IF(A263="","",Inputs!$B$18+N263)</f>
        <v>50000</v>
      </c>
      <c r="P263" s="5" t="n">
        <f aca="false">IF(A263="","",VLOOKUP(D263,DIvidend_Assumption!$A$3:$CX$103,($E$2+2),0)/12)</f>
        <v>0</v>
      </c>
      <c r="Q263" s="10" t="n">
        <f aca="false">IF(A263="","",IFERROR(AB262*P263,""))</f>
        <v>0</v>
      </c>
      <c r="R263" s="10" t="n">
        <f aca="false">IF(A263="","",IFERROR(IF(Inputs!$B$22="Accumulate",T263+Q263,IF(Inputs!$B$22="Premium Offset",MAX(0,T263+Q263-Inputs!$B$25),T263)),""))</f>
        <v>0</v>
      </c>
      <c r="S263" s="10" t="n">
        <f aca="false">IF(A263="","",R262)</f>
        <v>0</v>
      </c>
      <c r="T263" s="10" t="n">
        <f aca="false">IF(A263="","",IFERROR(S263*(1+Inputs!$B$23/12),""))</f>
        <v>0</v>
      </c>
      <c r="U263" s="6" t="n">
        <f aca="false">IF(A263="","",IF(D263&lt;=Inputs!$B$8,IF(Inputs!$B$22="Premium Offset",MAX(0,Inputs!$B$25-(Q263+T263)),Inputs!$B$25),0))</f>
        <v>77</v>
      </c>
      <c r="V263" s="10" t="n">
        <f aca="false">IF(A263="","",IF(Inputs!$B$22="Cash",Q263,0))</f>
        <v>0</v>
      </c>
      <c r="W263" s="10" t="n">
        <f aca="false">IF(A263="","",IF(Inputs!$B$22="PUA",Q263,0))</f>
        <v>0</v>
      </c>
      <c r="X263" s="12" t="n">
        <f aca="false">IF(A263="","",IFERROR(INDEX(PUA_TABLE!$D$4:$D$105,MATCH(E263,PUA_TABLE!$C$4:$C$105,1)),0))</f>
        <v>0.474660833655286</v>
      </c>
      <c r="Y263" s="10" t="n">
        <f aca="false">IF(A263="","",IF(W263&gt;0,IF(X263&gt;0,W263/X263,0),0))</f>
        <v>0</v>
      </c>
      <c r="Z263" s="10" t="n">
        <f aca="false">IF(A263="","",N263+Y263)</f>
        <v>0</v>
      </c>
      <c r="AA263" s="10" t="n">
        <f aca="false">IF(A263="","",IFERROR(Z263*INDEX(PUA_TABLE!$I$4:$I$105,MATCH(E263,PUA_TABLE!$C$4:$C$105,1))/1000,0))</f>
        <v>0</v>
      </c>
      <c r="AB263" s="10" t="n">
        <f aca="false">IF(A263="","",IFERROR(L263+AA263,0))</f>
        <v>24110.2096066514</v>
      </c>
      <c r="AC263" s="10" t="n">
        <f aca="false">IF(A263="","",IF(Inputs!$B$22="Premium Offset",MIN(Inputs!$B$25,Q263+T263),0))</f>
        <v>0</v>
      </c>
    </row>
    <row r="264" customFormat="false" ht="15" hidden="false" customHeight="false" outlineLevel="0" collapsed="false">
      <c r="A264" s="1" t="n">
        <f aca="false">IF(A263="","",IF(INT((C263+1)/12)+Inputs!$B$7&gt;MAX(MORTALITY!$A:$A),"",Inputs!$B$4))</f>
        <v>34</v>
      </c>
      <c r="B264" s="3" t="n">
        <f aca="false">IF(A264="","",EOMONTH(B263,1))</f>
        <v>29706</v>
      </c>
      <c r="C264" s="1" t="n">
        <f aca="false">IF(A264="","",C263+1)</f>
        <v>262</v>
      </c>
      <c r="D264" s="1" t="n">
        <f aca="false">IF(A264="","",INT(C264/12))</f>
        <v>21</v>
      </c>
      <c r="E264" s="1" t="n">
        <f aca="false">IF(A264="","",D264+Inputs!$B$7)</f>
        <v>37</v>
      </c>
      <c r="F264" s="3" t="n">
        <f aca="false">IF(A264="","",DATE(YEAR(B$2)+D264,MONTH(B$2),DAY(B$2)))</f>
        <v>29377</v>
      </c>
      <c r="G264" s="3" t="n">
        <f aca="false">IF(A264="","",DATE(YEAR(F264)+1,MONTH(F264),DAY(F264)))</f>
        <v>29742</v>
      </c>
      <c r="H264" s="10" t="n">
        <f aca="false">IF(A264="","",IF(G264&gt;F264,(B264-F264)/(G264-F264),0))</f>
        <v>0.901369863013699</v>
      </c>
      <c r="I264" s="10" t="n">
        <f aca="false">IF(A264="","",IFERROR(INDEX(CV_RATES!$I:$I,MATCH(D264,CV_RATES!$C:$C,0)),0))</f>
        <v>474.660833655286</v>
      </c>
      <c r="J264" s="10" t="n">
        <f aca="false">IF(A264="","",IFERROR(IF(E264=MAX(MORTALITY!$A:$A),1000,INDEX(CV_RATES!$J:$J,MATCH(D264,CV_RATES!$C:$C,0))),0))</f>
        <v>483.869281295339</v>
      </c>
      <c r="K264" s="10" t="n">
        <f aca="false">IF(A264="","",IFERROR(I264+H264*(J264-I264),0))</f>
        <v>482.96105084317</v>
      </c>
      <c r="L264" s="10" t="n">
        <f aca="false">IF(A264="","",IFERROR(K264*Inputs!$B$9,0))</f>
        <v>24148.0525421585</v>
      </c>
      <c r="M264" s="10" t="n">
        <f aca="false">IF(A264="","",IFERROR(K264*Inputs!$B$10,0))</f>
        <v>77272.3192517546</v>
      </c>
      <c r="N264" s="10" t="n">
        <f aca="false">IF(A264="","",Z263)</f>
        <v>0</v>
      </c>
      <c r="O264" s="6" t="n">
        <f aca="false">IF(A264="","",Inputs!$B$18+N264)</f>
        <v>50000</v>
      </c>
      <c r="P264" s="5" t="n">
        <f aca="false">IF(A264="","",VLOOKUP(D264,DIvidend_Assumption!$A$3:$CX$103,($E$2+2),0)/12)</f>
        <v>0</v>
      </c>
      <c r="Q264" s="10" t="n">
        <f aca="false">IF(A264="","",IFERROR(AB263*P264,""))</f>
        <v>0</v>
      </c>
      <c r="R264" s="10" t="n">
        <f aca="false">IF(A264="","",IFERROR(IF(Inputs!$B$22="Accumulate",T264+Q264,IF(Inputs!$B$22="Premium Offset",MAX(0,T264+Q264-Inputs!$B$25),T264)),""))</f>
        <v>0</v>
      </c>
      <c r="S264" s="10" t="n">
        <f aca="false">IF(A264="","",R263)</f>
        <v>0</v>
      </c>
      <c r="T264" s="10" t="n">
        <f aca="false">IF(A264="","",IFERROR(S264*(1+Inputs!$B$23/12),""))</f>
        <v>0</v>
      </c>
      <c r="U264" s="6" t="n">
        <f aca="false">IF(A264="","",IF(D264&lt;=Inputs!$B$8,IF(Inputs!$B$22="Premium Offset",MAX(0,Inputs!$B$25-(Q264+T264)),Inputs!$B$25),0))</f>
        <v>77</v>
      </c>
      <c r="V264" s="10" t="n">
        <f aca="false">IF(A264="","",IF(Inputs!$B$22="Cash",Q264,0))</f>
        <v>0</v>
      </c>
      <c r="W264" s="10" t="n">
        <f aca="false">IF(A264="","",IF(Inputs!$B$22="PUA",Q264,0))</f>
        <v>0</v>
      </c>
      <c r="X264" s="12" t="n">
        <f aca="false">IF(A264="","",IFERROR(INDEX(PUA_TABLE!$D$4:$D$105,MATCH(E264,PUA_TABLE!$C$4:$C$105,1)),0))</f>
        <v>0.474660833655286</v>
      </c>
      <c r="Y264" s="10" t="n">
        <f aca="false">IF(A264="","",IF(W264&gt;0,IF(X264&gt;0,W264/X264,0),0))</f>
        <v>0</v>
      </c>
      <c r="Z264" s="10" t="n">
        <f aca="false">IF(A264="","",N264+Y264)</f>
        <v>0</v>
      </c>
      <c r="AA264" s="10" t="n">
        <f aca="false">IF(A264="","",IFERROR(Z264*INDEX(PUA_TABLE!$I$4:$I$105,MATCH(E264,PUA_TABLE!$C$4:$C$105,1))/1000,0))</f>
        <v>0</v>
      </c>
      <c r="AB264" s="10" t="n">
        <f aca="false">IF(A264="","",IFERROR(L264+AA264,0))</f>
        <v>24148.0525421585</v>
      </c>
      <c r="AC264" s="10" t="n">
        <f aca="false">IF(A264="","",IF(Inputs!$B$22="Premium Offset",MIN(Inputs!$B$25,Q264+T264),0))</f>
        <v>0</v>
      </c>
    </row>
    <row r="265" customFormat="false" ht="15" hidden="false" customHeight="false" outlineLevel="0" collapsed="false">
      <c r="A265" s="1" t="n">
        <f aca="false">IF(A264="","",IF(INT((C264+1)/12)+Inputs!$B$7&gt;MAX(MORTALITY!$A:$A),"",Inputs!$B$4))</f>
        <v>34</v>
      </c>
      <c r="B265" s="3" t="n">
        <f aca="false">IF(A265="","",EOMONTH(B264,1))</f>
        <v>29737</v>
      </c>
      <c r="C265" s="1" t="n">
        <f aca="false">IF(A265="","",C264+1)</f>
        <v>263</v>
      </c>
      <c r="D265" s="1" t="n">
        <f aca="false">IF(A265="","",INT(C265/12))</f>
        <v>21</v>
      </c>
      <c r="E265" s="1" t="n">
        <f aca="false">IF(A265="","",D265+Inputs!$B$7)</f>
        <v>37</v>
      </c>
      <c r="F265" s="3" t="n">
        <f aca="false">IF(A265="","",DATE(YEAR(B$2)+D265,MONTH(B$2),DAY(B$2)))</f>
        <v>29377</v>
      </c>
      <c r="G265" s="3" t="n">
        <f aca="false">IF(A265="","",DATE(YEAR(F265)+1,MONTH(F265),DAY(F265)))</f>
        <v>29742</v>
      </c>
      <c r="H265" s="10" t="n">
        <f aca="false">IF(A265="","",IF(G265&gt;F265,(B265-F265)/(G265-F265),0))</f>
        <v>0.986301369863014</v>
      </c>
      <c r="I265" s="10" t="n">
        <f aca="false">IF(A265="","",IFERROR(INDEX(CV_RATES!$I:$I,MATCH(D265,CV_RATES!$C:$C,0)),0))</f>
        <v>474.660833655286</v>
      </c>
      <c r="J265" s="10" t="n">
        <f aca="false">IF(A265="","",IFERROR(IF(E265=MAX(MORTALITY!$A:$A),1000,INDEX(CV_RATES!$J:$J,MATCH(D265,CV_RATES!$C:$C,0))),0))</f>
        <v>483.869281295339</v>
      </c>
      <c r="K265" s="10" t="n">
        <f aca="false">IF(A265="","",IFERROR(I265+H265*(J265-I265),0))</f>
        <v>483.743138176982</v>
      </c>
      <c r="L265" s="10" t="n">
        <f aca="false">IF(A265="","",IFERROR(K265*Inputs!$B$9,0))</f>
        <v>24187.1569088491</v>
      </c>
      <c r="M265" s="10" t="n">
        <f aca="false">IF(A265="","",IFERROR(K265*Inputs!$B$10,0))</f>
        <v>77397.4508789026</v>
      </c>
      <c r="N265" s="10" t="n">
        <f aca="false">IF(A265="","",Z264)</f>
        <v>0</v>
      </c>
      <c r="O265" s="6" t="n">
        <f aca="false">IF(A265="","",Inputs!$B$18+N265)</f>
        <v>50000</v>
      </c>
      <c r="P265" s="5" t="n">
        <f aca="false">IF(A265="","",VLOOKUP(D265,DIvidend_Assumption!$A$3:$CX$103,($E$2+2),0)/12)</f>
        <v>0</v>
      </c>
      <c r="Q265" s="10" t="n">
        <f aca="false">IF(A265="","",IFERROR(AB264*P265,""))</f>
        <v>0</v>
      </c>
      <c r="R265" s="10" t="n">
        <f aca="false">IF(A265="","",IFERROR(IF(Inputs!$B$22="Accumulate",T265+Q265,IF(Inputs!$B$22="Premium Offset",MAX(0,T265+Q265-Inputs!$B$25),T265)),""))</f>
        <v>0</v>
      </c>
      <c r="S265" s="10" t="n">
        <f aca="false">IF(A265="","",R264)</f>
        <v>0</v>
      </c>
      <c r="T265" s="10" t="n">
        <f aca="false">IF(A265="","",IFERROR(S265*(1+Inputs!$B$23/12),""))</f>
        <v>0</v>
      </c>
      <c r="U265" s="6" t="n">
        <f aca="false">IF(A265="","",IF(D265&lt;=Inputs!$B$8,IF(Inputs!$B$22="Premium Offset",MAX(0,Inputs!$B$25-(Q265+T265)),Inputs!$B$25),0))</f>
        <v>77</v>
      </c>
      <c r="V265" s="10" t="n">
        <f aca="false">IF(A265="","",IF(Inputs!$B$22="Cash",Q265,0))</f>
        <v>0</v>
      </c>
      <c r="W265" s="10" t="n">
        <f aca="false">IF(A265="","",IF(Inputs!$B$22="PUA",Q265,0))</f>
        <v>0</v>
      </c>
      <c r="X265" s="12" t="n">
        <f aca="false">IF(A265="","",IFERROR(INDEX(PUA_TABLE!$D$4:$D$105,MATCH(E265,PUA_TABLE!$C$4:$C$105,1)),0))</f>
        <v>0.474660833655286</v>
      </c>
      <c r="Y265" s="10" t="n">
        <f aca="false">IF(A265="","",IF(W265&gt;0,IF(X265&gt;0,W265/X265,0),0))</f>
        <v>0</v>
      </c>
      <c r="Z265" s="10" t="n">
        <f aca="false">IF(A265="","",N265+Y265)</f>
        <v>0</v>
      </c>
      <c r="AA265" s="10" t="n">
        <f aca="false">IF(A265="","",IFERROR(Z265*INDEX(PUA_TABLE!$I$4:$I$105,MATCH(E265,PUA_TABLE!$C$4:$C$105,1))/1000,0))</f>
        <v>0</v>
      </c>
      <c r="AB265" s="10" t="n">
        <f aca="false">IF(A265="","",IFERROR(L265+AA265,0))</f>
        <v>24187.1569088491</v>
      </c>
      <c r="AC265" s="10" t="n">
        <f aca="false">IF(A265="","",IF(Inputs!$B$22="Premium Offset",MIN(Inputs!$B$25,Q265+T265),0))</f>
        <v>0</v>
      </c>
    </row>
    <row r="266" customFormat="false" ht="15" hidden="false" customHeight="false" outlineLevel="0" collapsed="false">
      <c r="A266" s="1" t="n">
        <f aca="false">IF(A265="","",IF(INT((C265+1)/12)+Inputs!$B$7&gt;MAX(MORTALITY!$A:$A),"",Inputs!$B$4))</f>
        <v>34</v>
      </c>
      <c r="B266" s="3" t="n">
        <f aca="false">IF(A266="","",EOMONTH(B265,1))</f>
        <v>29767</v>
      </c>
      <c r="C266" s="1" t="n">
        <f aca="false">IF(A266="","",C265+1)</f>
        <v>264</v>
      </c>
      <c r="D266" s="1" t="n">
        <f aca="false">IF(A266="","",INT(C266/12))</f>
        <v>22</v>
      </c>
      <c r="E266" s="1" t="n">
        <f aca="false">IF(A266="","",D266+Inputs!$B$7)</f>
        <v>38</v>
      </c>
      <c r="F266" s="3" t="n">
        <f aca="false">IF(A266="","",DATE(YEAR(B$2)+D266,MONTH(B$2),DAY(B$2)))</f>
        <v>29742</v>
      </c>
      <c r="G266" s="3" t="n">
        <f aca="false">IF(A266="","",DATE(YEAR(F266)+1,MONTH(F266),DAY(F266)))</f>
        <v>30107</v>
      </c>
      <c r="H266" s="10" t="n">
        <f aca="false">IF(A266="","",IF(G266&gt;F266,(B266-F266)/(G266-F266),0))</f>
        <v>0.0684931506849315</v>
      </c>
      <c r="I266" s="10" t="n">
        <f aca="false">IF(A266="","",IFERROR(INDEX(CV_RATES!$I:$I,MATCH(D266,CV_RATES!$C:$C,0)),0))</f>
        <v>483.869281295339</v>
      </c>
      <c r="J266" s="10" t="n">
        <f aca="false">IF(A266="","",IFERROR(IF(E266=MAX(MORTALITY!$A:$A),1000,INDEX(CV_RATES!$J:$J,MATCH(D266,CV_RATES!$C:$C,0))),0))</f>
        <v>493.198879208199</v>
      </c>
      <c r="K266" s="10" t="n">
        <f aca="false">IF(A266="","",IFERROR(I266+H266*(J266-I266),0))</f>
        <v>484.508294851015</v>
      </c>
      <c r="L266" s="10" t="n">
        <f aca="false">IF(A266="","",IFERROR(K266*Inputs!$B$9,0))</f>
        <v>24225.4147425507</v>
      </c>
      <c r="M266" s="10" t="n">
        <f aca="false">IF(A266="","",IFERROR(K266*Inputs!$B$10,0))</f>
        <v>77519.8736512778</v>
      </c>
      <c r="N266" s="10" t="n">
        <f aca="false">IF(A266="","",Z265)</f>
        <v>0</v>
      </c>
      <c r="O266" s="6" t="n">
        <f aca="false">IF(A266="","",Inputs!$B$18+N266)</f>
        <v>50000</v>
      </c>
      <c r="P266" s="5" t="n">
        <f aca="false">IF(A266="","",VLOOKUP(D266,DIvidend_Assumption!$A$3:$CX$103,($E$2+2),0)/12)</f>
        <v>0</v>
      </c>
      <c r="Q266" s="10" t="n">
        <f aca="false">IF(A266="","",IFERROR(AB265*P266,""))</f>
        <v>0</v>
      </c>
      <c r="R266" s="10" t="n">
        <f aca="false">IF(A266="","",IFERROR(IF(Inputs!$B$22="Accumulate",T266+Q266,IF(Inputs!$B$22="Premium Offset",MAX(0,T266+Q266-Inputs!$B$25),T266)),""))</f>
        <v>0</v>
      </c>
      <c r="S266" s="10" t="n">
        <f aca="false">IF(A266="","",R265)</f>
        <v>0</v>
      </c>
      <c r="T266" s="10" t="n">
        <f aca="false">IF(A266="","",IFERROR(S266*(1+Inputs!$B$23/12),""))</f>
        <v>0</v>
      </c>
      <c r="U266" s="6" t="n">
        <f aca="false">IF(A266="","",IF(D266&lt;=Inputs!$B$8,IF(Inputs!$B$22="Premium Offset",MAX(0,Inputs!$B$25-(Q266+T266)),Inputs!$B$25),0))</f>
        <v>77</v>
      </c>
      <c r="V266" s="10" t="n">
        <f aca="false">IF(A266="","",IF(Inputs!$B$22="Cash",Q266,0))</f>
        <v>0</v>
      </c>
      <c r="W266" s="10" t="n">
        <f aca="false">IF(A266="","",IF(Inputs!$B$22="PUA",Q266,0))</f>
        <v>0</v>
      </c>
      <c r="X266" s="12" t="n">
        <f aca="false">IF(A266="","",IFERROR(INDEX(PUA_TABLE!$D$4:$D$105,MATCH(E266,PUA_TABLE!$C$4:$C$105,1)),0))</f>
        <v>0.483869281295339</v>
      </c>
      <c r="Y266" s="10" t="n">
        <f aca="false">IF(A266="","",IF(W266&gt;0,IF(X266&gt;0,W266/X266,0),0))</f>
        <v>0</v>
      </c>
      <c r="Z266" s="10" t="n">
        <f aca="false">IF(A266="","",N266+Y266)</f>
        <v>0</v>
      </c>
      <c r="AA266" s="10" t="n">
        <f aca="false">IF(A266="","",IFERROR(Z266*INDEX(PUA_TABLE!$I$4:$I$105,MATCH(E266,PUA_TABLE!$C$4:$C$105,1))/1000,0))</f>
        <v>0</v>
      </c>
      <c r="AB266" s="10" t="n">
        <f aca="false">IF(A266="","",IFERROR(L266+AA266,0))</f>
        <v>24225.4147425507</v>
      </c>
      <c r="AC266" s="10" t="n">
        <f aca="false">IF(A266="","",IF(Inputs!$B$22="Premium Offset",MIN(Inputs!$B$25,Q266+T266),0))</f>
        <v>0</v>
      </c>
    </row>
    <row r="267" customFormat="false" ht="15" hidden="false" customHeight="false" outlineLevel="0" collapsed="false">
      <c r="A267" s="1" t="n">
        <f aca="false">IF(A266="","",IF(INT((C266+1)/12)+Inputs!$B$7&gt;MAX(MORTALITY!$A:$A),"",Inputs!$B$4))</f>
        <v>34</v>
      </c>
      <c r="B267" s="3" t="n">
        <f aca="false">IF(A267="","",EOMONTH(B266,1))</f>
        <v>29798</v>
      </c>
      <c r="C267" s="1" t="n">
        <f aca="false">IF(A267="","",C266+1)</f>
        <v>265</v>
      </c>
      <c r="D267" s="1" t="n">
        <f aca="false">IF(A267="","",INT(C267/12))</f>
        <v>22</v>
      </c>
      <c r="E267" s="1" t="n">
        <f aca="false">IF(A267="","",D267+Inputs!$B$7)</f>
        <v>38</v>
      </c>
      <c r="F267" s="3" t="n">
        <f aca="false">IF(A267="","",DATE(YEAR(B$2)+D267,MONTH(B$2),DAY(B$2)))</f>
        <v>29742</v>
      </c>
      <c r="G267" s="3" t="n">
        <f aca="false">IF(A267="","",DATE(YEAR(F267)+1,MONTH(F267),DAY(F267)))</f>
        <v>30107</v>
      </c>
      <c r="H267" s="10" t="n">
        <f aca="false">IF(A267="","",IF(G267&gt;F267,(B267-F267)/(G267-F267),0))</f>
        <v>0.153424657534247</v>
      </c>
      <c r="I267" s="10" t="n">
        <f aca="false">IF(A267="","",IFERROR(INDEX(CV_RATES!$I:$I,MATCH(D267,CV_RATES!$C:$C,0)),0))</f>
        <v>483.869281295339</v>
      </c>
      <c r="J267" s="10" t="n">
        <f aca="false">IF(A267="","",IFERROR(IF(E267=MAX(MORTALITY!$A:$A),1000,INDEX(CV_RATES!$J:$J,MATCH(D267,CV_RATES!$C:$C,0))),0))</f>
        <v>493.198879208199</v>
      </c>
      <c r="K267" s="10" t="n">
        <f aca="false">IF(A267="","",IFERROR(I267+H267*(J267-I267),0))</f>
        <v>485.300671660052</v>
      </c>
      <c r="L267" s="10" t="n">
        <f aca="false">IF(A267="","",IFERROR(K267*Inputs!$B$9,0))</f>
        <v>24265.0335830026</v>
      </c>
      <c r="M267" s="10" t="n">
        <f aca="false">IF(A267="","",IFERROR(K267*Inputs!$B$10,0))</f>
        <v>77646.6515635933</v>
      </c>
      <c r="N267" s="10" t="n">
        <f aca="false">IF(A267="","",Z266)</f>
        <v>0</v>
      </c>
      <c r="O267" s="6" t="n">
        <f aca="false">IF(A267="","",Inputs!$B$18+N267)</f>
        <v>50000</v>
      </c>
      <c r="P267" s="5" t="n">
        <f aca="false">IF(A267="","",VLOOKUP(D267,DIvidend_Assumption!$A$3:$CX$103,($E$2+2),0)/12)</f>
        <v>0</v>
      </c>
      <c r="Q267" s="10" t="n">
        <f aca="false">IF(A267="","",IFERROR(AB266*P267,""))</f>
        <v>0</v>
      </c>
      <c r="R267" s="10" t="n">
        <f aca="false">IF(A267="","",IFERROR(IF(Inputs!$B$22="Accumulate",T267+Q267,IF(Inputs!$B$22="Premium Offset",MAX(0,T267+Q267-Inputs!$B$25),T267)),""))</f>
        <v>0</v>
      </c>
      <c r="S267" s="10" t="n">
        <f aca="false">IF(A267="","",R266)</f>
        <v>0</v>
      </c>
      <c r="T267" s="10" t="n">
        <f aca="false">IF(A267="","",IFERROR(S267*(1+Inputs!$B$23/12),""))</f>
        <v>0</v>
      </c>
      <c r="U267" s="6" t="n">
        <f aca="false">IF(A267="","",IF(D267&lt;=Inputs!$B$8,IF(Inputs!$B$22="Premium Offset",MAX(0,Inputs!$B$25-(Q267+T267)),Inputs!$B$25),0))</f>
        <v>77</v>
      </c>
      <c r="V267" s="10" t="n">
        <f aca="false">IF(A267="","",IF(Inputs!$B$22="Cash",Q267,0))</f>
        <v>0</v>
      </c>
      <c r="W267" s="10" t="n">
        <f aca="false">IF(A267="","",IF(Inputs!$B$22="PUA",Q267,0))</f>
        <v>0</v>
      </c>
      <c r="X267" s="12" t="n">
        <f aca="false">IF(A267="","",IFERROR(INDEX(PUA_TABLE!$D$4:$D$105,MATCH(E267,PUA_TABLE!$C$4:$C$105,1)),0))</f>
        <v>0.483869281295339</v>
      </c>
      <c r="Y267" s="10" t="n">
        <f aca="false">IF(A267="","",IF(W267&gt;0,IF(X267&gt;0,W267/X267,0),0))</f>
        <v>0</v>
      </c>
      <c r="Z267" s="10" t="n">
        <f aca="false">IF(A267="","",N267+Y267)</f>
        <v>0</v>
      </c>
      <c r="AA267" s="10" t="n">
        <f aca="false">IF(A267="","",IFERROR(Z267*INDEX(PUA_TABLE!$I$4:$I$105,MATCH(E267,PUA_TABLE!$C$4:$C$105,1))/1000,0))</f>
        <v>0</v>
      </c>
      <c r="AB267" s="10" t="n">
        <f aca="false">IF(A267="","",IFERROR(L267+AA267,0))</f>
        <v>24265.0335830026</v>
      </c>
      <c r="AC267" s="10" t="n">
        <f aca="false">IF(A267="","",IF(Inputs!$B$22="Premium Offset",MIN(Inputs!$B$25,Q267+T267),0))</f>
        <v>0</v>
      </c>
    </row>
    <row r="268" customFormat="false" ht="15" hidden="false" customHeight="false" outlineLevel="0" collapsed="false">
      <c r="A268" s="1" t="n">
        <f aca="false">IF(A267="","",IF(INT((C267+1)/12)+Inputs!$B$7&gt;MAX(MORTALITY!$A:$A),"",Inputs!$B$4))</f>
        <v>34</v>
      </c>
      <c r="B268" s="3" t="n">
        <f aca="false">IF(A268="","",EOMONTH(B267,1))</f>
        <v>29829</v>
      </c>
      <c r="C268" s="1" t="n">
        <f aca="false">IF(A268="","",C267+1)</f>
        <v>266</v>
      </c>
      <c r="D268" s="1" t="n">
        <f aca="false">IF(A268="","",INT(C268/12))</f>
        <v>22</v>
      </c>
      <c r="E268" s="1" t="n">
        <f aca="false">IF(A268="","",D268+Inputs!$B$7)</f>
        <v>38</v>
      </c>
      <c r="F268" s="3" t="n">
        <f aca="false">IF(A268="","",DATE(YEAR(B$2)+D268,MONTH(B$2),DAY(B$2)))</f>
        <v>29742</v>
      </c>
      <c r="G268" s="3" t="n">
        <f aca="false">IF(A268="","",DATE(YEAR(F268)+1,MONTH(F268),DAY(F268)))</f>
        <v>30107</v>
      </c>
      <c r="H268" s="10" t="n">
        <f aca="false">IF(A268="","",IF(G268&gt;F268,(B268-F268)/(G268-F268),0))</f>
        <v>0.238356164383562</v>
      </c>
      <c r="I268" s="10" t="n">
        <f aca="false">IF(A268="","",IFERROR(INDEX(CV_RATES!$I:$I,MATCH(D268,CV_RATES!$C:$C,0)),0))</f>
        <v>483.869281295339</v>
      </c>
      <c r="J268" s="10" t="n">
        <f aca="false">IF(A268="","",IFERROR(IF(E268=MAX(MORTALITY!$A:$A),1000,INDEX(CV_RATES!$J:$J,MATCH(D268,CV_RATES!$C:$C,0))),0))</f>
        <v>493.198879208199</v>
      </c>
      <c r="K268" s="10" t="n">
        <f aca="false">IF(A268="","",IFERROR(I268+H268*(J268-I268),0))</f>
        <v>486.093048469089</v>
      </c>
      <c r="L268" s="10" t="n">
        <f aca="false">IF(A268="","",IFERROR(K268*Inputs!$B$9,0))</f>
        <v>24304.6524234545</v>
      </c>
      <c r="M268" s="10" t="n">
        <f aca="false">IF(A268="","",IFERROR(K268*Inputs!$B$10,0))</f>
        <v>77773.4294759089</v>
      </c>
      <c r="N268" s="10" t="n">
        <f aca="false">IF(A268="","",Z267)</f>
        <v>0</v>
      </c>
      <c r="O268" s="6" t="n">
        <f aca="false">IF(A268="","",Inputs!$B$18+N268)</f>
        <v>50000</v>
      </c>
      <c r="P268" s="5" t="n">
        <f aca="false">IF(A268="","",VLOOKUP(D268,DIvidend_Assumption!$A$3:$CX$103,($E$2+2),0)/12)</f>
        <v>0</v>
      </c>
      <c r="Q268" s="10" t="n">
        <f aca="false">IF(A268="","",IFERROR(AB267*P268,""))</f>
        <v>0</v>
      </c>
      <c r="R268" s="10" t="n">
        <f aca="false">IF(A268="","",IFERROR(IF(Inputs!$B$22="Accumulate",T268+Q268,IF(Inputs!$B$22="Premium Offset",MAX(0,T268+Q268-Inputs!$B$25),T268)),""))</f>
        <v>0</v>
      </c>
      <c r="S268" s="10" t="n">
        <f aca="false">IF(A268="","",R267)</f>
        <v>0</v>
      </c>
      <c r="T268" s="10" t="n">
        <f aca="false">IF(A268="","",IFERROR(S268*(1+Inputs!$B$23/12),""))</f>
        <v>0</v>
      </c>
      <c r="U268" s="6" t="n">
        <f aca="false">IF(A268="","",IF(D268&lt;=Inputs!$B$8,IF(Inputs!$B$22="Premium Offset",MAX(0,Inputs!$B$25-(Q268+T268)),Inputs!$B$25),0))</f>
        <v>77</v>
      </c>
      <c r="V268" s="10" t="n">
        <f aca="false">IF(A268="","",IF(Inputs!$B$22="Cash",Q268,0))</f>
        <v>0</v>
      </c>
      <c r="W268" s="10" t="n">
        <f aca="false">IF(A268="","",IF(Inputs!$B$22="PUA",Q268,0))</f>
        <v>0</v>
      </c>
      <c r="X268" s="12" t="n">
        <f aca="false">IF(A268="","",IFERROR(INDEX(PUA_TABLE!$D$4:$D$105,MATCH(E268,PUA_TABLE!$C$4:$C$105,1)),0))</f>
        <v>0.483869281295339</v>
      </c>
      <c r="Y268" s="10" t="n">
        <f aca="false">IF(A268="","",IF(W268&gt;0,IF(X268&gt;0,W268/X268,0),0))</f>
        <v>0</v>
      </c>
      <c r="Z268" s="10" t="n">
        <f aca="false">IF(A268="","",N268+Y268)</f>
        <v>0</v>
      </c>
      <c r="AA268" s="10" t="n">
        <f aca="false">IF(A268="","",IFERROR(Z268*INDEX(PUA_TABLE!$I$4:$I$105,MATCH(E268,PUA_TABLE!$C$4:$C$105,1))/1000,0))</f>
        <v>0</v>
      </c>
      <c r="AB268" s="10" t="n">
        <f aca="false">IF(A268="","",IFERROR(L268+AA268,0))</f>
        <v>24304.6524234545</v>
      </c>
      <c r="AC268" s="10" t="n">
        <f aca="false">IF(A268="","",IF(Inputs!$B$22="Premium Offset",MIN(Inputs!$B$25,Q268+T268),0))</f>
        <v>0</v>
      </c>
    </row>
    <row r="269" customFormat="false" ht="15" hidden="false" customHeight="false" outlineLevel="0" collapsed="false">
      <c r="A269" s="1" t="n">
        <f aca="false">IF(A268="","",IF(INT((C268+1)/12)+Inputs!$B$7&gt;MAX(MORTALITY!$A:$A),"",Inputs!$B$4))</f>
        <v>34</v>
      </c>
      <c r="B269" s="3" t="n">
        <f aca="false">IF(A269="","",EOMONTH(B268,1))</f>
        <v>29859</v>
      </c>
      <c r="C269" s="1" t="n">
        <f aca="false">IF(A269="","",C268+1)</f>
        <v>267</v>
      </c>
      <c r="D269" s="1" t="n">
        <f aca="false">IF(A269="","",INT(C269/12))</f>
        <v>22</v>
      </c>
      <c r="E269" s="1" t="n">
        <f aca="false">IF(A269="","",D269+Inputs!$B$7)</f>
        <v>38</v>
      </c>
      <c r="F269" s="3" t="n">
        <f aca="false">IF(A269="","",DATE(YEAR(B$2)+D269,MONTH(B$2),DAY(B$2)))</f>
        <v>29742</v>
      </c>
      <c r="G269" s="3" t="n">
        <f aca="false">IF(A269="","",DATE(YEAR(F269)+1,MONTH(F269),DAY(F269)))</f>
        <v>30107</v>
      </c>
      <c r="H269" s="10" t="n">
        <f aca="false">IF(A269="","",IF(G269&gt;F269,(B269-F269)/(G269-F269),0))</f>
        <v>0.320547945205479</v>
      </c>
      <c r="I269" s="10" t="n">
        <f aca="false">IF(A269="","",IFERROR(INDEX(CV_RATES!$I:$I,MATCH(D269,CV_RATES!$C:$C,0)),0))</f>
        <v>483.869281295339</v>
      </c>
      <c r="J269" s="10" t="n">
        <f aca="false">IF(A269="","",IFERROR(IF(E269=MAX(MORTALITY!$A:$A),1000,INDEX(CV_RATES!$J:$J,MATCH(D269,CV_RATES!$C:$C,0))),0))</f>
        <v>493.198879208199</v>
      </c>
      <c r="K269" s="10" t="n">
        <f aca="false">IF(A269="","",IFERROR(I269+H269*(J269-I269),0))</f>
        <v>486.8598647359</v>
      </c>
      <c r="L269" s="10" t="n">
        <f aca="false">IF(A269="","",IFERROR(K269*Inputs!$B$9,0))</f>
        <v>24342.993236795</v>
      </c>
      <c r="M269" s="10" t="n">
        <f aca="false">IF(A269="","",IFERROR(K269*Inputs!$B$10,0))</f>
        <v>77896.1177781498</v>
      </c>
      <c r="N269" s="10" t="n">
        <f aca="false">IF(A269="","",Z268)</f>
        <v>0</v>
      </c>
      <c r="O269" s="6" t="n">
        <f aca="false">IF(A269="","",Inputs!$B$18+N269)</f>
        <v>50000</v>
      </c>
      <c r="P269" s="5" t="n">
        <f aca="false">IF(A269="","",VLOOKUP(D269,DIvidend_Assumption!$A$3:$CX$103,($E$2+2),0)/12)</f>
        <v>0</v>
      </c>
      <c r="Q269" s="10" t="n">
        <f aca="false">IF(A269="","",IFERROR(AB268*P269,""))</f>
        <v>0</v>
      </c>
      <c r="R269" s="10" t="n">
        <f aca="false">IF(A269="","",IFERROR(IF(Inputs!$B$22="Accumulate",T269+Q269,IF(Inputs!$B$22="Premium Offset",MAX(0,T269+Q269-Inputs!$B$25),T269)),""))</f>
        <v>0</v>
      </c>
      <c r="S269" s="10" t="n">
        <f aca="false">IF(A269="","",R268)</f>
        <v>0</v>
      </c>
      <c r="T269" s="10" t="n">
        <f aca="false">IF(A269="","",IFERROR(S269*(1+Inputs!$B$23/12),""))</f>
        <v>0</v>
      </c>
      <c r="U269" s="6" t="n">
        <f aca="false">IF(A269="","",IF(D269&lt;=Inputs!$B$8,IF(Inputs!$B$22="Premium Offset",MAX(0,Inputs!$B$25-(Q269+T269)),Inputs!$B$25),0))</f>
        <v>77</v>
      </c>
      <c r="V269" s="10" t="n">
        <f aca="false">IF(A269="","",IF(Inputs!$B$22="Cash",Q269,0))</f>
        <v>0</v>
      </c>
      <c r="W269" s="10" t="n">
        <f aca="false">IF(A269="","",IF(Inputs!$B$22="PUA",Q269,0))</f>
        <v>0</v>
      </c>
      <c r="X269" s="12" t="n">
        <f aca="false">IF(A269="","",IFERROR(INDEX(PUA_TABLE!$D$4:$D$105,MATCH(E269,PUA_TABLE!$C$4:$C$105,1)),0))</f>
        <v>0.483869281295339</v>
      </c>
      <c r="Y269" s="10" t="n">
        <f aca="false">IF(A269="","",IF(W269&gt;0,IF(X269&gt;0,W269/X269,0),0))</f>
        <v>0</v>
      </c>
      <c r="Z269" s="10" t="n">
        <f aca="false">IF(A269="","",N269+Y269)</f>
        <v>0</v>
      </c>
      <c r="AA269" s="10" t="n">
        <f aca="false">IF(A269="","",IFERROR(Z269*INDEX(PUA_TABLE!$I$4:$I$105,MATCH(E269,PUA_TABLE!$C$4:$C$105,1))/1000,0))</f>
        <v>0</v>
      </c>
      <c r="AB269" s="10" t="n">
        <f aca="false">IF(A269="","",IFERROR(L269+AA269,0))</f>
        <v>24342.993236795</v>
      </c>
      <c r="AC269" s="10" t="n">
        <f aca="false">IF(A269="","",IF(Inputs!$B$22="Premium Offset",MIN(Inputs!$B$25,Q269+T269),0))</f>
        <v>0</v>
      </c>
    </row>
    <row r="270" customFormat="false" ht="15" hidden="false" customHeight="false" outlineLevel="0" collapsed="false">
      <c r="A270" s="1" t="n">
        <f aca="false">IF(A269="","",IF(INT((C269+1)/12)+Inputs!$B$7&gt;MAX(MORTALITY!$A:$A),"",Inputs!$B$4))</f>
        <v>34</v>
      </c>
      <c r="B270" s="3" t="n">
        <f aca="false">IF(A270="","",EOMONTH(B269,1))</f>
        <v>29890</v>
      </c>
      <c r="C270" s="1" t="n">
        <f aca="false">IF(A270="","",C269+1)</f>
        <v>268</v>
      </c>
      <c r="D270" s="1" t="n">
        <f aca="false">IF(A270="","",INT(C270/12))</f>
        <v>22</v>
      </c>
      <c r="E270" s="1" t="n">
        <f aca="false">IF(A270="","",D270+Inputs!$B$7)</f>
        <v>38</v>
      </c>
      <c r="F270" s="3" t="n">
        <f aca="false">IF(A270="","",DATE(YEAR(B$2)+D270,MONTH(B$2),DAY(B$2)))</f>
        <v>29742</v>
      </c>
      <c r="G270" s="3" t="n">
        <f aca="false">IF(A270="","",DATE(YEAR(F270)+1,MONTH(F270),DAY(F270)))</f>
        <v>30107</v>
      </c>
      <c r="H270" s="10" t="n">
        <f aca="false">IF(A270="","",IF(G270&gt;F270,(B270-F270)/(G270-F270),0))</f>
        <v>0.405479452054795</v>
      </c>
      <c r="I270" s="10" t="n">
        <f aca="false">IF(A270="","",IFERROR(INDEX(CV_RATES!$I:$I,MATCH(D270,CV_RATES!$C:$C,0)),0))</f>
        <v>483.869281295339</v>
      </c>
      <c r="J270" s="10" t="n">
        <f aca="false">IF(A270="","",IFERROR(IF(E270=MAX(MORTALITY!$A:$A),1000,INDEX(CV_RATES!$J:$J,MATCH(D270,CV_RATES!$C:$C,0))),0))</f>
        <v>493.198879208199</v>
      </c>
      <c r="K270" s="10" t="n">
        <f aca="false">IF(A270="","",IFERROR(I270+H270*(J270-I270),0))</f>
        <v>487.652241544937</v>
      </c>
      <c r="L270" s="10" t="n">
        <f aca="false">IF(A270="","",IFERROR(K270*Inputs!$B$9,0))</f>
        <v>24382.6120772469</v>
      </c>
      <c r="M270" s="10" t="n">
        <f aca="false">IF(A270="","",IFERROR(K270*Inputs!$B$10,0))</f>
        <v>78022.8956904653</v>
      </c>
      <c r="N270" s="10" t="n">
        <f aca="false">IF(A270="","",Z269)</f>
        <v>0</v>
      </c>
      <c r="O270" s="6" t="n">
        <f aca="false">IF(A270="","",Inputs!$B$18+N270)</f>
        <v>50000</v>
      </c>
      <c r="P270" s="5" t="n">
        <f aca="false">IF(A270="","",VLOOKUP(D270,DIvidend_Assumption!$A$3:$CX$103,($E$2+2),0)/12)</f>
        <v>0</v>
      </c>
      <c r="Q270" s="10" t="n">
        <f aca="false">IF(A270="","",IFERROR(AB269*P270,""))</f>
        <v>0</v>
      </c>
      <c r="R270" s="10" t="n">
        <f aca="false">IF(A270="","",IFERROR(IF(Inputs!$B$22="Accumulate",T270+Q270,IF(Inputs!$B$22="Premium Offset",MAX(0,T270+Q270-Inputs!$B$25),T270)),""))</f>
        <v>0</v>
      </c>
      <c r="S270" s="10" t="n">
        <f aca="false">IF(A270="","",R269)</f>
        <v>0</v>
      </c>
      <c r="T270" s="10" t="n">
        <f aca="false">IF(A270="","",IFERROR(S270*(1+Inputs!$B$23/12),""))</f>
        <v>0</v>
      </c>
      <c r="U270" s="6" t="n">
        <f aca="false">IF(A270="","",IF(D270&lt;=Inputs!$B$8,IF(Inputs!$B$22="Premium Offset",MAX(0,Inputs!$B$25-(Q270+T270)),Inputs!$B$25),0))</f>
        <v>77</v>
      </c>
      <c r="V270" s="10" t="n">
        <f aca="false">IF(A270="","",IF(Inputs!$B$22="Cash",Q270,0))</f>
        <v>0</v>
      </c>
      <c r="W270" s="10" t="n">
        <f aca="false">IF(A270="","",IF(Inputs!$B$22="PUA",Q270,0))</f>
        <v>0</v>
      </c>
      <c r="X270" s="12" t="n">
        <f aca="false">IF(A270="","",IFERROR(INDEX(PUA_TABLE!$D$4:$D$105,MATCH(E270,PUA_TABLE!$C$4:$C$105,1)),0))</f>
        <v>0.483869281295339</v>
      </c>
      <c r="Y270" s="10" t="n">
        <f aca="false">IF(A270="","",IF(W270&gt;0,IF(X270&gt;0,W270/X270,0),0))</f>
        <v>0</v>
      </c>
      <c r="Z270" s="10" t="n">
        <f aca="false">IF(A270="","",N270+Y270)</f>
        <v>0</v>
      </c>
      <c r="AA270" s="10" t="n">
        <f aca="false">IF(A270="","",IFERROR(Z270*INDEX(PUA_TABLE!$I$4:$I$105,MATCH(E270,PUA_TABLE!$C$4:$C$105,1))/1000,0))</f>
        <v>0</v>
      </c>
      <c r="AB270" s="10" t="n">
        <f aca="false">IF(A270="","",IFERROR(L270+AA270,0))</f>
        <v>24382.6120772469</v>
      </c>
      <c r="AC270" s="10" t="n">
        <f aca="false">IF(A270="","",IF(Inputs!$B$22="Premium Offset",MIN(Inputs!$B$25,Q270+T270),0))</f>
        <v>0</v>
      </c>
    </row>
    <row r="271" customFormat="false" ht="15" hidden="false" customHeight="false" outlineLevel="0" collapsed="false">
      <c r="A271" s="1" t="n">
        <f aca="false">IF(A270="","",IF(INT((C270+1)/12)+Inputs!$B$7&gt;MAX(MORTALITY!$A:$A),"",Inputs!$B$4))</f>
        <v>34</v>
      </c>
      <c r="B271" s="3" t="n">
        <f aca="false">IF(A271="","",EOMONTH(B270,1))</f>
        <v>29920</v>
      </c>
      <c r="C271" s="1" t="n">
        <f aca="false">IF(A271="","",C270+1)</f>
        <v>269</v>
      </c>
      <c r="D271" s="1" t="n">
        <f aca="false">IF(A271="","",INT(C271/12))</f>
        <v>22</v>
      </c>
      <c r="E271" s="1" t="n">
        <f aca="false">IF(A271="","",D271+Inputs!$B$7)</f>
        <v>38</v>
      </c>
      <c r="F271" s="3" t="n">
        <f aca="false">IF(A271="","",DATE(YEAR(B$2)+D271,MONTH(B$2),DAY(B$2)))</f>
        <v>29742</v>
      </c>
      <c r="G271" s="3" t="n">
        <f aca="false">IF(A271="","",DATE(YEAR(F271)+1,MONTH(F271),DAY(F271)))</f>
        <v>30107</v>
      </c>
      <c r="H271" s="10" t="n">
        <f aca="false">IF(A271="","",IF(G271&gt;F271,(B271-F271)/(G271-F271),0))</f>
        <v>0.487671232876712</v>
      </c>
      <c r="I271" s="10" t="n">
        <f aca="false">IF(A271="","",IFERROR(INDEX(CV_RATES!$I:$I,MATCH(D271,CV_RATES!$C:$C,0)),0))</f>
        <v>483.869281295339</v>
      </c>
      <c r="J271" s="10" t="n">
        <f aca="false">IF(A271="","",IFERROR(IF(E271=MAX(MORTALITY!$A:$A),1000,INDEX(CV_RATES!$J:$J,MATCH(D271,CV_RATES!$C:$C,0))),0))</f>
        <v>493.198879208199</v>
      </c>
      <c r="K271" s="10" t="n">
        <f aca="false">IF(A271="","",IFERROR(I271+H271*(J271-I271),0))</f>
        <v>488.419057811748</v>
      </c>
      <c r="L271" s="10" t="n">
        <f aca="false">IF(A271="","",IFERROR(K271*Inputs!$B$9,0))</f>
        <v>24420.9528905874</v>
      </c>
      <c r="M271" s="10" t="n">
        <f aca="false">IF(A271="","",IFERROR(K271*Inputs!$B$10,0))</f>
        <v>78145.5839927062</v>
      </c>
      <c r="N271" s="10" t="n">
        <f aca="false">IF(A271="","",Z270)</f>
        <v>0</v>
      </c>
      <c r="O271" s="6" t="n">
        <f aca="false">IF(A271="","",Inputs!$B$18+N271)</f>
        <v>50000</v>
      </c>
      <c r="P271" s="5" t="n">
        <f aca="false">IF(A271="","",VLOOKUP(D271,DIvidend_Assumption!$A$3:$CX$103,($E$2+2),0)/12)</f>
        <v>0</v>
      </c>
      <c r="Q271" s="10" t="n">
        <f aca="false">IF(A271="","",IFERROR(AB270*P271,""))</f>
        <v>0</v>
      </c>
      <c r="R271" s="10" t="n">
        <f aca="false">IF(A271="","",IFERROR(IF(Inputs!$B$22="Accumulate",T271+Q271,IF(Inputs!$B$22="Premium Offset",MAX(0,T271+Q271-Inputs!$B$25),T271)),""))</f>
        <v>0</v>
      </c>
      <c r="S271" s="10" t="n">
        <f aca="false">IF(A271="","",R270)</f>
        <v>0</v>
      </c>
      <c r="T271" s="10" t="n">
        <f aca="false">IF(A271="","",IFERROR(S271*(1+Inputs!$B$23/12),""))</f>
        <v>0</v>
      </c>
      <c r="U271" s="6" t="n">
        <f aca="false">IF(A271="","",IF(D271&lt;=Inputs!$B$8,IF(Inputs!$B$22="Premium Offset",MAX(0,Inputs!$B$25-(Q271+T271)),Inputs!$B$25),0))</f>
        <v>77</v>
      </c>
      <c r="V271" s="10" t="n">
        <f aca="false">IF(A271="","",IF(Inputs!$B$22="Cash",Q271,0))</f>
        <v>0</v>
      </c>
      <c r="W271" s="10" t="n">
        <f aca="false">IF(A271="","",IF(Inputs!$B$22="PUA",Q271,0))</f>
        <v>0</v>
      </c>
      <c r="X271" s="12" t="n">
        <f aca="false">IF(A271="","",IFERROR(INDEX(PUA_TABLE!$D$4:$D$105,MATCH(E271,PUA_TABLE!$C$4:$C$105,1)),0))</f>
        <v>0.483869281295339</v>
      </c>
      <c r="Y271" s="10" t="n">
        <f aca="false">IF(A271="","",IF(W271&gt;0,IF(X271&gt;0,W271/X271,0),0))</f>
        <v>0</v>
      </c>
      <c r="Z271" s="10" t="n">
        <f aca="false">IF(A271="","",N271+Y271)</f>
        <v>0</v>
      </c>
      <c r="AA271" s="10" t="n">
        <f aca="false">IF(A271="","",IFERROR(Z271*INDEX(PUA_TABLE!$I$4:$I$105,MATCH(E271,PUA_TABLE!$C$4:$C$105,1))/1000,0))</f>
        <v>0</v>
      </c>
      <c r="AB271" s="10" t="n">
        <f aca="false">IF(A271="","",IFERROR(L271+AA271,0))</f>
        <v>24420.9528905874</v>
      </c>
      <c r="AC271" s="10" t="n">
        <f aca="false">IF(A271="","",IF(Inputs!$B$22="Premium Offset",MIN(Inputs!$B$25,Q271+T271),0))</f>
        <v>0</v>
      </c>
    </row>
    <row r="272" customFormat="false" ht="15" hidden="false" customHeight="false" outlineLevel="0" collapsed="false">
      <c r="A272" s="1" t="n">
        <f aca="false">IF(A271="","",IF(INT((C271+1)/12)+Inputs!$B$7&gt;MAX(MORTALITY!$A:$A),"",Inputs!$B$4))</f>
        <v>34</v>
      </c>
      <c r="B272" s="3" t="n">
        <f aca="false">IF(A272="","",EOMONTH(B271,1))</f>
        <v>29951</v>
      </c>
      <c r="C272" s="1" t="n">
        <f aca="false">IF(A272="","",C271+1)</f>
        <v>270</v>
      </c>
      <c r="D272" s="1" t="n">
        <f aca="false">IF(A272="","",INT(C272/12))</f>
        <v>22</v>
      </c>
      <c r="E272" s="1" t="n">
        <f aca="false">IF(A272="","",D272+Inputs!$B$7)</f>
        <v>38</v>
      </c>
      <c r="F272" s="3" t="n">
        <f aca="false">IF(A272="","",DATE(YEAR(B$2)+D272,MONTH(B$2),DAY(B$2)))</f>
        <v>29742</v>
      </c>
      <c r="G272" s="3" t="n">
        <f aca="false">IF(A272="","",DATE(YEAR(F272)+1,MONTH(F272),DAY(F272)))</f>
        <v>30107</v>
      </c>
      <c r="H272" s="10" t="n">
        <f aca="false">IF(A272="","",IF(G272&gt;F272,(B272-F272)/(G272-F272),0))</f>
        <v>0.572602739726027</v>
      </c>
      <c r="I272" s="10" t="n">
        <f aca="false">IF(A272="","",IFERROR(INDEX(CV_RATES!$I:$I,MATCH(D272,CV_RATES!$C:$C,0)),0))</f>
        <v>483.869281295339</v>
      </c>
      <c r="J272" s="10" t="n">
        <f aca="false">IF(A272="","",IFERROR(IF(E272=MAX(MORTALITY!$A:$A),1000,INDEX(CV_RATES!$J:$J,MATCH(D272,CV_RATES!$C:$C,0))),0))</f>
        <v>493.198879208199</v>
      </c>
      <c r="K272" s="10" t="n">
        <f aca="false">IF(A272="","",IFERROR(I272+H272*(J272-I272),0))</f>
        <v>489.211434620785</v>
      </c>
      <c r="L272" s="10" t="n">
        <f aca="false">IF(A272="","",IFERROR(K272*Inputs!$B$9,0))</f>
        <v>24460.5717310393</v>
      </c>
      <c r="M272" s="10" t="n">
        <f aca="false">IF(A272="","",IFERROR(K272*Inputs!$B$10,0))</f>
        <v>78272.3619050218</v>
      </c>
      <c r="N272" s="10" t="n">
        <f aca="false">IF(A272="","",Z271)</f>
        <v>0</v>
      </c>
      <c r="O272" s="6" t="n">
        <f aca="false">IF(A272="","",Inputs!$B$18+N272)</f>
        <v>50000</v>
      </c>
      <c r="P272" s="5" t="n">
        <f aca="false">IF(A272="","",VLOOKUP(D272,DIvidend_Assumption!$A$3:$CX$103,($E$2+2),0)/12)</f>
        <v>0</v>
      </c>
      <c r="Q272" s="10" t="n">
        <f aca="false">IF(A272="","",IFERROR(AB271*P272,""))</f>
        <v>0</v>
      </c>
      <c r="R272" s="10" t="n">
        <f aca="false">IF(A272="","",IFERROR(IF(Inputs!$B$22="Accumulate",T272+Q272,IF(Inputs!$B$22="Premium Offset",MAX(0,T272+Q272-Inputs!$B$25),T272)),""))</f>
        <v>0</v>
      </c>
      <c r="S272" s="10" t="n">
        <f aca="false">IF(A272="","",R271)</f>
        <v>0</v>
      </c>
      <c r="T272" s="10" t="n">
        <f aca="false">IF(A272="","",IFERROR(S272*(1+Inputs!$B$23/12),""))</f>
        <v>0</v>
      </c>
      <c r="U272" s="6" t="n">
        <f aca="false">IF(A272="","",IF(D272&lt;=Inputs!$B$8,IF(Inputs!$B$22="Premium Offset",MAX(0,Inputs!$B$25-(Q272+T272)),Inputs!$B$25),0))</f>
        <v>77</v>
      </c>
      <c r="V272" s="10" t="n">
        <f aca="false">IF(A272="","",IF(Inputs!$B$22="Cash",Q272,0))</f>
        <v>0</v>
      </c>
      <c r="W272" s="10" t="n">
        <f aca="false">IF(A272="","",IF(Inputs!$B$22="PUA",Q272,0))</f>
        <v>0</v>
      </c>
      <c r="X272" s="12" t="n">
        <f aca="false">IF(A272="","",IFERROR(INDEX(PUA_TABLE!$D$4:$D$105,MATCH(E272,PUA_TABLE!$C$4:$C$105,1)),0))</f>
        <v>0.483869281295339</v>
      </c>
      <c r="Y272" s="10" t="n">
        <f aca="false">IF(A272="","",IF(W272&gt;0,IF(X272&gt;0,W272/X272,0),0))</f>
        <v>0</v>
      </c>
      <c r="Z272" s="10" t="n">
        <f aca="false">IF(A272="","",N272+Y272)</f>
        <v>0</v>
      </c>
      <c r="AA272" s="10" t="n">
        <f aca="false">IF(A272="","",IFERROR(Z272*INDEX(PUA_TABLE!$I$4:$I$105,MATCH(E272,PUA_TABLE!$C$4:$C$105,1))/1000,0))</f>
        <v>0</v>
      </c>
      <c r="AB272" s="10" t="n">
        <f aca="false">IF(A272="","",IFERROR(L272+AA272,0))</f>
        <v>24460.5717310393</v>
      </c>
      <c r="AC272" s="10" t="n">
        <f aca="false">IF(A272="","",IF(Inputs!$B$22="Premium Offset",MIN(Inputs!$B$25,Q272+T272),0))</f>
        <v>0</v>
      </c>
    </row>
    <row r="273" customFormat="false" ht="15" hidden="false" customHeight="false" outlineLevel="0" collapsed="false">
      <c r="A273" s="1" t="n">
        <f aca="false">IF(A272="","",IF(INT((C272+1)/12)+Inputs!$B$7&gt;MAX(MORTALITY!$A:$A),"",Inputs!$B$4))</f>
        <v>34</v>
      </c>
      <c r="B273" s="3" t="n">
        <f aca="false">IF(A273="","",EOMONTH(B272,1))</f>
        <v>29982</v>
      </c>
      <c r="C273" s="1" t="n">
        <f aca="false">IF(A273="","",C272+1)</f>
        <v>271</v>
      </c>
      <c r="D273" s="1" t="n">
        <f aca="false">IF(A273="","",INT(C273/12))</f>
        <v>22</v>
      </c>
      <c r="E273" s="1" t="n">
        <f aca="false">IF(A273="","",D273+Inputs!$B$7)</f>
        <v>38</v>
      </c>
      <c r="F273" s="3" t="n">
        <f aca="false">IF(A273="","",DATE(YEAR(B$2)+D273,MONTH(B$2),DAY(B$2)))</f>
        <v>29742</v>
      </c>
      <c r="G273" s="3" t="n">
        <f aca="false">IF(A273="","",DATE(YEAR(F273)+1,MONTH(F273),DAY(F273)))</f>
        <v>30107</v>
      </c>
      <c r="H273" s="10" t="n">
        <f aca="false">IF(A273="","",IF(G273&gt;F273,(B273-F273)/(G273-F273),0))</f>
        <v>0.657534246575342</v>
      </c>
      <c r="I273" s="10" t="n">
        <f aca="false">IF(A273="","",IFERROR(INDEX(CV_RATES!$I:$I,MATCH(D273,CV_RATES!$C:$C,0)),0))</f>
        <v>483.869281295339</v>
      </c>
      <c r="J273" s="10" t="n">
        <f aca="false">IF(A273="","",IFERROR(IF(E273=MAX(MORTALITY!$A:$A),1000,INDEX(CV_RATES!$J:$J,MATCH(D273,CV_RATES!$C:$C,0))),0))</f>
        <v>493.198879208199</v>
      </c>
      <c r="K273" s="10" t="n">
        <f aca="false">IF(A273="","",IFERROR(I273+H273*(J273-I273),0))</f>
        <v>490.003811429823</v>
      </c>
      <c r="L273" s="10" t="n">
        <f aca="false">IF(A273="","",IFERROR(K273*Inputs!$B$9,0))</f>
        <v>24500.1905714911</v>
      </c>
      <c r="M273" s="10" t="n">
        <f aca="false">IF(A273="","",IFERROR(K273*Inputs!$B$10,0))</f>
        <v>78399.1398173373</v>
      </c>
      <c r="N273" s="10" t="n">
        <f aca="false">IF(A273="","",Z272)</f>
        <v>0</v>
      </c>
      <c r="O273" s="6" t="n">
        <f aca="false">IF(A273="","",Inputs!$B$18+N273)</f>
        <v>50000</v>
      </c>
      <c r="P273" s="5" t="n">
        <f aca="false">IF(A273="","",VLOOKUP(D273,DIvidend_Assumption!$A$3:$CX$103,($E$2+2),0)/12)</f>
        <v>0</v>
      </c>
      <c r="Q273" s="10" t="n">
        <f aca="false">IF(A273="","",IFERROR(AB272*P273,""))</f>
        <v>0</v>
      </c>
      <c r="R273" s="10" t="n">
        <f aca="false">IF(A273="","",IFERROR(IF(Inputs!$B$22="Accumulate",T273+Q273,IF(Inputs!$B$22="Premium Offset",MAX(0,T273+Q273-Inputs!$B$25),T273)),""))</f>
        <v>0</v>
      </c>
      <c r="S273" s="10" t="n">
        <f aca="false">IF(A273="","",R272)</f>
        <v>0</v>
      </c>
      <c r="T273" s="10" t="n">
        <f aca="false">IF(A273="","",IFERROR(S273*(1+Inputs!$B$23/12),""))</f>
        <v>0</v>
      </c>
      <c r="U273" s="6" t="n">
        <f aca="false">IF(A273="","",IF(D273&lt;=Inputs!$B$8,IF(Inputs!$B$22="Premium Offset",MAX(0,Inputs!$B$25-(Q273+T273)),Inputs!$B$25),0))</f>
        <v>77</v>
      </c>
      <c r="V273" s="10" t="n">
        <f aca="false">IF(A273="","",IF(Inputs!$B$22="Cash",Q273,0))</f>
        <v>0</v>
      </c>
      <c r="W273" s="10" t="n">
        <f aca="false">IF(A273="","",IF(Inputs!$B$22="PUA",Q273,0))</f>
        <v>0</v>
      </c>
      <c r="X273" s="12" t="n">
        <f aca="false">IF(A273="","",IFERROR(INDEX(PUA_TABLE!$D$4:$D$105,MATCH(E273,PUA_TABLE!$C$4:$C$105,1)),0))</f>
        <v>0.483869281295339</v>
      </c>
      <c r="Y273" s="10" t="n">
        <f aca="false">IF(A273="","",IF(W273&gt;0,IF(X273&gt;0,W273/X273,0),0))</f>
        <v>0</v>
      </c>
      <c r="Z273" s="10" t="n">
        <f aca="false">IF(A273="","",N273+Y273)</f>
        <v>0</v>
      </c>
      <c r="AA273" s="10" t="n">
        <f aca="false">IF(A273="","",IFERROR(Z273*INDEX(PUA_TABLE!$I$4:$I$105,MATCH(E273,PUA_TABLE!$C$4:$C$105,1))/1000,0))</f>
        <v>0</v>
      </c>
      <c r="AB273" s="10" t="n">
        <f aca="false">IF(A273="","",IFERROR(L273+AA273,0))</f>
        <v>24500.1905714911</v>
      </c>
      <c r="AC273" s="10" t="n">
        <f aca="false">IF(A273="","",IF(Inputs!$B$22="Premium Offset",MIN(Inputs!$B$25,Q273+T273),0))</f>
        <v>0</v>
      </c>
    </row>
    <row r="274" customFormat="false" ht="15" hidden="false" customHeight="false" outlineLevel="0" collapsed="false">
      <c r="A274" s="1" t="n">
        <f aca="false">IF(A273="","",IF(INT((C273+1)/12)+Inputs!$B$7&gt;MAX(MORTALITY!$A:$A),"",Inputs!$B$4))</f>
        <v>34</v>
      </c>
      <c r="B274" s="3" t="n">
        <f aca="false">IF(A274="","",EOMONTH(B273,1))</f>
        <v>30010</v>
      </c>
      <c r="C274" s="1" t="n">
        <f aca="false">IF(A274="","",C273+1)</f>
        <v>272</v>
      </c>
      <c r="D274" s="1" t="n">
        <f aca="false">IF(A274="","",INT(C274/12))</f>
        <v>22</v>
      </c>
      <c r="E274" s="1" t="n">
        <f aca="false">IF(A274="","",D274+Inputs!$B$7)</f>
        <v>38</v>
      </c>
      <c r="F274" s="3" t="n">
        <f aca="false">IF(A274="","",DATE(YEAR(B$2)+D274,MONTH(B$2),DAY(B$2)))</f>
        <v>29742</v>
      </c>
      <c r="G274" s="3" t="n">
        <f aca="false">IF(A274="","",DATE(YEAR(F274)+1,MONTH(F274),DAY(F274)))</f>
        <v>30107</v>
      </c>
      <c r="H274" s="10" t="n">
        <f aca="false">IF(A274="","",IF(G274&gt;F274,(B274-F274)/(G274-F274),0))</f>
        <v>0.734246575342466</v>
      </c>
      <c r="I274" s="10" t="n">
        <f aca="false">IF(A274="","",IFERROR(INDEX(CV_RATES!$I:$I,MATCH(D274,CV_RATES!$C:$C,0)),0))</f>
        <v>483.869281295339</v>
      </c>
      <c r="J274" s="10" t="n">
        <f aca="false">IF(A274="","",IFERROR(IF(E274=MAX(MORTALITY!$A:$A),1000,INDEX(CV_RATES!$J:$J,MATCH(D274,CV_RATES!$C:$C,0))),0))</f>
        <v>493.198879208199</v>
      </c>
      <c r="K274" s="10" t="n">
        <f aca="false">IF(A274="","",IFERROR(I274+H274*(J274-I274),0))</f>
        <v>490.719506612179</v>
      </c>
      <c r="L274" s="10" t="n">
        <f aca="false">IF(A274="","",IFERROR(K274*Inputs!$B$9,0))</f>
        <v>24535.9753306089</v>
      </c>
      <c r="M274" s="10" t="n">
        <f aca="false">IF(A274="","",IFERROR(K274*Inputs!$B$10,0))</f>
        <v>78513.6488994288</v>
      </c>
      <c r="N274" s="10" t="n">
        <f aca="false">IF(A274="","",Z273)</f>
        <v>0</v>
      </c>
      <c r="O274" s="6" t="n">
        <f aca="false">IF(A274="","",Inputs!$B$18+N274)</f>
        <v>50000</v>
      </c>
      <c r="P274" s="5" t="n">
        <f aca="false">IF(A274="","",VLOOKUP(D274,DIvidend_Assumption!$A$3:$CX$103,($E$2+2),0)/12)</f>
        <v>0</v>
      </c>
      <c r="Q274" s="10" t="n">
        <f aca="false">IF(A274="","",IFERROR(AB273*P274,""))</f>
        <v>0</v>
      </c>
      <c r="R274" s="10" t="n">
        <f aca="false">IF(A274="","",IFERROR(IF(Inputs!$B$22="Accumulate",T274+Q274,IF(Inputs!$B$22="Premium Offset",MAX(0,T274+Q274-Inputs!$B$25),T274)),""))</f>
        <v>0</v>
      </c>
      <c r="S274" s="10" t="n">
        <f aca="false">IF(A274="","",R273)</f>
        <v>0</v>
      </c>
      <c r="T274" s="10" t="n">
        <f aca="false">IF(A274="","",IFERROR(S274*(1+Inputs!$B$23/12),""))</f>
        <v>0</v>
      </c>
      <c r="U274" s="6" t="n">
        <f aca="false">IF(A274="","",IF(D274&lt;=Inputs!$B$8,IF(Inputs!$B$22="Premium Offset",MAX(0,Inputs!$B$25-(Q274+T274)),Inputs!$B$25),0))</f>
        <v>77</v>
      </c>
      <c r="V274" s="10" t="n">
        <f aca="false">IF(A274="","",IF(Inputs!$B$22="Cash",Q274,0))</f>
        <v>0</v>
      </c>
      <c r="W274" s="10" t="n">
        <f aca="false">IF(A274="","",IF(Inputs!$B$22="PUA",Q274,0))</f>
        <v>0</v>
      </c>
      <c r="X274" s="12" t="n">
        <f aca="false">IF(A274="","",IFERROR(INDEX(PUA_TABLE!$D$4:$D$105,MATCH(E274,PUA_TABLE!$C$4:$C$105,1)),0))</f>
        <v>0.483869281295339</v>
      </c>
      <c r="Y274" s="10" t="n">
        <f aca="false">IF(A274="","",IF(W274&gt;0,IF(X274&gt;0,W274/X274,0),0))</f>
        <v>0</v>
      </c>
      <c r="Z274" s="10" t="n">
        <f aca="false">IF(A274="","",N274+Y274)</f>
        <v>0</v>
      </c>
      <c r="AA274" s="10" t="n">
        <f aca="false">IF(A274="","",IFERROR(Z274*INDEX(PUA_TABLE!$I$4:$I$105,MATCH(E274,PUA_TABLE!$C$4:$C$105,1))/1000,0))</f>
        <v>0</v>
      </c>
      <c r="AB274" s="10" t="n">
        <f aca="false">IF(A274="","",IFERROR(L274+AA274,0))</f>
        <v>24535.9753306089</v>
      </c>
      <c r="AC274" s="10" t="n">
        <f aca="false">IF(A274="","",IF(Inputs!$B$22="Premium Offset",MIN(Inputs!$B$25,Q274+T274),0))</f>
        <v>0</v>
      </c>
    </row>
    <row r="275" customFormat="false" ht="15" hidden="false" customHeight="false" outlineLevel="0" collapsed="false">
      <c r="A275" s="1" t="n">
        <f aca="false">IF(A274="","",IF(INT((C274+1)/12)+Inputs!$B$7&gt;MAX(MORTALITY!$A:$A),"",Inputs!$B$4))</f>
        <v>34</v>
      </c>
      <c r="B275" s="3" t="n">
        <f aca="false">IF(A275="","",EOMONTH(B274,1))</f>
        <v>30041</v>
      </c>
      <c r="C275" s="1" t="n">
        <f aca="false">IF(A275="","",C274+1)</f>
        <v>273</v>
      </c>
      <c r="D275" s="1" t="n">
        <f aca="false">IF(A275="","",INT(C275/12))</f>
        <v>22</v>
      </c>
      <c r="E275" s="1" t="n">
        <f aca="false">IF(A275="","",D275+Inputs!$B$7)</f>
        <v>38</v>
      </c>
      <c r="F275" s="3" t="n">
        <f aca="false">IF(A275="","",DATE(YEAR(B$2)+D275,MONTH(B$2),DAY(B$2)))</f>
        <v>29742</v>
      </c>
      <c r="G275" s="3" t="n">
        <f aca="false">IF(A275="","",DATE(YEAR(F275)+1,MONTH(F275),DAY(F275)))</f>
        <v>30107</v>
      </c>
      <c r="H275" s="10" t="n">
        <f aca="false">IF(A275="","",IF(G275&gt;F275,(B275-F275)/(G275-F275),0))</f>
        <v>0.819178082191781</v>
      </c>
      <c r="I275" s="10" t="n">
        <f aca="false">IF(A275="","",IFERROR(INDEX(CV_RATES!$I:$I,MATCH(D275,CV_RATES!$C:$C,0)),0))</f>
        <v>483.869281295339</v>
      </c>
      <c r="J275" s="10" t="n">
        <f aca="false">IF(A275="","",IFERROR(IF(E275=MAX(MORTALITY!$A:$A),1000,INDEX(CV_RATES!$J:$J,MATCH(D275,CV_RATES!$C:$C,0))),0))</f>
        <v>493.198879208199</v>
      </c>
      <c r="K275" s="10" t="n">
        <f aca="false">IF(A275="","",IFERROR(I275+H275*(J275-I275),0))</f>
        <v>491.511883421216</v>
      </c>
      <c r="L275" s="10" t="n">
        <f aca="false">IF(A275="","",IFERROR(K275*Inputs!$B$9,0))</f>
        <v>24575.5941710608</v>
      </c>
      <c r="M275" s="10" t="n">
        <f aca="false">IF(A275="","",IFERROR(K275*Inputs!$B$10,0))</f>
        <v>78640.4268117444</v>
      </c>
      <c r="N275" s="10" t="n">
        <f aca="false">IF(A275="","",Z274)</f>
        <v>0</v>
      </c>
      <c r="O275" s="6" t="n">
        <f aca="false">IF(A275="","",Inputs!$B$18+N275)</f>
        <v>50000</v>
      </c>
      <c r="P275" s="5" t="n">
        <f aca="false">IF(A275="","",VLOOKUP(D275,DIvidend_Assumption!$A$3:$CX$103,($E$2+2),0)/12)</f>
        <v>0</v>
      </c>
      <c r="Q275" s="10" t="n">
        <f aca="false">IF(A275="","",IFERROR(AB274*P275,""))</f>
        <v>0</v>
      </c>
      <c r="R275" s="10" t="n">
        <f aca="false">IF(A275="","",IFERROR(IF(Inputs!$B$22="Accumulate",T275+Q275,IF(Inputs!$B$22="Premium Offset",MAX(0,T275+Q275-Inputs!$B$25),T275)),""))</f>
        <v>0</v>
      </c>
      <c r="S275" s="10" t="n">
        <f aca="false">IF(A275="","",R274)</f>
        <v>0</v>
      </c>
      <c r="T275" s="10" t="n">
        <f aca="false">IF(A275="","",IFERROR(S275*(1+Inputs!$B$23/12),""))</f>
        <v>0</v>
      </c>
      <c r="U275" s="6" t="n">
        <f aca="false">IF(A275="","",IF(D275&lt;=Inputs!$B$8,IF(Inputs!$B$22="Premium Offset",MAX(0,Inputs!$B$25-(Q275+T275)),Inputs!$B$25),0))</f>
        <v>77</v>
      </c>
      <c r="V275" s="10" t="n">
        <f aca="false">IF(A275="","",IF(Inputs!$B$22="Cash",Q275,0))</f>
        <v>0</v>
      </c>
      <c r="W275" s="10" t="n">
        <f aca="false">IF(A275="","",IF(Inputs!$B$22="PUA",Q275,0))</f>
        <v>0</v>
      </c>
      <c r="X275" s="12" t="n">
        <f aca="false">IF(A275="","",IFERROR(INDEX(PUA_TABLE!$D$4:$D$105,MATCH(E275,PUA_TABLE!$C$4:$C$105,1)),0))</f>
        <v>0.483869281295339</v>
      </c>
      <c r="Y275" s="10" t="n">
        <f aca="false">IF(A275="","",IF(W275&gt;0,IF(X275&gt;0,W275/X275,0),0))</f>
        <v>0</v>
      </c>
      <c r="Z275" s="10" t="n">
        <f aca="false">IF(A275="","",N275+Y275)</f>
        <v>0</v>
      </c>
      <c r="AA275" s="10" t="n">
        <f aca="false">IF(A275="","",IFERROR(Z275*INDEX(PUA_TABLE!$I$4:$I$105,MATCH(E275,PUA_TABLE!$C$4:$C$105,1))/1000,0))</f>
        <v>0</v>
      </c>
      <c r="AB275" s="10" t="n">
        <f aca="false">IF(A275="","",IFERROR(L275+AA275,0))</f>
        <v>24575.5941710608</v>
      </c>
      <c r="AC275" s="10" t="n">
        <f aca="false">IF(A275="","",IF(Inputs!$B$22="Premium Offset",MIN(Inputs!$B$25,Q275+T275),0))</f>
        <v>0</v>
      </c>
    </row>
    <row r="276" customFormat="false" ht="15" hidden="false" customHeight="false" outlineLevel="0" collapsed="false">
      <c r="A276" s="1" t="n">
        <f aca="false">IF(A275="","",IF(INT((C275+1)/12)+Inputs!$B$7&gt;MAX(MORTALITY!$A:$A),"",Inputs!$B$4))</f>
        <v>34</v>
      </c>
      <c r="B276" s="3" t="n">
        <f aca="false">IF(A276="","",EOMONTH(B275,1))</f>
        <v>30071</v>
      </c>
      <c r="C276" s="1" t="n">
        <f aca="false">IF(A276="","",C275+1)</f>
        <v>274</v>
      </c>
      <c r="D276" s="1" t="n">
        <f aca="false">IF(A276="","",INT(C276/12))</f>
        <v>22</v>
      </c>
      <c r="E276" s="1" t="n">
        <f aca="false">IF(A276="","",D276+Inputs!$B$7)</f>
        <v>38</v>
      </c>
      <c r="F276" s="3" t="n">
        <f aca="false">IF(A276="","",DATE(YEAR(B$2)+D276,MONTH(B$2),DAY(B$2)))</f>
        <v>29742</v>
      </c>
      <c r="G276" s="3" t="n">
        <f aca="false">IF(A276="","",DATE(YEAR(F276)+1,MONTH(F276),DAY(F276)))</f>
        <v>30107</v>
      </c>
      <c r="H276" s="10" t="n">
        <f aca="false">IF(A276="","",IF(G276&gt;F276,(B276-F276)/(G276-F276),0))</f>
        <v>0.901369863013699</v>
      </c>
      <c r="I276" s="10" t="n">
        <f aca="false">IF(A276="","",IFERROR(INDEX(CV_RATES!$I:$I,MATCH(D276,CV_RATES!$C:$C,0)),0))</f>
        <v>483.869281295339</v>
      </c>
      <c r="J276" s="10" t="n">
        <f aca="false">IF(A276="","",IFERROR(IF(E276=MAX(MORTALITY!$A:$A),1000,INDEX(CV_RATES!$J:$J,MATCH(D276,CV_RATES!$C:$C,0))),0))</f>
        <v>493.198879208199</v>
      </c>
      <c r="K276" s="10" t="n">
        <f aca="false">IF(A276="","",IFERROR(I276+H276*(J276-I276),0))</f>
        <v>492.278699688027</v>
      </c>
      <c r="L276" s="10" t="n">
        <f aca="false">IF(A276="","",IFERROR(K276*Inputs!$B$9,0))</f>
        <v>24613.9349844013</v>
      </c>
      <c r="M276" s="10" t="n">
        <f aca="false">IF(A276="","",IFERROR(K276*Inputs!$B$10,0))</f>
        <v>78763.1151139852</v>
      </c>
      <c r="N276" s="10" t="n">
        <f aca="false">IF(A276="","",Z275)</f>
        <v>0</v>
      </c>
      <c r="O276" s="6" t="n">
        <f aca="false">IF(A276="","",Inputs!$B$18+N276)</f>
        <v>50000</v>
      </c>
      <c r="P276" s="5" t="n">
        <f aca="false">IF(A276="","",VLOOKUP(D276,DIvidend_Assumption!$A$3:$CX$103,($E$2+2),0)/12)</f>
        <v>0</v>
      </c>
      <c r="Q276" s="10" t="n">
        <f aca="false">IF(A276="","",IFERROR(AB275*P276,""))</f>
        <v>0</v>
      </c>
      <c r="R276" s="10" t="n">
        <f aca="false">IF(A276="","",IFERROR(IF(Inputs!$B$22="Accumulate",T276+Q276,IF(Inputs!$B$22="Premium Offset",MAX(0,T276+Q276-Inputs!$B$25),T276)),""))</f>
        <v>0</v>
      </c>
      <c r="S276" s="10" t="n">
        <f aca="false">IF(A276="","",R275)</f>
        <v>0</v>
      </c>
      <c r="T276" s="10" t="n">
        <f aca="false">IF(A276="","",IFERROR(S276*(1+Inputs!$B$23/12),""))</f>
        <v>0</v>
      </c>
      <c r="U276" s="6" t="n">
        <f aca="false">IF(A276="","",IF(D276&lt;=Inputs!$B$8,IF(Inputs!$B$22="Premium Offset",MAX(0,Inputs!$B$25-(Q276+T276)),Inputs!$B$25),0))</f>
        <v>77</v>
      </c>
      <c r="V276" s="10" t="n">
        <f aca="false">IF(A276="","",IF(Inputs!$B$22="Cash",Q276,0))</f>
        <v>0</v>
      </c>
      <c r="W276" s="10" t="n">
        <f aca="false">IF(A276="","",IF(Inputs!$B$22="PUA",Q276,0))</f>
        <v>0</v>
      </c>
      <c r="X276" s="12" t="n">
        <f aca="false">IF(A276="","",IFERROR(INDEX(PUA_TABLE!$D$4:$D$105,MATCH(E276,PUA_TABLE!$C$4:$C$105,1)),0))</f>
        <v>0.483869281295339</v>
      </c>
      <c r="Y276" s="10" t="n">
        <f aca="false">IF(A276="","",IF(W276&gt;0,IF(X276&gt;0,W276/X276,0),0))</f>
        <v>0</v>
      </c>
      <c r="Z276" s="10" t="n">
        <f aca="false">IF(A276="","",N276+Y276)</f>
        <v>0</v>
      </c>
      <c r="AA276" s="10" t="n">
        <f aca="false">IF(A276="","",IFERROR(Z276*INDEX(PUA_TABLE!$I$4:$I$105,MATCH(E276,PUA_TABLE!$C$4:$C$105,1))/1000,0))</f>
        <v>0</v>
      </c>
      <c r="AB276" s="10" t="n">
        <f aca="false">IF(A276="","",IFERROR(L276+AA276,0))</f>
        <v>24613.9349844013</v>
      </c>
      <c r="AC276" s="10" t="n">
        <f aca="false">IF(A276="","",IF(Inputs!$B$22="Premium Offset",MIN(Inputs!$B$25,Q276+T276),0))</f>
        <v>0</v>
      </c>
    </row>
    <row r="277" customFormat="false" ht="15" hidden="false" customHeight="false" outlineLevel="0" collapsed="false">
      <c r="A277" s="1" t="n">
        <f aca="false">IF(A276="","",IF(INT((C276+1)/12)+Inputs!$B$7&gt;MAX(MORTALITY!$A:$A),"",Inputs!$B$4))</f>
        <v>34</v>
      </c>
      <c r="B277" s="3" t="n">
        <f aca="false">IF(A277="","",EOMONTH(B276,1))</f>
        <v>30102</v>
      </c>
      <c r="C277" s="1" t="n">
        <f aca="false">IF(A277="","",C276+1)</f>
        <v>275</v>
      </c>
      <c r="D277" s="1" t="n">
        <f aca="false">IF(A277="","",INT(C277/12))</f>
        <v>22</v>
      </c>
      <c r="E277" s="1" t="n">
        <f aca="false">IF(A277="","",D277+Inputs!$B$7)</f>
        <v>38</v>
      </c>
      <c r="F277" s="3" t="n">
        <f aca="false">IF(A277="","",DATE(YEAR(B$2)+D277,MONTH(B$2),DAY(B$2)))</f>
        <v>29742</v>
      </c>
      <c r="G277" s="3" t="n">
        <f aca="false">IF(A277="","",DATE(YEAR(F277)+1,MONTH(F277),DAY(F277)))</f>
        <v>30107</v>
      </c>
      <c r="H277" s="10" t="n">
        <f aca="false">IF(A277="","",IF(G277&gt;F277,(B277-F277)/(G277-F277),0))</f>
        <v>0.986301369863014</v>
      </c>
      <c r="I277" s="10" t="n">
        <f aca="false">IF(A277="","",IFERROR(INDEX(CV_RATES!$I:$I,MATCH(D277,CV_RATES!$C:$C,0)),0))</f>
        <v>483.869281295339</v>
      </c>
      <c r="J277" s="10" t="n">
        <f aca="false">IF(A277="","",IFERROR(IF(E277=MAX(MORTALITY!$A:$A),1000,INDEX(CV_RATES!$J:$J,MATCH(D277,CV_RATES!$C:$C,0))),0))</f>
        <v>493.198879208199</v>
      </c>
      <c r="K277" s="10" t="n">
        <f aca="false">IF(A277="","",IFERROR(I277+H277*(J277-I277),0))</f>
        <v>493.071076497064</v>
      </c>
      <c r="L277" s="10" t="n">
        <f aca="false">IF(A277="","",IFERROR(K277*Inputs!$B$9,0))</f>
        <v>24653.5538248532</v>
      </c>
      <c r="M277" s="10" t="n">
        <f aca="false">IF(A277="","",IFERROR(K277*Inputs!$B$10,0))</f>
        <v>78889.8930263008</v>
      </c>
      <c r="N277" s="10" t="n">
        <f aca="false">IF(A277="","",Z276)</f>
        <v>0</v>
      </c>
      <c r="O277" s="6" t="n">
        <f aca="false">IF(A277="","",Inputs!$B$18+N277)</f>
        <v>50000</v>
      </c>
      <c r="P277" s="5" t="n">
        <f aca="false">IF(A277="","",VLOOKUP(D277,DIvidend_Assumption!$A$3:$CX$103,($E$2+2),0)/12)</f>
        <v>0</v>
      </c>
      <c r="Q277" s="10" t="n">
        <f aca="false">IF(A277="","",IFERROR(AB276*P277,""))</f>
        <v>0</v>
      </c>
      <c r="R277" s="10" t="n">
        <f aca="false">IF(A277="","",IFERROR(IF(Inputs!$B$22="Accumulate",T277+Q277,IF(Inputs!$B$22="Premium Offset",MAX(0,T277+Q277-Inputs!$B$25),T277)),""))</f>
        <v>0</v>
      </c>
      <c r="S277" s="10" t="n">
        <f aca="false">IF(A277="","",R276)</f>
        <v>0</v>
      </c>
      <c r="T277" s="10" t="n">
        <f aca="false">IF(A277="","",IFERROR(S277*(1+Inputs!$B$23/12),""))</f>
        <v>0</v>
      </c>
      <c r="U277" s="6" t="n">
        <f aca="false">IF(A277="","",IF(D277&lt;=Inputs!$B$8,IF(Inputs!$B$22="Premium Offset",MAX(0,Inputs!$B$25-(Q277+T277)),Inputs!$B$25),0))</f>
        <v>77</v>
      </c>
      <c r="V277" s="10" t="n">
        <f aca="false">IF(A277="","",IF(Inputs!$B$22="Cash",Q277,0))</f>
        <v>0</v>
      </c>
      <c r="W277" s="10" t="n">
        <f aca="false">IF(A277="","",IF(Inputs!$B$22="PUA",Q277,0))</f>
        <v>0</v>
      </c>
      <c r="X277" s="12" t="n">
        <f aca="false">IF(A277="","",IFERROR(INDEX(PUA_TABLE!$D$4:$D$105,MATCH(E277,PUA_TABLE!$C$4:$C$105,1)),0))</f>
        <v>0.483869281295339</v>
      </c>
      <c r="Y277" s="10" t="n">
        <f aca="false">IF(A277="","",IF(W277&gt;0,IF(X277&gt;0,W277/X277,0),0))</f>
        <v>0</v>
      </c>
      <c r="Z277" s="10" t="n">
        <f aca="false">IF(A277="","",N277+Y277)</f>
        <v>0</v>
      </c>
      <c r="AA277" s="10" t="n">
        <f aca="false">IF(A277="","",IFERROR(Z277*INDEX(PUA_TABLE!$I$4:$I$105,MATCH(E277,PUA_TABLE!$C$4:$C$105,1))/1000,0))</f>
        <v>0</v>
      </c>
      <c r="AB277" s="10" t="n">
        <f aca="false">IF(A277="","",IFERROR(L277+AA277,0))</f>
        <v>24653.5538248532</v>
      </c>
      <c r="AC277" s="10" t="n">
        <f aca="false">IF(A277="","",IF(Inputs!$B$22="Premium Offset",MIN(Inputs!$B$25,Q277+T277),0))</f>
        <v>0</v>
      </c>
    </row>
    <row r="278" customFormat="false" ht="15" hidden="false" customHeight="false" outlineLevel="0" collapsed="false">
      <c r="A278" s="1" t="n">
        <f aca="false">IF(A277="","",IF(INT((C277+1)/12)+Inputs!$B$7&gt;MAX(MORTALITY!$A:$A),"",Inputs!$B$4))</f>
        <v>34</v>
      </c>
      <c r="B278" s="3" t="n">
        <f aca="false">IF(A278="","",EOMONTH(B277,1))</f>
        <v>30132</v>
      </c>
      <c r="C278" s="1" t="n">
        <f aca="false">IF(A278="","",C277+1)</f>
        <v>276</v>
      </c>
      <c r="D278" s="1" t="n">
        <f aca="false">IF(A278="","",INT(C278/12))</f>
        <v>23</v>
      </c>
      <c r="E278" s="1" t="n">
        <f aca="false">IF(A278="","",D278+Inputs!$B$7)</f>
        <v>39</v>
      </c>
      <c r="F278" s="3" t="n">
        <f aca="false">IF(A278="","",DATE(YEAR(B$2)+D278,MONTH(B$2),DAY(B$2)))</f>
        <v>30107</v>
      </c>
      <c r="G278" s="3" t="n">
        <f aca="false">IF(A278="","",DATE(YEAR(F278)+1,MONTH(F278),DAY(F278)))</f>
        <v>30472</v>
      </c>
      <c r="H278" s="10" t="n">
        <f aca="false">IF(A278="","",IF(G278&gt;F278,(B278-F278)/(G278-F278),0))</f>
        <v>0.0684931506849315</v>
      </c>
      <c r="I278" s="10" t="n">
        <f aca="false">IF(A278="","",IFERROR(INDEX(CV_RATES!$I:$I,MATCH(D278,CV_RATES!$C:$C,0)),0))</f>
        <v>493.198879208199</v>
      </c>
      <c r="J278" s="10" t="n">
        <f aca="false">IF(A278="","",IFERROR(IF(E278=MAX(MORTALITY!$A:$A),1000,INDEX(CV_RATES!$J:$J,MATCH(D278,CV_RATES!$C:$C,0))),0))</f>
        <v>502.639184852397</v>
      </c>
      <c r="K278" s="10" t="n">
        <f aca="false">IF(A278="","",IFERROR(I278+H278*(J278-I278),0))</f>
        <v>493.845475485199</v>
      </c>
      <c r="L278" s="10" t="n">
        <f aca="false">IF(A278="","",IFERROR(K278*Inputs!$B$9,0))</f>
        <v>24692.27377426</v>
      </c>
      <c r="M278" s="10" t="n">
        <f aca="false">IF(A278="","",IFERROR(K278*Inputs!$B$10,0))</f>
        <v>79013.7945412054</v>
      </c>
      <c r="N278" s="10" t="n">
        <f aca="false">IF(A278="","",Z277)</f>
        <v>0</v>
      </c>
      <c r="O278" s="6" t="n">
        <f aca="false">IF(A278="","",Inputs!$B$18+N278)</f>
        <v>50000</v>
      </c>
      <c r="P278" s="5" t="n">
        <f aca="false">IF(A278="","",VLOOKUP(D278,DIvidend_Assumption!$A$3:$CX$103,($E$2+2),0)/12)</f>
        <v>0</v>
      </c>
      <c r="Q278" s="10" t="n">
        <f aca="false">IF(A278="","",IFERROR(AB277*P278,""))</f>
        <v>0</v>
      </c>
      <c r="R278" s="10" t="n">
        <f aca="false">IF(A278="","",IFERROR(IF(Inputs!$B$22="Accumulate",T278+Q278,IF(Inputs!$B$22="Premium Offset",MAX(0,T278+Q278-Inputs!$B$25),T278)),""))</f>
        <v>0</v>
      </c>
      <c r="S278" s="10" t="n">
        <f aca="false">IF(A278="","",R277)</f>
        <v>0</v>
      </c>
      <c r="T278" s="10" t="n">
        <f aca="false">IF(A278="","",IFERROR(S278*(1+Inputs!$B$23/12),""))</f>
        <v>0</v>
      </c>
      <c r="U278" s="6" t="n">
        <f aca="false">IF(A278="","",IF(D278&lt;=Inputs!$B$8,IF(Inputs!$B$22="Premium Offset",MAX(0,Inputs!$B$25-(Q278+T278)),Inputs!$B$25),0))</f>
        <v>77</v>
      </c>
      <c r="V278" s="10" t="n">
        <f aca="false">IF(A278="","",IF(Inputs!$B$22="Cash",Q278,0))</f>
        <v>0</v>
      </c>
      <c r="W278" s="10" t="n">
        <f aca="false">IF(A278="","",IF(Inputs!$B$22="PUA",Q278,0))</f>
        <v>0</v>
      </c>
      <c r="X278" s="12" t="n">
        <f aca="false">IF(A278="","",IFERROR(INDEX(PUA_TABLE!$D$4:$D$105,MATCH(E278,PUA_TABLE!$C$4:$C$105,1)),0))</f>
        <v>0.493198879208199</v>
      </c>
      <c r="Y278" s="10" t="n">
        <f aca="false">IF(A278="","",IF(W278&gt;0,IF(X278&gt;0,W278/X278,0),0))</f>
        <v>0</v>
      </c>
      <c r="Z278" s="10" t="n">
        <f aca="false">IF(A278="","",N278+Y278)</f>
        <v>0</v>
      </c>
      <c r="AA278" s="10" t="n">
        <f aca="false">IF(A278="","",IFERROR(Z278*INDEX(PUA_TABLE!$I$4:$I$105,MATCH(E278,PUA_TABLE!$C$4:$C$105,1))/1000,0))</f>
        <v>0</v>
      </c>
      <c r="AB278" s="10" t="n">
        <f aca="false">IF(A278="","",IFERROR(L278+AA278,0))</f>
        <v>24692.27377426</v>
      </c>
      <c r="AC278" s="10" t="n">
        <f aca="false">IF(A278="","",IF(Inputs!$B$22="Premium Offset",MIN(Inputs!$B$25,Q278+T278),0))</f>
        <v>0</v>
      </c>
    </row>
    <row r="279" customFormat="false" ht="15" hidden="false" customHeight="false" outlineLevel="0" collapsed="false">
      <c r="A279" s="1" t="n">
        <f aca="false">IF(A278="","",IF(INT((C278+1)/12)+Inputs!$B$7&gt;MAX(MORTALITY!$A:$A),"",Inputs!$B$4))</f>
        <v>34</v>
      </c>
      <c r="B279" s="3" t="n">
        <f aca="false">IF(A279="","",EOMONTH(B278,1))</f>
        <v>30163</v>
      </c>
      <c r="C279" s="1" t="n">
        <f aca="false">IF(A279="","",C278+1)</f>
        <v>277</v>
      </c>
      <c r="D279" s="1" t="n">
        <f aca="false">IF(A279="","",INT(C279/12))</f>
        <v>23</v>
      </c>
      <c r="E279" s="1" t="n">
        <f aca="false">IF(A279="","",D279+Inputs!$B$7)</f>
        <v>39</v>
      </c>
      <c r="F279" s="3" t="n">
        <f aca="false">IF(A279="","",DATE(YEAR(B$2)+D279,MONTH(B$2),DAY(B$2)))</f>
        <v>30107</v>
      </c>
      <c r="G279" s="3" t="n">
        <f aca="false">IF(A279="","",DATE(YEAR(F279)+1,MONTH(F279),DAY(F279)))</f>
        <v>30472</v>
      </c>
      <c r="H279" s="10" t="n">
        <f aca="false">IF(A279="","",IF(G279&gt;F279,(B279-F279)/(G279-F279),0))</f>
        <v>0.153424657534247</v>
      </c>
      <c r="I279" s="10" t="n">
        <f aca="false">IF(A279="","",IFERROR(INDEX(CV_RATES!$I:$I,MATCH(D279,CV_RATES!$C:$C,0)),0))</f>
        <v>493.198879208199</v>
      </c>
      <c r="J279" s="10" t="n">
        <f aca="false">IF(A279="","",IFERROR(IF(E279=MAX(MORTALITY!$A:$A),1000,INDEX(CV_RATES!$J:$J,MATCH(D279,CV_RATES!$C:$C,0))),0))</f>
        <v>502.639184852397</v>
      </c>
      <c r="K279" s="10" t="n">
        <f aca="false">IF(A279="","",IFERROR(I279+H279*(J279-I279),0))</f>
        <v>494.647254868679</v>
      </c>
      <c r="L279" s="10" t="n">
        <f aca="false">IF(A279="","",IFERROR(K279*Inputs!$B$9,0))</f>
        <v>24732.3627434339</v>
      </c>
      <c r="M279" s="10" t="n">
        <f aca="false">IF(A279="","",IFERROR(K279*Inputs!$B$10,0))</f>
        <v>79142.076837224</v>
      </c>
      <c r="N279" s="10" t="n">
        <f aca="false">IF(A279="","",Z278)</f>
        <v>0</v>
      </c>
      <c r="O279" s="6" t="n">
        <f aca="false">IF(A279="","",Inputs!$B$18+N279)</f>
        <v>50000</v>
      </c>
      <c r="P279" s="5" t="n">
        <f aca="false">IF(A279="","",VLOOKUP(D279,DIvidend_Assumption!$A$3:$CX$103,($E$2+2),0)/12)</f>
        <v>0</v>
      </c>
      <c r="Q279" s="10" t="n">
        <f aca="false">IF(A279="","",IFERROR(AB278*P279,""))</f>
        <v>0</v>
      </c>
      <c r="R279" s="10" t="n">
        <f aca="false">IF(A279="","",IFERROR(IF(Inputs!$B$22="Accumulate",T279+Q279,IF(Inputs!$B$22="Premium Offset",MAX(0,T279+Q279-Inputs!$B$25),T279)),""))</f>
        <v>0</v>
      </c>
      <c r="S279" s="10" t="n">
        <f aca="false">IF(A279="","",R278)</f>
        <v>0</v>
      </c>
      <c r="T279" s="10" t="n">
        <f aca="false">IF(A279="","",IFERROR(S279*(1+Inputs!$B$23/12),""))</f>
        <v>0</v>
      </c>
      <c r="U279" s="6" t="n">
        <f aca="false">IF(A279="","",IF(D279&lt;=Inputs!$B$8,IF(Inputs!$B$22="Premium Offset",MAX(0,Inputs!$B$25-(Q279+T279)),Inputs!$B$25),0))</f>
        <v>77</v>
      </c>
      <c r="V279" s="10" t="n">
        <f aca="false">IF(A279="","",IF(Inputs!$B$22="Cash",Q279,0))</f>
        <v>0</v>
      </c>
      <c r="W279" s="10" t="n">
        <f aca="false">IF(A279="","",IF(Inputs!$B$22="PUA",Q279,0))</f>
        <v>0</v>
      </c>
      <c r="X279" s="12" t="n">
        <f aca="false">IF(A279="","",IFERROR(INDEX(PUA_TABLE!$D$4:$D$105,MATCH(E279,PUA_TABLE!$C$4:$C$105,1)),0))</f>
        <v>0.493198879208199</v>
      </c>
      <c r="Y279" s="10" t="n">
        <f aca="false">IF(A279="","",IF(W279&gt;0,IF(X279&gt;0,W279/X279,0),0))</f>
        <v>0</v>
      </c>
      <c r="Z279" s="10" t="n">
        <f aca="false">IF(A279="","",N279+Y279)</f>
        <v>0</v>
      </c>
      <c r="AA279" s="10" t="n">
        <f aca="false">IF(A279="","",IFERROR(Z279*INDEX(PUA_TABLE!$I$4:$I$105,MATCH(E279,PUA_TABLE!$C$4:$C$105,1))/1000,0))</f>
        <v>0</v>
      </c>
      <c r="AB279" s="10" t="n">
        <f aca="false">IF(A279="","",IFERROR(L279+AA279,0))</f>
        <v>24732.3627434339</v>
      </c>
      <c r="AC279" s="10" t="n">
        <f aca="false">IF(A279="","",IF(Inputs!$B$22="Premium Offset",MIN(Inputs!$B$25,Q279+T279),0))</f>
        <v>0</v>
      </c>
    </row>
    <row r="280" customFormat="false" ht="15" hidden="false" customHeight="false" outlineLevel="0" collapsed="false">
      <c r="A280" s="1" t="n">
        <f aca="false">IF(A279="","",IF(INT((C279+1)/12)+Inputs!$B$7&gt;MAX(MORTALITY!$A:$A),"",Inputs!$B$4))</f>
        <v>34</v>
      </c>
      <c r="B280" s="3" t="n">
        <f aca="false">IF(A280="","",EOMONTH(B279,1))</f>
        <v>30194</v>
      </c>
      <c r="C280" s="1" t="n">
        <f aca="false">IF(A280="","",C279+1)</f>
        <v>278</v>
      </c>
      <c r="D280" s="1" t="n">
        <f aca="false">IF(A280="","",INT(C280/12))</f>
        <v>23</v>
      </c>
      <c r="E280" s="1" t="n">
        <f aca="false">IF(A280="","",D280+Inputs!$B$7)</f>
        <v>39</v>
      </c>
      <c r="F280" s="3" t="n">
        <f aca="false">IF(A280="","",DATE(YEAR(B$2)+D280,MONTH(B$2),DAY(B$2)))</f>
        <v>30107</v>
      </c>
      <c r="G280" s="3" t="n">
        <f aca="false">IF(A280="","",DATE(YEAR(F280)+1,MONTH(F280),DAY(F280)))</f>
        <v>30472</v>
      </c>
      <c r="H280" s="10" t="n">
        <f aca="false">IF(A280="","",IF(G280&gt;F280,(B280-F280)/(G280-F280),0))</f>
        <v>0.238356164383562</v>
      </c>
      <c r="I280" s="10" t="n">
        <f aca="false">IF(A280="","",IFERROR(INDEX(CV_RATES!$I:$I,MATCH(D280,CV_RATES!$C:$C,0)),0))</f>
        <v>493.198879208199</v>
      </c>
      <c r="J280" s="10" t="n">
        <f aca="false">IF(A280="","",IFERROR(IF(E280=MAX(MORTALITY!$A:$A),1000,INDEX(CV_RATES!$J:$J,MATCH(D280,CV_RATES!$C:$C,0))),0))</f>
        <v>502.639184852397</v>
      </c>
      <c r="K280" s="10" t="n">
        <f aca="false">IF(A280="","",IFERROR(I280+H280*(J280-I280),0))</f>
        <v>495.449034252159</v>
      </c>
      <c r="L280" s="10" t="n">
        <f aca="false">IF(A280="","",IFERROR(K280*Inputs!$B$9,0))</f>
        <v>24772.4517126079</v>
      </c>
      <c r="M280" s="10" t="n">
        <f aca="false">IF(A280="","",IFERROR(K280*Inputs!$B$10,0))</f>
        <v>79270.3591332426</v>
      </c>
      <c r="N280" s="10" t="n">
        <f aca="false">IF(A280="","",Z279)</f>
        <v>0</v>
      </c>
      <c r="O280" s="6" t="n">
        <f aca="false">IF(A280="","",Inputs!$B$18+N280)</f>
        <v>50000</v>
      </c>
      <c r="P280" s="5" t="n">
        <f aca="false">IF(A280="","",VLOOKUP(D280,DIvidend_Assumption!$A$3:$CX$103,($E$2+2),0)/12)</f>
        <v>0</v>
      </c>
      <c r="Q280" s="10" t="n">
        <f aca="false">IF(A280="","",IFERROR(AB279*P280,""))</f>
        <v>0</v>
      </c>
      <c r="R280" s="10" t="n">
        <f aca="false">IF(A280="","",IFERROR(IF(Inputs!$B$22="Accumulate",T280+Q280,IF(Inputs!$B$22="Premium Offset",MAX(0,T280+Q280-Inputs!$B$25),T280)),""))</f>
        <v>0</v>
      </c>
      <c r="S280" s="10" t="n">
        <f aca="false">IF(A280="","",R279)</f>
        <v>0</v>
      </c>
      <c r="T280" s="10" t="n">
        <f aca="false">IF(A280="","",IFERROR(S280*(1+Inputs!$B$23/12),""))</f>
        <v>0</v>
      </c>
      <c r="U280" s="6" t="n">
        <f aca="false">IF(A280="","",IF(D280&lt;=Inputs!$B$8,IF(Inputs!$B$22="Premium Offset",MAX(0,Inputs!$B$25-(Q280+T280)),Inputs!$B$25),0))</f>
        <v>77</v>
      </c>
      <c r="V280" s="10" t="n">
        <f aca="false">IF(A280="","",IF(Inputs!$B$22="Cash",Q280,0))</f>
        <v>0</v>
      </c>
      <c r="W280" s="10" t="n">
        <f aca="false">IF(A280="","",IF(Inputs!$B$22="PUA",Q280,0))</f>
        <v>0</v>
      </c>
      <c r="X280" s="12" t="n">
        <f aca="false">IF(A280="","",IFERROR(INDEX(PUA_TABLE!$D$4:$D$105,MATCH(E280,PUA_TABLE!$C$4:$C$105,1)),0))</f>
        <v>0.493198879208199</v>
      </c>
      <c r="Y280" s="10" t="n">
        <f aca="false">IF(A280="","",IF(W280&gt;0,IF(X280&gt;0,W280/X280,0),0))</f>
        <v>0</v>
      </c>
      <c r="Z280" s="10" t="n">
        <f aca="false">IF(A280="","",N280+Y280)</f>
        <v>0</v>
      </c>
      <c r="AA280" s="10" t="n">
        <f aca="false">IF(A280="","",IFERROR(Z280*INDEX(PUA_TABLE!$I$4:$I$105,MATCH(E280,PUA_TABLE!$C$4:$C$105,1))/1000,0))</f>
        <v>0</v>
      </c>
      <c r="AB280" s="10" t="n">
        <f aca="false">IF(A280="","",IFERROR(L280+AA280,0))</f>
        <v>24772.4517126079</v>
      </c>
      <c r="AC280" s="10" t="n">
        <f aca="false">IF(A280="","",IF(Inputs!$B$22="Premium Offset",MIN(Inputs!$B$25,Q280+T280),0))</f>
        <v>0</v>
      </c>
    </row>
    <row r="281" customFormat="false" ht="15" hidden="false" customHeight="false" outlineLevel="0" collapsed="false">
      <c r="A281" s="1" t="n">
        <f aca="false">IF(A280="","",IF(INT((C280+1)/12)+Inputs!$B$7&gt;MAX(MORTALITY!$A:$A),"",Inputs!$B$4))</f>
        <v>34</v>
      </c>
      <c r="B281" s="3" t="n">
        <f aca="false">IF(A281="","",EOMONTH(B280,1))</f>
        <v>30224</v>
      </c>
      <c r="C281" s="1" t="n">
        <f aca="false">IF(A281="","",C280+1)</f>
        <v>279</v>
      </c>
      <c r="D281" s="1" t="n">
        <f aca="false">IF(A281="","",INT(C281/12))</f>
        <v>23</v>
      </c>
      <c r="E281" s="1" t="n">
        <f aca="false">IF(A281="","",D281+Inputs!$B$7)</f>
        <v>39</v>
      </c>
      <c r="F281" s="3" t="n">
        <f aca="false">IF(A281="","",DATE(YEAR(B$2)+D281,MONTH(B$2),DAY(B$2)))</f>
        <v>30107</v>
      </c>
      <c r="G281" s="3" t="n">
        <f aca="false">IF(A281="","",DATE(YEAR(F281)+1,MONTH(F281),DAY(F281)))</f>
        <v>30472</v>
      </c>
      <c r="H281" s="10" t="n">
        <f aca="false">IF(A281="","",IF(G281&gt;F281,(B281-F281)/(G281-F281),0))</f>
        <v>0.320547945205479</v>
      </c>
      <c r="I281" s="10" t="n">
        <f aca="false">IF(A281="","",IFERROR(INDEX(CV_RATES!$I:$I,MATCH(D281,CV_RATES!$C:$C,0)),0))</f>
        <v>493.198879208199</v>
      </c>
      <c r="J281" s="10" t="n">
        <f aca="false">IF(A281="","",IFERROR(IF(E281=MAX(MORTALITY!$A:$A),1000,INDEX(CV_RATES!$J:$J,MATCH(D281,CV_RATES!$C:$C,0))),0))</f>
        <v>502.639184852397</v>
      </c>
      <c r="K281" s="10" t="n">
        <f aca="false">IF(A281="","",IFERROR(I281+H281*(J281-I281),0))</f>
        <v>496.224949784559</v>
      </c>
      <c r="L281" s="10" t="n">
        <f aca="false">IF(A281="","",IFERROR(K281*Inputs!$B$9,0))</f>
        <v>24811.2474892279</v>
      </c>
      <c r="M281" s="10" t="n">
        <f aca="false">IF(A281="","",IFERROR(K281*Inputs!$B$10,0))</f>
        <v>79394.50329068</v>
      </c>
      <c r="N281" s="10" t="n">
        <f aca="false">IF(A281="","",Z280)</f>
        <v>0</v>
      </c>
      <c r="O281" s="6" t="n">
        <f aca="false">IF(A281="","",Inputs!$B$18+N281)</f>
        <v>50000</v>
      </c>
      <c r="P281" s="5" t="n">
        <f aca="false">IF(A281="","",VLOOKUP(D281,DIvidend_Assumption!$A$3:$CX$103,($E$2+2),0)/12)</f>
        <v>0</v>
      </c>
      <c r="Q281" s="10" t="n">
        <f aca="false">IF(A281="","",IFERROR(AB280*P281,""))</f>
        <v>0</v>
      </c>
      <c r="R281" s="10" t="n">
        <f aca="false">IF(A281="","",IFERROR(IF(Inputs!$B$22="Accumulate",T281+Q281,IF(Inputs!$B$22="Premium Offset",MAX(0,T281+Q281-Inputs!$B$25),T281)),""))</f>
        <v>0</v>
      </c>
      <c r="S281" s="10" t="n">
        <f aca="false">IF(A281="","",R280)</f>
        <v>0</v>
      </c>
      <c r="T281" s="10" t="n">
        <f aca="false">IF(A281="","",IFERROR(S281*(1+Inputs!$B$23/12),""))</f>
        <v>0</v>
      </c>
      <c r="U281" s="6" t="n">
        <f aca="false">IF(A281="","",IF(D281&lt;=Inputs!$B$8,IF(Inputs!$B$22="Premium Offset",MAX(0,Inputs!$B$25-(Q281+T281)),Inputs!$B$25),0))</f>
        <v>77</v>
      </c>
      <c r="V281" s="10" t="n">
        <f aca="false">IF(A281="","",IF(Inputs!$B$22="Cash",Q281,0))</f>
        <v>0</v>
      </c>
      <c r="W281" s="10" t="n">
        <f aca="false">IF(A281="","",IF(Inputs!$B$22="PUA",Q281,0))</f>
        <v>0</v>
      </c>
      <c r="X281" s="12" t="n">
        <f aca="false">IF(A281="","",IFERROR(INDEX(PUA_TABLE!$D$4:$D$105,MATCH(E281,PUA_TABLE!$C$4:$C$105,1)),0))</f>
        <v>0.493198879208199</v>
      </c>
      <c r="Y281" s="10" t="n">
        <f aca="false">IF(A281="","",IF(W281&gt;0,IF(X281&gt;0,W281/X281,0),0))</f>
        <v>0</v>
      </c>
      <c r="Z281" s="10" t="n">
        <f aca="false">IF(A281="","",N281+Y281)</f>
        <v>0</v>
      </c>
      <c r="AA281" s="10" t="n">
        <f aca="false">IF(A281="","",IFERROR(Z281*INDEX(PUA_TABLE!$I$4:$I$105,MATCH(E281,PUA_TABLE!$C$4:$C$105,1))/1000,0))</f>
        <v>0</v>
      </c>
      <c r="AB281" s="10" t="n">
        <f aca="false">IF(A281="","",IFERROR(L281+AA281,0))</f>
        <v>24811.2474892279</v>
      </c>
      <c r="AC281" s="10" t="n">
        <f aca="false">IF(A281="","",IF(Inputs!$B$22="Premium Offset",MIN(Inputs!$B$25,Q281+T281),0))</f>
        <v>0</v>
      </c>
    </row>
    <row r="282" customFormat="false" ht="15" hidden="false" customHeight="false" outlineLevel="0" collapsed="false">
      <c r="A282" s="1" t="n">
        <f aca="false">IF(A281="","",IF(INT((C281+1)/12)+Inputs!$B$7&gt;MAX(MORTALITY!$A:$A),"",Inputs!$B$4))</f>
        <v>34</v>
      </c>
      <c r="B282" s="3" t="n">
        <f aca="false">IF(A282="","",EOMONTH(B281,1))</f>
        <v>30255</v>
      </c>
      <c r="C282" s="1" t="n">
        <f aca="false">IF(A282="","",C281+1)</f>
        <v>280</v>
      </c>
      <c r="D282" s="1" t="n">
        <f aca="false">IF(A282="","",INT(C282/12))</f>
        <v>23</v>
      </c>
      <c r="E282" s="1" t="n">
        <f aca="false">IF(A282="","",D282+Inputs!$B$7)</f>
        <v>39</v>
      </c>
      <c r="F282" s="3" t="n">
        <f aca="false">IF(A282="","",DATE(YEAR(B$2)+D282,MONTH(B$2),DAY(B$2)))</f>
        <v>30107</v>
      </c>
      <c r="G282" s="3" t="n">
        <f aca="false">IF(A282="","",DATE(YEAR(F282)+1,MONTH(F282),DAY(F282)))</f>
        <v>30472</v>
      </c>
      <c r="H282" s="10" t="n">
        <f aca="false">IF(A282="","",IF(G282&gt;F282,(B282-F282)/(G282-F282),0))</f>
        <v>0.405479452054795</v>
      </c>
      <c r="I282" s="10" t="n">
        <f aca="false">IF(A282="","",IFERROR(INDEX(CV_RATES!$I:$I,MATCH(D282,CV_RATES!$C:$C,0)),0))</f>
        <v>493.198879208199</v>
      </c>
      <c r="J282" s="10" t="n">
        <f aca="false">IF(A282="","",IFERROR(IF(E282=MAX(MORTALITY!$A:$A),1000,INDEX(CV_RATES!$J:$J,MATCH(D282,CV_RATES!$C:$C,0))),0))</f>
        <v>502.639184852397</v>
      </c>
      <c r="K282" s="10" t="n">
        <f aca="false">IF(A282="","",IFERROR(I282+H282*(J282-I282),0))</f>
        <v>497.026729168038</v>
      </c>
      <c r="L282" s="10" t="n">
        <f aca="false">IF(A282="","",IFERROR(K282*Inputs!$B$9,0))</f>
        <v>24851.3364584019</v>
      </c>
      <c r="M282" s="10" t="n">
        <f aca="false">IF(A282="","",IFERROR(K282*Inputs!$B$10,0))</f>
        <v>79522.7855866986</v>
      </c>
      <c r="N282" s="10" t="n">
        <f aca="false">IF(A282="","",Z281)</f>
        <v>0</v>
      </c>
      <c r="O282" s="6" t="n">
        <f aca="false">IF(A282="","",Inputs!$B$18+N282)</f>
        <v>50000</v>
      </c>
      <c r="P282" s="5" t="n">
        <f aca="false">IF(A282="","",VLOOKUP(D282,DIvidend_Assumption!$A$3:$CX$103,($E$2+2),0)/12)</f>
        <v>0</v>
      </c>
      <c r="Q282" s="10" t="n">
        <f aca="false">IF(A282="","",IFERROR(AB281*P282,""))</f>
        <v>0</v>
      </c>
      <c r="R282" s="10" t="n">
        <f aca="false">IF(A282="","",IFERROR(IF(Inputs!$B$22="Accumulate",T282+Q282,IF(Inputs!$B$22="Premium Offset",MAX(0,T282+Q282-Inputs!$B$25),T282)),""))</f>
        <v>0</v>
      </c>
      <c r="S282" s="10" t="n">
        <f aca="false">IF(A282="","",R281)</f>
        <v>0</v>
      </c>
      <c r="T282" s="10" t="n">
        <f aca="false">IF(A282="","",IFERROR(S282*(1+Inputs!$B$23/12),""))</f>
        <v>0</v>
      </c>
      <c r="U282" s="6" t="n">
        <f aca="false">IF(A282="","",IF(D282&lt;=Inputs!$B$8,IF(Inputs!$B$22="Premium Offset",MAX(0,Inputs!$B$25-(Q282+T282)),Inputs!$B$25),0))</f>
        <v>77</v>
      </c>
      <c r="V282" s="10" t="n">
        <f aca="false">IF(A282="","",IF(Inputs!$B$22="Cash",Q282,0))</f>
        <v>0</v>
      </c>
      <c r="W282" s="10" t="n">
        <f aca="false">IF(A282="","",IF(Inputs!$B$22="PUA",Q282,0))</f>
        <v>0</v>
      </c>
      <c r="X282" s="12" t="n">
        <f aca="false">IF(A282="","",IFERROR(INDEX(PUA_TABLE!$D$4:$D$105,MATCH(E282,PUA_TABLE!$C$4:$C$105,1)),0))</f>
        <v>0.493198879208199</v>
      </c>
      <c r="Y282" s="10" t="n">
        <f aca="false">IF(A282="","",IF(W282&gt;0,IF(X282&gt;0,W282/X282,0),0))</f>
        <v>0</v>
      </c>
      <c r="Z282" s="10" t="n">
        <f aca="false">IF(A282="","",N282+Y282)</f>
        <v>0</v>
      </c>
      <c r="AA282" s="10" t="n">
        <f aca="false">IF(A282="","",IFERROR(Z282*INDEX(PUA_TABLE!$I$4:$I$105,MATCH(E282,PUA_TABLE!$C$4:$C$105,1))/1000,0))</f>
        <v>0</v>
      </c>
      <c r="AB282" s="10" t="n">
        <f aca="false">IF(A282="","",IFERROR(L282+AA282,0))</f>
        <v>24851.3364584019</v>
      </c>
      <c r="AC282" s="10" t="n">
        <f aca="false">IF(A282="","",IF(Inputs!$B$22="Premium Offset",MIN(Inputs!$B$25,Q282+T282),0))</f>
        <v>0</v>
      </c>
    </row>
    <row r="283" customFormat="false" ht="15" hidden="false" customHeight="false" outlineLevel="0" collapsed="false">
      <c r="A283" s="1" t="n">
        <f aca="false">IF(A282="","",IF(INT((C282+1)/12)+Inputs!$B$7&gt;MAX(MORTALITY!$A:$A),"",Inputs!$B$4))</f>
        <v>34</v>
      </c>
      <c r="B283" s="3" t="n">
        <f aca="false">IF(A283="","",EOMONTH(B282,1))</f>
        <v>30285</v>
      </c>
      <c r="C283" s="1" t="n">
        <f aca="false">IF(A283="","",C282+1)</f>
        <v>281</v>
      </c>
      <c r="D283" s="1" t="n">
        <f aca="false">IF(A283="","",INT(C283/12))</f>
        <v>23</v>
      </c>
      <c r="E283" s="1" t="n">
        <f aca="false">IF(A283="","",D283+Inputs!$B$7)</f>
        <v>39</v>
      </c>
      <c r="F283" s="3" t="n">
        <f aca="false">IF(A283="","",DATE(YEAR(B$2)+D283,MONTH(B$2),DAY(B$2)))</f>
        <v>30107</v>
      </c>
      <c r="G283" s="3" t="n">
        <f aca="false">IF(A283="","",DATE(YEAR(F283)+1,MONTH(F283),DAY(F283)))</f>
        <v>30472</v>
      </c>
      <c r="H283" s="10" t="n">
        <f aca="false">IF(A283="","",IF(G283&gt;F283,(B283-F283)/(G283-F283),0))</f>
        <v>0.487671232876712</v>
      </c>
      <c r="I283" s="10" t="n">
        <f aca="false">IF(A283="","",IFERROR(INDEX(CV_RATES!$I:$I,MATCH(D283,CV_RATES!$C:$C,0)),0))</f>
        <v>493.198879208199</v>
      </c>
      <c r="J283" s="10" t="n">
        <f aca="false">IF(A283="","",IFERROR(IF(E283=MAX(MORTALITY!$A:$A),1000,INDEX(CV_RATES!$J:$J,MATCH(D283,CV_RATES!$C:$C,0))),0))</f>
        <v>502.639184852397</v>
      </c>
      <c r="K283" s="10" t="n">
        <f aca="false">IF(A283="","",IFERROR(I283+H283*(J283-I283),0))</f>
        <v>497.802644700438</v>
      </c>
      <c r="L283" s="10" t="n">
        <f aca="false">IF(A283="","",IFERROR(K283*Inputs!$B$9,0))</f>
        <v>24890.1322350219</v>
      </c>
      <c r="M283" s="10" t="n">
        <f aca="false">IF(A283="","",IFERROR(K283*Inputs!$B$10,0))</f>
        <v>79646.929744136</v>
      </c>
      <c r="N283" s="10" t="n">
        <f aca="false">IF(A283="","",Z282)</f>
        <v>0</v>
      </c>
      <c r="O283" s="6" t="n">
        <f aca="false">IF(A283="","",Inputs!$B$18+N283)</f>
        <v>50000</v>
      </c>
      <c r="P283" s="5" t="n">
        <f aca="false">IF(A283="","",VLOOKUP(D283,DIvidend_Assumption!$A$3:$CX$103,($E$2+2),0)/12)</f>
        <v>0</v>
      </c>
      <c r="Q283" s="10" t="n">
        <f aca="false">IF(A283="","",IFERROR(AB282*P283,""))</f>
        <v>0</v>
      </c>
      <c r="R283" s="10" t="n">
        <f aca="false">IF(A283="","",IFERROR(IF(Inputs!$B$22="Accumulate",T283+Q283,IF(Inputs!$B$22="Premium Offset",MAX(0,T283+Q283-Inputs!$B$25),T283)),""))</f>
        <v>0</v>
      </c>
      <c r="S283" s="10" t="n">
        <f aca="false">IF(A283="","",R282)</f>
        <v>0</v>
      </c>
      <c r="T283" s="10" t="n">
        <f aca="false">IF(A283="","",IFERROR(S283*(1+Inputs!$B$23/12),""))</f>
        <v>0</v>
      </c>
      <c r="U283" s="6" t="n">
        <f aca="false">IF(A283="","",IF(D283&lt;=Inputs!$B$8,IF(Inputs!$B$22="Premium Offset",MAX(0,Inputs!$B$25-(Q283+T283)),Inputs!$B$25),0))</f>
        <v>77</v>
      </c>
      <c r="V283" s="10" t="n">
        <f aca="false">IF(A283="","",IF(Inputs!$B$22="Cash",Q283,0))</f>
        <v>0</v>
      </c>
      <c r="W283" s="10" t="n">
        <f aca="false">IF(A283="","",IF(Inputs!$B$22="PUA",Q283,0))</f>
        <v>0</v>
      </c>
      <c r="X283" s="12" t="n">
        <f aca="false">IF(A283="","",IFERROR(INDEX(PUA_TABLE!$D$4:$D$105,MATCH(E283,PUA_TABLE!$C$4:$C$105,1)),0))</f>
        <v>0.493198879208199</v>
      </c>
      <c r="Y283" s="10" t="n">
        <f aca="false">IF(A283="","",IF(W283&gt;0,IF(X283&gt;0,W283/X283,0),0))</f>
        <v>0</v>
      </c>
      <c r="Z283" s="10" t="n">
        <f aca="false">IF(A283="","",N283+Y283)</f>
        <v>0</v>
      </c>
      <c r="AA283" s="10" t="n">
        <f aca="false">IF(A283="","",IFERROR(Z283*INDEX(PUA_TABLE!$I$4:$I$105,MATCH(E283,PUA_TABLE!$C$4:$C$105,1))/1000,0))</f>
        <v>0</v>
      </c>
      <c r="AB283" s="10" t="n">
        <f aca="false">IF(A283="","",IFERROR(L283+AA283,0))</f>
        <v>24890.1322350219</v>
      </c>
      <c r="AC283" s="10" t="n">
        <f aca="false">IF(A283="","",IF(Inputs!$B$22="Premium Offset",MIN(Inputs!$B$25,Q283+T283),0))</f>
        <v>0</v>
      </c>
    </row>
    <row r="284" customFormat="false" ht="15" hidden="false" customHeight="false" outlineLevel="0" collapsed="false">
      <c r="A284" s="1" t="n">
        <f aca="false">IF(A283="","",IF(INT((C283+1)/12)+Inputs!$B$7&gt;MAX(MORTALITY!$A:$A),"",Inputs!$B$4))</f>
        <v>34</v>
      </c>
      <c r="B284" s="3" t="n">
        <f aca="false">IF(A284="","",EOMONTH(B283,1))</f>
        <v>30316</v>
      </c>
      <c r="C284" s="1" t="n">
        <f aca="false">IF(A284="","",C283+1)</f>
        <v>282</v>
      </c>
      <c r="D284" s="1" t="n">
        <f aca="false">IF(A284="","",INT(C284/12))</f>
        <v>23</v>
      </c>
      <c r="E284" s="1" t="n">
        <f aca="false">IF(A284="","",D284+Inputs!$B$7)</f>
        <v>39</v>
      </c>
      <c r="F284" s="3" t="n">
        <f aca="false">IF(A284="","",DATE(YEAR(B$2)+D284,MONTH(B$2),DAY(B$2)))</f>
        <v>30107</v>
      </c>
      <c r="G284" s="3" t="n">
        <f aca="false">IF(A284="","",DATE(YEAR(F284)+1,MONTH(F284),DAY(F284)))</f>
        <v>30472</v>
      </c>
      <c r="H284" s="10" t="n">
        <f aca="false">IF(A284="","",IF(G284&gt;F284,(B284-F284)/(G284-F284),0))</f>
        <v>0.572602739726027</v>
      </c>
      <c r="I284" s="10" t="n">
        <f aca="false">IF(A284="","",IFERROR(INDEX(CV_RATES!$I:$I,MATCH(D284,CV_RATES!$C:$C,0)),0))</f>
        <v>493.198879208199</v>
      </c>
      <c r="J284" s="10" t="n">
        <f aca="false">IF(A284="","",IFERROR(IF(E284=MAX(MORTALITY!$A:$A),1000,INDEX(CV_RATES!$J:$J,MATCH(D284,CV_RATES!$C:$C,0))),0))</f>
        <v>502.639184852397</v>
      </c>
      <c r="K284" s="10" t="n">
        <f aca="false">IF(A284="","",IFERROR(I284+H284*(J284-I284),0))</f>
        <v>498.604424083918</v>
      </c>
      <c r="L284" s="10" t="n">
        <f aca="false">IF(A284="","",IFERROR(K284*Inputs!$B$9,0))</f>
        <v>24930.2212041959</v>
      </c>
      <c r="M284" s="10" t="n">
        <f aca="false">IF(A284="","",IFERROR(K284*Inputs!$B$10,0))</f>
        <v>79775.2120401546</v>
      </c>
      <c r="N284" s="10" t="n">
        <f aca="false">IF(A284="","",Z283)</f>
        <v>0</v>
      </c>
      <c r="O284" s="6" t="n">
        <f aca="false">IF(A284="","",Inputs!$B$18+N284)</f>
        <v>50000</v>
      </c>
      <c r="P284" s="5" t="n">
        <f aca="false">IF(A284="","",VLOOKUP(D284,DIvidend_Assumption!$A$3:$CX$103,($E$2+2),0)/12)</f>
        <v>0</v>
      </c>
      <c r="Q284" s="10" t="n">
        <f aca="false">IF(A284="","",IFERROR(AB283*P284,""))</f>
        <v>0</v>
      </c>
      <c r="R284" s="10" t="n">
        <f aca="false">IF(A284="","",IFERROR(IF(Inputs!$B$22="Accumulate",T284+Q284,IF(Inputs!$B$22="Premium Offset",MAX(0,T284+Q284-Inputs!$B$25),T284)),""))</f>
        <v>0</v>
      </c>
      <c r="S284" s="10" t="n">
        <f aca="false">IF(A284="","",R283)</f>
        <v>0</v>
      </c>
      <c r="T284" s="10" t="n">
        <f aca="false">IF(A284="","",IFERROR(S284*(1+Inputs!$B$23/12),""))</f>
        <v>0</v>
      </c>
      <c r="U284" s="6" t="n">
        <f aca="false">IF(A284="","",IF(D284&lt;=Inputs!$B$8,IF(Inputs!$B$22="Premium Offset",MAX(0,Inputs!$B$25-(Q284+T284)),Inputs!$B$25),0))</f>
        <v>77</v>
      </c>
      <c r="V284" s="10" t="n">
        <f aca="false">IF(A284="","",IF(Inputs!$B$22="Cash",Q284,0))</f>
        <v>0</v>
      </c>
      <c r="W284" s="10" t="n">
        <f aca="false">IF(A284="","",IF(Inputs!$B$22="PUA",Q284,0))</f>
        <v>0</v>
      </c>
      <c r="X284" s="12" t="n">
        <f aca="false">IF(A284="","",IFERROR(INDEX(PUA_TABLE!$D$4:$D$105,MATCH(E284,PUA_TABLE!$C$4:$C$105,1)),0))</f>
        <v>0.493198879208199</v>
      </c>
      <c r="Y284" s="10" t="n">
        <f aca="false">IF(A284="","",IF(W284&gt;0,IF(X284&gt;0,W284/X284,0),0))</f>
        <v>0</v>
      </c>
      <c r="Z284" s="10" t="n">
        <f aca="false">IF(A284="","",N284+Y284)</f>
        <v>0</v>
      </c>
      <c r="AA284" s="10" t="n">
        <f aca="false">IF(A284="","",IFERROR(Z284*INDEX(PUA_TABLE!$I$4:$I$105,MATCH(E284,PUA_TABLE!$C$4:$C$105,1))/1000,0))</f>
        <v>0</v>
      </c>
      <c r="AB284" s="10" t="n">
        <f aca="false">IF(A284="","",IFERROR(L284+AA284,0))</f>
        <v>24930.2212041959</v>
      </c>
      <c r="AC284" s="10" t="n">
        <f aca="false">IF(A284="","",IF(Inputs!$B$22="Premium Offset",MIN(Inputs!$B$25,Q284+T284),0))</f>
        <v>0</v>
      </c>
    </row>
    <row r="285" customFormat="false" ht="15" hidden="false" customHeight="false" outlineLevel="0" collapsed="false">
      <c r="A285" s="1" t="n">
        <f aca="false">IF(A284="","",IF(INT((C284+1)/12)+Inputs!$B$7&gt;MAX(MORTALITY!$A:$A),"",Inputs!$B$4))</f>
        <v>34</v>
      </c>
      <c r="B285" s="3" t="n">
        <f aca="false">IF(A285="","",EOMONTH(B284,1))</f>
        <v>30347</v>
      </c>
      <c r="C285" s="1" t="n">
        <f aca="false">IF(A285="","",C284+1)</f>
        <v>283</v>
      </c>
      <c r="D285" s="1" t="n">
        <f aca="false">IF(A285="","",INT(C285/12))</f>
        <v>23</v>
      </c>
      <c r="E285" s="1" t="n">
        <f aca="false">IF(A285="","",D285+Inputs!$B$7)</f>
        <v>39</v>
      </c>
      <c r="F285" s="3" t="n">
        <f aca="false">IF(A285="","",DATE(YEAR(B$2)+D285,MONTH(B$2),DAY(B$2)))</f>
        <v>30107</v>
      </c>
      <c r="G285" s="3" t="n">
        <f aca="false">IF(A285="","",DATE(YEAR(F285)+1,MONTH(F285),DAY(F285)))</f>
        <v>30472</v>
      </c>
      <c r="H285" s="10" t="n">
        <f aca="false">IF(A285="","",IF(G285&gt;F285,(B285-F285)/(G285-F285),0))</f>
        <v>0.657534246575342</v>
      </c>
      <c r="I285" s="10" t="n">
        <f aca="false">IF(A285="","",IFERROR(INDEX(CV_RATES!$I:$I,MATCH(D285,CV_RATES!$C:$C,0)),0))</f>
        <v>493.198879208199</v>
      </c>
      <c r="J285" s="10" t="n">
        <f aca="false">IF(A285="","",IFERROR(IF(E285=MAX(MORTALITY!$A:$A),1000,INDEX(CV_RATES!$J:$J,MATCH(D285,CV_RATES!$C:$C,0))),0))</f>
        <v>502.639184852397</v>
      </c>
      <c r="K285" s="10" t="n">
        <f aca="false">IF(A285="","",IFERROR(I285+H285*(J285-I285),0))</f>
        <v>499.406203467398</v>
      </c>
      <c r="L285" s="10" t="n">
        <f aca="false">IF(A285="","",IFERROR(K285*Inputs!$B$9,0))</f>
        <v>24970.3101733699</v>
      </c>
      <c r="M285" s="10" t="n">
        <f aca="false">IF(A285="","",IFERROR(K285*Inputs!$B$10,0))</f>
        <v>79903.4943361732</v>
      </c>
      <c r="N285" s="10" t="n">
        <f aca="false">IF(A285="","",Z284)</f>
        <v>0</v>
      </c>
      <c r="O285" s="6" t="n">
        <f aca="false">IF(A285="","",Inputs!$B$18+N285)</f>
        <v>50000</v>
      </c>
      <c r="P285" s="5" t="n">
        <f aca="false">IF(A285="","",VLOOKUP(D285,DIvidend_Assumption!$A$3:$CX$103,($E$2+2),0)/12)</f>
        <v>0</v>
      </c>
      <c r="Q285" s="10" t="n">
        <f aca="false">IF(A285="","",IFERROR(AB284*P285,""))</f>
        <v>0</v>
      </c>
      <c r="R285" s="10" t="n">
        <f aca="false">IF(A285="","",IFERROR(IF(Inputs!$B$22="Accumulate",T285+Q285,IF(Inputs!$B$22="Premium Offset",MAX(0,T285+Q285-Inputs!$B$25),T285)),""))</f>
        <v>0</v>
      </c>
      <c r="S285" s="10" t="n">
        <f aca="false">IF(A285="","",R284)</f>
        <v>0</v>
      </c>
      <c r="T285" s="10" t="n">
        <f aca="false">IF(A285="","",IFERROR(S285*(1+Inputs!$B$23/12),""))</f>
        <v>0</v>
      </c>
      <c r="U285" s="6" t="n">
        <f aca="false">IF(A285="","",IF(D285&lt;=Inputs!$B$8,IF(Inputs!$B$22="Premium Offset",MAX(0,Inputs!$B$25-(Q285+T285)),Inputs!$B$25),0))</f>
        <v>77</v>
      </c>
      <c r="V285" s="10" t="n">
        <f aca="false">IF(A285="","",IF(Inputs!$B$22="Cash",Q285,0))</f>
        <v>0</v>
      </c>
      <c r="W285" s="10" t="n">
        <f aca="false">IF(A285="","",IF(Inputs!$B$22="PUA",Q285,0))</f>
        <v>0</v>
      </c>
      <c r="X285" s="12" t="n">
        <f aca="false">IF(A285="","",IFERROR(INDEX(PUA_TABLE!$D$4:$D$105,MATCH(E285,PUA_TABLE!$C$4:$C$105,1)),0))</f>
        <v>0.493198879208199</v>
      </c>
      <c r="Y285" s="10" t="n">
        <f aca="false">IF(A285="","",IF(W285&gt;0,IF(X285&gt;0,W285/X285,0),0))</f>
        <v>0</v>
      </c>
      <c r="Z285" s="10" t="n">
        <f aca="false">IF(A285="","",N285+Y285)</f>
        <v>0</v>
      </c>
      <c r="AA285" s="10" t="n">
        <f aca="false">IF(A285="","",IFERROR(Z285*INDEX(PUA_TABLE!$I$4:$I$105,MATCH(E285,PUA_TABLE!$C$4:$C$105,1))/1000,0))</f>
        <v>0</v>
      </c>
      <c r="AB285" s="10" t="n">
        <f aca="false">IF(A285="","",IFERROR(L285+AA285,0))</f>
        <v>24970.3101733699</v>
      </c>
      <c r="AC285" s="10" t="n">
        <f aca="false">IF(A285="","",IF(Inputs!$B$22="Premium Offset",MIN(Inputs!$B$25,Q285+T285),0))</f>
        <v>0</v>
      </c>
    </row>
    <row r="286" customFormat="false" ht="15" hidden="false" customHeight="false" outlineLevel="0" collapsed="false">
      <c r="A286" s="1" t="n">
        <f aca="false">IF(A285="","",IF(INT((C285+1)/12)+Inputs!$B$7&gt;MAX(MORTALITY!$A:$A),"",Inputs!$B$4))</f>
        <v>34</v>
      </c>
      <c r="B286" s="3" t="n">
        <f aca="false">IF(A286="","",EOMONTH(B285,1))</f>
        <v>30375</v>
      </c>
      <c r="C286" s="1" t="n">
        <f aca="false">IF(A286="","",C285+1)</f>
        <v>284</v>
      </c>
      <c r="D286" s="1" t="n">
        <f aca="false">IF(A286="","",INT(C286/12))</f>
        <v>23</v>
      </c>
      <c r="E286" s="1" t="n">
        <f aca="false">IF(A286="","",D286+Inputs!$B$7)</f>
        <v>39</v>
      </c>
      <c r="F286" s="3" t="n">
        <f aca="false">IF(A286="","",DATE(YEAR(B$2)+D286,MONTH(B$2),DAY(B$2)))</f>
        <v>30107</v>
      </c>
      <c r="G286" s="3" t="n">
        <f aca="false">IF(A286="","",DATE(YEAR(F286)+1,MONTH(F286),DAY(F286)))</f>
        <v>30472</v>
      </c>
      <c r="H286" s="10" t="n">
        <f aca="false">IF(A286="","",IF(G286&gt;F286,(B286-F286)/(G286-F286),0))</f>
        <v>0.734246575342466</v>
      </c>
      <c r="I286" s="10" t="n">
        <f aca="false">IF(A286="","",IFERROR(INDEX(CV_RATES!$I:$I,MATCH(D286,CV_RATES!$C:$C,0)),0))</f>
        <v>493.198879208199</v>
      </c>
      <c r="J286" s="10" t="n">
        <f aca="false">IF(A286="","",IFERROR(IF(E286=MAX(MORTALITY!$A:$A),1000,INDEX(CV_RATES!$J:$J,MATCH(D286,CV_RATES!$C:$C,0))),0))</f>
        <v>502.639184852397</v>
      </c>
      <c r="K286" s="10" t="n">
        <f aca="false">IF(A286="","",IFERROR(I286+H286*(J286-I286),0))</f>
        <v>500.130391297637</v>
      </c>
      <c r="L286" s="10" t="n">
        <f aca="false">IF(A286="","",IFERROR(K286*Inputs!$B$9,0))</f>
        <v>25006.5195648819</v>
      </c>
      <c r="M286" s="10" t="n">
        <f aca="false">IF(A286="","",IFERROR(K286*Inputs!$B$10,0))</f>
        <v>80019.3622164481</v>
      </c>
      <c r="N286" s="10" t="n">
        <f aca="false">IF(A286="","",Z285)</f>
        <v>0</v>
      </c>
      <c r="O286" s="6" t="n">
        <f aca="false">IF(A286="","",Inputs!$B$18+N286)</f>
        <v>50000</v>
      </c>
      <c r="P286" s="5" t="n">
        <f aca="false">IF(A286="","",VLOOKUP(D286,DIvidend_Assumption!$A$3:$CX$103,($E$2+2),0)/12)</f>
        <v>0</v>
      </c>
      <c r="Q286" s="10" t="n">
        <f aca="false">IF(A286="","",IFERROR(AB285*P286,""))</f>
        <v>0</v>
      </c>
      <c r="R286" s="10" t="n">
        <f aca="false">IF(A286="","",IFERROR(IF(Inputs!$B$22="Accumulate",T286+Q286,IF(Inputs!$B$22="Premium Offset",MAX(0,T286+Q286-Inputs!$B$25),T286)),""))</f>
        <v>0</v>
      </c>
      <c r="S286" s="10" t="n">
        <f aca="false">IF(A286="","",R285)</f>
        <v>0</v>
      </c>
      <c r="T286" s="10" t="n">
        <f aca="false">IF(A286="","",IFERROR(S286*(1+Inputs!$B$23/12),""))</f>
        <v>0</v>
      </c>
      <c r="U286" s="6" t="n">
        <f aca="false">IF(A286="","",IF(D286&lt;=Inputs!$B$8,IF(Inputs!$B$22="Premium Offset",MAX(0,Inputs!$B$25-(Q286+T286)),Inputs!$B$25),0))</f>
        <v>77</v>
      </c>
      <c r="V286" s="10" t="n">
        <f aca="false">IF(A286="","",IF(Inputs!$B$22="Cash",Q286,0))</f>
        <v>0</v>
      </c>
      <c r="W286" s="10" t="n">
        <f aca="false">IF(A286="","",IF(Inputs!$B$22="PUA",Q286,0))</f>
        <v>0</v>
      </c>
      <c r="X286" s="12" t="n">
        <f aca="false">IF(A286="","",IFERROR(INDEX(PUA_TABLE!$D$4:$D$105,MATCH(E286,PUA_TABLE!$C$4:$C$105,1)),0))</f>
        <v>0.493198879208199</v>
      </c>
      <c r="Y286" s="10" t="n">
        <f aca="false">IF(A286="","",IF(W286&gt;0,IF(X286&gt;0,W286/X286,0),0))</f>
        <v>0</v>
      </c>
      <c r="Z286" s="10" t="n">
        <f aca="false">IF(A286="","",N286+Y286)</f>
        <v>0</v>
      </c>
      <c r="AA286" s="10" t="n">
        <f aca="false">IF(A286="","",IFERROR(Z286*INDEX(PUA_TABLE!$I$4:$I$105,MATCH(E286,PUA_TABLE!$C$4:$C$105,1))/1000,0))</f>
        <v>0</v>
      </c>
      <c r="AB286" s="10" t="n">
        <f aca="false">IF(A286="","",IFERROR(L286+AA286,0))</f>
        <v>25006.5195648819</v>
      </c>
      <c r="AC286" s="10" t="n">
        <f aca="false">IF(A286="","",IF(Inputs!$B$22="Premium Offset",MIN(Inputs!$B$25,Q286+T286),0))</f>
        <v>0</v>
      </c>
    </row>
    <row r="287" customFormat="false" ht="15" hidden="false" customHeight="false" outlineLevel="0" collapsed="false">
      <c r="A287" s="1" t="n">
        <f aca="false">IF(A286="","",IF(INT((C286+1)/12)+Inputs!$B$7&gt;MAX(MORTALITY!$A:$A),"",Inputs!$B$4))</f>
        <v>34</v>
      </c>
      <c r="B287" s="3" t="n">
        <f aca="false">IF(A287="","",EOMONTH(B286,1))</f>
        <v>30406</v>
      </c>
      <c r="C287" s="1" t="n">
        <f aca="false">IF(A287="","",C286+1)</f>
        <v>285</v>
      </c>
      <c r="D287" s="1" t="n">
        <f aca="false">IF(A287="","",INT(C287/12))</f>
        <v>23</v>
      </c>
      <c r="E287" s="1" t="n">
        <f aca="false">IF(A287="","",D287+Inputs!$B$7)</f>
        <v>39</v>
      </c>
      <c r="F287" s="3" t="n">
        <f aca="false">IF(A287="","",DATE(YEAR(B$2)+D287,MONTH(B$2),DAY(B$2)))</f>
        <v>30107</v>
      </c>
      <c r="G287" s="3" t="n">
        <f aca="false">IF(A287="","",DATE(YEAR(F287)+1,MONTH(F287),DAY(F287)))</f>
        <v>30472</v>
      </c>
      <c r="H287" s="10" t="n">
        <f aca="false">IF(A287="","",IF(G287&gt;F287,(B287-F287)/(G287-F287),0))</f>
        <v>0.819178082191781</v>
      </c>
      <c r="I287" s="10" t="n">
        <f aca="false">IF(A287="","",IFERROR(INDEX(CV_RATES!$I:$I,MATCH(D287,CV_RATES!$C:$C,0)),0))</f>
        <v>493.198879208199</v>
      </c>
      <c r="J287" s="10" t="n">
        <f aca="false">IF(A287="","",IFERROR(IF(E287=MAX(MORTALITY!$A:$A),1000,INDEX(CV_RATES!$J:$J,MATCH(D287,CV_RATES!$C:$C,0))),0))</f>
        <v>502.639184852397</v>
      </c>
      <c r="K287" s="10" t="n">
        <f aca="false">IF(A287="","",IFERROR(I287+H287*(J287-I287),0))</f>
        <v>500.932170681117</v>
      </c>
      <c r="L287" s="10" t="n">
        <f aca="false">IF(A287="","",IFERROR(K287*Inputs!$B$9,0))</f>
        <v>25046.6085340559</v>
      </c>
      <c r="M287" s="10" t="n">
        <f aca="false">IF(A287="","",IFERROR(K287*Inputs!$B$10,0))</f>
        <v>80147.6445124667</v>
      </c>
      <c r="N287" s="10" t="n">
        <f aca="false">IF(A287="","",Z286)</f>
        <v>0</v>
      </c>
      <c r="O287" s="6" t="n">
        <f aca="false">IF(A287="","",Inputs!$B$18+N287)</f>
        <v>50000</v>
      </c>
      <c r="P287" s="5" t="n">
        <f aca="false">IF(A287="","",VLOOKUP(D287,DIvidend_Assumption!$A$3:$CX$103,($E$2+2),0)/12)</f>
        <v>0</v>
      </c>
      <c r="Q287" s="10" t="n">
        <f aca="false">IF(A287="","",IFERROR(AB286*P287,""))</f>
        <v>0</v>
      </c>
      <c r="R287" s="10" t="n">
        <f aca="false">IF(A287="","",IFERROR(IF(Inputs!$B$22="Accumulate",T287+Q287,IF(Inputs!$B$22="Premium Offset",MAX(0,T287+Q287-Inputs!$B$25),T287)),""))</f>
        <v>0</v>
      </c>
      <c r="S287" s="10" t="n">
        <f aca="false">IF(A287="","",R286)</f>
        <v>0</v>
      </c>
      <c r="T287" s="10" t="n">
        <f aca="false">IF(A287="","",IFERROR(S287*(1+Inputs!$B$23/12),""))</f>
        <v>0</v>
      </c>
      <c r="U287" s="6" t="n">
        <f aca="false">IF(A287="","",IF(D287&lt;=Inputs!$B$8,IF(Inputs!$B$22="Premium Offset",MAX(0,Inputs!$B$25-(Q287+T287)),Inputs!$B$25),0))</f>
        <v>77</v>
      </c>
      <c r="V287" s="10" t="n">
        <f aca="false">IF(A287="","",IF(Inputs!$B$22="Cash",Q287,0))</f>
        <v>0</v>
      </c>
      <c r="W287" s="10" t="n">
        <f aca="false">IF(A287="","",IF(Inputs!$B$22="PUA",Q287,0))</f>
        <v>0</v>
      </c>
      <c r="X287" s="12" t="n">
        <f aca="false">IF(A287="","",IFERROR(INDEX(PUA_TABLE!$D$4:$D$105,MATCH(E287,PUA_TABLE!$C$4:$C$105,1)),0))</f>
        <v>0.493198879208199</v>
      </c>
      <c r="Y287" s="10" t="n">
        <f aca="false">IF(A287="","",IF(W287&gt;0,IF(X287&gt;0,W287/X287,0),0))</f>
        <v>0</v>
      </c>
      <c r="Z287" s="10" t="n">
        <f aca="false">IF(A287="","",N287+Y287)</f>
        <v>0</v>
      </c>
      <c r="AA287" s="10" t="n">
        <f aca="false">IF(A287="","",IFERROR(Z287*INDEX(PUA_TABLE!$I$4:$I$105,MATCH(E287,PUA_TABLE!$C$4:$C$105,1))/1000,0))</f>
        <v>0</v>
      </c>
      <c r="AB287" s="10" t="n">
        <f aca="false">IF(A287="","",IFERROR(L287+AA287,0))</f>
        <v>25046.6085340559</v>
      </c>
      <c r="AC287" s="10" t="n">
        <f aca="false">IF(A287="","",IF(Inputs!$B$22="Premium Offset",MIN(Inputs!$B$25,Q287+T287),0))</f>
        <v>0</v>
      </c>
    </row>
    <row r="288" customFormat="false" ht="15" hidden="false" customHeight="false" outlineLevel="0" collapsed="false">
      <c r="A288" s="1" t="n">
        <f aca="false">IF(A287="","",IF(INT((C287+1)/12)+Inputs!$B$7&gt;MAX(MORTALITY!$A:$A),"",Inputs!$B$4))</f>
        <v>34</v>
      </c>
      <c r="B288" s="3" t="n">
        <f aca="false">IF(A288="","",EOMONTH(B287,1))</f>
        <v>30436</v>
      </c>
      <c r="C288" s="1" t="n">
        <f aca="false">IF(A288="","",C287+1)</f>
        <v>286</v>
      </c>
      <c r="D288" s="1" t="n">
        <f aca="false">IF(A288="","",INT(C288/12))</f>
        <v>23</v>
      </c>
      <c r="E288" s="1" t="n">
        <f aca="false">IF(A288="","",D288+Inputs!$B$7)</f>
        <v>39</v>
      </c>
      <c r="F288" s="3" t="n">
        <f aca="false">IF(A288="","",DATE(YEAR(B$2)+D288,MONTH(B$2),DAY(B$2)))</f>
        <v>30107</v>
      </c>
      <c r="G288" s="3" t="n">
        <f aca="false">IF(A288="","",DATE(YEAR(F288)+1,MONTH(F288),DAY(F288)))</f>
        <v>30472</v>
      </c>
      <c r="H288" s="10" t="n">
        <f aca="false">IF(A288="","",IF(G288&gt;F288,(B288-F288)/(G288-F288),0))</f>
        <v>0.901369863013699</v>
      </c>
      <c r="I288" s="10" t="n">
        <f aca="false">IF(A288="","",IFERROR(INDEX(CV_RATES!$I:$I,MATCH(D288,CV_RATES!$C:$C,0)),0))</f>
        <v>493.198879208199</v>
      </c>
      <c r="J288" s="10" t="n">
        <f aca="false">IF(A288="","",IFERROR(IF(E288=MAX(MORTALITY!$A:$A),1000,INDEX(CV_RATES!$J:$J,MATCH(D288,CV_RATES!$C:$C,0))),0))</f>
        <v>502.639184852397</v>
      </c>
      <c r="K288" s="10" t="n">
        <f aca="false">IF(A288="","",IFERROR(I288+H288*(J288-I288),0))</f>
        <v>501.708086213517</v>
      </c>
      <c r="L288" s="10" t="n">
        <f aca="false">IF(A288="","",IFERROR(K288*Inputs!$B$9,0))</f>
        <v>25085.4043106758</v>
      </c>
      <c r="M288" s="10" t="n">
        <f aca="false">IF(A288="","",IFERROR(K288*Inputs!$B$10,0))</f>
        <v>80271.7886699041</v>
      </c>
      <c r="N288" s="10" t="n">
        <f aca="false">IF(A288="","",Z287)</f>
        <v>0</v>
      </c>
      <c r="O288" s="6" t="n">
        <f aca="false">IF(A288="","",Inputs!$B$18+N288)</f>
        <v>50000</v>
      </c>
      <c r="P288" s="5" t="n">
        <f aca="false">IF(A288="","",VLOOKUP(D288,DIvidend_Assumption!$A$3:$CX$103,($E$2+2),0)/12)</f>
        <v>0</v>
      </c>
      <c r="Q288" s="10" t="n">
        <f aca="false">IF(A288="","",IFERROR(AB287*P288,""))</f>
        <v>0</v>
      </c>
      <c r="R288" s="10" t="n">
        <f aca="false">IF(A288="","",IFERROR(IF(Inputs!$B$22="Accumulate",T288+Q288,IF(Inputs!$B$22="Premium Offset",MAX(0,T288+Q288-Inputs!$B$25),T288)),""))</f>
        <v>0</v>
      </c>
      <c r="S288" s="10" t="n">
        <f aca="false">IF(A288="","",R287)</f>
        <v>0</v>
      </c>
      <c r="T288" s="10" t="n">
        <f aca="false">IF(A288="","",IFERROR(S288*(1+Inputs!$B$23/12),""))</f>
        <v>0</v>
      </c>
      <c r="U288" s="6" t="n">
        <f aca="false">IF(A288="","",IF(D288&lt;=Inputs!$B$8,IF(Inputs!$B$22="Premium Offset",MAX(0,Inputs!$B$25-(Q288+T288)),Inputs!$B$25),0))</f>
        <v>77</v>
      </c>
      <c r="V288" s="10" t="n">
        <f aca="false">IF(A288="","",IF(Inputs!$B$22="Cash",Q288,0))</f>
        <v>0</v>
      </c>
      <c r="W288" s="10" t="n">
        <f aca="false">IF(A288="","",IF(Inputs!$B$22="PUA",Q288,0))</f>
        <v>0</v>
      </c>
      <c r="X288" s="12" t="n">
        <f aca="false">IF(A288="","",IFERROR(INDEX(PUA_TABLE!$D$4:$D$105,MATCH(E288,PUA_TABLE!$C$4:$C$105,1)),0))</f>
        <v>0.493198879208199</v>
      </c>
      <c r="Y288" s="10" t="n">
        <f aca="false">IF(A288="","",IF(W288&gt;0,IF(X288&gt;0,W288/X288,0),0))</f>
        <v>0</v>
      </c>
      <c r="Z288" s="10" t="n">
        <f aca="false">IF(A288="","",N288+Y288)</f>
        <v>0</v>
      </c>
      <c r="AA288" s="10" t="n">
        <f aca="false">IF(A288="","",IFERROR(Z288*INDEX(PUA_TABLE!$I$4:$I$105,MATCH(E288,PUA_TABLE!$C$4:$C$105,1))/1000,0))</f>
        <v>0</v>
      </c>
      <c r="AB288" s="10" t="n">
        <f aca="false">IF(A288="","",IFERROR(L288+AA288,0))</f>
        <v>25085.4043106758</v>
      </c>
      <c r="AC288" s="10" t="n">
        <f aca="false">IF(A288="","",IF(Inputs!$B$22="Premium Offset",MIN(Inputs!$B$25,Q288+T288),0))</f>
        <v>0</v>
      </c>
    </row>
    <row r="289" customFormat="false" ht="15" hidden="false" customHeight="false" outlineLevel="0" collapsed="false">
      <c r="A289" s="1" t="n">
        <f aca="false">IF(A288="","",IF(INT((C288+1)/12)+Inputs!$B$7&gt;MAX(MORTALITY!$A:$A),"",Inputs!$B$4))</f>
        <v>34</v>
      </c>
      <c r="B289" s="3" t="n">
        <f aca="false">IF(A289="","",EOMONTH(B288,1))</f>
        <v>30467</v>
      </c>
      <c r="C289" s="1" t="n">
        <f aca="false">IF(A289="","",C288+1)</f>
        <v>287</v>
      </c>
      <c r="D289" s="1" t="n">
        <f aca="false">IF(A289="","",INT(C289/12))</f>
        <v>23</v>
      </c>
      <c r="E289" s="1" t="n">
        <f aca="false">IF(A289="","",D289+Inputs!$B$7)</f>
        <v>39</v>
      </c>
      <c r="F289" s="3" t="n">
        <f aca="false">IF(A289="","",DATE(YEAR(B$2)+D289,MONTH(B$2),DAY(B$2)))</f>
        <v>30107</v>
      </c>
      <c r="G289" s="3" t="n">
        <f aca="false">IF(A289="","",DATE(YEAR(F289)+1,MONTH(F289),DAY(F289)))</f>
        <v>30472</v>
      </c>
      <c r="H289" s="10" t="n">
        <f aca="false">IF(A289="","",IF(G289&gt;F289,(B289-F289)/(G289-F289),0))</f>
        <v>0.986301369863014</v>
      </c>
      <c r="I289" s="10" t="n">
        <f aca="false">IF(A289="","",IFERROR(INDEX(CV_RATES!$I:$I,MATCH(D289,CV_RATES!$C:$C,0)),0))</f>
        <v>493.198879208199</v>
      </c>
      <c r="J289" s="10" t="n">
        <f aca="false">IF(A289="","",IFERROR(IF(E289=MAX(MORTALITY!$A:$A),1000,INDEX(CV_RATES!$J:$J,MATCH(D289,CV_RATES!$C:$C,0))),0))</f>
        <v>502.639184852397</v>
      </c>
      <c r="K289" s="10" t="n">
        <f aca="false">IF(A289="","",IFERROR(I289+H289*(J289-I289),0))</f>
        <v>502.509865596997</v>
      </c>
      <c r="L289" s="10" t="n">
        <f aca="false">IF(A289="","",IFERROR(K289*Inputs!$B$9,0))</f>
        <v>25125.4932798498</v>
      </c>
      <c r="M289" s="10" t="n">
        <f aca="false">IF(A289="","",IFERROR(K289*Inputs!$B$10,0))</f>
        <v>80400.0709659227</v>
      </c>
      <c r="N289" s="10" t="n">
        <f aca="false">IF(A289="","",Z288)</f>
        <v>0</v>
      </c>
      <c r="O289" s="6" t="n">
        <f aca="false">IF(A289="","",Inputs!$B$18+N289)</f>
        <v>50000</v>
      </c>
      <c r="P289" s="5" t="n">
        <f aca="false">IF(A289="","",VLOOKUP(D289,DIvidend_Assumption!$A$3:$CX$103,($E$2+2),0)/12)</f>
        <v>0</v>
      </c>
      <c r="Q289" s="10" t="n">
        <f aca="false">IF(A289="","",IFERROR(AB288*P289,""))</f>
        <v>0</v>
      </c>
      <c r="R289" s="10" t="n">
        <f aca="false">IF(A289="","",IFERROR(IF(Inputs!$B$22="Accumulate",T289+Q289,IF(Inputs!$B$22="Premium Offset",MAX(0,T289+Q289-Inputs!$B$25),T289)),""))</f>
        <v>0</v>
      </c>
      <c r="S289" s="10" t="n">
        <f aca="false">IF(A289="","",R288)</f>
        <v>0</v>
      </c>
      <c r="T289" s="10" t="n">
        <f aca="false">IF(A289="","",IFERROR(S289*(1+Inputs!$B$23/12),""))</f>
        <v>0</v>
      </c>
      <c r="U289" s="6" t="n">
        <f aca="false">IF(A289="","",IF(D289&lt;=Inputs!$B$8,IF(Inputs!$B$22="Premium Offset",MAX(0,Inputs!$B$25-(Q289+T289)),Inputs!$B$25),0))</f>
        <v>77</v>
      </c>
      <c r="V289" s="10" t="n">
        <f aca="false">IF(A289="","",IF(Inputs!$B$22="Cash",Q289,0))</f>
        <v>0</v>
      </c>
      <c r="W289" s="10" t="n">
        <f aca="false">IF(A289="","",IF(Inputs!$B$22="PUA",Q289,0))</f>
        <v>0</v>
      </c>
      <c r="X289" s="12" t="n">
        <f aca="false">IF(A289="","",IFERROR(INDEX(PUA_TABLE!$D$4:$D$105,MATCH(E289,PUA_TABLE!$C$4:$C$105,1)),0))</f>
        <v>0.493198879208199</v>
      </c>
      <c r="Y289" s="10" t="n">
        <f aca="false">IF(A289="","",IF(W289&gt;0,IF(X289&gt;0,W289/X289,0),0))</f>
        <v>0</v>
      </c>
      <c r="Z289" s="10" t="n">
        <f aca="false">IF(A289="","",N289+Y289)</f>
        <v>0</v>
      </c>
      <c r="AA289" s="10" t="n">
        <f aca="false">IF(A289="","",IFERROR(Z289*INDEX(PUA_TABLE!$I$4:$I$105,MATCH(E289,PUA_TABLE!$C$4:$C$105,1))/1000,0))</f>
        <v>0</v>
      </c>
      <c r="AB289" s="10" t="n">
        <f aca="false">IF(A289="","",IFERROR(L289+AA289,0))</f>
        <v>25125.4932798498</v>
      </c>
      <c r="AC289" s="10" t="n">
        <f aca="false">IF(A289="","",IF(Inputs!$B$22="Premium Offset",MIN(Inputs!$B$25,Q289+T289),0))</f>
        <v>0</v>
      </c>
    </row>
    <row r="290" customFormat="false" ht="15" hidden="false" customHeight="false" outlineLevel="0" collapsed="false">
      <c r="A290" s="1" t="n">
        <f aca="false">IF(A289="","",IF(INT((C289+1)/12)+Inputs!$B$7&gt;MAX(MORTALITY!$A:$A),"",Inputs!$B$4))</f>
        <v>34</v>
      </c>
      <c r="B290" s="3" t="n">
        <f aca="false">IF(A290="","",EOMONTH(B289,1))</f>
        <v>30497</v>
      </c>
      <c r="C290" s="1" t="n">
        <f aca="false">IF(A290="","",C289+1)</f>
        <v>288</v>
      </c>
      <c r="D290" s="1" t="n">
        <f aca="false">IF(A290="","",INT(C290/12))</f>
        <v>24</v>
      </c>
      <c r="E290" s="1" t="n">
        <f aca="false">IF(A290="","",D290+Inputs!$B$7)</f>
        <v>40</v>
      </c>
      <c r="F290" s="3" t="n">
        <f aca="false">IF(A290="","",DATE(YEAR(B$2)+D290,MONTH(B$2),DAY(B$2)))</f>
        <v>30472</v>
      </c>
      <c r="G290" s="3" t="n">
        <f aca="false">IF(A290="","",DATE(YEAR(F290)+1,MONTH(F290),DAY(F290)))</f>
        <v>30838</v>
      </c>
      <c r="H290" s="10" t="n">
        <f aca="false">IF(A290="","",IF(G290&gt;F290,(B290-F290)/(G290-F290),0))</f>
        <v>0.0683060109289618</v>
      </c>
      <c r="I290" s="10" t="n">
        <f aca="false">IF(A290="","",IFERROR(INDEX(CV_RATES!$I:$I,MATCH(D290,CV_RATES!$C:$C,0)),0))</f>
        <v>502.639184852397</v>
      </c>
      <c r="J290" s="10" t="n">
        <f aca="false">IF(A290="","",IFERROR(IF(E290=MAX(MORTALITY!$A:$A),1000,INDEX(CV_RATES!$J:$J,MATCH(D290,CV_RATES!$C:$C,0))),0))</f>
        <v>512.190501774674</v>
      </c>
      <c r="K290" s="10" t="n">
        <f aca="false">IF(A290="","",IFERROR(I290+H290*(J290-I290),0))</f>
        <v>503.291597210476</v>
      </c>
      <c r="L290" s="10" t="n">
        <f aca="false">IF(A290="","",IFERROR(K290*Inputs!$B$9,0))</f>
        <v>25164.5798605238</v>
      </c>
      <c r="M290" s="10" t="n">
        <f aca="false">IF(A290="","",IFERROR(K290*Inputs!$B$10,0))</f>
        <v>80525.1456788845</v>
      </c>
      <c r="N290" s="10" t="n">
        <f aca="false">IF(A290="","",Z289)</f>
        <v>0</v>
      </c>
      <c r="O290" s="6" t="n">
        <f aca="false">IF(A290="","",Inputs!$B$18+N290)</f>
        <v>50000</v>
      </c>
      <c r="P290" s="5" t="n">
        <f aca="false">IF(A290="","",VLOOKUP(D290,DIvidend_Assumption!$A$3:$CX$103,($E$2+2),0)/12)</f>
        <v>0</v>
      </c>
      <c r="Q290" s="10" t="n">
        <f aca="false">IF(A290="","",IFERROR(AB289*P290,""))</f>
        <v>0</v>
      </c>
      <c r="R290" s="10" t="n">
        <f aca="false">IF(A290="","",IFERROR(IF(Inputs!$B$22="Accumulate",T290+Q290,IF(Inputs!$B$22="Premium Offset",MAX(0,T290+Q290-Inputs!$B$25),T290)),""))</f>
        <v>0</v>
      </c>
      <c r="S290" s="10" t="n">
        <f aca="false">IF(A290="","",R289)</f>
        <v>0</v>
      </c>
      <c r="T290" s="10" t="n">
        <f aca="false">IF(A290="","",IFERROR(S290*(1+Inputs!$B$23/12),""))</f>
        <v>0</v>
      </c>
      <c r="U290" s="6" t="n">
        <f aca="false">IF(A290="","",IF(D290&lt;=Inputs!$B$8,IF(Inputs!$B$22="Premium Offset",MAX(0,Inputs!$B$25-(Q290+T290)),Inputs!$B$25),0))</f>
        <v>77</v>
      </c>
      <c r="V290" s="10" t="n">
        <f aca="false">IF(A290="","",IF(Inputs!$B$22="Cash",Q290,0))</f>
        <v>0</v>
      </c>
      <c r="W290" s="10" t="n">
        <f aca="false">IF(A290="","",IF(Inputs!$B$22="PUA",Q290,0))</f>
        <v>0</v>
      </c>
      <c r="X290" s="12" t="n">
        <f aca="false">IF(A290="","",IFERROR(INDEX(PUA_TABLE!$D$4:$D$105,MATCH(E290,PUA_TABLE!$C$4:$C$105,1)),0))</f>
        <v>0.502639184852397</v>
      </c>
      <c r="Y290" s="10" t="n">
        <f aca="false">IF(A290="","",IF(W290&gt;0,IF(X290&gt;0,W290/X290,0),0))</f>
        <v>0</v>
      </c>
      <c r="Z290" s="10" t="n">
        <f aca="false">IF(A290="","",N290+Y290)</f>
        <v>0</v>
      </c>
      <c r="AA290" s="10" t="n">
        <f aca="false">IF(A290="","",IFERROR(Z290*INDEX(PUA_TABLE!$I$4:$I$105,MATCH(E290,PUA_TABLE!$C$4:$C$105,1))/1000,0))</f>
        <v>0</v>
      </c>
      <c r="AB290" s="10" t="n">
        <f aca="false">IF(A290="","",IFERROR(L290+AA290,0))</f>
        <v>25164.5798605238</v>
      </c>
      <c r="AC290" s="10" t="n">
        <f aca="false">IF(A290="","",IF(Inputs!$B$22="Premium Offset",MIN(Inputs!$B$25,Q290+T290),0))</f>
        <v>0</v>
      </c>
    </row>
    <row r="291" customFormat="false" ht="15" hidden="false" customHeight="false" outlineLevel="0" collapsed="false">
      <c r="A291" s="1" t="n">
        <f aca="false">IF(A290="","",IF(INT((C290+1)/12)+Inputs!$B$7&gt;MAX(MORTALITY!$A:$A),"",Inputs!$B$4))</f>
        <v>34</v>
      </c>
      <c r="B291" s="3" t="n">
        <f aca="false">IF(A291="","",EOMONTH(B290,1))</f>
        <v>30528</v>
      </c>
      <c r="C291" s="1" t="n">
        <f aca="false">IF(A291="","",C290+1)</f>
        <v>289</v>
      </c>
      <c r="D291" s="1" t="n">
        <f aca="false">IF(A291="","",INT(C291/12))</f>
        <v>24</v>
      </c>
      <c r="E291" s="1" t="n">
        <f aca="false">IF(A291="","",D291+Inputs!$B$7)</f>
        <v>40</v>
      </c>
      <c r="F291" s="3" t="n">
        <f aca="false">IF(A291="","",DATE(YEAR(B$2)+D291,MONTH(B$2),DAY(B$2)))</f>
        <v>30472</v>
      </c>
      <c r="G291" s="3" t="n">
        <f aca="false">IF(A291="","",DATE(YEAR(F291)+1,MONTH(F291),DAY(F291)))</f>
        <v>30838</v>
      </c>
      <c r="H291" s="10" t="n">
        <f aca="false">IF(A291="","",IF(G291&gt;F291,(B291-F291)/(G291-F291),0))</f>
        <v>0.153005464480874</v>
      </c>
      <c r="I291" s="10" t="n">
        <f aca="false">IF(A291="","",IFERROR(INDEX(CV_RATES!$I:$I,MATCH(D291,CV_RATES!$C:$C,0)),0))</f>
        <v>502.639184852397</v>
      </c>
      <c r="J291" s="10" t="n">
        <f aca="false">IF(A291="","",IFERROR(IF(E291=MAX(MORTALITY!$A:$A),1000,INDEX(CV_RATES!$J:$J,MATCH(D291,CV_RATES!$C:$C,0))),0))</f>
        <v>512.190501774674</v>
      </c>
      <c r="K291" s="10" t="n">
        <f aca="false">IF(A291="","",IFERROR(I291+H291*(J291-I291),0))</f>
        <v>504.100588534494</v>
      </c>
      <c r="L291" s="10" t="n">
        <f aca="false">IF(A291="","",IFERROR(K291*Inputs!$B$9,0))</f>
        <v>25205.0294267247</v>
      </c>
      <c r="M291" s="10" t="n">
        <f aca="false">IF(A291="","",IFERROR(K291*Inputs!$B$10,0))</f>
        <v>80654.5818637534</v>
      </c>
      <c r="N291" s="10" t="n">
        <f aca="false">IF(A291="","",Z290)</f>
        <v>0</v>
      </c>
      <c r="O291" s="6" t="n">
        <f aca="false">IF(A291="","",Inputs!$B$18+N291)</f>
        <v>50000</v>
      </c>
      <c r="P291" s="5" t="n">
        <f aca="false">IF(A291="","",VLOOKUP(D291,DIvidend_Assumption!$A$3:$CX$103,($E$2+2),0)/12)</f>
        <v>0</v>
      </c>
      <c r="Q291" s="10" t="n">
        <f aca="false">IF(A291="","",IFERROR(AB290*P291,""))</f>
        <v>0</v>
      </c>
      <c r="R291" s="10" t="n">
        <f aca="false">IF(A291="","",IFERROR(IF(Inputs!$B$22="Accumulate",T291+Q291,IF(Inputs!$B$22="Premium Offset",MAX(0,T291+Q291-Inputs!$B$25),T291)),""))</f>
        <v>0</v>
      </c>
      <c r="S291" s="10" t="n">
        <f aca="false">IF(A291="","",R290)</f>
        <v>0</v>
      </c>
      <c r="T291" s="10" t="n">
        <f aca="false">IF(A291="","",IFERROR(S291*(1+Inputs!$B$23/12),""))</f>
        <v>0</v>
      </c>
      <c r="U291" s="6" t="n">
        <f aca="false">IF(A291="","",IF(D291&lt;=Inputs!$B$8,IF(Inputs!$B$22="Premium Offset",MAX(0,Inputs!$B$25-(Q291+T291)),Inputs!$B$25),0))</f>
        <v>77</v>
      </c>
      <c r="V291" s="10" t="n">
        <f aca="false">IF(A291="","",IF(Inputs!$B$22="Cash",Q291,0))</f>
        <v>0</v>
      </c>
      <c r="W291" s="10" t="n">
        <f aca="false">IF(A291="","",IF(Inputs!$B$22="PUA",Q291,0))</f>
        <v>0</v>
      </c>
      <c r="X291" s="12" t="n">
        <f aca="false">IF(A291="","",IFERROR(INDEX(PUA_TABLE!$D$4:$D$105,MATCH(E291,PUA_TABLE!$C$4:$C$105,1)),0))</f>
        <v>0.502639184852397</v>
      </c>
      <c r="Y291" s="10" t="n">
        <f aca="false">IF(A291="","",IF(W291&gt;0,IF(X291&gt;0,W291/X291,0),0))</f>
        <v>0</v>
      </c>
      <c r="Z291" s="10" t="n">
        <f aca="false">IF(A291="","",N291+Y291)</f>
        <v>0</v>
      </c>
      <c r="AA291" s="10" t="n">
        <f aca="false">IF(A291="","",IFERROR(Z291*INDEX(PUA_TABLE!$I$4:$I$105,MATCH(E291,PUA_TABLE!$C$4:$C$105,1))/1000,0))</f>
        <v>0</v>
      </c>
      <c r="AB291" s="10" t="n">
        <f aca="false">IF(A291="","",IFERROR(L291+AA291,0))</f>
        <v>25205.0294267247</v>
      </c>
      <c r="AC291" s="10" t="n">
        <f aca="false">IF(A291="","",IF(Inputs!$B$22="Premium Offset",MIN(Inputs!$B$25,Q291+T291),0))</f>
        <v>0</v>
      </c>
    </row>
    <row r="292" customFormat="false" ht="15" hidden="false" customHeight="false" outlineLevel="0" collapsed="false">
      <c r="A292" s="1" t="n">
        <f aca="false">IF(A291="","",IF(INT((C291+1)/12)+Inputs!$B$7&gt;MAX(MORTALITY!$A:$A),"",Inputs!$B$4))</f>
        <v>34</v>
      </c>
      <c r="B292" s="3" t="n">
        <f aca="false">IF(A292="","",EOMONTH(B291,1))</f>
        <v>30559</v>
      </c>
      <c r="C292" s="1" t="n">
        <f aca="false">IF(A292="","",C291+1)</f>
        <v>290</v>
      </c>
      <c r="D292" s="1" t="n">
        <f aca="false">IF(A292="","",INT(C292/12))</f>
        <v>24</v>
      </c>
      <c r="E292" s="1" t="n">
        <f aca="false">IF(A292="","",D292+Inputs!$B$7)</f>
        <v>40</v>
      </c>
      <c r="F292" s="3" t="n">
        <f aca="false">IF(A292="","",DATE(YEAR(B$2)+D292,MONTH(B$2),DAY(B$2)))</f>
        <v>30472</v>
      </c>
      <c r="G292" s="3" t="n">
        <f aca="false">IF(A292="","",DATE(YEAR(F292)+1,MONTH(F292),DAY(F292)))</f>
        <v>30838</v>
      </c>
      <c r="H292" s="10" t="n">
        <f aca="false">IF(A292="","",IF(G292&gt;F292,(B292-F292)/(G292-F292),0))</f>
        <v>0.237704918032787</v>
      </c>
      <c r="I292" s="10" t="n">
        <f aca="false">IF(A292="","",IFERROR(INDEX(CV_RATES!$I:$I,MATCH(D292,CV_RATES!$C:$C,0)),0))</f>
        <v>502.639184852397</v>
      </c>
      <c r="J292" s="10" t="n">
        <f aca="false">IF(A292="","",IFERROR(IF(E292=MAX(MORTALITY!$A:$A),1000,INDEX(CV_RATES!$J:$J,MATCH(D292,CV_RATES!$C:$C,0))),0))</f>
        <v>512.190501774674</v>
      </c>
      <c r="K292" s="10" t="n">
        <f aca="false">IF(A292="","",IFERROR(I292+H292*(J292-I292),0))</f>
        <v>504.909579858512</v>
      </c>
      <c r="L292" s="10" t="n">
        <f aca="false">IF(A292="","",IFERROR(K292*Inputs!$B$9,0))</f>
        <v>25245.4789929256</v>
      </c>
      <c r="M292" s="10" t="n">
        <f aca="false">IF(A292="","",IFERROR(K292*Inputs!$B$10,0))</f>
        <v>80784.0180486223</v>
      </c>
      <c r="N292" s="10" t="n">
        <f aca="false">IF(A292="","",Z291)</f>
        <v>0</v>
      </c>
      <c r="O292" s="6" t="n">
        <f aca="false">IF(A292="","",Inputs!$B$18+N292)</f>
        <v>50000</v>
      </c>
      <c r="P292" s="5" t="n">
        <f aca="false">IF(A292="","",VLOOKUP(D292,DIvidend_Assumption!$A$3:$CX$103,($E$2+2),0)/12)</f>
        <v>0</v>
      </c>
      <c r="Q292" s="10" t="n">
        <f aca="false">IF(A292="","",IFERROR(AB291*P292,""))</f>
        <v>0</v>
      </c>
      <c r="R292" s="10" t="n">
        <f aca="false">IF(A292="","",IFERROR(IF(Inputs!$B$22="Accumulate",T292+Q292,IF(Inputs!$B$22="Premium Offset",MAX(0,T292+Q292-Inputs!$B$25),T292)),""))</f>
        <v>0</v>
      </c>
      <c r="S292" s="10" t="n">
        <f aca="false">IF(A292="","",R291)</f>
        <v>0</v>
      </c>
      <c r="T292" s="10" t="n">
        <f aca="false">IF(A292="","",IFERROR(S292*(1+Inputs!$B$23/12),""))</f>
        <v>0</v>
      </c>
      <c r="U292" s="6" t="n">
        <f aca="false">IF(A292="","",IF(D292&lt;=Inputs!$B$8,IF(Inputs!$B$22="Premium Offset",MAX(0,Inputs!$B$25-(Q292+T292)),Inputs!$B$25),0))</f>
        <v>77</v>
      </c>
      <c r="V292" s="10" t="n">
        <f aca="false">IF(A292="","",IF(Inputs!$B$22="Cash",Q292,0))</f>
        <v>0</v>
      </c>
      <c r="W292" s="10" t="n">
        <f aca="false">IF(A292="","",IF(Inputs!$B$22="PUA",Q292,0))</f>
        <v>0</v>
      </c>
      <c r="X292" s="12" t="n">
        <f aca="false">IF(A292="","",IFERROR(INDEX(PUA_TABLE!$D$4:$D$105,MATCH(E292,PUA_TABLE!$C$4:$C$105,1)),0))</f>
        <v>0.502639184852397</v>
      </c>
      <c r="Y292" s="10" t="n">
        <f aca="false">IF(A292="","",IF(W292&gt;0,IF(X292&gt;0,W292/X292,0),0))</f>
        <v>0</v>
      </c>
      <c r="Z292" s="10" t="n">
        <f aca="false">IF(A292="","",N292+Y292)</f>
        <v>0</v>
      </c>
      <c r="AA292" s="10" t="n">
        <f aca="false">IF(A292="","",IFERROR(Z292*INDEX(PUA_TABLE!$I$4:$I$105,MATCH(E292,PUA_TABLE!$C$4:$C$105,1))/1000,0))</f>
        <v>0</v>
      </c>
      <c r="AB292" s="10" t="n">
        <f aca="false">IF(A292="","",IFERROR(L292+AA292,0))</f>
        <v>25245.4789929256</v>
      </c>
      <c r="AC292" s="10" t="n">
        <f aca="false">IF(A292="","",IF(Inputs!$B$22="Premium Offset",MIN(Inputs!$B$25,Q292+T292),0))</f>
        <v>0</v>
      </c>
    </row>
    <row r="293" customFormat="false" ht="15" hidden="false" customHeight="false" outlineLevel="0" collapsed="false">
      <c r="A293" s="1" t="n">
        <f aca="false">IF(A292="","",IF(INT((C292+1)/12)+Inputs!$B$7&gt;MAX(MORTALITY!$A:$A),"",Inputs!$B$4))</f>
        <v>34</v>
      </c>
      <c r="B293" s="3" t="n">
        <f aca="false">IF(A293="","",EOMONTH(B292,1))</f>
        <v>30589</v>
      </c>
      <c r="C293" s="1" t="n">
        <f aca="false">IF(A293="","",C292+1)</f>
        <v>291</v>
      </c>
      <c r="D293" s="1" t="n">
        <f aca="false">IF(A293="","",INT(C293/12))</f>
        <v>24</v>
      </c>
      <c r="E293" s="1" t="n">
        <f aca="false">IF(A293="","",D293+Inputs!$B$7)</f>
        <v>40</v>
      </c>
      <c r="F293" s="3" t="n">
        <f aca="false">IF(A293="","",DATE(YEAR(B$2)+D293,MONTH(B$2),DAY(B$2)))</f>
        <v>30472</v>
      </c>
      <c r="G293" s="3" t="n">
        <f aca="false">IF(A293="","",DATE(YEAR(F293)+1,MONTH(F293),DAY(F293)))</f>
        <v>30838</v>
      </c>
      <c r="H293" s="10" t="n">
        <f aca="false">IF(A293="","",IF(G293&gt;F293,(B293-F293)/(G293-F293),0))</f>
        <v>0.319672131147541</v>
      </c>
      <c r="I293" s="10" t="n">
        <f aca="false">IF(A293="","",IFERROR(INDEX(CV_RATES!$I:$I,MATCH(D293,CV_RATES!$C:$C,0)),0))</f>
        <v>502.639184852397</v>
      </c>
      <c r="J293" s="10" t="n">
        <f aca="false">IF(A293="","",IFERROR(IF(E293=MAX(MORTALITY!$A:$A),1000,INDEX(CV_RATES!$J:$J,MATCH(D293,CV_RATES!$C:$C,0))),0))</f>
        <v>512.190501774674</v>
      </c>
      <c r="K293" s="10" t="n">
        <f aca="false">IF(A293="","",IFERROR(I293+H293*(J293-I293),0))</f>
        <v>505.692474688207</v>
      </c>
      <c r="L293" s="10" t="n">
        <f aca="false">IF(A293="","",IFERROR(K293*Inputs!$B$9,0))</f>
        <v>25284.6237344103</v>
      </c>
      <c r="M293" s="10" t="n">
        <f aca="false">IF(A293="","",IFERROR(K293*Inputs!$B$10,0))</f>
        <v>80909.278872689</v>
      </c>
      <c r="N293" s="10" t="n">
        <f aca="false">IF(A293="","",Z292)</f>
        <v>0</v>
      </c>
      <c r="O293" s="6" t="n">
        <f aca="false">IF(A293="","",Inputs!$B$18+N293)</f>
        <v>50000</v>
      </c>
      <c r="P293" s="5" t="n">
        <f aca="false">IF(A293="","",VLOOKUP(D293,DIvidend_Assumption!$A$3:$CX$103,($E$2+2),0)/12)</f>
        <v>0</v>
      </c>
      <c r="Q293" s="10" t="n">
        <f aca="false">IF(A293="","",IFERROR(AB292*P293,""))</f>
        <v>0</v>
      </c>
      <c r="R293" s="10" t="n">
        <f aca="false">IF(A293="","",IFERROR(IF(Inputs!$B$22="Accumulate",T293+Q293,IF(Inputs!$B$22="Premium Offset",MAX(0,T293+Q293-Inputs!$B$25),T293)),""))</f>
        <v>0</v>
      </c>
      <c r="S293" s="10" t="n">
        <f aca="false">IF(A293="","",R292)</f>
        <v>0</v>
      </c>
      <c r="T293" s="10" t="n">
        <f aca="false">IF(A293="","",IFERROR(S293*(1+Inputs!$B$23/12),""))</f>
        <v>0</v>
      </c>
      <c r="U293" s="6" t="n">
        <f aca="false">IF(A293="","",IF(D293&lt;=Inputs!$B$8,IF(Inputs!$B$22="Premium Offset",MAX(0,Inputs!$B$25-(Q293+T293)),Inputs!$B$25),0))</f>
        <v>77</v>
      </c>
      <c r="V293" s="10" t="n">
        <f aca="false">IF(A293="","",IF(Inputs!$B$22="Cash",Q293,0))</f>
        <v>0</v>
      </c>
      <c r="W293" s="10" t="n">
        <f aca="false">IF(A293="","",IF(Inputs!$B$22="PUA",Q293,0))</f>
        <v>0</v>
      </c>
      <c r="X293" s="12" t="n">
        <f aca="false">IF(A293="","",IFERROR(INDEX(PUA_TABLE!$D$4:$D$105,MATCH(E293,PUA_TABLE!$C$4:$C$105,1)),0))</f>
        <v>0.502639184852397</v>
      </c>
      <c r="Y293" s="10" t="n">
        <f aca="false">IF(A293="","",IF(W293&gt;0,IF(X293&gt;0,W293/X293,0),0))</f>
        <v>0</v>
      </c>
      <c r="Z293" s="10" t="n">
        <f aca="false">IF(A293="","",N293+Y293)</f>
        <v>0</v>
      </c>
      <c r="AA293" s="10" t="n">
        <f aca="false">IF(A293="","",IFERROR(Z293*INDEX(PUA_TABLE!$I$4:$I$105,MATCH(E293,PUA_TABLE!$C$4:$C$105,1))/1000,0))</f>
        <v>0</v>
      </c>
      <c r="AB293" s="10" t="n">
        <f aca="false">IF(A293="","",IFERROR(L293+AA293,0))</f>
        <v>25284.6237344103</v>
      </c>
      <c r="AC293" s="10" t="n">
        <f aca="false">IF(A293="","",IF(Inputs!$B$22="Premium Offset",MIN(Inputs!$B$25,Q293+T293),0))</f>
        <v>0</v>
      </c>
    </row>
    <row r="294" customFormat="false" ht="15" hidden="false" customHeight="false" outlineLevel="0" collapsed="false">
      <c r="A294" s="1" t="n">
        <f aca="false">IF(A293="","",IF(INT((C293+1)/12)+Inputs!$B$7&gt;MAX(MORTALITY!$A:$A),"",Inputs!$B$4))</f>
        <v>34</v>
      </c>
      <c r="B294" s="3" t="n">
        <f aca="false">IF(A294="","",EOMONTH(B293,1))</f>
        <v>30620</v>
      </c>
      <c r="C294" s="1" t="n">
        <f aca="false">IF(A294="","",C293+1)</f>
        <v>292</v>
      </c>
      <c r="D294" s="1" t="n">
        <f aca="false">IF(A294="","",INT(C294/12))</f>
        <v>24</v>
      </c>
      <c r="E294" s="1" t="n">
        <f aca="false">IF(A294="","",D294+Inputs!$B$7)</f>
        <v>40</v>
      </c>
      <c r="F294" s="3" t="n">
        <f aca="false">IF(A294="","",DATE(YEAR(B$2)+D294,MONTH(B$2),DAY(B$2)))</f>
        <v>30472</v>
      </c>
      <c r="G294" s="3" t="n">
        <f aca="false">IF(A294="","",DATE(YEAR(F294)+1,MONTH(F294),DAY(F294)))</f>
        <v>30838</v>
      </c>
      <c r="H294" s="10" t="n">
        <f aca="false">IF(A294="","",IF(G294&gt;F294,(B294-F294)/(G294-F294),0))</f>
        <v>0.404371584699454</v>
      </c>
      <c r="I294" s="10" t="n">
        <f aca="false">IF(A294="","",IFERROR(INDEX(CV_RATES!$I:$I,MATCH(D294,CV_RATES!$C:$C,0)),0))</f>
        <v>502.639184852397</v>
      </c>
      <c r="J294" s="10" t="n">
        <f aca="false">IF(A294="","",IFERROR(IF(E294=MAX(MORTALITY!$A:$A),1000,INDEX(CV_RATES!$J:$J,MATCH(D294,CV_RATES!$C:$C,0))),0))</f>
        <v>512.190501774674</v>
      </c>
      <c r="K294" s="10" t="n">
        <f aca="false">IF(A294="","",IFERROR(I294+H294*(J294-I294),0))</f>
        <v>506.501466012225</v>
      </c>
      <c r="L294" s="10" t="n">
        <f aca="false">IF(A294="","",IFERROR(K294*Inputs!$B$9,0))</f>
        <v>25325.0733006112</v>
      </c>
      <c r="M294" s="10" t="n">
        <f aca="false">IF(A294="","",IFERROR(K294*Inputs!$B$10,0))</f>
        <v>81038.7150575579</v>
      </c>
      <c r="N294" s="10" t="n">
        <f aca="false">IF(A294="","",Z293)</f>
        <v>0</v>
      </c>
      <c r="O294" s="6" t="n">
        <f aca="false">IF(A294="","",Inputs!$B$18+N294)</f>
        <v>50000</v>
      </c>
      <c r="P294" s="5" t="n">
        <f aca="false">IF(A294="","",VLOOKUP(D294,DIvidend_Assumption!$A$3:$CX$103,($E$2+2),0)/12)</f>
        <v>0</v>
      </c>
      <c r="Q294" s="10" t="n">
        <f aca="false">IF(A294="","",IFERROR(AB293*P294,""))</f>
        <v>0</v>
      </c>
      <c r="R294" s="10" t="n">
        <f aca="false">IF(A294="","",IFERROR(IF(Inputs!$B$22="Accumulate",T294+Q294,IF(Inputs!$B$22="Premium Offset",MAX(0,T294+Q294-Inputs!$B$25),T294)),""))</f>
        <v>0</v>
      </c>
      <c r="S294" s="10" t="n">
        <f aca="false">IF(A294="","",R293)</f>
        <v>0</v>
      </c>
      <c r="T294" s="10" t="n">
        <f aca="false">IF(A294="","",IFERROR(S294*(1+Inputs!$B$23/12),""))</f>
        <v>0</v>
      </c>
      <c r="U294" s="6" t="n">
        <f aca="false">IF(A294="","",IF(D294&lt;=Inputs!$B$8,IF(Inputs!$B$22="Premium Offset",MAX(0,Inputs!$B$25-(Q294+T294)),Inputs!$B$25),0))</f>
        <v>77</v>
      </c>
      <c r="V294" s="10" t="n">
        <f aca="false">IF(A294="","",IF(Inputs!$B$22="Cash",Q294,0))</f>
        <v>0</v>
      </c>
      <c r="W294" s="10" t="n">
        <f aca="false">IF(A294="","",IF(Inputs!$B$22="PUA",Q294,0))</f>
        <v>0</v>
      </c>
      <c r="X294" s="12" t="n">
        <f aca="false">IF(A294="","",IFERROR(INDEX(PUA_TABLE!$D$4:$D$105,MATCH(E294,PUA_TABLE!$C$4:$C$105,1)),0))</f>
        <v>0.502639184852397</v>
      </c>
      <c r="Y294" s="10" t="n">
        <f aca="false">IF(A294="","",IF(W294&gt;0,IF(X294&gt;0,W294/X294,0),0))</f>
        <v>0</v>
      </c>
      <c r="Z294" s="10" t="n">
        <f aca="false">IF(A294="","",N294+Y294)</f>
        <v>0</v>
      </c>
      <c r="AA294" s="10" t="n">
        <f aca="false">IF(A294="","",IFERROR(Z294*INDEX(PUA_TABLE!$I$4:$I$105,MATCH(E294,PUA_TABLE!$C$4:$C$105,1))/1000,0))</f>
        <v>0</v>
      </c>
      <c r="AB294" s="10" t="n">
        <f aca="false">IF(A294="","",IFERROR(L294+AA294,0))</f>
        <v>25325.0733006112</v>
      </c>
      <c r="AC294" s="10" t="n">
        <f aca="false">IF(A294="","",IF(Inputs!$B$22="Premium Offset",MIN(Inputs!$B$25,Q294+T294),0))</f>
        <v>0</v>
      </c>
    </row>
    <row r="295" customFormat="false" ht="15" hidden="false" customHeight="false" outlineLevel="0" collapsed="false">
      <c r="A295" s="1" t="n">
        <f aca="false">IF(A294="","",IF(INT((C294+1)/12)+Inputs!$B$7&gt;MAX(MORTALITY!$A:$A),"",Inputs!$B$4))</f>
        <v>34</v>
      </c>
      <c r="B295" s="3" t="n">
        <f aca="false">IF(A295="","",EOMONTH(B294,1))</f>
        <v>30650</v>
      </c>
      <c r="C295" s="1" t="n">
        <f aca="false">IF(A295="","",C294+1)</f>
        <v>293</v>
      </c>
      <c r="D295" s="1" t="n">
        <f aca="false">IF(A295="","",INT(C295/12))</f>
        <v>24</v>
      </c>
      <c r="E295" s="1" t="n">
        <f aca="false">IF(A295="","",D295+Inputs!$B$7)</f>
        <v>40</v>
      </c>
      <c r="F295" s="3" t="n">
        <f aca="false">IF(A295="","",DATE(YEAR(B$2)+D295,MONTH(B$2),DAY(B$2)))</f>
        <v>30472</v>
      </c>
      <c r="G295" s="3" t="n">
        <f aca="false">IF(A295="","",DATE(YEAR(F295)+1,MONTH(F295),DAY(F295)))</f>
        <v>30838</v>
      </c>
      <c r="H295" s="10" t="n">
        <f aca="false">IF(A295="","",IF(G295&gt;F295,(B295-F295)/(G295-F295),0))</f>
        <v>0.486338797814208</v>
      </c>
      <c r="I295" s="10" t="n">
        <f aca="false">IF(A295="","",IFERROR(INDEX(CV_RATES!$I:$I,MATCH(D295,CV_RATES!$C:$C,0)),0))</f>
        <v>502.639184852397</v>
      </c>
      <c r="J295" s="10" t="n">
        <f aca="false">IF(A295="","",IFERROR(IF(E295=MAX(MORTALITY!$A:$A),1000,INDEX(CV_RATES!$J:$J,MATCH(D295,CV_RATES!$C:$C,0))),0))</f>
        <v>512.190501774674</v>
      </c>
      <c r="K295" s="10" t="n">
        <f aca="false">IF(A295="","",IFERROR(I295+H295*(J295-I295),0))</f>
        <v>507.28436084192</v>
      </c>
      <c r="L295" s="10" t="n">
        <f aca="false">IF(A295="","",IFERROR(K295*Inputs!$B$9,0))</f>
        <v>25364.218042096</v>
      </c>
      <c r="M295" s="10" t="n">
        <f aca="false">IF(A295="","",IFERROR(K295*Inputs!$B$10,0))</f>
        <v>81163.9758816246</v>
      </c>
      <c r="N295" s="10" t="n">
        <f aca="false">IF(A295="","",Z294)</f>
        <v>0</v>
      </c>
      <c r="O295" s="6" t="n">
        <f aca="false">IF(A295="","",Inputs!$B$18+N295)</f>
        <v>50000</v>
      </c>
      <c r="P295" s="5" t="n">
        <f aca="false">IF(A295="","",VLOOKUP(D295,DIvidend_Assumption!$A$3:$CX$103,($E$2+2),0)/12)</f>
        <v>0</v>
      </c>
      <c r="Q295" s="10" t="n">
        <f aca="false">IF(A295="","",IFERROR(AB294*P295,""))</f>
        <v>0</v>
      </c>
      <c r="R295" s="10" t="n">
        <f aca="false">IF(A295="","",IFERROR(IF(Inputs!$B$22="Accumulate",T295+Q295,IF(Inputs!$B$22="Premium Offset",MAX(0,T295+Q295-Inputs!$B$25),T295)),""))</f>
        <v>0</v>
      </c>
      <c r="S295" s="10" t="n">
        <f aca="false">IF(A295="","",R294)</f>
        <v>0</v>
      </c>
      <c r="T295" s="10" t="n">
        <f aca="false">IF(A295="","",IFERROR(S295*(1+Inputs!$B$23/12),""))</f>
        <v>0</v>
      </c>
      <c r="U295" s="6" t="n">
        <f aca="false">IF(A295="","",IF(D295&lt;=Inputs!$B$8,IF(Inputs!$B$22="Premium Offset",MAX(0,Inputs!$B$25-(Q295+T295)),Inputs!$B$25),0))</f>
        <v>77</v>
      </c>
      <c r="V295" s="10" t="n">
        <f aca="false">IF(A295="","",IF(Inputs!$B$22="Cash",Q295,0))</f>
        <v>0</v>
      </c>
      <c r="W295" s="10" t="n">
        <f aca="false">IF(A295="","",IF(Inputs!$B$22="PUA",Q295,0))</f>
        <v>0</v>
      </c>
      <c r="X295" s="12" t="n">
        <f aca="false">IF(A295="","",IFERROR(INDEX(PUA_TABLE!$D$4:$D$105,MATCH(E295,PUA_TABLE!$C$4:$C$105,1)),0))</f>
        <v>0.502639184852397</v>
      </c>
      <c r="Y295" s="10" t="n">
        <f aca="false">IF(A295="","",IF(W295&gt;0,IF(X295&gt;0,W295/X295,0),0))</f>
        <v>0</v>
      </c>
      <c r="Z295" s="10" t="n">
        <f aca="false">IF(A295="","",N295+Y295)</f>
        <v>0</v>
      </c>
      <c r="AA295" s="10" t="n">
        <f aca="false">IF(A295="","",IFERROR(Z295*INDEX(PUA_TABLE!$I$4:$I$105,MATCH(E295,PUA_TABLE!$C$4:$C$105,1))/1000,0))</f>
        <v>0</v>
      </c>
      <c r="AB295" s="10" t="n">
        <f aca="false">IF(A295="","",IFERROR(L295+AA295,0))</f>
        <v>25364.218042096</v>
      </c>
      <c r="AC295" s="10" t="n">
        <f aca="false">IF(A295="","",IF(Inputs!$B$22="Premium Offset",MIN(Inputs!$B$25,Q295+T295),0))</f>
        <v>0</v>
      </c>
    </row>
    <row r="296" customFormat="false" ht="15" hidden="false" customHeight="false" outlineLevel="0" collapsed="false">
      <c r="A296" s="1" t="n">
        <f aca="false">IF(A295="","",IF(INT((C295+1)/12)+Inputs!$B$7&gt;MAX(MORTALITY!$A:$A),"",Inputs!$B$4))</f>
        <v>34</v>
      </c>
      <c r="B296" s="3" t="n">
        <f aca="false">IF(A296="","",EOMONTH(B295,1))</f>
        <v>30681</v>
      </c>
      <c r="C296" s="1" t="n">
        <f aca="false">IF(A296="","",C295+1)</f>
        <v>294</v>
      </c>
      <c r="D296" s="1" t="n">
        <f aca="false">IF(A296="","",INT(C296/12))</f>
        <v>24</v>
      </c>
      <c r="E296" s="1" t="n">
        <f aca="false">IF(A296="","",D296+Inputs!$B$7)</f>
        <v>40</v>
      </c>
      <c r="F296" s="3" t="n">
        <f aca="false">IF(A296="","",DATE(YEAR(B$2)+D296,MONTH(B$2),DAY(B$2)))</f>
        <v>30472</v>
      </c>
      <c r="G296" s="3" t="n">
        <f aca="false">IF(A296="","",DATE(YEAR(F296)+1,MONTH(F296),DAY(F296)))</f>
        <v>30838</v>
      </c>
      <c r="H296" s="10" t="n">
        <f aca="false">IF(A296="","",IF(G296&gt;F296,(B296-F296)/(G296-F296),0))</f>
        <v>0.57103825136612</v>
      </c>
      <c r="I296" s="10" t="n">
        <f aca="false">IF(A296="","",IFERROR(INDEX(CV_RATES!$I:$I,MATCH(D296,CV_RATES!$C:$C,0)),0))</f>
        <v>502.639184852397</v>
      </c>
      <c r="J296" s="10" t="n">
        <f aca="false">IF(A296="","",IFERROR(IF(E296=MAX(MORTALITY!$A:$A),1000,INDEX(CV_RATES!$J:$J,MATCH(D296,CV_RATES!$C:$C,0))),0))</f>
        <v>512.190501774674</v>
      </c>
      <c r="K296" s="10" t="n">
        <f aca="false">IF(A296="","",IFERROR(I296+H296*(J296-I296),0))</f>
        <v>508.093352165938</v>
      </c>
      <c r="L296" s="10" t="n">
        <f aca="false">IF(A296="","",IFERROR(K296*Inputs!$B$9,0))</f>
        <v>25404.6676082969</v>
      </c>
      <c r="M296" s="10" t="n">
        <f aca="false">IF(A296="","",IFERROR(K296*Inputs!$B$10,0))</f>
        <v>81293.4120664935</v>
      </c>
      <c r="N296" s="10" t="n">
        <f aca="false">IF(A296="","",Z295)</f>
        <v>0</v>
      </c>
      <c r="O296" s="6" t="n">
        <f aca="false">IF(A296="","",Inputs!$B$18+N296)</f>
        <v>50000</v>
      </c>
      <c r="P296" s="5" t="n">
        <f aca="false">IF(A296="","",VLOOKUP(D296,DIvidend_Assumption!$A$3:$CX$103,($E$2+2),0)/12)</f>
        <v>0</v>
      </c>
      <c r="Q296" s="10" t="n">
        <f aca="false">IF(A296="","",IFERROR(AB295*P296,""))</f>
        <v>0</v>
      </c>
      <c r="R296" s="10" t="n">
        <f aca="false">IF(A296="","",IFERROR(IF(Inputs!$B$22="Accumulate",T296+Q296,IF(Inputs!$B$22="Premium Offset",MAX(0,T296+Q296-Inputs!$B$25),T296)),""))</f>
        <v>0</v>
      </c>
      <c r="S296" s="10" t="n">
        <f aca="false">IF(A296="","",R295)</f>
        <v>0</v>
      </c>
      <c r="T296" s="10" t="n">
        <f aca="false">IF(A296="","",IFERROR(S296*(1+Inputs!$B$23/12),""))</f>
        <v>0</v>
      </c>
      <c r="U296" s="6" t="n">
        <f aca="false">IF(A296="","",IF(D296&lt;=Inputs!$B$8,IF(Inputs!$B$22="Premium Offset",MAX(0,Inputs!$B$25-(Q296+T296)),Inputs!$B$25),0))</f>
        <v>77</v>
      </c>
      <c r="V296" s="10" t="n">
        <f aca="false">IF(A296="","",IF(Inputs!$B$22="Cash",Q296,0))</f>
        <v>0</v>
      </c>
      <c r="W296" s="10" t="n">
        <f aca="false">IF(A296="","",IF(Inputs!$B$22="PUA",Q296,0))</f>
        <v>0</v>
      </c>
      <c r="X296" s="12" t="n">
        <f aca="false">IF(A296="","",IFERROR(INDEX(PUA_TABLE!$D$4:$D$105,MATCH(E296,PUA_TABLE!$C$4:$C$105,1)),0))</f>
        <v>0.502639184852397</v>
      </c>
      <c r="Y296" s="10" t="n">
        <f aca="false">IF(A296="","",IF(W296&gt;0,IF(X296&gt;0,W296/X296,0),0))</f>
        <v>0</v>
      </c>
      <c r="Z296" s="10" t="n">
        <f aca="false">IF(A296="","",N296+Y296)</f>
        <v>0</v>
      </c>
      <c r="AA296" s="10" t="n">
        <f aca="false">IF(A296="","",IFERROR(Z296*INDEX(PUA_TABLE!$I$4:$I$105,MATCH(E296,PUA_TABLE!$C$4:$C$105,1))/1000,0))</f>
        <v>0</v>
      </c>
      <c r="AB296" s="10" t="n">
        <f aca="false">IF(A296="","",IFERROR(L296+AA296,0))</f>
        <v>25404.6676082969</v>
      </c>
      <c r="AC296" s="10" t="n">
        <f aca="false">IF(A296="","",IF(Inputs!$B$22="Premium Offset",MIN(Inputs!$B$25,Q296+T296),0))</f>
        <v>0</v>
      </c>
    </row>
    <row r="297" customFormat="false" ht="15" hidden="false" customHeight="false" outlineLevel="0" collapsed="false">
      <c r="A297" s="1" t="n">
        <f aca="false">IF(A296="","",IF(INT((C296+1)/12)+Inputs!$B$7&gt;MAX(MORTALITY!$A:$A),"",Inputs!$B$4))</f>
        <v>34</v>
      </c>
      <c r="B297" s="3" t="n">
        <f aca="false">IF(A297="","",EOMONTH(B296,1))</f>
        <v>30712</v>
      </c>
      <c r="C297" s="1" t="n">
        <f aca="false">IF(A297="","",C296+1)</f>
        <v>295</v>
      </c>
      <c r="D297" s="1" t="n">
        <f aca="false">IF(A297="","",INT(C297/12))</f>
        <v>24</v>
      </c>
      <c r="E297" s="1" t="n">
        <f aca="false">IF(A297="","",D297+Inputs!$B$7)</f>
        <v>40</v>
      </c>
      <c r="F297" s="3" t="n">
        <f aca="false">IF(A297="","",DATE(YEAR(B$2)+D297,MONTH(B$2),DAY(B$2)))</f>
        <v>30472</v>
      </c>
      <c r="G297" s="3" t="n">
        <f aca="false">IF(A297="","",DATE(YEAR(F297)+1,MONTH(F297),DAY(F297)))</f>
        <v>30838</v>
      </c>
      <c r="H297" s="10" t="n">
        <f aca="false">IF(A297="","",IF(G297&gt;F297,(B297-F297)/(G297-F297),0))</f>
        <v>0.655737704918033</v>
      </c>
      <c r="I297" s="10" t="n">
        <f aca="false">IF(A297="","",IFERROR(INDEX(CV_RATES!$I:$I,MATCH(D297,CV_RATES!$C:$C,0)),0))</f>
        <v>502.639184852397</v>
      </c>
      <c r="J297" s="10" t="n">
        <f aca="false">IF(A297="","",IFERROR(IF(E297=MAX(MORTALITY!$A:$A),1000,INDEX(CV_RATES!$J:$J,MATCH(D297,CV_RATES!$C:$C,0))),0))</f>
        <v>512.190501774674</v>
      </c>
      <c r="K297" s="10" t="n">
        <f aca="false">IF(A297="","",IFERROR(I297+H297*(J297-I297),0))</f>
        <v>508.902343489956</v>
      </c>
      <c r="L297" s="10" t="n">
        <f aca="false">IF(A297="","",IFERROR(K297*Inputs!$B$9,0))</f>
        <v>25445.1171744978</v>
      </c>
      <c r="M297" s="10" t="n">
        <f aca="false">IF(A297="","",IFERROR(K297*Inputs!$B$10,0))</f>
        <v>81422.8482513624</v>
      </c>
      <c r="N297" s="10" t="n">
        <f aca="false">IF(A297="","",Z296)</f>
        <v>0</v>
      </c>
      <c r="O297" s="6" t="n">
        <f aca="false">IF(A297="","",Inputs!$B$18+N297)</f>
        <v>50000</v>
      </c>
      <c r="P297" s="5" t="n">
        <f aca="false">IF(A297="","",VLOOKUP(D297,DIvidend_Assumption!$A$3:$CX$103,($E$2+2),0)/12)</f>
        <v>0</v>
      </c>
      <c r="Q297" s="10" t="n">
        <f aca="false">IF(A297="","",IFERROR(AB296*P297,""))</f>
        <v>0</v>
      </c>
      <c r="R297" s="10" t="n">
        <f aca="false">IF(A297="","",IFERROR(IF(Inputs!$B$22="Accumulate",T297+Q297,IF(Inputs!$B$22="Premium Offset",MAX(0,T297+Q297-Inputs!$B$25),T297)),""))</f>
        <v>0</v>
      </c>
      <c r="S297" s="10" t="n">
        <f aca="false">IF(A297="","",R296)</f>
        <v>0</v>
      </c>
      <c r="T297" s="10" t="n">
        <f aca="false">IF(A297="","",IFERROR(S297*(1+Inputs!$B$23/12),""))</f>
        <v>0</v>
      </c>
      <c r="U297" s="6" t="n">
        <f aca="false">IF(A297="","",IF(D297&lt;=Inputs!$B$8,IF(Inputs!$B$22="Premium Offset",MAX(0,Inputs!$B$25-(Q297+T297)),Inputs!$B$25),0))</f>
        <v>77</v>
      </c>
      <c r="V297" s="10" t="n">
        <f aca="false">IF(A297="","",IF(Inputs!$B$22="Cash",Q297,0))</f>
        <v>0</v>
      </c>
      <c r="W297" s="10" t="n">
        <f aca="false">IF(A297="","",IF(Inputs!$B$22="PUA",Q297,0))</f>
        <v>0</v>
      </c>
      <c r="X297" s="12" t="n">
        <f aca="false">IF(A297="","",IFERROR(INDEX(PUA_TABLE!$D$4:$D$105,MATCH(E297,PUA_TABLE!$C$4:$C$105,1)),0))</f>
        <v>0.502639184852397</v>
      </c>
      <c r="Y297" s="10" t="n">
        <f aca="false">IF(A297="","",IF(W297&gt;0,IF(X297&gt;0,W297/X297,0),0))</f>
        <v>0</v>
      </c>
      <c r="Z297" s="10" t="n">
        <f aca="false">IF(A297="","",N297+Y297)</f>
        <v>0</v>
      </c>
      <c r="AA297" s="10" t="n">
        <f aca="false">IF(A297="","",IFERROR(Z297*INDEX(PUA_TABLE!$I$4:$I$105,MATCH(E297,PUA_TABLE!$C$4:$C$105,1))/1000,0))</f>
        <v>0</v>
      </c>
      <c r="AB297" s="10" t="n">
        <f aca="false">IF(A297="","",IFERROR(L297+AA297,0))</f>
        <v>25445.1171744978</v>
      </c>
      <c r="AC297" s="10" t="n">
        <f aca="false">IF(A297="","",IF(Inputs!$B$22="Premium Offset",MIN(Inputs!$B$25,Q297+T297),0))</f>
        <v>0</v>
      </c>
    </row>
    <row r="298" customFormat="false" ht="15" hidden="false" customHeight="false" outlineLevel="0" collapsed="false">
      <c r="A298" s="1" t="n">
        <f aca="false">IF(A297="","",IF(INT((C297+1)/12)+Inputs!$B$7&gt;MAX(MORTALITY!$A:$A),"",Inputs!$B$4))</f>
        <v>34</v>
      </c>
      <c r="B298" s="3" t="n">
        <f aca="false">IF(A298="","",EOMONTH(B297,1))</f>
        <v>30741</v>
      </c>
      <c r="C298" s="1" t="n">
        <f aca="false">IF(A298="","",C297+1)</f>
        <v>296</v>
      </c>
      <c r="D298" s="1" t="n">
        <f aca="false">IF(A298="","",INT(C298/12))</f>
        <v>24</v>
      </c>
      <c r="E298" s="1" t="n">
        <f aca="false">IF(A298="","",D298+Inputs!$B$7)</f>
        <v>40</v>
      </c>
      <c r="F298" s="3" t="n">
        <f aca="false">IF(A298="","",DATE(YEAR(B$2)+D298,MONTH(B$2),DAY(B$2)))</f>
        <v>30472</v>
      </c>
      <c r="G298" s="3" t="n">
        <f aca="false">IF(A298="","",DATE(YEAR(F298)+1,MONTH(F298),DAY(F298)))</f>
        <v>30838</v>
      </c>
      <c r="H298" s="10" t="n">
        <f aca="false">IF(A298="","",IF(G298&gt;F298,(B298-F298)/(G298-F298),0))</f>
        <v>0.734972677595629</v>
      </c>
      <c r="I298" s="10" t="n">
        <f aca="false">IF(A298="","",IFERROR(INDEX(CV_RATES!$I:$I,MATCH(D298,CV_RATES!$C:$C,0)),0))</f>
        <v>502.639184852397</v>
      </c>
      <c r="J298" s="10" t="n">
        <f aca="false">IF(A298="","",IFERROR(IF(E298=MAX(MORTALITY!$A:$A),1000,INDEX(CV_RATES!$J:$J,MATCH(D298,CV_RATES!$C:$C,0))),0))</f>
        <v>512.190501774674</v>
      </c>
      <c r="K298" s="10" t="n">
        <f aca="false">IF(A298="","",IFERROR(I298+H298*(J298-I298),0))</f>
        <v>509.659141825327</v>
      </c>
      <c r="L298" s="10" t="n">
        <f aca="false">IF(A298="","",IFERROR(K298*Inputs!$B$9,0))</f>
        <v>25482.9570912664</v>
      </c>
      <c r="M298" s="10" t="n">
        <f aca="false">IF(A298="","",IFERROR(K298*Inputs!$B$10,0))</f>
        <v>81543.9337146269</v>
      </c>
      <c r="N298" s="10" t="n">
        <f aca="false">IF(A298="","",Z297)</f>
        <v>0</v>
      </c>
      <c r="O298" s="6" t="n">
        <f aca="false">IF(A298="","",Inputs!$B$18+N298)</f>
        <v>50000</v>
      </c>
      <c r="P298" s="5" t="n">
        <f aca="false">IF(A298="","",VLOOKUP(D298,DIvidend_Assumption!$A$3:$CX$103,($E$2+2),0)/12)</f>
        <v>0</v>
      </c>
      <c r="Q298" s="10" t="n">
        <f aca="false">IF(A298="","",IFERROR(AB297*P298,""))</f>
        <v>0</v>
      </c>
      <c r="R298" s="10" t="n">
        <f aca="false">IF(A298="","",IFERROR(IF(Inputs!$B$22="Accumulate",T298+Q298,IF(Inputs!$B$22="Premium Offset",MAX(0,T298+Q298-Inputs!$B$25),T298)),""))</f>
        <v>0</v>
      </c>
      <c r="S298" s="10" t="n">
        <f aca="false">IF(A298="","",R297)</f>
        <v>0</v>
      </c>
      <c r="T298" s="10" t="n">
        <f aca="false">IF(A298="","",IFERROR(S298*(1+Inputs!$B$23/12),""))</f>
        <v>0</v>
      </c>
      <c r="U298" s="6" t="n">
        <f aca="false">IF(A298="","",IF(D298&lt;=Inputs!$B$8,IF(Inputs!$B$22="Premium Offset",MAX(0,Inputs!$B$25-(Q298+T298)),Inputs!$B$25),0))</f>
        <v>77</v>
      </c>
      <c r="V298" s="10" t="n">
        <f aca="false">IF(A298="","",IF(Inputs!$B$22="Cash",Q298,0))</f>
        <v>0</v>
      </c>
      <c r="W298" s="10" t="n">
        <f aca="false">IF(A298="","",IF(Inputs!$B$22="PUA",Q298,0))</f>
        <v>0</v>
      </c>
      <c r="X298" s="12" t="n">
        <f aca="false">IF(A298="","",IFERROR(INDEX(PUA_TABLE!$D$4:$D$105,MATCH(E298,PUA_TABLE!$C$4:$C$105,1)),0))</f>
        <v>0.502639184852397</v>
      </c>
      <c r="Y298" s="10" t="n">
        <f aca="false">IF(A298="","",IF(W298&gt;0,IF(X298&gt;0,W298/X298,0),0))</f>
        <v>0</v>
      </c>
      <c r="Z298" s="10" t="n">
        <f aca="false">IF(A298="","",N298+Y298)</f>
        <v>0</v>
      </c>
      <c r="AA298" s="10" t="n">
        <f aca="false">IF(A298="","",IFERROR(Z298*INDEX(PUA_TABLE!$I$4:$I$105,MATCH(E298,PUA_TABLE!$C$4:$C$105,1))/1000,0))</f>
        <v>0</v>
      </c>
      <c r="AB298" s="10" t="n">
        <f aca="false">IF(A298="","",IFERROR(L298+AA298,0))</f>
        <v>25482.9570912664</v>
      </c>
      <c r="AC298" s="10" t="n">
        <f aca="false">IF(A298="","",IF(Inputs!$B$22="Premium Offset",MIN(Inputs!$B$25,Q298+T298),0))</f>
        <v>0</v>
      </c>
    </row>
    <row r="299" customFormat="false" ht="15" hidden="false" customHeight="false" outlineLevel="0" collapsed="false">
      <c r="A299" s="1" t="n">
        <f aca="false">IF(A298="","",IF(INT((C298+1)/12)+Inputs!$B$7&gt;MAX(MORTALITY!$A:$A),"",Inputs!$B$4))</f>
        <v>34</v>
      </c>
      <c r="B299" s="3" t="n">
        <f aca="false">IF(A299="","",EOMONTH(B298,1))</f>
        <v>30772</v>
      </c>
      <c r="C299" s="1" t="n">
        <f aca="false">IF(A299="","",C298+1)</f>
        <v>297</v>
      </c>
      <c r="D299" s="1" t="n">
        <f aca="false">IF(A299="","",INT(C299/12))</f>
        <v>24</v>
      </c>
      <c r="E299" s="1" t="n">
        <f aca="false">IF(A299="","",D299+Inputs!$B$7)</f>
        <v>40</v>
      </c>
      <c r="F299" s="3" t="n">
        <f aca="false">IF(A299="","",DATE(YEAR(B$2)+D299,MONTH(B$2),DAY(B$2)))</f>
        <v>30472</v>
      </c>
      <c r="G299" s="3" t="n">
        <f aca="false">IF(A299="","",DATE(YEAR(F299)+1,MONTH(F299),DAY(F299)))</f>
        <v>30838</v>
      </c>
      <c r="H299" s="10" t="n">
        <f aca="false">IF(A299="","",IF(G299&gt;F299,(B299-F299)/(G299-F299),0))</f>
        <v>0.819672131147541</v>
      </c>
      <c r="I299" s="10" t="n">
        <f aca="false">IF(A299="","",IFERROR(INDEX(CV_RATES!$I:$I,MATCH(D299,CV_RATES!$C:$C,0)),0))</f>
        <v>502.639184852397</v>
      </c>
      <c r="J299" s="10" t="n">
        <f aca="false">IF(A299="","",IFERROR(IF(E299=MAX(MORTALITY!$A:$A),1000,INDEX(CV_RATES!$J:$J,MATCH(D299,CV_RATES!$C:$C,0))),0))</f>
        <v>512.190501774674</v>
      </c>
      <c r="K299" s="10" t="n">
        <f aca="false">IF(A299="","",IFERROR(I299+H299*(J299-I299),0))</f>
        <v>510.468133149345</v>
      </c>
      <c r="L299" s="10" t="n">
        <f aca="false">IF(A299="","",IFERROR(K299*Inputs!$B$9,0))</f>
        <v>25523.4066574673</v>
      </c>
      <c r="M299" s="10" t="n">
        <f aca="false">IF(A299="","",IFERROR(K299*Inputs!$B$10,0))</f>
        <v>81673.3698994958</v>
      </c>
      <c r="N299" s="10" t="n">
        <f aca="false">IF(A299="","",Z298)</f>
        <v>0</v>
      </c>
      <c r="O299" s="6" t="n">
        <f aca="false">IF(A299="","",Inputs!$B$18+N299)</f>
        <v>50000</v>
      </c>
      <c r="P299" s="5" t="n">
        <f aca="false">IF(A299="","",VLOOKUP(D299,DIvidend_Assumption!$A$3:$CX$103,($E$2+2),0)/12)</f>
        <v>0</v>
      </c>
      <c r="Q299" s="10" t="n">
        <f aca="false">IF(A299="","",IFERROR(AB298*P299,""))</f>
        <v>0</v>
      </c>
      <c r="R299" s="10" t="n">
        <f aca="false">IF(A299="","",IFERROR(IF(Inputs!$B$22="Accumulate",T299+Q299,IF(Inputs!$B$22="Premium Offset",MAX(0,T299+Q299-Inputs!$B$25),T299)),""))</f>
        <v>0</v>
      </c>
      <c r="S299" s="10" t="n">
        <f aca="false">IF(A299="","",R298)</f>
        <v>0</v>
      </c>
      <c r="T299" s="10" t="n">
        <f aca="false">IF(A299="","",IFERROR(S299*(1+Inputs!$B$23/12),""))</f>
        <v>0</v>
      </c>
      <c r="U299" s="6" t="n">
        <f aca="false">IF(A299="","",IF(D299&lt;=Inputs!$B$8,IF(Inputs!$B$22="Premium Offset",MAX(0,Inputs!$B$25-(Q299+T299)),Inputs!$B$25),0))</f>
        <v>77</v>
      </c>
      <c r="V299" s="10" t="n">
        <f aca="false">IF(A299="","",IF(Inputs!$B$22="Cash",Q299,0))</f>
        <v>0</v>
      </c>
      <c r="W299" s="10" t="n">
        <f aca="false">IF(A299="","",IF(Inputs!$B$22="PUA",Q299,0))</f>
        <v>0</v>
      </c>
      <c r="X299" s="12" t="n">
        <f aca="false">IF(A299="","",IFERROR(INDEX(PUA_TABLE!$D$4:$D$105,MATCH(E299,PUA_TABLE!$C$4:$C$105,1)),0))</f>
        <v>0.502639184852397</v>
      </c>
      <c r="Y299" s="10" t="n">
        <f aca="false">IF(A299="","",IF(W299&gt;0,IF(X299&gt;0,W299/X299,0),0))</f>
        <v>0</v>
      </c>
      <c r="Z299" s="10" t="n">
        <f aca="false">IF(A299="","",N299+Y299)</f>
        <v>0</v>
      </c>
      <c r="AA299" s="10" t="n">
        <f aca="false">IF(A299="","",IFERROR(Z299*INDEX(PUA_TABLE!$I$4:$I$105,MATCH(E299,PUA_TABLE!$C$4:$C$105,1))/1000,0))</f>
        <v>0</v>
      </c>
      <c r="AB299" s="10" t="n">
        <f aca="false">IF(A299="","",IFERROR(L299+AA299,0))</f>
        <v>25523.4066574673</v>
      </c>
      <c r="AC299" s="10" t="n">
        <f aca="false">IF(A299="","",IF(Inputs!$B$22="Premium Offset",MIN(Inputs!$B$25,Q299+T299),0))</f>
        <v>0</v>
      </c>
    </row>
    <row r="300" customFormat="false" ht="15" hidden="false" customHeight="false" outlineLevel="0" collapsed="false">
      <c r="A300" s="1" t="n">
        <f aca="false">IF(A299="","",IF(INT((C299+1)/12)+Inputs!$B$7&gt;MAX(MORTALITY!$A:$A),"",Inputs!$B$4))</f>
        <v>34</v>
      </c>
      <c r="B300" s="3" t="n">
        <f aca="false">IF(A300="","",EOMONTH(B299,1))</f>
        <v>30802</v>
      </c>
      <c r="C300" s="1" t="n">
        <f aca="false">IF(A300="","",C299+1)</f>
        <v>298</v>
      </c>
      <c r="D300" s="1" t="n">
        <f aca="false">IF(A300="","",INT(C300/12))</f>
        <v>24</v>
      </c>
      <c r="E300" s="1" t="n">
        <f aca="false">IF(A300="","",D300+Inputs!$B$7)</f>
        <v>40</v>
      </c>
      <c r="F300" s="3" t="n">
        <f aca="false">IF(A300="","",DATE(YEAR(B$2)+D300,MONTH(B$2),DAY(B$2)))</f>
        <v>30472</v>
      </c>
      <c r="G300" s="3" t="n">
        <f aca="false">IF(A300="","",DATE(YEAR(F300)+1,MONTH(F300),DAY(F300)))</f>
        <v>30838</v>
      </c>
      <c r="H300" s="10" t="n">
        <f aca="false">IF(A300="","",IF(G300&gt;F300,(B300-F300)/(G300-F300),0))</f>
        <v>0.901639344262295</v>
      </c>
      <c r="I300" s="10" t="n">
        <f aca="false">IF(A300="","",IFERROR(INDEX(CV_RATES!$I:$I,MATCH(D300,CV_RATES!$C:$C,0)),0))</f>
        <v>502.639184852397</v>
      </c>
      <c r="J300" s="10" t="n">
        <f aca="false">IF(A300="","",IFERROR(IF(E300=MAX(MORTALITY!$A:$A),1000,INDEX(CV_RATES!$J:$J,MATCH(D300,CV_RATES!$C:$C,0))),0))</f>
        <v>512.190501774674</v>
      </c>
      <c r="K300" s="10" t="n">
        <f aca="false">IF(A300="","",IFERROR(I300+H300*(J300-I300),0))</f>
        <v>511.25102797904</v>
      </c>
      <c r="L300" s="10" t="n">
        <f aca="false">IF(A300="","",IFERROR(K300*Inputs!$B$9,0))</f>
        <v>25562.551398952</v>
      </c>
      <c r="M300" s="10" t="n">
        <f aca="false">IF(A300="","",IFERROR(K300*Inputs!$B$10,0))</f>
        <v>81798.6307235625</v>
      </c>
      <c r="N300" s="10" t="n">
        <f aca="false">IF(A300="","",Z299)</f>
        <v>0</v>
      </c>
      <c r="O300" s="6" t="n">
        <f aca="false">IF(A300="","",Inputs!$B$18+N300)</f>
        <v>50000</v>
      </c>
      <c r="P300" s="5" t="n">
        <f aca="false">IF(A300="","",VLOOKUP(D300,DIvidend_Assumption!$A$3:$CX$103,($E$2+2),0)/12)</f>
        <v>0</v>
      </c>
      <c r="Q300" s="10" t="n">
        <f aca="false">IF(A300="","",IFERROR(AB299*P300,""))</f>
        <v>0</v>
      </c>
      <c r="R300" s="10" t="n">
        <f aca="false">IF(A300="","",IFERROR(IF(Inputs!$B$22="Accumulate",T300+Q300,IF(Inputs!$B$22="Premium Offset",MAX(0,T300+Q300-Inputs!$B$25),T300)),""))</f>
        <v>0</v>
      </c>
      <c r="S300" s="10" t="n">
        <f aca="false">IF(A300="","",R299)</f>
        <v>0</v>
      </c>
      <c r="T300" s="10" t="n">
        <f aca="false">IF(A300="","",IFERROR(S300*(1+Inputs!$B$23/12),""))</f>
        <v>0</v>
      </c>
      <c r="U300" s="6" t="n">
        <f aca="false">IF(A300="","",IF(D300&lt;=Inputs!$B$8,IF(Inputs!$B$22="Premium Offset",MAX(0,Inputs!$B$25-(Q300+T300)),Inputs!$B$25),0))</f>
        <v>77</v>
      </c>
      <c r="V300" s="10" t="n">
        <f aca="false">IF(A300="","",IF(Inputs!$B$22="Cash",Q300,0))</f>
        <v>0</v>
      </c>
      <c r="W300" s="10" t="n">
        <f aca="false">IF(A300="","",IF(Inputs!$B$22="PUA",Q300,0))</f>
        <v>0</v>
      </c>
      <c r="X300" s="12" t="n">
        <f aca="false">IF(A300="","",IFERROR(INDEX(PUA_TABLE!$D$4:$D$105,MATCH(E300,PUA_TABLE!$C$4:$C$105,1)),0))</f>
        <v>0.502639184852397</v>
      </c>
      <c r="Y300" s="10" t="n">
        <f aca="false">IF(A300="","",IF(W300&gt;0,IF(X300&gt;0,W300/X300,0),0))</f>
        <v>0</v>
      </c>
      <c r="Z300" s="10" t="n">
        <f aca="false">IF(A300="","",N300+Y300)</f>
        <v>0</v>
      </c>
      <c r="AA300" s="10" t="n">
        <f aca="false">IF(A300="","",IFERROR(Z300*INDEX(PUA_TABLE!$I$4:$I$105,MATCH(E300,PUA_TABLE!$C$4:$C$105,1))/1000,0))</f>
        <v>0</v>
      </c>
      <c r="AB300" s="10" t="n">
        <f aca="false">IF(A300="","",IFERROR(L300+AA300,0))</f>
        <v>25562.551398952</v>
      </c>
      <c r="AC300" s="10" t="n">
        <f aca="false">IF(A300="","",IF(Inputs!$B$22="Premium Offset",MIN(Inputs!$B$25,Q300+T300),0))</f>
        <v>0</v>
      </c>
    </row>
    <row r="301" customFormat="false" ht="15" hidden="false" customHeight="false" outlineLevel="0" collapsed="false">
      <c r="A301" s="1" t="n">
        <f aca="false">IF(A300="","",IF(INT((C300+1)/12)+Inputs!$B$7&gt;MAX(MORTALITY!$A:$A),"",Inputs!$B$4))</f>
        <v>34</v>
      </c>
      <c r="B301" s="3" t="n">
        <f aca="false">IF(A301="","",EOMONTH(B300,1))</f>
        <v>30833</v>
      </c>
      <c r="C301" s="1" t="n">
        <f aca="false">IF(A301="","",C300+1)</f>
        <v>299</v>
      </c>
      <c r="D301" s="1" t="n">
        <f aca="false">IF(A301="","",INT(C301/12))</f>
        <v>24</v>
      </c>
      <c r="E301" s="1" t="n">
        <f aca="false">IF(A301="","",D301+Inputs!$B$7)</f>
        <v>40</v>
      </c>
      <c r="F301" s="3" t="n">
        <f aca="false">IF(A301="","",DATE(YEAR(B$2)+D301,MONTH(B$2),DAY(B$2)))</f>
        <v>30472</v>
      </c>
      <c r="G301" s="3" t="n">
        <f aca="false">IF(A301="","",DATE(YEAR(F301)+1,MONTH(F301),DAY(F301)))</f>
        <v>30838</v>
      </c>
      <c r="H301" s="10" t="n">
        <f aca="false">IF(A301="","",IF(G301&gt;F301,(B301-F301)/(G301-F301),0))</f>
        <v>0.986338797814208</v>
      </c>
      <c r="I301" s="10" t="n">
        <f aca="false">IF(A301="","",IFERROR(INDEX(CV_RATES!$I:$I,MATCH(D301,CV_RATES!$C:$C,0)),0))</f>
        <v>502.639184852397</v>
      </c>
      <c r="J301" s="10" t="n">
        <f aca="false">IF(A301="","",IFERROR(IF(E301=MAX(MORTALITY!$A:$A),1000,INDEX(CV_RATES!$J:$J,MATCH(D301,CV_RATES!$C:$C,0))),0))</f>
        <v>512.190501774674</v>
      </c>
      <c r="K301" s="10" t="n">
        <f aca="false">IF(A301="","",IFERROR(I301+H301*(J301-I301),0))</f>
        <v>512.060019303058</v>
      </c>
      <c r="L301" s="10" t="n">
        <f aca="false">IF(A301="","",IFERROR(K301*Inputs!$B$9,0))</f>
        <v>25603.0009651529</v>
      </c>
      <c r="M301" s="10" t="n">
        <f aca="false">IF(A301="","",IFERROR(K301*Inputs!$B$10,0))</f>
        <v>81928.0669084314</v>
      </c>
      <c r="N301" s="10" t="n">
        <f aca="false">IF(A301="","",Z300)</f>
        <v>0</v>
      </c>
      <c r="O301" s="6" t="n">
        <f aca="false">IF(A301="","",Inputs!$B$18+N301)</f>
        <v>50000</v>
      </c>
      <c r="P301" s="5" t="n">
        <f aca="false">IF(A301="","",VLOOKUP(D301,DIvidend_Assumption!$A$3:$CX$103,($E$2+2),0)/12)</f>
        <v>0</v>
      </c>
      <c r="Q301" s="10" t="n">
        <f aca="false">IF(A301="","",IFERROR(AB300*P301,""))</f>
        <v>0</v>
      </c>
      <c r="R301" s="10" t="n">
        <f aca="false">IF(A301="","",IFERROR(IF(Inputs!$B$22="Accumulate",T301+Q301,IF(Inputs!$B$22="Premium Offset",MAX(0,T301+Q301-Inputs!$B$25),T301)),""))</f>
        <v>0</v>
      </c>
      <c r="S301" s="10" t="n">
        <f aca="false">IF(A301="","",R300)</f>
        <v>0</v>
      </c>
      <c r="T301" s="10" t="n">
        <f aca="false">IF(A301="","",IFERROR(S301*(1+Inputs!$B$23/12),""))</f>
        <v>0</v>
      </c>
      <c r="U301" s="6" t="n">
        <f aca="false">IF(A301="","",IF(D301&lt;=Inputs!$B$8,IF(Inputs!$B$22="Premium Offset",MAX(0,Inputs!$B$25-(Q301+T301)),Inputs!$B$25),0))</f>
        <v>77</v>
      </c>
      <c r="V301" s="10" t="n">
        <f aca="false">IF(A301="","",IF(Inputs!$B$22="Cash",Q301,0))</f>
        <v>0</v>
      </c>
      <c r="W301" s="10" t="n">
        <f aca="false">IF(A301="","",IF(Inputs!$B$22="PUA",Q301,0))</f>
        <v>0</v>
      </c>
      <c r="X301" s="12" t="n">
        <f aca="false">IF(A301="","",IFERROR(INDEX(PUA_TABLE!$D$4:$D$105,MATCH(E301,PUA_TABLE!$C$4:$C$105,1)),0))</f>
        <v>0.502639184852397</v>
      </c>
      <c r="Y301" s="10" t="n">
        <f aca="false">IF(A301="","",IF(W301&gt;0,IF(X301&gt;0,W301/X301,0),0))</f>
        <v>0</v>
      </c>
      <c r="Z301" s="10" t="n">
        <f aca="false">IF(A301="","",N301+Y301)</f>
        <v>0</v>
      </c>
      <c r="AA301" s="10" t="n">
        <f aca="false">IF(A301="","",IFERROR(Z301*INDEX(PUA_TABLE!$I$4:$I$105,MATCH(E301,PUA_TABLE!$C$4:$C$105,1))/1000,0))</f>
        <v>0</v>
      </c>
      <c r="AB301" s="10" t="n">
        <f aca="false">IF(A301="","",IFERROR(L301+AA301,0))</f>
        <v>25603.0009651529</v>
      </c>
      <c r="AC301" s="10" t="n">
        <f aca="false">IF(A301="","",IF(Inputs!$B$22="Premium Offset",MIN(Inputs!$B$25,Q301+T301),0))</f>
        <v>0</v>
      </c>
    </row>
    <row r="302" customFormat="false" ht="15" hidden="false" customHeight="false" outlineLevel="0" collapsed="false">
      <c r="A302" s="1" t="n">
        <f aca="false">IF(A301="","",IF(INT((C301+1)/12)+Inputs!$B$7&gt;MAX(MORTALITY!$A:$A),"",Inputs!$B$4))</f>
        <v>34</v>
      </c>
      <c r="B302" s="3" t="n">
        <f aca="false">IF(A302="","",EOMONTH(B301,1))</f>
        <v>30863</v>
      </c>
      <c r="C302" s="1" t="n">
        <f aca="false">IF(A302="","",C301+1)</f>
        <v>300</v>
      </c>
      <c r="D302" s="1" t="n">
        <f aca="false">IF(A302="","",INT(C302/12))</f>
        <v>25</v>
      </c>
      <c r="E302" s="1" t="n">
        <f aca="false">IF(A302="","",D302+Inputs!$B$7)</f>
        <v>41</v>
      </c>
      <c r="F302" s="3" t="n">
        <f aca="false">IF(A302="","",DATE(YEAR(B$2)+D302,MONTH(B$2),DAY(B$2)))</f>
        <v>30838</v>
      </c>
      <c r="G302" s="3" t="n">
        <f aca="false">IF(A302="","",DATE(YEAR(F302)+1,MONTH(F302),DAY(F302)))</f>
        <v>31203</v>
      </c>
      <c r="H302" s="10" t="n">
        <f aca="false">IF(A302="","",IF(G302&gt;F302,(B302-F302)/(G302-F302),0))</f>
        <v>0.0684931506849315</v>
      </c>
      <c r="I302" s="10" t="n">
        <f aca="false">IF(A302="","",IFERROR(INDEX(CV_RATES!$I:$I,MATCH(D302,CV_RATES!$C:$C,0)),0))</f>
        <v>512.190501774674</v>
      </c>
      <c r="J302" s="10" t="n">
        <f aca="false">IF(A302="","",IFERROR(IF(E302=MAX(MORTALITY!$A:$A),1000,INDEX(CV_RATES!$J:$J,MATCH(D302,CV_RATES!$C:$C,0))),0))</f>
        <v>521.844217713775</v>
      </c>
      <c r="K302" s="10" t="n">
        <f aca="false">IF(A302="","",IFERROR(I302+H302*(J302-I302),0))</f>
        <v>512.85171519516</v>
      </c>
      <c r="L302" s="10" t="n">
        <f aca="false">IF(A302="","",IFERROR(K302*Inputs!$B$9,0))</f>
        <v>25642.585759758</v>
      </c>
      <c r="M302" s="10" t="n">
        <f aca="false">IF(A302="","",IFERROR(K302*Inputs!$B$10,0))</f>
        <v>82054.7358760801</v>
      </c>
      <c r="N302" s="10" t="n">
        <f aca="false">IF(A302="","",Z301)</f>
        <v>0</v>
      </c>
      <c r="O302" s="6" t="n">
        <f aca="false">IF(A302="","",Inputs!$B$18+N302)</f>
        <v>50000</v>
      </c>
      <c r="P302" s="5" t="n">
        <f aca="false">IF(A302="","",VLOOKUP(D302,DIvidend_Assumption!$A$3:$CX$103,($E$2+2),0)/12)</f>
        <v>0</v>
      </c>
      <c r="Q302" s="10" t="n">
        <f aca="false">IF(A302="","",IFERROR(AB301*P302,""))</f>
        <v>0</v>
      </c>
      <c r="R302" s="10" t="n">
        <f aca="false">IF(A302="","",IFERROR(IF(Inputs!$B$22="Accumulate",T302+Q302,IF(Inputs!$B$22="Premium Offset",MAX(0,T302+Q302-Inputs!$B$25),T302)),""))</f>
        <v>0</v>
      </c>
      <c r="S302" s="10" t="n">
        <f aca="false">IF(A302="","",R301)</f>
        <v>0</v>
      </c>
      <c r="T302" s="10" t="n">
        <f aca="false">IF(A302="","",IFERROR(S302*(1+Inputs!$B$23/12),""))</f>
        <v>0</v>
      </c>
      <c r="U302" s="6" t="n">
        <f aca="false">IF(A302="","",IF(D302&lt;=Inputs!$B$8,IF(Inputs!$B$22="Premium Offset",MAX(0,Inputs!$B$25-(Q302+T302)),Inputs!$B$25),0))</f>
        <v>77</v>
      </c>
      <c r="V302" s="10" t="n">
        <f aca="false">IF(A302="","",IF(Inputs!$B$22="Cash",Q302,0))</f>
        <v>0</v>
      </c>
      <c r="W302" s="10" t="n">
        <f aca="false">IF(A302="","",IF(Inputs!$B$22="PUA",Q302,0))</f>
        <v>0</v>
      </c>
      <c r="X302" s="12" t="n">
        <f aca="false">IF(A302="","",IFERROR(INDEX(PUA_TABLE!$D$4:$D$105,MATCH(E302,PUA_TABLE!$C$4:$C$105,1)),0))</f>
        <v>0.512190501774674</v>
      </c>
      <c r="Y302" s="10" t="n">
        <f aca="false">IF(A302="","",IF(W302&gt;0,IF(X302&gt;0,W302/X302,0),0))</f>
        <v>0</v>
      </c>
      <c r="Z302" s="10" t="n">
        <f aca="false">IF(A302="","",N302+Y302)</f>
        <v>0</v>
      </c>
      <c r="AA302" s="10" t="n">
        <f aca="false">IF(A302="","",IFERROR(Z302*INDEX(PUA_TABLE!$I$4:$I$105,MATCH(E302,PUA_TABLE!$C$4:$C$105,1))/1000,0))</f>
        <v>0</v>
      </c>
      <c r="AB302" s="10" t="n">
        <f aca="false">IF(A302="","",IFERROR(L302+AA302,0))</f>
        <v>25642.585759758</v>
      </c>
      <c r="AC302" s="10" t="n">
        <f aca="false">IF(A302="","",IF(Inputs!$B$22="Premium Offset",MIN(Inputs!$B$25,Q302+T302),0))</f>
        <v>0</v>
      </c>
    </row>
    <row r="303" customFormat="false" ht="15" hidden="false" customHeight="false" outlineLevel="0" collapsed="false">
      <c r="A303" s="1" t="n">
        <f aca="false">IF(A302="","",IF(INT((C302+1)/12)+Inputs!$B$7&gt;MAX(MORTALITY!$A:$A),"",Inputs!$B$4))</f>
        <v>34</v>
      </c>
      <c r="B303" s="3" t="n">
        <f aca="false">IF(A303="","",EOMONTH(B302,1))</f>
        <v>30894</v>
      </c>
      <c r="C303" s="1" t="n">
        <f aca="false">IF(A303="","",C302+1)</f>
        <v>301</v>
      </c>
      <c r="D303" s="1" t="n">
        <f aca="false">IF(A303="","",INT(C303/12))</f>
        <v>25</v>
      </c>
      <c r="E303" s="1" t="n">
        <f aca="false">IF(A303="","",D303+Inputs!$B$7)</f>
        <v>41</v>
      </c>
      <c r="F303" s="3" t="n">
        <f aca="false">IF(A303="","",DATE(YEAR(B$2)+D303,MONTH(B$2),DAY(B$2)))</f>
        <v>30838</v>
      </c>
      <c r="G303" s="3" t="n">
        <f aca="false">IF(A303="","",DATE(YEAR(F303)+1,MONTH(F303),DAY(F303)))</f>
        <v>31203</v>
      </c>
      <c r="H303" s="10" t="n">
        <f aca="false">IF(A303="","",IF(G303&gt;F303,(B303-F303)/(G303-F303),0))</f>
        <v>0.153424657534247</v>
      </c>
      <c r="I303" s="10" t="n">
        <f aca="false">IF(A303="","",IFERROR(INDEX(CV_RATES!$I:$I,MATCH(D303,CV_RATES!$C:$C,0)),0))</f>
        <v>512.190501774674</v>
      </c>
      <c r="J303" s="10" t="n">
        <f aca="false">IF(A303="","",IFERROR(IF(E303=MAX(MORTALITY!$A:$A),1000,INDEX(CV_RATES!$J:$J,MATCH(D303,CV_RATES!$C:$C,0))),0))</f>
        <v>521.844217713775</v>
      </c>
      <c r="K303" s="10" t="n">
        <f aca="false">IF(A303="","",IFERROR(I303+H303*(J303-I303),0))</f>
        <v>513.671619836563</v>
      </c>
      <c r="L303" s="10" t="n">
        <f aca="false">IF(A303="","",IFERROR(K303*Inputs!$B$9,0))</f>
        <v>25683.5809918282</v>
      </c>
      <c r="M303" s="10" t="n">
        <f aca="false">IF(A303="","",IFERROR(K303*Inputs!$B$10,0))</f>
        <v>82185.9181589907</v>
      </c>
      <c r="N303" s="10" t="n">
        <f aca="false">IF(A303="","",Z302)</f>
        <v>0</v>
      </c>
      <c r="O303" s="6" t="n">
        <f aca="false">IF(A303="","",Inputs!$B$18+N303)</f>
        <v>50000</v>
      </c>
      <c r="P303" s="5" t="n">
        <f aca="false">IF(A303="","",VLOOKUP(D303,DIvidend_Assumption!$A$3:$CX$103,($E$2+2),0)/12)</f>
        <v>0</v>
      </c>
      <c r="Q303" s="10" t="n">
        <f aca="false">IF(A303="","",IFERROR(AB302*P303,""))</f>
        <v>0</v>
      </c>
      <c r="R303" s="10" t="n">
        <f aca="false">IF(A303="","",IFERROR(IF(Inputs!$B$22="Accumulate",T303+Q303,IF(Inputs!$B$22="Premium Offset",MAX(0,T303+Q303-Inputs!$B$25),T303)),""))</f>
        <v>0</v>
      </c>
      <c r="S303" s="10" t="n">
        <f aca="false">IF(A303="","",R302)</f>
        <v>0</v>
      </c>
      <c r="T303" s="10" t="n">
        <f aca="false">IF(A303="","",IFERROR(S303*(1+Inputs!$B$23/12),""))</f>
        <v>0</v>
      </c>
      <c r="U303" s="6" t="n">
        <f aca="false">IF(A303="","",IF(D303&lt;=Inputs!$B$8,IF(Inputs!$B$22="Premium Offset",MAX(0,Inputs!$B$25-(Q303+T303)),Inputs!$B$25),0))</f>
        <v>77</v>
      </c>
      <c r="V303" s="10" t="n">
        <f aca="false">IF(A303="","",IF(Inputs!$B$22="Cash",Q303,0))</f>
        <v>0</v>
      </c>
      <c r="W303" s="10" t="n">
        <f aca="false">IF(A303="","",IF(Inputs!$B$22="PUA",Q303,0))</f>
        <v>0</v>
      </c>
      <c r="X303" s="12" t="n">
        <f aca="false">IF(A303="","",IFERROR(INDEX(PUA_TABLE!$D$4:$D$105,MATCH(E303,PUA_TABLE!$C$4:$C$105,1)),0))</f>
        <v>0.512190501774674</v>
      </c>
      <c r="Y303" s="10" t="n">
        <f aca="false">IF(A303="","",IF(W303&gt;0,IF(X303&gt;0,W303/X303,0),0))</f>
        <v>0</v>
      </c>
      <c r="Z303" s="10" t="n">
        <f aca="false">IF(A303="","",N303+Y303)</f>
        <v>0</v>
      </c>
      <c r="AA303" s="10" t="n">
        <f aca="false">IF(A303="","",IFERROR(Z303*INDEX(PUA_TABLE!$I$4:$I$105,MATCH(E303,PUA_TABLE!$C$4:$C$105,1))/1000,0))</f>
        <v>0</v>
      </c>
      <c r="AB303" s="10" t="n">
        <f aca="false">IF(A303="","",IFERROR(L303+AA303,0))</f>
        <v>25683.5809918282</v>
      </c>
      <c r="AC303" s="10" t="n">
        <f aca="false">IF(A303="","",IF(Inputs!$B$22="Premium Offset",MIN(Inputs!$B$25,Q303+T303),0))</f>
        <v>0</v>
      </c>
    </row>
    <row r="304" customFormat="false" ht="15" hidden="false" customHeight="false" outlineLevel="0" collapsed="false">
      <c r="A304" s="1" t="n">
        <f aca="false">IF(A303="","",IF(INT((C303+1)/12)+Inputs!$B$7&gt;MAX(MORTALITY!$A:$A),"",Inputs!$B$4))</f>
        <v>34</v>
      </c>
      <c r="B304" s="3" t="n">
        <f aca="false">IF(A304="","",EOMONTH(B303,1))</f>
        <v>30925</v>
      </c>
      <c r="C304" s="1" t="n">
        <f aca="false">IF(A304="","",C303+1)</f>
        <v>302</v>
      </c>
      <c r="D304" s="1" t="n">
        <f aca="false">IF(A304="","",INT(C304/12))</f>
        <v>25</v>
      </c>
      <c r="E304" s="1" t="n">
        <f aca="false">IF(A304="","",D304+Inputs!$B$7)</f>
        <v>41</v>
      </c>
      <c r="F304" s="3" t="n">
        <f aca="false">IF(A304="","",DATE(YEAR(B$2)+D304,MONTH(B$2),DAY(B$2)))</f>
        <v>30838</v>
      </c>
      <c r="G304" s="3" t="n">
        <f aca="false">IF(A304="","",DATE(YEAR(F304)+1,MONTH(F304),DAY(F304)))</f>
        <v>31203</v>
      </c>
      <c r="H304" s="10" t="n">
        <f aca="false">IF(A304="","",IF(G304&gt;F304,(B304-F304)/(G304-F304),0))</f>
        <v>0.238356164383562</v>
      </c>
      <c r="I304" s="10" t="n">
        <f aca="false">IF(A304="","",IFERROR(INDEX(CV_RATES!$I:$I,MATCH(D304,CV_RATES!$C:$C,0)),0))</f>
        <v>512.190501774674</v>
      </c>
      <c r="J304" s="10" t="n">
        <f aca="false">IF(A304="","",IFERROR(IF(E304=MAX(MORTALITY!$A:$A),1000,INDEX(CV_RATES!$J:$J,MATCH(D304,CV_RATES!$C:$C,0))),0))</f>
        <v>521.844217713775</v>
      </c>
      <c r="K304" s="10" t="n">
        <f aca="false">IF(A304="","",IFERROR(I304+H304*(J304-I304),0))</f>
        <v>514.491524477966</v>
      </c>
      <c r="L304" s="10" t="n">
        <f aca="false">IF(A304="","",IFERROR(K304*Inputs!$B$9,0))</f>
        <v>25724.5762238983</v>
      </c>
      <c r="M304" s="10" t="n">
        <f aca="false">IF(A304="","",IFERROR(K304*Inputs!$B$10,0))</f>
        <v>82317.1004419012</v>
      </c>
      <c r="N304" s="10" t="n">
        <f aca="false">IF(A304="","",Z303)</f>
        <v>0</v>
      </c>
      <c r="O304" s="6" t="n">
        <f aca="false">IF(A304="","",Inputs!$B$18+N304)</f>
        <v>50000</v>
      </c>
      <c r="P304" s="5" t="n">
        <f aca="false">IF(A304="","",VLOOKUP(D304,DIvidend_Assumption!$A$3:$CX$103,($E$2+2),0)/12)</f>
        <v>0</v>
      </c>
      <c r="Q304" s="10" t="n">
        <f aca="false">IF(A304="","",IFERROR(AB303*P304,""))</f>
        <v>0</v>
      </c>
      <c r="R304" s="10" t="n">
        <f aca="false">IF(A304="","",IFERROR(IF(Inputs!$B$22="Accumulate",T304+Q304,IF(Inputs!$B$22="Premium Offset",MAX(0,T304+Q304-Inputs!$B$25),T304)),""))</f>
        <v>0</v>
      </c>
      <c r="S304" s="10" t="n">
        <f aca="false">IF(A304="","",R303)</f>
        <v>0</v>
      </c>
      <c r="T304" s="10" t="n">
        <f aca="false">IF(A304="","",IFERROR(S304*(1+Inputs!$B$23/12),""))</f>
        <v>0</v>
      </c>
      <c r="U304" s="6" t="n">
        <f aca="false">IF(A304="","",IF(D304&lt;=Inputs!$B$8,IF(Inputs!$B$22="Premium Offset",MAX(0,Inputs!$B$25-(Q304+T304)),Inputs!$B$25),0))</f>
        <v>77</v>
      </c>
      <c r="V304" s="10" t="n">
        <f aca="false">IF(A304="","",IF(Inputs!$B$22="Cash",Q304,0))</f>
        <v>0</v>
      </c>
      <c r="W304" s="10" t="n">
        <f aca="false">IF(A304="","",IF(Inputs!$B$22="PUA",Q304,0))</f>
        <v>0</v>
      </c>
      <c r="X304" s="12" t="n">
        <f aca="false">IF(A304="","",IFERROR(INDEX(PUA_TABLE!$D$4:$D$105,MATCH(E304,PUA_TABLE!$C$4:$C$105,1)),0))</f>
        <v>0.512190501774674</v>
      </c>
      <c r="Y304" s="10" t="n">
        <f aca="false">IF(A304="","",IF(W304&gt;0,IF(X304&gt;0,W304/X304,0),0))</f>
        <v>0</v>
      </c>
      <c r="Z304" s="10" t="n">
        <f aca="false">IF(A304="","",N304+Y304)</f>
        <v>0</v>
      </c>
      <c r="AA304" s="10" t="n">
        <f aca="false">IF(A304="","",IFERROR(Z304*INDEX(PUA_TABLE!$I$4:$I$105,MATCH(E304,PUA_TABLE!$C$4:$C$105,1))/1000,0))</f>
        <v>0</v>
      </c>
      <c r="AB304" s="10" t="n">
        <f aca="false">IF(A304="","",IFERROR(L304+AA304,0))</f>
        <v>25724.5762238983</v>
      </c>
      <c r="AC304" s="10" t="n">
        <f aca="false">IF(A304="","",IF(Inputs!$B$22="Premium Offset",MIN(Inputs!$B$25,Q304+T304),0))</f>
        <v>0</v>
      </c>
    </row>
    <row r="305" customFormat="false" ht="15" hidden="false" customHeight="false" outlineLevel="0" collapsed="false">
      <c r="A305" s="1" t="n">
        <f aca="false">IF(A304="","",IF(INT((C304+1)/12)+Inputs!$B$7&gt;MAX(MORTALITY!$A:$A),"",Inputs!$B$4))</f>
        <v>34</v>
      </c>
      <c r="B305" s="3" t="n">
        <f aca="false">IF(A305="","",EOMONTH(B304,1))</f>
        <v>30955</v>
      </c>
      <c r="C305" s="1" t="n">
        <f aca="false">IF(A305="","",C304+1)</f>
        <v>303</v>
      </c>
      <c r="D305" s="1" t="n">
        <f aca="false">IF(A305="","",INT(C305/12))</f>
        <v>25</v>
      </c>
      <c r="E305" s="1" t="n">
        <f aca="false">IF(A305="","",D305+Inputs!$B$7)</f>
        <v>41</v>
      </c>
      <c r="F305" s="3" t="n">
        <f aca="false">IF(A305="","",DATE(YEAR(B$2)+D305,MONTH(B$2),DAY(B$2)))</f>
        <v>30838</v>
      </c>
      <c r="G305" s="3" t="n">
        <f aca="false">IF(A305="","",DATE(YEAR(F305)+1,MONTH(F305),DAY(F305)))</f>
        <v>31203</v>
      </c>
      <c r="H305" s="10" t="n">
        <f aca="false">IF(A305="","",IF(G305&gt;F305,(B305-F305)/(G305-F305),0))</f>
        <v>0.320547945205479</v>
      </c>
      <c r="I305" s="10" t="n">
        <f aca="false">IF(A305="","",IFERROR(INDEX(CV_RATES!$I:$I,MATCH(D305,CV_RATES!$C:$C,0)),0))</f>
        <v>512.190501774674</v>
      </c>
      <c r="J305" s="10" t="n">
        <f aca="false">IF(A305="","",IFERROR(IF(E305=MAX(MORTALITY!$A:$A),1000,INDEX(CV_RATES!$J:$J,MATCH(D305,CV_RATES!$C:$C,0))),0))</f>
        <v>521.844217713775</v>
      </c>
      <c r="K305" s="10" t="n">
        <f aca="false">IF(A305="","",IFERROR(I305+H305*(J305-I305),0))</f>
        <v>515.28498058255</v>
      </c>
      <c r="L305" s="10" t="n">
        <f aca="false">IF(A305="","",IFERROR(K305*Inputs!$B$9,0))</f>
        <v>25764.2490291275</v>
      </c>
      <c r="M305" s="10" t="n">
        <f aca="false">IF(A305="","",IFERROR(K305*Inputs!$B$10,0))</f>
        <v>82444.0510382663</v>
      </c>
      <c r="N305" s="10" t="n">
        <f aca="false">IF(A305="","",Z304)</f>
        <v>0</v>
      </c>
      <c r="O305" s="6" t="n">
        <f aca="false">IF(A305="","",Inputs!$B$18+N305)</f>
        <v>50000</v>
      </c>
      <c r="P305" s="5" t="n">
        <f aca="false">IF(A305="","",VLOOKUP(D305,DIvidend_Assumption!$A$3:$CX$103,($E$2+2),0)/12)</f>
        <v>0</v>
      </c>
      <c r="Q305" s="10" t="n">
        <f aca="false">IF(A305="","",IFERROR(AB304*P305,""))</f>
        <v>0</v>
      </c>
      <c r="R305" s="10" t="n">
        <f aca="false">IF(A305="","",IFERROR(IF(Inputs!$B$22="Accumulate",T305+Q305,IF(Inputs!$B$22="Premium Offset",MAX(0,T305+Q305-Inputs!$B$25),T305)),""))</f>
        <v>0</v>
      </c>
      <c r="S305" s="10" t="n">
        <f aca="false">IF(A305="","",R304)</f>
        <v>0</v>
      </c>
      <c r="T305" s="10" t="n">
        <f aca="false">IF(A305="","",IFERROR(S305*(1+Inputs!$B$23/12),""))</f>
        <v>0</v>
      </c>
      <c r="U305" s="6" t="n">
        <f aca="false">IF(A305="","",IF(D305&lt;=Inputs!$B$8,IF(Inputs!$B$22="Premium Offset",MAX(0,Inputs!$B$25-(Q305+T305)),Inputs!$B$25),0))</f>
        <v>77</v>
      </c>
      <c r="V305" s="10" t="n">
        <f aca="false">IF(A305="","",IF(Inputs!$B$22="Cash",Q305,0))</f>
        <v>0</v>
      </c>
      <c r="W305" s="10" t="n">
        <f aca="false">IF(A305="","",IF(Inputs!$B$22="PUA",Q305,0))</f>
        <v>0</v>
      </c>
      <c r="X305" s="12" t="n">
        <f aca="false">IF(A305="","",IFERROR(INDEX(PUA_TABLE!$D$4:$D$105,MATCH(E305,PUA_TABLE!$C$4:$C$105,1)),0))</f>
        <v>0.512190501774674</v>
      </c>
      <c r="Y305" s="10" t="n">
        <f aca="false">IF(A305="","",IF(W305&gt;0,IF(X305&gt;0,W305/X305,0),0))</f>
        <v>0</v>
      </c>
      <c r="Z305" s="10" t="n">
        <f aca="false">IF(A305="","",N305+Y305)</f>
        <v>0</v>
      </c>
      <c r="AA305" s="10" t="n">
        <f aca="false">IF(A305="","",IFERROR(Z305*INDEX(PUA_TABLE!$I$4:$I$105,MATCH(E305,PUA_TABLE!$C$4:$C$105,1))/1000,0))</f>
        <v>0</v>
      </c>
      <c r="AB305" s="10" t="n">
        <f aca="false">IF(A305="","",IFERROR(L305+AA305,0))</f>
        <v>25764.2490291275</v>
      </c>
      <c r="AC305" s="10" t="n">
        <f aca="false">IF(A305="","",IF(Inputs!$B$22="Premium Offset",MIN(Inputs!$B$25,Q305+T305),0))</f>
        <v>0</v>
      </c>
    </row>
    <row r="306" customFormat="false" ht="15" hidden="false" customHeight="false" outlineLevel="0" collapsed="false">
      <c r="A306" s="1" t="n">
        <f aca="false">IF(A305="","",IF(INT((C305+1)/12)+Inputs!$B$7&gt;MAX(MORTALITY!$A:$A),"",Inputs!$B$4))</f>
        <v>34</v>
      </c>
      <c r="B306" s="3" t="n">
        <f aca="false">IF(A306="","",EOMONTH(B305,1))</f>
        <v>30986</v>
      </c>
      <c r="C306" s="1" t="n">
        <f aca="false">IF(A306="","",C305+1)</f>
        <v>304</v>
      </c>
      <c r="D306" s="1" t="n">
        <f aca="false">IF(A306="","",INT(C306/12))</f>
        <v>25</v>
      </c>
      <c r="E306" s="1" t="n">
        <f aca="false">IF(A306="","",D306+Inputs!$B$7)</f>
        <v>41</v>
      </c>
      <c r="F306" s="3" t="n">
        <f aca="false">IF(A306="","",DATE(YEAR(B$2)+D306,MONTH(B$2),DAY(B$2)))</f>
        <v>30838</v>
      </c>
      <c r="G306" s="3" t="n">
        <f aca="false">IF(A306="","",DATE(YEAR(F306)+1,MONTH(F306),DAY(F306)))</f>
        <v>31203</v>
      </c>
      <c r="H306" s="10" t="n">
        <f aca="false">IF(A306="","",IF(G306&gt;F306,(B306-F306)/(G306-F306),0))</f>
        <v>0.405479452054795</v>
      </c>
      <c r="I306" s="10" t="n">
        <f aca="false">IF(A306="","",IFERROR(INDEX(CV_RATES!$I:$I,MATCH(D306,CV_RATES!$C:$C,0)),0))</f>
        <v>512.190501774674</v>
      </c>
      <c r="J306" s="10" t="n">
        <f aca="false">IF(A306="","",IFERROR(IF(E306=MAX(MORTALITY!$A:$A),1000,INDEX(CV_RATES!$J:$J,MATCH(D306,CV_RATES!$C:$C,0))),0))</f>
        <v>521.844217713775</v>
      </c>
      <c r="K306" s="10" t="n">
        <f aca="false">IF(A306="","",IFERROR(I306+H306*(J306-I306),0))</f>
        <v>516.104885223953</v>
      </c>
      <c r="L306" s="10" t="n">
        <f aca="false">IF(A306="","",IFERROR(K306*Inputs!$B$9,0))</f>
        <v>25805.2442611977</v>
      </c>
      <c r="M306" s="10" t="n">
        <f aca="false">IF(A306="","",IFERROR(K306*Inputs!$B$10,0))</f>
        <v>82575.2333211768</v>
      </c>
      <c r="N306" s="10" t="n">
        <f aca="false">IF(A306="","",Z305)</f>
        <v>0</v>
      </c>
      <c r="O306" s="6" t="n">
        <f aca="false">IF(A306="","",Inputs!$B$18+N306)</f>
        <v>50000</v>
      </c>
      <c r="P306" s="5" t="n">
        <f aca="false">IF(A306="","",VLOOKUP(D306,DIvidend_Assumption!$A$3:$CX$103,($E$2+2),0)/12)</f>
        <v>0</v>
      </c>
      <c r="Q306" s="10" t="n">
        <f aca="false">IF(A306="","",IFERROR(AB305*P306,""))</f>
        <v>0</v>
      </c>
      <c r="R306" s="10" t="n">
        <f aca="false">IF(A306="","",IFERROR(IF(Inputs!$B$22="Accumulate",T306+Q306,IF(Inputs!$B$22="Premium Offset",MAX(0,T306+Q306-Inputs!$B$25),T306)),""))</f>
        <v>0</v>
      </c>
      <c r="S306" s="10" t="n">
        <f aca="false">IF(A306="","",R305)</f>
        <v>0</v>
      </c>
      <c r="T306" s="10" t="n">
        <f aca="false">IF(A306="","",IFERROR(S306*(1+Inputs!$B$23/12),""))</f>
        <v>0</v>
      </c>
      <c r="U306" s="6" t="n">
        <f aca="false">IF(A306="","",IF(D306&lt;=Inputs!$B$8,IF(Inputs!$B$22="Premium Offset",MAX(0,Inputs!$B$25-(Q306+T306)),Inputs!$B$25),0))</f>
        <v>77</v>
      </c>
      <c r="V306" s="10" t="n">
        <f aca="false">IF(A306="","",IF(Inputs!$B$22="Cash",Q306,0))</f>
        <v>0</v>
      </c>
      <c r="W306" s="10" t="n">
        <f aca="false">IF(A306="","",IF(Inputs!$B$22="PUA",Q306,0))</f>
        <v>0</v>
      </c>
      <c r="X306" s="12" t="n">
        <f aca="false">IF(A306="","",IFERROR(INDEX(PUA_TABLE!$D$4:$D$105,MATCH(E306,PUA_TABLE!$C$4:$C$105,1)),0))</f>
        <v>0.512190501774674</v>
      </c>
      <c r="Y306" s="10" t="n">
        <f aca="false">IF(A306="","",IF(W306&gt;0,IF(X306&gt;0,W306/X306,0),0))</f>
        <v>0</v>
      </c>
      <c r="Z306" s="10" t="n">
        <f aca="false">IF(A306="","",N306+Y306)</f>
        <v>0</v>
      </c>
      <c r="AA306" s="10" t="n">
        <f aca="false">IF(A306="","",IFERROR(Z306*INDEX(PUA_TABLE!$I$4:$I$105,MATCH(E306,PUA_TABLE!$C$4:$C$105,1))/1000,0))</f>
        <v>0</v>
      </c>
      <c r="AB306" s="10" t="n">
        <f aca="false">IF(A306="","",IFERROR(L306+AA306,0))</f>
        <v>25805.2442611977</v>
      </c>
      <c r="AC306" s="10" t="n">
        <f aca="false">IF(A306="","",IF(Inputs!$B$22="Premium Offset",MIN(Inputs!$B$25,Q306+T306),0))</f>
        <v>0</v>
      </c>
    </row>
    <row r="307" customFormat="false" ht="15" hidden="false" customHeight="false" outlineLevel="0" collapsed="false">
      <c r="A307" s="1" t="n">
        <f aca="false">IF(A306="","",IF(INT((C306+1)/12)+Inputs!$B$7&gt;MAX(MORTALITY!$A:$A),"",Inputs!$B$4))</f>
        <v>34</v>
      </c>
      <c r="B307" s="3" t="n">
        <f aca="false">IF(A307="","",EOMONTH(B306,1))</f>
        <v>31016</v>
      </c>
      <c r="C307" s="1" t="n">
        <f aca="false">IF(A307="","",C306+1)</f>
        <v>305</v>
      </c>
      <c r="D307" s="1" t="n">
        <f aca="false">IF(A307="","",INT(C307/12))</f>
        <v>25</v>
      </c>
      <c r="E307" s="1" t="n">
        <f aca="false">IF(A307="","",D307+Inputs!$B$7)</f>
        <v>41</v>
      </c>
      <c r="F307" s="3" t="n">
        <f aca="false">IF(A307="","",DATE(YEAR(B$2)+D307,MONTH(B$2),DAY(B$2)))</f>
        <v>30838</v>
      </c>
      <c r="G307" s="3" t="n">
        <f aca="false">IF(A307="","",DATE(YEAR(F307)+1,MONTH(F307),DAY(F307)))</f>
        <v>31203</v>
      </c>
      <c r="H307" s="10" t="n">
        <f aca="false">IF(A307="","",IF(G307&gt;F307,(B307-F307)/(G307-F307),0))</f>
        <v>0.487671232876712</v>
      </c>
      <c r="I307" s="10" t="n">
        <f aca="false">IF(A307="","",IFERROR(INDEX(CV_RATES!$I:$I,MATCH(D307,CV_RATES!$C:$C,0)),0))</f>
        <v>512.190501774674</v>
      </c>
      <c r="J307" s="10" t="n">
        <f aca="false">IF(A307="","",IFERROR(IF(E307=MAX(MORTALITY!$A:$A),1000,INDEX(CV_RATES!$J:$J,MATCH(D307,CV_RATES!$C:$C,0))),0))</f>
        <v>521.844217713775</v>
      </c>
      <c r="K307" s="10" t="n">
        <f aca="false">IF(A307="","",IFERROR(I307+H307*(J307-I307),0))</f>
        <v>516.898341328537</v>
      </c>
      <c r="L307" s="10" t="n">
        <f aca="false">IF(A307="","",IFERROR(K307*Inputs!$B$9,0))</f>
        <v>25844.9170664268</v>
      </c>
      <c r="M307" s="10" t="n">
        <f aca="false">IF(A307="","",IFERROR(K307*Inputs!$B$10,0))</f>
        <v>82702.1839175419</v>
      </c>
      <c r="N307" s="10" t="n">
        <f aca="false">IF(A307="","",Z306)</f>
        <v>0</v>
      </c>
      <c r="O307" s="6" t="n">
        <f aca="false">IF(A307="","",Inputs!$B$18+N307)</f>
        <v>50000</v>
      </c>
      <c r="P307" s="5" t="n">
        <f aca="false">IF(A307="","",VLOOKUP(D307,DIvidend_Assumption!$A$3:$CX$103,($E$2+2),0)/12)</f>
        <v>0</v>
      </c>
      <c r="Q307" s="10" t="n">
        <f aca="false">IF(A307="","",IFERROR(AB306*P307,""))</f>
        <v>0</v>
      </c>
      <c r="R307" s="10" t="n">
        <f aca="false">IF(A307="","",IFERROR(IF(Inputs!$B$22="Accumulate",T307+Q307,IF(Inputs!$B$22="Premium Offset",MAX(0,T307+Q307-Inputs!$B$25),T307)),""))</f>
        <v>0</v>
      </c>
      <c r="S307" s="10" t="n">
        <f aca="false">IF(A307="","",R306)</f>
        <v>0</v>
      </c>
      <c r="T307" s="10" t="n">
        <f aca="false">IF(A307="","",IFERROR(S307*(1+Inputs!$B$23/12),""))</f>
        <v>0</v>
      </c>
      <c r="U307" s="6" t="n">
        <f aca="false">IF(A307="","",IF(D307&lt;=Inputs!$B$8,IF(Inputs!$B$22="Premium Offset",MAX(0,Inputs!$B$25-(Q307+T307)),Inputs!$B$25),0))</f>
        <v>77</v>
      </c>
      <c r="V307" s="10" t="n">
        <f aca="false">IF(A307="","",IF(Inputs!$B$22="Cash",Q307,0))</f>
        <v>0</v>
      </c>
      <c r="W307" s="10" t="n">
        <f aca="false">IF(A307="","",IF(Inputs!$B$22="PUA",Q307,0))</f>
        <v>0</v>
      </c>
      <c r="X307" s="12" t="n">
        <f aca="false">IF(A307="","",IFERROR(INDEX(PUA_TABLE!$D$4:$D$105,MATCH(E307,PUA_TABLE!$C$4:$C$105,1)),0))</f>
        <v>0.512190501774674</v>
      </c>
      <c r="Y307" s="10" t="n">
        <f aca="false">IF(A307="","",IF(W307&gt;0,IF(X307&gt;0,W307/X307,0),0))</f>
        <v>0</v>
      </c>
      <c r="Z307" s="10" t="n">
        <f aca="false">IF(A307="","",N307+Y307)</f>
        <v>0</v>
      </c>
      <c r="AA307" s="10" t="n">
        <f aca="false">IF(A307="","",IFERROR(Z307*INDEX(PUA_TABLE!$I$4:$I$105,MATCH(E307,PUA_TABLE!$C$4:$C$105,1))/1000,0))</f>
        <v>0</v>
      </c>
      <c r="AB307" s="10" t="n">
        <f aca="false">IF(A307="","",IFERROR(L307+AA307,0))</f>
        <v>25844.9170664268</v>
      </c>
      <c r="AC307" s="10" t="n">
        <f aca="false">IF(A307="","",IF(Inputs!$B$22="Premium Offset",MIN(Inputs!$B$25,Q307+T307),0))</f>
        <v>0</v>
      </c>
    </row>
    <row r="308" customFormat="false" ht="15" hidden="false" customHeight="false" outlineLevel="0" collapsed="false">
      <c r="A308" s="1" t="n">
        <f aca="false">IF(A307="","",IF(INT((C307+1)/12)+Inputs!$B$7&gt;MAX(MORTALITY!$A:$A),"",Inputs!$B$4))</f>
        <v>34</v>
      </c>
      <c r="B308" s="3" t="n">
        <f aca="false">IF(A308="","",EOMONTH(B307,1))</f>
        <v>31047</v>
      </c>
      <c r="C308" s="1" t="n">
        <f aca="false">IF(A308="","",C307+1)</f>
        <v>306</v>
      </c>
      <c r="D308" s="1" t="n">
        <f aca="false">IF(A308="","",INT(C308/12))</f>
        <v>25</v>
      </c>
      <c r="E308" s="1" t="n">
        <f aca="false">IF(A308="","",D308+Inputs!$B$7)</f>
        <v>41</v>
      </c>
      <c r="F308" s="3" t="n">
        <f aca="false">IF(A308="","",DATE(YEAR(B$2)+D308,MONTH(B$2),DAY(B$2)))</f>
        <v>30838</v>
      </c>
      <c r="G308" s="3" t="n">
        <f aca="false">IF(A308="","",DATE(YEAR(F308)+1,MONTH(F308),DAY(F308)))</f>
        <v>31203</v>
      </c>
      <c r="H308" s="10" t="n">
        <f aca="false">IF(A308="","",IF(G308&gt;F308,(B308-F308)/(G308-F308),0))</f>
        <v>0.572602739726027</v>
      </c>
      <c r="I308" s="10" t="n">
        <f aca="false">IF(A308="","",IFERROR(INDEX(CV_RATES!$I:$I,MATCH(D308,CV_RATES!$C:$C,0)),0))</f>
        <v>512.190501774674</v>
      </c>
      <c r="J308" s="10" t="n">
        <f aca="false">IF(A308="","",IFERROR(IF(E308=MAX(MORTALITY!$A:$A),1000,INDEX(CV_RATES!$J:$J,MATCH(D308,CV_RATES!$C:$C,0))),0))</f>
        <v>521.844217713775</v>
      </c>
      <c r="K308" s="10" t="n">
        <f aca="false">IF(A308="","",IFERROR(I308+H308*(J308-I308),0))</f>
        <v>517.71824596994</v>
      </c>
      <c r="L308" s="10" t="n">
        <f aca="false">IF(A308="","",IFERROR(K308*Inputs!$B$9,0))</f>
        <v>25885.912298497</v>
      </c>
      <c r="M308" s="10" t="n">
        <f aca="false">IF(A308="","",IFERROR(K308*Inputs!$B$10,0))</f>
        <v>82833.3662004525</v>
      </c>
      <c r="N308" s="10" t="n">
        <f aca="false">IF(A308="","",Z307)</f>
        <v>0</v>
      </c>
      <c r="O308" s="6" t="n">
        <f aca="false">IF(A308="","",Inputs!$B$18+N308)</f>
        <v>50000</v>
      </c>
      <c r="P308" s="5" t="n">
        <f aca="false">IF(A308="","",VLOOKUP(D308,DIvidend_Assumption!$A$3:$CX$103,($E$2+2),0)/12)</f>
        <v>0</v>
      </c>
      <c r="Q308" s="10" t="n">
        <f aca="false">IF(A308="","",IFERROR(AB307*P308,""))</f>
        <v>0</v>
      </c>
      <c r="R308" s="10" t="n">
        <f aca="false">IF(A308="","",IFERROR(IF(Inputs!$B$22="Accumulate",T308+Q308,IF(Inputs!$B$22="Premium Offset",MAX(0,T308+Q308-Inputs!$B$25),T308)),""))</f>
        <v>0</v>
      </c>
      <c r="S308" s="10" t="n">
        <f aca="false">IF(A308="","",R307)</f>
        <v>0</v>
      </c>
      <c r="T308" s="10" t="n">
        <f aca="false">IF(A308="","",IFERROR(S308*(1+Inputs!$B$23/12),""))</f>
        <v>0</v>
      </c>
      <c r="U308" s="6" t="n">
        <f aca="false">IF(A308="","",IF(D308&lt;=Inputs!$B$8,IF(Inputs!$B$22="Premium Offset",MAX(0,Inputs!$B$25-(Q308+T308)),Inputs!$B$25),0))</f>
        <v>77</v>
      </c>
      <c r="V308" s="10" t="n">
        <f aca="false">IF(A308="","",IF(Inputs!$B$22="Cash",Q308,0))</f>
        <v>0</v>
      </c>
      <c r="W308" s="10" t="n">
        <f aca="false">IF(A308="","",IF(Inputs!$B$22="PUA",Q308,0))</f>
        <v>0</v>
      </c>
      <c r="X308" s="12" t="n">
        <f aca="false">IF(A308="","",IFERROR(INDEX(PUA_TABLE!$D$4:$D$105,MATCH(E308,PUA_TABLE!$C$4:$C$105,1)),0))</f>
        <v>0.512190501774674</v>
      </c>
      <c r="Y308" s="10" t="n">
        <f aca="false">IF(A308="","",IF(W308&gt;0,IF(X308&gt;0,W308/X308,0),0))</f>
        <v>0</v>
      </c>
      <c r="Z308" s="10" t="n">
        <f aca="false">IF(A308="","",N308+Y308)</f>
        <v>0</v>
      </c>
      <c r="AA308" s="10" t="n">
        <f aca="false">IF(A308="","",IFERROR(Z308*INDEX(PUA_TABLE!$I$4:$I$105,MATCH(E308,PUA_TABLE!$C$4:$C$105,1))/1000,0))</f>
        <v>0</v>
      </c>
      <c r="AB308" s="10" t="n">
        <f aca="false">IF(A308="","",IFERROR(L308+AA308,0))</f>
        <v>25885.912298497</v>
      </c>
      <c r="AC308" s="10" t="n">
        <f aca="false">IF(A308="","",IF(Inputs!$B$22="Premium Offset",MIN(Inputs!$B$25,Q308+T308),0))</f>
        <v>0</v>
      </c>
    </row>
    <row r="309" customFormat="false" ht="15" hidden="false" customHeight="false" outlineLevel="0" collapsed="false">
      <c r="A309" s="1" t="n">
        <f aca="false">IF(A308="","",IF(INT((C308+1)/12)+Inputs!$B$7&gt;MAX(MORTALITY!$A:$A),"",Inputs!$B$4))</f>
        <v>34</v>
      </c>
      <c r="B309" s="3" t="n">
        <f aca="false">IF(A309="","",EOMONTH(B308,1))</f>
        <v>31078</v>
      </c>
      <c r="C309" s="1" t="n">
        <f aca="false">IF(A309="","",C308+1)</f>
        <v>307</v>
      </c>
      <c r="D309" s="1" t="n">
        <f aca="false">IF(A309="","",INT(C309/12))</f>
        <v>25</v>
      </c>
      <c r="E309" s="1" t="n">
        <f aca="false">IF(A309="","",D309+Inputs!$B$7)</f>
        <v>41</v>
      </c>
      <c r="F309" s="3" t="n">
        <f aca="false">IF(A309="","",DATE(YEAR(B$2)+D309,MONTH(B$2),DAY(B$2)))</f>
        <v>30838</v>
      </c>
      <c r="G309" s="3" t="n">
        <f aca="false">IF(A309="","",DATE(YEAR(F309)+1,MONTH(F309),DAY(F309)))</f>
        <v>31203</v>
      </c>
      <c r="H309" s="10" t="n">
        <f aca="false">IF(A309="","",IF(G309&gt;F309,(B309-F309)/(G309-F309),0))</f>
        <v>0.657534246575342</v>
      </c>
      <c r="I309" s="10" t="n">
        <f aca="false">IF(A309="","",IFERROR(INDEX(CV_RATES!$I:$I,MATCH(D309,CV_RATES!$C:$C,0)),0))</f>
        <v>512.190501774674</v>
      </c>
      <c r="J309" s="10" t="n">
        <f aca="false">IF(A309="","",IFERROR(IF(E309=MAX(MORTALITY!$A:$A),1000,INDEX(CV_RATES!$J:$J,MATCH(D309,CV_RATES!$C:$C,0))),0))</f>
        <v>521.844217713775</v>
      </c>
      <c r="K309" s="10" t="n">
        <f aca="false">IF(A309="","",IFERROR(I309+H309*(J309-I309),0))</f>
        <v>518.538150611343</v>
      </c>
      <c r="L309" s="10" t="n">
        <f aca="false">IF(A309="","",IFERROR(K309*Inputs!$B$9,0))</f>
        <v>25926.9075305671</v>
      </c>
      <c r="M309" s="10" t="n">
        <f aca="false">IF(A309="","",IFERROR(K309*Inputs!$B$10,0))</f>
        <v>82964.548483363</v>
      </c>
      <c r="N309" s="10" t="n">
        <f aca="false">IF(A309="","",Z308)</f>
        <v>0</v>
      </c>
      <c r="O309" s="6" t="n">
        <f aca="false">IF(A309="","",Inputs!$B$18+N309)</f>
        <v>50000</v>
      </c>
      <c r="P309" s="5" t="n">
        <f aca="false">IF(A309="","",VLOOKUP(D309,DIvidend_Assumption!$A$3:$CX$103,($E$2+2),0)/12)</f>
        <v>0</v>
      </c>
      <c r="Q309" s="10" t="n">
        <f aca="false">IF(A309="","",IFERROR(AB308*P309,""))</f>
        <v>0</v>
      </c>
      <c r="R309" s="10" t="n">
        <f aca="false">IF(A309="","",IFERROR(IF(Inputs!$B$22="Accumulate",T309+Q309,IF(Inputs!$B$22="Premium Offset",MAX(0,T309+Q309-Inputs!$B$25),T309)),""))</f>
        <v>0</v>
      </c>
      <c r="S309" s="10" t="n">
        <f aca="false">IF(A309="","",R308)</f>
        <v>0</v>
      </c>
      <c r="T309" s="10" t="n">
        <f aca="false">IF(A309="","",IFERROR(S309*(1+Inputs!$B$23/12),""))</f>
        <v>0</v>
      </c>
      <c r="U309" s="6" t="n">
        <f aca="false">IF(A309="","",IF(D309&lt;=Inputs!$B$8,IF(Inputs!$B$22="Premium Offset",MAX(0,Inputs!$B$25-(Q309+T309)),Inputs!$B$25),0))</f>
        <v>77</v>
      </c>
      <c r="V309" s="10" t="n">
        <f aca="false">IF(A309="","",IF(Inputs!$B$22="Cash",Q309,0))</f>
        <v>0</v>
      </c>
      <c r="W309" s="10" t="n">
        <f aca="false">IF(A309="","",IF(Inputs!$B$22="PUA",Q309,0))</f>
        <v>0</v>
      </c>
      <c r="X309" s="12" t="n">
        <f aca="false">IF(A309="","",IFERROR(INDEX(PUA_TABLE!$D$4:$D$105,MATCH(E309,PUA_TABLE!$C$4:$C$105,1)),0))</f>
        <v>0.512190501774674</v>
      </c>
      <c r="Y309" s="10" t="n">
        <f aca="false">IF(A309="","",IF(W309&gt;0,IF(X309&gt;0,W309/X309,0),0))</f>
        <v>0</v>
      </c>
      <c r="Z309" s="10" t="n">
        <f aca="false">IF(A309="","",N309+Y309)</f>
        <v>0</v>
      </c>
      <c r="AA309" s="10" t="n">
        <f aca="false">IF(A309="","",IFERROR(Z309*INDEX(PUA_TABLE!$I$4:$I$105,MATCH(E309,PUA_TABLE!$C$4:$C$105,1))/1000,0))</f>
        <v>0</v>
      </c>
      <c r="AB309" s="10" t="n">
        <f aca="false">IF(A309="","",IFERROR(L309+AA309,0))</f>
        <v>25926.9075305671</v>
      </c>
      <c r="AC309" s="10" t="n">
        <f aca="false">IF(A309="","",IF(Inputs!$B$22="Premium Offset",MIN(Inputs!$B$25,Q309+T309),0))</f>
        <v>0</v>
      </c>
    </row>
    <row r="310" customFormat="false" ht="15" hidden="false" customHeight="false" outlineLevel="0" collapsed="false">
      <c r="A310" s="1" t="n">
        <f aca="false">IF(A309="","",IF(INT((C309+1)/12)+Inputs!$B$7&gt;MAX(MORTALITY!$A:$A),"",Inputs!$B$4))</f>
        <v>34</v>
      </c>
      <c r="B310" s="3" t="n">
        <f aca="false">IF(A310="","",EOMONTH(B309,1))</f>
        <v>31106</v>
      </c>
      <c r="C310" s="1" t="n">
        <f aca="false">IF(A310="","",C309+1)</f>
        <v>308</v>
      </c>
      <c r="D310" s="1" t="n">
        <f aca="false">IF(A310="","",INT(C310/12))</f>
        <v>25</v>
      </c>
      <c r="E310" s="1" t="n">
        <f aca="false">IF(A310="","",D310+Inputs!$B$7)</f>
        <v>41</v>
      </c>
      <c r="F310" s="3" t="n">
        <f aca="false">IF(A310="","",DATE(YEAR(B$2)+D310,MONTH(B$2),DAY(B$2)))</f>
        <v>30838</v>
      </c>
      <c r="G310" s="3" t="n">
        <f aca="false">IF(A310="","",DATE(YEAR(F310)+1,MONTH(F310),DAY(F310)))</f>
        <v>31203</v>
      </c>
      <c r="H310" s="10" t="n">
        <f aca="false">IF(A310="","",IF(G310&gt;F310,(B310-F310)/(G310-F310),0))</f>
        <v>0.734246575342466</v>
      </c>
      <c r="I310" s="10" t="n">
        <f aca="false">IF(A310="","",IFERROR(INDEX(CV_RATES!$I:$I,MATCH(D310,CV_RATES!$C:$C,0)),0))</f>
        <v>512.190501774674</v>
      </c>
      <c r="J310" s="10" t="n">
        <f aca="false">IF(A310="","",IFERROR(IF(E310=MAX(MORTALITY!$A:$A),1000,INDEX(CV_RATES!$J:$J,MATCH(D310,CV_RATES!$C:$C,0))),0))</f>
        <v>521.844217713775</v>
      </c>
      <c r="K310" s="10" t="n">
        <f aca="false">IF(A310="","",IFERROR(I310+H310*(J310-I310),0))</f>
        <v>519.278709642288</v>
      </c>
      <c r="L310" s="10" t="n">
        <f aca="false">IF(A310="","",IFERROR(K310*Inputs!$B$9,0))</f>
        <v>25963.9354821144</v>
      </c>
      <c r="M310" s="10" t="n">
        <f aca="false">IF(A310="","",IFERROR(K310*Inputs!$B$10,0))</f>
        <v>83083.0357066371</v>
      </c>
      <c r="N310" s="10" t="n">
        <f aca="false">IF(A310="","",Z309)</f>
        <v>0</v>
      </c>
      <c r="O310" s="6" t="n">
        <f aca="false">IF(A310="","",Inputs!$B$18+N310)</f>
        <v>50000</v>
      </c>
      <c r="P310" s="5" t="n">
        <f aca="false">IF(A310="","",VLOOKUP(D310,DIvidend_Assumption!$A$3:$CX$103,($E$2+2),0)/12)</f>
        <v>0</v>
      </c>
      <c r="Q310" s="10" t="n">
        <f aca="false">IF(A310="","",IFERROR(AB309*P310,""))</f>
        <v>0</v>
      </c>
      <c r="R310" s="10" t="n">
        <f aca="false">IF(A310="","",IFERROR(IF(Inputs!$B$22="Accumulate",T310+Q310,IF(Inputs!$B$22="Premium Offset",MAX(0,T310+Q310-Inputs!$B$25),T310)),""))</f>
        <v>0</v>
      </c>
      <c r="S310" s="10" t="n">
        <f aca="false">IF(A310="","",R309)</f>
        <v>0</v>
      </c>
      <c r="T310" s="10" t="n">
        <f aca="false">IF(A310="","",IFERROR(S310*(1+Inputs!$B$23/12),""))</f>
        <v>0</v>
      </c>
      <c r="U310" s="6" t="n">
        <f aca="false">IF(A310="","",IF(D310&lt;=Inputs!$B$8,IF(Inputs!$B$22="Premium Offset",MAX(0,Inputs!$B$25-(Q310+T310)),Inputs!$B$25),0))</f>
        <v>77</v>
      </c>
      <c r="V310" s="10" t="n">
        <f aca="false">IF(A310="","",IF(Inputs!$B$22="Cash",Q310,0))</f>
        <v>0</v>
      </c>
      <c r="W310" s="10" t="n">
        <f aca="false">IF(A310="","",IF(Inputs!$B$22="PUA",Q310,0))</f>
        <v>0</v>
      </c>
      <c r="X310" s="12" t="n">
        <f aca="false">IF(A310="","",IFERROR(INDEX(PUA_TABLE!$D$4:$D$105,MATCH(E310,PUA_TABLE!$C$4:$C$105,1)),0))</f>
        <v>0.512190501774674</v>
      </c>
      <c r="Y310" s="10" t="n">
        <f aca="false">IF(A310="","",IF(W310&gt;0,IF(X310&gt;0,W310/X310,0),0))</f>
        <v>0</v>
      </c>
      <c r="Z310" s="10" t="n">
        <f aca="false">IF(A310="","",N310+Y310)</f>
        <v>0</v>
      </c>
      <c r="AA310" s="10" t="n">
        <f aca="false">IF(A310="","",IFERROR(Z310*INDEX(PUA_TABLE!$I$4:$I$105,MATCH(E310,PUA_TABLE!$C$4:$C$105,1))/1000,0))</f>
        <v>0</v>
      </c>
      <c r="AB310" s="10" t="n">
        <f aca="false">IF(A310="","",IFERROR(L310+AA310,0))</f>
        <v>25963.9354821144</v>
      </c>
      <c r="AC310" s="10" t="n">
        <f aca="false">IF(A310="","",IF(Inputs!$B$22="Premium Offset",MIN(Inputs!$B$25,Q310+T310),0))</f>
        <v>0</v>
      </c>
    </row>
    <row r="311" customFormat="false" ht="15" hidden="false" customHeight="false" outlineLevel="0" collapsed="false">
      <c r="A311" s="1" t="n">
        <f aca="false">IF(A310="","",IF(INT((C310+1)/12)+Inputs!$B$7&gt;MAX(MORTALITY!$A:$A),"",Inputs!$B$4))</f>
        <v>34</v>
      </c>
      <c r="B311" s="3" t="n">
        <f aca="false">IF(A311="","",EOMONTH(B310,1))</f>
        <v>31137</v>
      </c>
      <c r="C311" s="1" t="n">
        <f aca="false">IF(A311="","",C310+1)</f>
        <v>309</v>
      </c>
      <c r="D311" s="1" t="n">
        <f aca="false">IF(A311="","",INT(C311/12))</f>
        <v>25</v>
      </c>
      <c r="E311" s="1" t="n">
        <f aca="false">IF(A311="","",D311+Inputs!$B$7)</f>
        <v>41</v>
      </c>
      <c r="F311" s="3" t="n">
        <f aca="false">IF(A311="","",DATE(YEAR(B$2)+D311,MONTH(B$2),DAY(B$2)))</f>
        <v>30838</v>
      </c>
      <c r="G311" s="3" t="n">
        <f aca="false">IF(A311="","",DATE(YEAR(F311)+1,MONTH(F311),DAY(F311)))</f>
        <v>31203</v>
      </c>
      <c r="H311" s="10" t="n">
        <f aca="false">IF(A311="","",IF(G311&gt;F311,(B311-F311)/(G311-F311),0))</f>
        <v>0.819178082191781</v>
      </c>
      <c r="I311" s="10" t="n">
        <f aca="false">IF(A311="","",IFERROR(INDEX(CV_RATES!$I:$I,MATCH(D311,CV_RATES!$C:$C,0)),0))</f>
        <v>512.190501774674</v>
      </c>
      <c r="J311" s="10" t="n">
        <f aca="false">IF(A311="","",IFERROR(IF(E311=MAX(MORTALITY!$A:$A),1000,INDEX(CV_RATES!$J:$J,MATCH(D311,CV_RATES!$C:$C,0))),0))</f>
        <v>521.844217713775</v>
      </c>
      <c r="K311" s="10" t="n">
        <f aca="false">IF(A311="","",IFERROR(I311+H311*(J311-I311),0))</f>
        <v>520.098614283691</v>
      </c>
      <c r="L311" s="10" t="n">
        <f aca="false">IF(A311="","",IFERROR(K311*Inputs!$B$9,0))</f>
        <v>26004.9307141845</v>
      </c>
      <c r="M311" s="10" t="n">
        <f aca="false">IF(A311="","",IFERROR(K311*Inputs!$B$10,0))</f>
        <v>83214.2179895477</v>
      </c>
      <c r="N311" s="10" t="n">
        <f aca="false">IF(A311="","",Z310)</f>
        <v>0</v>
      </c>
      <c r="O311" s="6" t="n">
        <f aca="false">IF(A311="","",Inputs!$B$18+N311)</f>
        <v>50000</v>
      </c>
      <c r="P311" s="5" t="n">
        <f aca="false">IF(A311="","",VLOOKUP(D311,DIvidend_Assumption!$A$3:$CX$103,($E$2+2),0)/12)</f>
        <v>0</v>
      </c>
      <c r="Q311" s="10" t="n">
        <f aca="false">IF(A311="","",IFERROR(AB310*P311,""))</f>
        <v>0</v>
      </c>
      <c r="R311" s="10" t="n">
        <f aca="false">IF(A311="","",IFERROR(IF(Inputs!$B$22="Accumulate",T311+Q311,IF(Inputs!$B$22="Premium Offset",MAX(0,T311+Q311-Inputs!$B$25),T311)),""))</f>
        <v>0</v>
      </c>
      <c r="S311" s="10" t="n">
        <f aca="false">IF(A311="","",R310)</f>
        <v>0</v>
      </c>
      <c r="T311" s="10" t="n">
        <f aca="false">IF(A311="","",IFERROR(S311*(1+Inputs!$B$23/12),""))</f>
        <v>0</v>
      </c>
      <c r="U311" s="6" t="n">
        <f aca="false">IF(A311="","",IF(D311&lt;=Inputs!$B$8,IF(Inputs!$B$22="Premium Offset",MAX(0,Inputs!$B$25-(Q311+T311)),Inputs!$B$25),0))</f>
        <v>77</v>
      </c>
      <c r="V311" s="10" t="n">
        <f aca="false">IF(A311="","",IF(Inputs!$B$22="Cash",Q311,0))</f>
        <v>0</v>
      </c>
      <c r="W311" s="10" t="n">
        <f aca="false">IF(A311="","",IF(Inputs!$B$22="PUA",Q311,0))</f>
        <v>0</v>
      </c>
      <c r="X311" s="12" t="n">
        <f aca="false">IF(A311="","",IFERROR(INDEX(PUA_TABLE!$D$4:$D$105,MATCH(E311,PUA_TABLE!$C$4:$C$105,1)),0))</f>
        <v>0.512190501774674</v>
      </c>
      <c r="Y311" s="10" t="n">
        <f aca="false">IF(A311="","",IF(W311&gt;0,IF(X311&gt;0,W311/X311,0),0))</f>
        <v>0</v>
      </c>
      <c r="Z311" s="10" t="n">
        <f aca="false">IF(A311="","",N311+Y311)</f>
        <v>0</v>
      </c>
      <c r="AA311" s="10" t="n">
        <f aca="false">IF(A311="","",IFERROR(Z311*INDEX(PUA_TABLE!$I$4:$I$105,MATCH(E311,PUA_TABLE!$C$4:$C$105,1))/1000,0))</f>
        <v>0</v>
      </c>
      <c r="AB311" s="10" t="n">
        <f aca="false">IF(A311="","",IFERROR(L311+AA311,0))</f>
        <v>26004.9307141845</v>
      </c>
      <c r="AC311" s="10" t="n">
        <f aca="false">IF(A311="","",IF(Inputs!$B$22="Premium Offset",MIN(Inputs!$B$25,Q311+T311),0))</f>
        <v>0</v>
      </c>
    </row>
    <row r="312" customFormat="false" ht="15" hidden="false" customHeight="false" outlineLevel="0" collapsed="false">
      <c r="A312" s="1" t="n">
        <f aca="false">IF(A311="","",IF(INT((C311+1)/12)+Inputs!$B$7&gt;MAX(MORTALITY!$A:$A),"",Inputs!$B$4))</f>
        <v>34</v>
      </c>
      <c r="B312" s="3" t="n">
        <f aca="false">IF(A312="","",EOMONTH(B311,1))</f>
        <v>31167</v>
      </c>
      <c r="C312" s="1" t="n">
        <f aca="false">IF(A312="","",C311+1)</f>
        <v>310</v>
      </c>
      <c r="D312" s="1" t="n">
        <f aca="false">IF(A312="","",INT(C312/12))</f>
        <v>25</v>
      </c>
      <c r="E312" s="1" t="n">
        <f aca="false">IF(A312="","",D312+Inputs!$B$7)</f>
        <v>41</v>
      </c>
      <c r="F312" s="3" t="n">
        <f aca="false">IF(A312="","",DATE(YEAR(B$2)+D312,MONTH(B$2),DAY(B$2)))</f>
        <v>30838</v>
      </c>
      <c r="G312" s="3" t="n">
        <f aca="false">IF(A312="","",DATE(YEAR(F312)+1,MONTH(F312),DAY(F312)))</f>
        <v>31203</v>
      </c>
      <c r="H312" s="10" t="n">
        <f aca="false">IF(A312="","",IF(G312&gt;F312,(B312-F312)/(G312-F312),0))</f>
        <v>0.901369863013699</v>
      </c>
      <c r="I312" s="10" t="n">
        <f aca="false">IF(A312="","",IFERROR(INDEX(CV_RATES!$I:$I,MATCH(D312,CV_RATES!$C:$C,0)),0))</f>
        <v>512.190501774674</v>
      </c>
      <c r="J312" s="10" t="n">
        <f aca="false">IF(A312="","",IFERROR(IF(E312=MAX(MORTALITY!$A:$A),1000,INDEX(CV_RATES!$J:$J,MATCH(D312,CV_RATES!$C:$C,0))),0))</f>
        <v>521.844217713775</v>
      </c>
      <c r="K312" s="10" t="n">
        <f aca="false">IF(A312="","",IFERROR(I312+H312*(J312-I312),0))</f>
        <v>520.892070388274</v>
      </c>
      <c r="L312" s="10" t="n">
        <f aca="false">IF(A312="","",IFERROR(K312*Inputs!$B$9,0))</f>
        <v>26044.6035194137</v>
      </c>
      <c r="M312" s="10" t="n">
        <f aca="false">IF(A312="","",IFERROR(K312*Inputs!$B$10,0))</f>
        <v>83341.1685859127</v>
      </c>
      <c r="N312" s="10" t="n">
        <f aca="false">IF(A312="","",Z311)</f>
        <v>0</v>
      </c>
      <c r="O312" s="6" t="n">
        <f aca="false">IF(A312="","",Inputs!$B$18+N312)</f>
        <v>50000</v>
      </c>
      <c r="P312" s="5" t="n">
        <f aca="false">IF(A312="","",VLOOKUP(D312,DIvidend_Assumption!$A$3:$CX$103,($E$2+2),0)/12)</f>
        <v>0</v>
      </c>
      <c r="Q312" s="10" t="n">
        <f aca="false">IF(A312="","",IFERROR(AB311*P312,""))</f>
        <v>0</v>
      </c>
      <c r="R312" s="10" t="n">
        <f aca="false">IF(A312="","",IFERROR(IF(Inputs!$B$22="Accumulate",T312+Q312,IF(Inputs!$B$22="Premium Offset",MAX(0,T312+Q312-Inputs!$B$25),T312)),""))</f>
        <v>0</v>
      </c>
      <c r="S312" s="10" t="n">
        <f aca="false">IF(A312="","",R311)</f>
        <v>0</v>
      </c>
      <c r="T312" s="10" t="n">
        <f aca="false">IF(A312="","",IFERROR(S312*(1+Inputs!$B$23/12),""))</f>
        <v>0</v>
      </c>
      <c r="U312" s="6" t="n">
        <f aca="false">IF(A312="","",IF(D312&lt;=Inputs!$B$8,IF(Inputs!$B$22="Premium Offset",MAX(0,Inputs!$B$25-(Q312+T312)),Inputs!$B$25),0))</f>
        <v>77</v>
      </c>
      <c r="V312" s="10" t="n">
        <f aca="false">IF(A312="","",IF(Inputs!$B$22="Cash",Q312,0))</f>
        <v>0</v>
      </c>
      <c r="W312" s="10" t="n">
        <f aca="false">IF(A312="","",IF(Inputs!$B$22="PUA",Q312,0))</f>
        <v>0</v>
      </c>
      <c r="X312" s="12" t="n">
        <f aca="false">IF(A312="","",IFERROR(INDEX(PUA_TABLE!$D$4:$D$105,MATCH(E312,PUA_TABLE!$C$4:$C$105,1)),0))</f>
        <v>0.512190501774674</v>
      </c>
      <c r="Y312" s="10" t="n">
        <f aca="false">IF(A312="","",IF(W312&gt;0,IF(X312&gt;0,W312/X312,0),0))</f>
        <v>0</v>
      </c>
      <c r="Z312" s="10" t="n">
        <f aca="false">IF(A312="","",N312+Y312)</f>
        <v>0</v>
      </c>
      <c r="AA312" s="10" t="n">
        <f aca="false">IF(A312="","",IFERROR(Z312*INDEX(PUA_TABLE!$I$4:$I$105,MATCH(E312,PUA_TABLE!$C$4:$C$105,1))/1000,0))</f>
        <v>0</v>
      </c>
      <c r="AB312" s="10" t="n">
        <f aca="false">IF(A312="","",IFERROR(L312+AA312,0))</f>
        <v>26044.6035194137</v>
      </c>
      <c r="AC312" s="10" t="n">
        <f aca="false">IF(A312="","",IF(Inputs!$B$22="Premium Offset",MIN(Inputs!$B$25,Q312+T312),0))</f>
        <v>0</v>
      </c>
    </row>
    <row r="313" customFormat="false" ht="15" hidden="false" customHeight="false" outlineLevel="0" collapsed="false">
      <c r="A313" s="1" t="n">
        <f aca="false">IF(A312="","",IF(INT((C312+1)/12)+Inputs!$B$7&gt;MAX(MORTALITY!$A:$A),"",Inputs!$B$4))</f>
        <v>34</v>
      </c>
      <c r="B313" s="3" t="n">
        <f aca="false">IF(A313="","",EOMONTH(B312,1))</f>
        <v>31198</v>
      </c>
      <c r="C313" s="1" t="n">
        <f aca="false">IF(A313="","",C312+1)</f>
        <v>311</v>
      </c>
      <c r="D313" s="1" t="n">
        <f aca="false">IF(A313="","",INT(C313/12))</f>
        <v>25</v>
      </c>
      <c r="E313" s="1" t="n">
        <f aca="false">IF(A313="","",D313+Inputs!$B$7)</f>
        <v>41</v>
      </c>
      <c r="F313" s="3" t="n">
        <f aca="false">IF(A313="","",DATE(YEAR(B$2)+D313,MONTH(B$2),DAY(B$2)))</f>
        <v>30838</v>
      </c>
      <c r="G313" s="3" t="n">
        <f aca="false">IF(A313="","",DATE(YEAR(F313)+1,MONTH(F313),DAY(F313)))</f>
        <v>31203</v>
      </c>
      <c r="H313" s="10" t="n">
        <f aca="false">IF(A313="","",IF(G313&gt;F313,(B313-F313)/(G313-F313),0))</f>
        <v>0.986301369863014</v>
      </c>
      <c r="I313" s="10" t="n">
        <f aca="false">IF(A313="","",IFERROR(INDEX(CV_RATES!$I:$I,MATCH(D313,CV_RATES!$C:$C,0)),0))</f>
        <v>512.190501774674</v>
      </c>
      <c r="J313" s="10" t="n">
        <f aca="false">IF(A313="","",IFERROR(IF(E313=MAX(MORTALITY!$A:$A),1000,INDEX(CV_RATES!$J:$J,MATCH(D313,CV_RATES!$C:$C,0))),0))</f>
        <v>521.844217713775</v>
      </c>
      <c r="K313" s="10" t="n">
        <f aca="false">IF(A313="","",IFERROR(I313+H313*(J313-I313),0))</f>
        <v>521.711975029677</v>
      </c>
      <c r="L313" s="10" t="n">
        <f aca="false">IF(A313="","",IFERROR(K313*Inputs!$B$9,0))</f>
        <v>26085.5987514839</v>
      </c>
      <c r="M313" s="10" t="n">
        <f aca="false">IF(A313="","",IFERROR(K313*Inputs!$B$10,0))</f>
        <v>83472.3508688233</v>
      </c>
      <c r="N313" s="10" t="n">
        <f aca="false">IF(A313="","",Z312)</f>
        <v>0</v>
      </c>
      <c r="O313" s="6" t="n">
        <f aca="false">IF(A313="","",Inputs!$B$18+N313)</f>
        <v>50000</v>
      </c>
      <c r="P313" s="5" t="n">
        <f aca="false">IF(A313="","",VLOOKUP(D313,DIvidend_Assumption!$A$3:$CX$103,($E$2+2),0)/12)</f>
        <v>0</v>
      </c>
      <c r="Q313" s="10" t="n">
        <f aca="false">IF(A313="","",IFERROR(AB312*P313,""))</f>
        <v>0</v>
      </c>
      <c r="R313" s="10" t="n">
        <f aca="false">IF(A313="","",IFERROR(IF(Inputs!$B$22="Accumulate",T313+Q313,IF(Inputs!$B$22="Premium Offset",MAX(0,T313+Q313-Inputs!$B$25),T313)),""))</f>
        <v>0</v>
      </c>
      <c r="S313" s="10" t="n">
        <f aca="false">IF(A313="","",R312)</f>
        <v>0</v>
      </c>
      <c r="T313" s="10" t="n">
        <f aca="false">IF(A313="","",IFERROR(S313*(1+Inputs!$B$23/12),""))</f>
        <v>0</v>
      </c>
      <c r="U313" s="6" t="n">
        <f aca="false">IF(A313="","",IF(D313&lt;=Inputs!$B$8,IF(Inputs!$B$22="Premium Offset",MAX(0,Inputs!$B$25-(Q313+T313)),Inputs!$B$25),0))</f>
        <v>77</v>
      </c>
      <c r="V313" s="10" t="n">
        <f aca="false">IF(A313="","",IF(Inputs!$B$22="Cash",Q313,0))</f>
        <v>0</v>
      </c>
      <c r="W313" s="10" t="n">
        <f aca="false">IF(A313="","",IF(Inputs!$B$22="PUA",Q313,0))</f>
        <v>0</v>
      </c>
      <c r="X313" s="12" t="n">
        <f aca="false">IF(A313="","",IFERROR(INDEX(PUA_TABLE!$D$4:$D$105,MATCH(E313,PUA_TABLE!$C$4:$C$105,1)),0))</f>
        <v>0.512190501774674</v>
      </c>
      <c r="Y313" s="10" t="n">
        <f aca="false">IF(A313="","",IF(W313&gt;0,IF(X313&gt;0,W313/X313,0),0))</f>
        <v>0</v>
      </c>
      <c r="Z313" s="10" t="n">
        <f aca="false">IF(A313="","",N313+Y313)</f>
        <v>0</v>
      </c>
      <c r="AA313" s="10" t="n">
        <f aca="false">IF(A313="","",IFERROR(Z313*INDEX(PUA_TABLE!$I$4:$I$105,MATCH(E313,PUA_TABLE!$C$4:$C$105,1))/1000,0))</f>
        <v>0</v>
      </c>
      <c r="AB313" s="10" t="n">
        <f aca="false">IF(A313="","",IFERROR(L313+AA313,0))</f>
        <v>26085.5987514839</v>
      </c>
      <c r="AC313" s="10" t="n">
        <f aca="false">IF(A313="","",IF(Inputs!$B$22="Premium Offset",MIN(Inputs!$B$25,Q313+T313),0))</f>
        <v>0</v>
      </c>
    </row>
    <row r="314" customFormat="false" ht="15" hidden="false" customHeight="false" outlineLevel="0" collapsed="false">
      <c r="A314" s="1" t="n">
        <f aca="false">IF(A313="","",IF(INT((C313+1)/12)+Inputs!$B$7&gt;MAX(MORTALITY!$A:$A),"",Inputs!$B$4))</f>
        <v>34</v>
      </c>
      <c r="B314" s="3" t="n">
        <f aca="false">IF(A314="","",EOMONTH(B313,1))</f>
        <v>31228</v>
      </c>
      <c r="C314" s="1" t="n">
        <f aca="false">IF(A314="","",C313+1)</f>
        <v>312</v>
      </c>
      <c r="D314" s="1" t="n">
        <f aca="false">IF(A314="","",INT(C314/12))</f>
        <v>26</v>
      </c>
      <c r="E314" s="1" t="n">
        <f aca="false">IF(A314="","",D314+Inputs!$B$7)</f>
        <v>42</v>
      </c>
      <c r="F314" s="3" t="n">
        <f aca="false">IF(A314="","",DATE(YEAR(B$2)+D314,MONTH(B$2),DAY(B$2)))</f>
        <v>31203</v>
      </c>
      <c r="G314" s="3" t="n">
        <f aca="false">IF(A314="","",DATE(YEAR(F314)+1,MONTH(F314),DAY(F314)))</f>
        <v>31568</v>
      </c>
      <c r="H314" s="10" t="n">
        <f aca="false">IF(A314="","",IF(G314&gt;F314,(B314-F314)/(G314-F314),0))</f>
        <v>0.0684931506849315</v>
      </c>
      <c r="I314" s="10" t="n">
        <f aca="false">IF(A314="","",IFERROR(INDEX(CV_RATES!$I:$I,MATCH(D314,CV_RATES!$C:$C,0)),0))</f>
        <v>521.844217713775</v>
      </c>
      <c r="J314" s="10" t="n">
        <f aca="false">IF(A314="","",IFERROR(IF(E314=MAX(MORTALITY!$A:$A),1000,INDEX(CV_RATES!$J:$J,MATCH(D314,CV_RATES!$C:$C,0))),0))</f>
        <v>531.597453252987</v>
      </c>
      <c r="K314" s="10" t="n">
        <f aca="false">IF(A314="","",IFERROR(I314+H314*(J314-I314),0))</f>
        <v>522.512247545228</v>
      </c>
      <c r="L314" s="10" t="n">
        <f aca="false">IF(A314="","",IFERROR(K314*Inputs!$B$9,0))</f>
        <v>26125.6123772614</v>
      </c>
      <c r="M314" s="10" t="n">
        <f aca="false">IF(A314="","",IFERROR(K314*Inputs!$B$10,0))</f>
        <v>83600.3920704938</v>
      </c>
      <c r="N314" s="10" t="n">
        <f aca="false">IF(A314="","",Z313)</f>
        <v>0</v>
      </c>
      <c r="O314" s="6" t="n">
        <f aca="false">IF(A314="","",Inputs!$B$18+N314)</f>
        <v>50000</v>
      </c>
      <c r="P314" s="5" t="n">
        <f aca="false">IF(A314="","",VLOOKUP(D314,DIvidend_Assumption!$A$3:$CX$103,($E$2+2),0)/12)</f>
        <v>0</v>
      </c>
      <c r="Q314" s="10" t="n">
        <f aca="false">IF(A314="","",IFERROR(AB313*P314,""))</f>
        <v>0</v>
      </c>
      <c r="R314" s="10" t="n">
        <f aca="false">IF(A314="","",IFERROR(IF(Inputs!$B$22="Accumulate",T314+Q314,IF(Inputs!$B$22="Premium Offset",MAX(0,T314+Q314-Inputs!$B$25),T314)),""))</f>
        <v>0</v>
      </c>
      <c r="S314" s="10" t="n">
        <f aca="false">IF(A314="","",R313)</f>
        <v>0</v>
      </c>
      <c r="T314" s="10" t="n">
        <f aca="false">IF(A314="","",IFERROR(S314*(1+Inputs!$B$23/12),""))</f>
        <v>0</v>
      </c>
      <c r="U314" s="6" t="n">
        <f aca="false">IF(A314="","",IF(D314&lt;=Inputs!$B$8,IF(Inputs!$B$22="Premium Offset",MAX(0,Inputs!$B$25-(Q314+T314)),Inputs!$B$25),0))</f>
        <v>77</v>
      </c>
      <c r="V314" s="10" t="n">
        <f aca="false">IF(A314="","",IF(Inputs!$B$22="Cash",Q314,0))</f>
        <v>0</v>
      </c>
      <c r="W314" s="10" t="n">
        <f aca="false">IF(A314="","",IF(Inputs!$B$22="PUA",Q314,0))</f>
        <v>0</v>
      </c>
      <c r="X314" s="12" t="n">
        <f aca="false">IF(A314="","",IFERROR(INDEX(PUA_TABLE!$D$4:$D$105,MATCH(E314,PUA_TABLE!$C$4:$C$105,1)),0))</f>
        <v>0.521844217713775</v>
      </c>
      <c r="Y314" s="10" t="n">
        <f aca="false">IF(A314="","",IF(W314&gt;0,IF(X314&gt;0,W314/X314,0),0))</f>
        <v>0</v>
      </c>
      <c r="Z314" s="10" t="n">
        <f aca="false">IF(A314="","",N314+Y314)</f>
        <v>0</v>
      </c>
      <c r="AA314" s="10" t="n">
        <f aca="false">IF(A314="","",IFERROR(Z314*INDEX(PUA_TABLE!$I$4:$I$105,MATCH(E314,PUA_TABLE!$C$4:$C$105,1))/1000,0))</f>
        <v>0</v>
      </c>
      <c r="AB314" s="10" t="n">
        <f aca="false">IF(A314="","",IFERROR(L314+AA314,0))</f>
        <v>26125.6123772614</v>
      </c>
      <c r="AC314" s="10" t="n">
        <f aca="false">IF(A314="","",IF(Inputs!$B$22="Premium Offset",MIN(Inputs!$B$25,Q314+T314),0))</f>
        <v>0</v>
      </c>
    </row>
    <row r="315" customFormat="false" ht="15" hidden="false" customHeight="false" outlineLevel="0" collapsed="false">
      <c r="A315" s="1" t="n">
        <f aca="false">IF(A314="","",IF(INT((C314+1)/12)+Inputs!$B$7&gt;MAX(MORTALITY!$A:$A),"",Inputs!$B$4))</f>
        <v>34</v>
      </c>
      <c r="B315" s="3" t="n">
        <f aca="false">IF(A315="","",EOMONTH(B314,1))</f>
        <v>31259</v>
      </c>
      <c r="C315" s="1" t="n">
        <f aca="false">IF(A315="","",C314+1)</f>
        <v>313</v>
      </c>
      <c r="D315" s="1" t="n">
        <f aca="false">IF(A315="","",INT(C315/12))</f>
        <v>26</v>
      </c>
      <c r="E315" s="1" t="n">
        <f aca="false">IF(A315="","",D315+Inputs!$B$7)</f>
        <v>42</v>
      </c>
      <c r="F315" s="3" t="n">
        <f aca="false">IF(A315="","",DATE(YEAR(B$2)+D315,MONTH(B$2),DAY(B$2)))</f>
        <v>31203</v>
      </c>
      <c r="G315" s="3" t="n">
        <f aca="false">IF(A315="","",DATE(YEAR(F315)+1,MONTH(F315),DAY(F315)))</f>
        <v>31568</v>
      </c>
      <c r="H315" s="10" t="n">
        <f aca="false">IF(A315="","",IF(G315&gt;F315,(B315-F315)/(G315-F315),0))</f>
        <v>0.153424657534247</v>
      </c>
      <c r="I315" s="10" t="n">
        <f aca="false">IF(A315="","",IFERROR(INDEX(CV_RATES!$I:$I,MATCH(D315,CV_RATES!$C:$C,0)),0))</f>
        <v>521.844217713775</v>
      </c>
      <c r="J315" s="10" t="n">
        <f aca="false">IF(A315="","",IFERROR(IF(E315=MAX(MORTALITY!$A:$A),1000,INDEX(CV_RATES!$J:$J,MATCH(D315,CV_RATES!$C:$C,0))),0))</f>
        <v>531.597453252987</v>
      </c>
      <c r="K315" s="10" t="n">
        <f aca="false">IF(A315="","",IFERROR(I315+H315*(J315-I315),0))</f>
        <v>523.340604536229</v>
      </c>
      <c r="L315" s="10" t="n">
        <f aca="false">IF(A315="","",IFERROR(K315*Inputs!$B$9,0))</f>
        <v>26167.0302268115</v>
      </c>
      <c r="M315" s="10" t="n">
        <f aca="false">IF(A315="","",IFERROR(K315*Inputs!$B$10,0))</f>
        <v>83732.926703983</v>
      </c>
      <c r="N315" s="10" t="n">
        <f aca="false">IF(A315="","",Z314)</f>
        <v>0</v>
      </c>
      <c r="O315" s="6" t="n">
        <f aca="false">IF(A315="","",Inputs!$B$18+N315)</f>
        <v>50000</v>
      </c>
      <c r="P315" s="5" t="n">
        <f aca="false">IF(A315="","",VLOOKUP(D315,DIvidend_Assumption!$A$3:$CX$103,($E$2+2),0)/12)</f>
        <v>0</v>
      </c>
      <c r="Q315" s="10" t="n">
        <f aca="false">IF(A315="","",IFERROR(AB314*P315,""))</f>
        <v>0</v>
      </c>
      <c r="R315" s="10" t="n">
        <f aca="false">IF(A315="","",IFERROR(IF(Inputs!$B$22="Accumulate",T315+Q315,IF(Inputs!$B$22="Premium Offset",MAX(0,T315+Q315-Inputs!$B$25),T315)),""))</f>
        <v>0</v>
      </c>
      <c r="S315" s="10" t="n">
        <f aca="false">IF(A315="","",R314)</f>
        <v>0</v>
      </c>
      <c r="T315" s="10" t="n">
        <f aca="false">IF(A315="","",IFERROR(S315*(1+Inputs!$B$23/12),""))</f>
        <v>0</v>
      </c>
      <c r="U315" s="6" t="n">
        <f aca="false">IF(A315="","",IF(D315&lt;=Inputs!$B$8,IF(Inputs!$B$22="Premium Offset",MAX(0,Inputs!$B$25-(Q315+T315)),Inputs!$B$25),0))</f>
        <v>77</v>
      </c>
      <c r="V315" s="10" t="n">
        <f aca="false">IF(A315="","",IF(Inputs!$B$22="Cash",Q315,0))</f>
        <v>0</v>
      </c>
      <c r="W315" s="10" t="n">
        <f aca="false">IF(A315="","",IF(Inputs!$B$22="PUA",Q315,0))</f>
        <v>0</v>
      </c>
      <c r="X315" s="12" t="n">
        <f aca="false">IF(A315="","",IFERROR(INDEX(PUA_TABLE!$D$4:$D$105,MATCH(E315,PUA_TABLE!$C$4:$C$105,1)),0))</f>
        <v>0.521844217713775</v>
      </c>
      <c r="Y315" s="10" t="n">
        <f aca="false">IF(A315="","",IF(W315&gt;0,IF(X315&gt;0,W315/X315,0),0))</f>
        <v>0</v>
      </c>
      <c r="Z315" s="10" t="n">
        <f aca="false">IF(A315="","",N315+Y315)</f>
        <v>0</v>
      </c>
      <c r="AA315" s="10" t="n">
        <f aca="false">IF(A315="","",IFERROR(Z315*INDEX(PUA_TABLE!$I$4:$I$105,MATCH(E315,PUA_TABLE!$C$4:$C$105,1))/1000,0))</f>
        <v>0</v>
      </c>
      <c r="AB315" s="10" t="n">
        <f aca="false">IF(A315="","",IFERROR(L315+AA315,0))</f>
        <v>26167.0302268115</v>
      </c>
      <c r="AC315" s="10" t="n">
        <f aca="false">IF(A315="","",IF(Inputs!$B$22="Premium Offset",MIN(Inputs!$B$25,Q315+T315),0))</f>
        <v>0</v>
      </c>
    </row>
    <row r="316" customFormat="false" ht="15" hidden="false" customHeight="false" outlineLevel="0" collapsed="false">
      <c r="A316" s="1" t="n">
        <f aca="false">IF(A315="","",IF(INT((C315+1)/12)+Inputs!$B$7&gt;MAX(MORTALITY!$A:$A),"",Inputs!$B$4))</f>
        <v>34</v>
      </c>
      <c r="B316" s="3" t="n">
        <f aca="false">IF(A316="","",EOMONTH(B315,1))</f>
        <v>31290</v>
      </c>
      <c r="C316" s="1" t="n">
        <f aca="false">IF(A316="","",C315+1)</f>
        <v>314</v>
      </c>
      <c r="D316" s="1" t="n">
        <f aca="false">IF(A316="","",INT(C316/12))</f>
        <v>26</v>
      </c>
      <c r="E316" s="1" t="n">
        <f aca="false">IF(A316="","",D316+Inputs!$B$7)</f>
        <v>42</v>
      </c>
      <c r="F316" s="3" t="n">
        <f aca="false">IF(A316="","",DATE(YEAR(B$2)+D316,MONTH(B$2),DAY(B$2)))</f>
        <v>31203</v>
      </c>
      <c r="G316" s="3" t="n">
        <f aca="false">IF(A316="","",DATE(YEAR(F316)+1,MONTH(F316),DAY(F316)))</f>
        <v>31568</v>
      </c>
      <c r="H316" s="10" t="n">
        <f aca="false">IF(A316="","",IF(G316&gt;F316,(B316-F316)/(G316-F316),0))</f>
        <v>0.238356164383562</v>
      </c>
      <c r="I316" s="10" t="n">
        <f aca="false">IF(A316="","",IFERROR(INDEX(CV_RATES!$I:$I,MATCH(D316,CV_RATES!$C:$C,0)),0))</f>
        <v>521.844217713775</v>
      </c>
      <c r="J316" s="10" t="n">
        <f aca="false">IF(A316="","",IFERROR(IF(E316=MAX(MORTALITY!$A:$A),1000,INDEX(CV_RATES!$J:$J,MATCH(D316,CV_RATES!$C:$C,0))),0))</f>
        <v>531.597453252987</v>
      </c>
      <c r="K316" s="10" t="n">
        <f aca="false">IF(A316="","",IFERROR(I316+H316*(J316-I316),0))</f>
        <v>524.168961527231</v>
      </c>
      <c r="L316" s="10" t="n">
        <f aca="false">IF(A316="","",IFERROR(K316*Inputs!$B$9,0))</f>
        <v>26208.4480763615</v>
      </c>
      <c r="M316" s="10" t="n">
        <f aca="false">IF(A316="","",IFERROR(K316*Inputs!$B$10,0))</f>
        <v>83865.4613374723</v>
      </c>
      <c r="N316" s="10" t="n">
        <f aca="false">IF(A316="","",Z315)</f>
        <v>0</v>
      </c>
      <c r="O316" s="6" t="n">
        <f aca="false">IF(A316="","",Inputs!$B$18+N316)</f>
        <v>50000</v>
      </c>
      <c r="P316" s="5" t="n">
        <f aca="false">IF(A316="","",VLOOKUP(D316,DIvidend_Assumption!$A$3:$CX$103,($E$2+2),0)/12)</f>
        <v>0</v>
      </c>
      <c r="Q316" s="10" t="n">
        <f aca="false">IF(A316="","",IFERROR(AB315*P316,""))</f>
        <v>0</v>
      </c>
      <c r="R316" s="10" t="n">
        <f aca="false">IF(A316="","",IFERROR(IF(Inputs!$B$22="Accumulate",T316+Q316,IF(Inputs!$B$22="Premium Offset",MAX(0,T316+Q316-Inputs!$B$25),T316)),""))</f>
        <v>0</v>
      </c>
      <c r="S316" s="10" t="n">
        <f aca="false">IF(A316="","",R315)</f>
        <v>0</v>
      </c>
      <c r="T316" s="10" t="n">
        <f aca="false">IF(A316="","",IFERROR(S316*(1+Inputs!$B$23/12),""))</f>
        <v>0</v>
      </c>
      <c r="U316" s="6" t="n">
        <f aca="false">IF(A316="","",IF(D316&lt;=Inputs!$B$8,IF(Inputs!$B$22="Premium Offset",MAX(0,Inputs!$B$25-(Q316+T316)),Inputs!$B$25),0))</f>
        <v>77</v>
      </c>
      <c r="V316" s="10" t="n">
        <f aca="false">IF(A316="","",IF(Inputs!$B$22="Cash",Q316,0))</f>
        <v>0</v>
      </c>
      <c r="W316" s="10" t="n">
        <f aca="false">IF(A316="","",IF(Inputs!$B$22="PUA",Q316,0))</f>
        <v>0</v>
      </c>
      <c r="X316" s="12" t="n">
        <f aca="false">IF(A316="","",IFERROR(INDEX(PUA_TABLE!$D$4:$D$105,MATCH(E316,PUA_TABLE!$C$4:$C$105,1)),0))</f>
        <v>0.521844217713775</v>
      </c>
      <c r="Y316" s="10" t="n">
        <f aca="false">IF(A316="","",IF(W316&gt;0,IF(X316&gt;0,W316/X316,0),0))</f>
        <v>0</v>
      </c>
      <c r="Z316" s="10" t="n">
        <f aca="false">IF(A316="","",N316+Y316)</f>
        <v>0</v>
      </c>
      <c r="AA316" s="10" t="n">
        <f aca="false">IF(A316="","",IFERROR(Z316*INDEX(PUA_TABLE!$I$4:$I$105,MATCH(E316,PUA_TABLE!$C$4:$C$105,1))/1000,0))</f>
        <v>0</v>
      </c>
      <c r="AB316" s="10" t="n">
        <f aca="false">IF(A316="","",IFERROR(L316+AA316,0))</f>
        <v>26208.4480763615</v>
      </c>
      <c r="AC316" s="10" t="n">
        <f aca="false">IF(A316="","",IF(Inputs!$B$22="Premium Offset",MIN(Inputs!$B$25,Q316+T316),0))</f>
        <v>0</v>
      </c>
    </row>
    <row r="317" customFormat="false" ht="15" hidden="false" customHeight="false" outlineLevel="0" collapsed="false">
      <c r="A317" s="1" t="n">
        <f aca="false">IF(A316="","",IF(INT((C316+1)/12)+Inputs!$B$7&gt;MAX(MORTALITY!$A:$A),"",Inputs!$B$4))</f>
        <v>34</v>
      </c>
      <c r="B317" s="3" t="n">
        <f aca="false">IF(A317="","",EOMONTH(B316,1))</f>
        <v>31320</v>
      </c>
      <c r="C317" s="1" t="n">
        <f aca="false">IF(A317="","",C316+1)</f>
        <v>315</v>
      </c>
      <c r="D317" s="1" t="n">
        <f aca="false">IF(A317="","",INT(C317/12))</f>
        <v>26</v>
      </c>
      <c r="E317" s="1" t="n">
        <f aca="false">IF(A317="","",D317+Inputs!$B$7)</f>
        <v>42</v>
      </c>
      <c r="F317" s="3" t="n">
        <f aca="false">IF(A317="","",DATE(YEAR(B$2)+D317,MONTH(B$2),DAY(B$2)))</f>
        <v>31203</v>
      </c>
      <c r="G317" s="3" t="n">
        <f aca="false">IF(A317="","",DATE(YEAR(F317)+1,MONTH(F317),DAY(F317)))</f>
        <v>31568</v>
      </c>
      <c r="H317" s="10" t="n">
        <f aca="false">IF(A317="","",IF(G317&gt;F317,(B317-F317)/(G317-F317),0))</f>
        <v>0.320547945205479</v>
      </c>
      <c r="I317" s="10" t="n">
        <f aca="false">IF(A317="","",IFERROR(INDEX(CV_RATES!$I:$I,MATCH(D317,CV_RATES!$C:$C,0)),0))</f>
        <v>521.844217713775</v>
      </c>
      <c r="J317" s="10" t="n">
        <f aca="false">IF(A317="","",IFERROR(IF(E317=MAX(MORTALITY!$A:$A),1000,INDEX(CV_RATES!$J:$J,MATCH(D317,CV_RATES!$C:$C,0))),0))</f>
        <v>531.597453252987</v>
      </c>
      <c r="K317" s="10" t="n">
        <f aca="false">IF(A317="","",IFERROR(I317+H317*(J317-I317),0))</f>
        <v>524.970597324974</v>
      </c>
      <c r="L317" s="10" t="n">
        <f aca="false">IF(A317="","",IFERROR(K317*Inputs!$B$9,0))</f>
        <v>26248.5298662487</v>
      </c>
      <c r="M317" s="10" t="n">
        <f aca="false">IF(A317="","",IFERROR(K317*Inputs!$B$10,0))</f>
        <v>83993.7206602039</v>
      </c>
      <c r="N317" s="10" t="n">
        <f aca="false">IF(A317="","",Z316)</f>
        <v>0</v>
      </c>
      <c r="O317" s="6" t="n">
        <f aca="false">IF(A317="","",Inputs!$B$18+N317)</f>
        <v>50000</v>
      </c>
      <c r="P317" s="5" t="n">
        <f aca="false">IF(A317="","",VLOOKUP(D317,DIvidend_Assumption!$A$3:$CX$103,($E$2+2),0)/12)</f>
        <v>0</v>
      </c>
      <c r="Q317" s="10" t="n">
        <f aca="false">IF(A317="","",IFERROR(AB316*P317,""))</f>
        <v>0</v>
      </c>
      <c r="R317" s="10" t="n">
        <f aca="false">IF(A317="","",IFERROR(IF(Inputs!$B$22="Accumulate",T317+Q317,IF(Inputs!$B$22="Premium Offset",MAX(0,T317+Q317-Inputs!$B$25),T317)),""))</f>
        <v>0</v>
      </c>
      <c r="S317" s="10" t="n">
        <f aca="false">IF(A317="","",R316)</f>
        <v>0</v>
      </c>
      <c r="T317" s="10" t="n">
        <f aca="false">IF(A317="","",IFERROR(S317*(1+Inputs!$B$23/12),""))</f>
        <v>0</v>
      </c>
      <c r="U317" s="6" t="n">
        <f aca="false">IF(A317="","",IF(D317&lt;=Inputs!$B$8,IF(Inputs!$B$22="Premium Offset",MAX(0,Inputs!$B$25-(Q317+T317)),Inputs!$B$25),0))</f>
        <v>77</v>
      </c>
      <c r="V317" s="10" t="n">
        <f aca="false">IF(A317="","",IF(Inputs!$B$22="Cash",Q317,0))</f>
        <v>0</v>
      </c>
      <c r="W317" s="10" t="n">
        <f aca="false">IF(A317="","",IF(Inputs!$B$22="PUA",Q317,0))</f>
        <v>0</v>
      </c>
      <c r="X317" s="12" t="n">
        <f aca="false">IF(A317="","",IFERROR(INDEX(PUA_TABLE!$D$4:$D$105,MATCH(E317,PUA_TABLE!$C$4:$C$105,1)),0))</f>
        <v>0.521844217713775</v>
      </c>
      <c r="Y317" s="10" t="n">
        <f aca="false">IF(A317="","",IF(W317&gt;0,IF(X317&gt;0,W317/X317,0),0))</f>
        <v>0</v>
      </c>
      <c r="Z317" s="10" t="n">
        <f aca="false">IF(A317="","",N317+Y317)</f>
        <v>0</v>
      </c>
      <c r="AA317" s="10" t="n">
        <f aca="false">IF(A317="","",IFERROR(Z317*INDEX(PUA_TABLE!$I$4:$I$105,MATCH(E317,PUA_TABLE!$C$4:$C$105,1))/1000,0))</f>
        <v>0</v>
      </c>
      <c r="AB317" s="10" t="n">
        <f aca="false">IF(A317="","",IFERROR(L317+AA317,0))</f>
        <v>26248.5298662487</v>
      </c>
      <c r="AC317" s="10" t="n">
        <f aca="false">IF(A317="","",IF(Inputs!$B$22="Premium Offset",MIN(Inputs!$B$25,Q317+T317),0))</f>
        <v>0</v>
      </c>
    </row>
    <row r="318" customFormat="false" ht="15" hidden="false" customHeight="false" outlineLevel="0" collapsed="false">
      <c r="A318" s="1" t="n">
        <f aca="false">IF(A317="","",IF(INT((C317+1)/12)+Inputs!$B$7&gt;MAX(MORTALITY!$A:$A),"",Inputs!$B$4))</f>
        <v>34</v>
      </c>
      <c r="B318" s="3" t="n">
        <f aca="false">IF(A318="","",EOMONTH(B317,1))</f>
        <v>31351</v>
      </c>
      <c r="C318" s="1" t="n">
        <f aca="false">IF(A318="","",C317+1)</f>
        <v>316</v>
      </c>
      <c r="D318" s="1" t="n">
        <f aca="false">IF(A318="","",INT(C318/12))</f>
        <v>26</v>
      </c>
      <c r="E318" s="1" t="n">
        <f aca="false">IF(A318="","",D318+Inputs!$B$7)</f>
        <v>42</v>
      </c>
      <c r="F318" s="3" t="n">
        <f aca="false">IF(A318="","",DATE(YEAR(B$2)+D318,MONTH(B$2),DAY(B$2)))</f>
        <v>31203</v>
      </c>
      <c r="G318" s="3" t="n">
        <f aca="false">IF(A318="","",DATE(YEAR(F318)+1,MONTH(F318),DAY(F318)))</f>
        <v>31568</v>
      </c>
      <c r="H318" s="10" t="n">
        <f aca="false">IF(A318="","",IF(G318&gt;F318,(B318-F318)/(G318-F318),0))</f>
        <v>0.405479452054795</v>
      </c>
      <c r="I318" s="10" t="n">
        <f aca="false">IF(A318="","",IFERROR(INDEX(CV_RATES!$I:$I,MATCH(D318,CV_RATES!$C:$C,0)),0))</f>
        <v>521.844217713775</v>
      </c>
      <c r="J318" s="10" t="n">
        <f aca="false">IF(A318="","",IFERROR(IF(E318=MAX(MORTALITY!$A:$A),1000,INDEX(CV_RATES!$J:$J,MATCH(D318,CV_RATES!$C:$C,0))),0))</f>
        <v>531.597453252987</v>
      </c>
      <c r="K318" s="10" t="n">
        <f aca="false">IF(A318="","",IFERROR(I318+H318*(J318-I318),0))</f>
        <v>525.798954315976</v>
      </c>
      <c r="L318" s="10" t="n">
        <f aca="false">IF(A318="","",IFERROR(K318*Inputs!$B$9,0))</f>
        <v>26289.9477157988</v>
      </c>
      <c r="M318" s="10" t="n">
        <f aca="false">IF(A318="","",IFERROR(K318*Inputs!$B$10,0))</f>
        <v>84126.2552936932</v>
      </c>
      <c r="N318" s="10" t="n">
        <f aca="false">IF(A318="","",Z317)</f>
        <v>0</v>
      </c>
      <c r="O318" s="6" t="n">
        <f aca="false">IF(A318="","",Inputs!$B$18+N318)</f>
        <v>50000</v>
      </c>
      <c r="P318" s="5" t="n">
        <f aca="false">IF(A318="","",VLOOKUP(D318,DIvidend_Assumption!$A$3:$CX$103,($E$2+2),0)/12)</f>
        <v>0</v>
      </c>
      <c r="Q318" s="10" t="n">
        <f aca="false">IF(A318="","",IFERROR(AB317*P318,""))</f>
        <v>0</v>
      </c>
      <c r="R318" s="10" t="n">
        <f aca="false">IF(A318="","",IFERROR(IF(Inputs!$B$22="Accumulate",T318+Q318,IF(Inputs!$B$22="Premium Offset",MAX(0,T318+Q318-Inputs!$B$25),T318)),""))</f>
        <v>0</v>
      </c>
      <c r="S318" s="10" t="n">
        <f aca="false">IF(A318="","",R317)</f>
        <v>0</v>
      </c>
      <c r="T318" s="10" t="n">
        <f aca="false">IF(A318="","",IFERROR(S318*(1+Inputs!$B$23/12),""))</f>
        <v>0</v>
      </c>
      <c r="U318" s="6" t="n">
        <f aca="false">IF(A318="","",IF(D318&lt;=Inputs!$B$8,IF(Inputs!$B$22="Premium Offset",MAX(0,Inputs!$B$25-(Q318+T318)),Inputs!$B$25),0))</f>
        <v>77</v>
      </c>
      <c r="V318" s="10" t="n">
        <f aca="false">IF(A318="","",IF(Inputs!$B$22="Cash",Q318,0))</f>
        <v>0</v>
      </c>
      <c r="W318" s="10" t="n">
        <f aca="false">IF(A318="","",IF(Inputs!$B$22="PUA",Q318,0))</f>
        <v>0</v>
      </c>
      <c r="X318" s="12" t="n">
        <f aca="false">IF(A318="","",IFERROR(INDEX(PUA_TABLE!$D$4:$D$105,MATCH(E318,PUA_TABLE!$C$4:$C$105,1)),0))</f>
        <v>0.521844217713775</v>
      </c>
      <c r="Y318" s="10" t="n">
        <f aca="false">IF(A318="","",IF(W318&gt;0,IF(X318&gt;0,W318/X318,0),0))</f>
        <v>0</v>
      </c>
      <c r="Z318" s="10" t="n">
        <f aca="false">IF(A318="","",N318+Y318)</f>
        <v>0</v>
      </c>
      <c r="AA318" s="10" t="n">
        <f aca="false">IF(A318="","",IFERROR(Z318*INDEX(PUA_TABLE!$I$4:$I$105,MATCH(E318,PUA_TABLE!$C$4:$C$105,1))/1000,0))</f>
        <v>0</v>
      </c>
      <c r="AB318" s="10" t="n">
        <f aca="false">IF(A318="","",IFERROR(L318+AA318,0))</f>
        <v>26289.9477157988</v>
      </c>
      <c r="AC318" s="10" t="n">
        <f aca="false">IF(A318="","",IF(Inputs!$B$22="Premium Offset",MIN(Inputs!$B$25,Q318+T318),0))</f>
        <v>0</v>
      </c>
    </row>
    <row r="319" customFormat="false" ht="15" hidden="false" customHeight="false" outlineLevel="0" collapsed="false">
      <c r="A319" s="1" t="n">
        <f aca="false">IF(A318="","",IF(INT((C318+1)/12)+Inputs!$B$7&gt;MAX(MORTALITY!$A:$A),"",Inputs!$B$4))</f>
        <v>34</v>
      </c>
      <c r="B319" s="3" t="n">
        <f aca="false">IF(A319="","",EOMONTH(B318,1))</f>
        <v>31381</v>
      </c>
      <c r="C319" s="1" t="n">
        <f aca="false">IF(A319="","",C318+1)</f>
        <v>317</v>
      </c>
      <c r="D319" s="1" t="n">
        <f aca="false">IF(A319="","",INT(C319/12))</f>
        <v>26</v>
      </c>
      <c r="E319" s="1" t="n">
        <f aca="false">IF(A319="","",D319+Inputs!$B$7)</f>
        <v>42</v>
      </c>
      <c r="F319" s="3" t="n">
        <f aca="false">IF(A319="","",DATE(YEAR(B$2)+D319,MONTH(B$2),DAY(B$2)))</f>
        <v>31203</v>
      </c>
      <c r="G319" s="3" t="n">
        <f aca="false">IF(A319="","",DATE(YEAR(F319)+1,MONTH(F319),DAY(F319)))</f>
        <v>31568</v>
      </c>
      <c r="H319" s="10" t="n">
        <f aca="false">IF(A319="","",IF(G319&gt;F319,(B319-F319)/(G319-F319),0))</f>
        <v>0.487671232876712</v>
      </c>
      <c r="I319" s="10" t="n">
        <f aca="false">IF(A319="","",IFERROR(INDEX(CV_RATES!$I:$I,MATCH(D319,CV_RATES!$C:$C,0)),0))</f>
        <v>521.844217713775</v>
      </c>
      <c r="J319" s="10" t="n">
        <f aca="false">IF(A319="","",IFERROR(IF(E319=MAX(MORTALITY!$A:$A),1000,INDEX(CV_RATES!$J:$J,MATCH(D319,CV_RATES!$C:$C,0))),0))</f>
        <v>531.597453252987</v>
      </c>
      <c r="K319" s="10" t="n">
        <f aca="false">IF(A319="","",IFERROR(I319+H319*(J319-I319),0))</f>
        <v>526.600590113719</v>
      </c>
      <c r="L319" s="10" t="n">
        <f aca="false">IF(A319="","",IFERROR(K319*Inputs!$B$9,0))</f>
        <v>26330.029505686</v>
      </c>
      <c r="M319" s="10" t="n">
        <f aca="false">IF(A319="","",IFERROR(K319*Inputs!$B$10,0))</f>
        <v>84254.5146164248</v>
      </c>
      <c r="N319" s="10" t="n">
        <f aca="false">IF(A319="","",Z318)</f>
        <v>0</v>
      </c>
      <c r="O319" s="6" t="n">
        <f aca="false">IF(A319="","",Inputs!$B$18+N319)</f>
        <v>50000</v>
      </c>
      <c r="P319" s="5" t="n">
        <f aca="false">IF(A319="","",VLOOKUP(D319,DIvidend_Assumption!$A$3:$CX$103,($E$2+2),0)/12)</f>
        <v>0</v>
      </c>
      <c r="Q319" s="10" t="n">
        <f aca="false">IF(A319="","",IFERROR(AB318*P319,""))</f>
        <v>0</v>
      </c>
      <c r="R319" s="10" t="n">
        <f aca="false">IF(A319="","",IFERROR(IF(Inputs!$B$22="Accumulate",T319+Q319,IF(Inputs!$B$22="Premium Offset",MAX(0,T319+Q319-Inputs!$B$25),T319)),""))</f>
        <v>0</v>
      </c>
      <c r="S319" s="10" t="n">
        <f aca="false">IF(A319="","",R318)</f>
        <v>0</v>
      </c>
      <c r="T319" s="10" t="n">
        <f aca="false">IF(A319="","",IFERROR(S319*(1+Inputs!$B$23/12),""))</f>
        <v>0</v>
      </c>
      <c r="U319" s="6" t="n">
        <f aca="false">IF(A319="","",IF(D319&lt;=Inputs!$B$8,IF(Inputs!$B$22="Premium Offset",MAX(0,Inputs!$B$25-(Q319+T319)),Inputs!$B$25),0))</f>
        <v>77</v>
      </c>
      <c r="V319" s="10" t="n">
        <f aca="false">IF(A319="","",IF(Inputs!$B$22="Cash",Q319,0))</f>
        <v>0</v>
      </c>
      <c r="W319" s="10" t="n">
        <f aca="false">IF(A319="","",IF(Inputs!$B$22="PUA",Q319,0))</f>
        <v>0</v>
      </c>
      <c r="X319" s="12" t="n">
        <f aca="false">IF(A319="","",IFERROR(INDEX(PUA_TABLE!$D$4:$D$105,MATCH(E319,PUA_TABLE!$C$4:$C$105,1)),0))</f>
        <v>0.521844217713775</v>
      </c>
      <c r="Y319" s="10" t="n">
        <f aca="false">IF(A319="","",IF(W319&gt;0,IF(X319&gt;0,W319/X319,0),0))</f>
        <v>0</v>
      </c>
      <c r="Z319" s="10" t="n">
        <f aca="false">IF(A319="","",N319+Y319)</f>
        <v>0</v>
      </c>
      <c r="AA319" s="10" t="n">
        <f aca="false">IF(A319="","",IFERROR(Z319*INDEX(PUA_TABLE!$I$4:$I$105,MATCH(E319,PUA_TABLE!$C$4:$C$105,1))/1000,0))</f>
        <v>0</v>
      </c>
      <c r="AB319" s="10" t="n">
        <f aca="false">IF(A319="","",IFERROR(L319+AA319,0))</f>
        <v>26330.029505686</v>
      </c>
      <c r="AC319" s="10" t="n">
        <f aca="false">IF(A319="","",IF(Inputs!$B$22="Premium Offset",MIN(Inputs!$B$25,Q319+T319),0))</f>
        <v>0</v>
      </c>
    </row>
    <row r="320" customFormat="false" ht="15" hidden="false" customHeight="false" outlineLevel="0" collapsed="false">
      <c r="A320" s="1" t="n">
        <f aca="false">IF(A319="","",IF(INT((C319+1)/12)+Inputs!$B$7&gt;MAX(MORTALITY!$A:$A),"",Inputs!$B$4))</f>
        <v>34</v>
      </c>
      <c r="B320" s="3" t="n">
        <f aca="false">IF(A320="","",EOMONTH(B319,1))</f>
        <v>31412</v>
      </c>
      <c r="C320" s="1" t="n">
        <f aca="false">IF(A320="","",C319+1)</f>
        <v>318</v>
      </c>
      <c r="D320" s="1" t="n">
        <f aca="false">IF(A320="","",INT(C320/12))</f>
        <v>26</v>
      </c>
      <c r="E320" s="1" t="n">
        <f aca="false">IF(A320="","",D320+Inputs!$B$7)</f>
        <v>42</v>
      </c>
      <c r="F320" s="3" t="n">
        <f aca="false">IF(A320="","",DATE(YEAR(B$2)+D320,MONTH(B$2),DAY(B$2)))</f>
        <v>31203</v>
      </c>
      <c r="G320" s="3" t="n">
        <f aca="false">IF(A320="","",DATE(YEAR(F320)+1,MONTH(F320),DAY(F320)))</f>
        <v>31568</v>
      </c>
      <c r="H320" s="10" t="n">
        <f aca="false">IF(A320="","",IF(G320&gt;F320,(B320-F320)/(G320-F320),0))</f>
        <v>0.572602739726027</v>
      </c>
      <c r="I320" s="10" t="n">
        <f aca="false">IF(A320="","",IFERROR(INDEX(CV_RATES!$I:$I,MATCH(D320,CV_RATES!$C:$C,0)),0))</f>
        <v>521.844217713775</v>
      </c>
      <c r="J320" s="10" t="n">
        <f aca="false">IF(A320="","",IFERROR(IF(E320=MAX(MORTALITY!$A:$A),1000,INDEX(CV_RATES!$J:$J,MATCH(D320,CV_RATES!$C:$C,0))),0))</f>
        <v>531.597453252987</v>
      </c>
      <c r="K320" s="10" t="n">
        <f aca="false">IF(A320="","",IFERROR(I320+H320*(J320-I320),0))</f>
        <v>527.428947104721</v>
      </c>
      <c r="L320" s="10" t="n">
        <f aca="false">IF(A320="","",IFERROR(K320*Inputs!$B$9,0))</f>
        <v>26371.4473552361</v>
      </c>
      <c r="M320" s="10" t="n">
        <f aca="false">IF(A320="","",IFERROR(K320*Inputs!$B$10,0))</f>
        <v>84387.0492499141</v>
      </c>
      <c r="N320" s="10" t="n">
        <f aca="false">IF(A320="","",Z319)</f>
        <v>0</v>
      </c>
      <c r="O320" s="6" t="n">
        <f aca="false">IF(A320="","",Inputs!$B$18+N320)</f>
        <v>50000</v>
      </c>
      <c r="P320" s="5" t="n">
        <f aca="false">IF(A320="","",VLOOKUP(D320,DIvidend_Assumption!$A$3:$CX$103,($E$2+2),0)/12)</f>
        <v>0</v>
      </c>
      <c r="Q320" s="10" t="n">
        <f aca="false">IF(A320="","",IFERROR(AB319*P320,""))</f>
        <v>0</v>
      </c>
      <c r="R320" s="10" t="n">
        <f aca="false">IF(A320="","",IFERROR(IF(Inputs!$B$22="Accumulate",T320+Q320,IF(Inputs!$B$22="Premium Offset",MAX(0,T320+Q320-Inputs!$B$25),T320)),""))</f>
        <v>0</v>
      </c>
      <c r="S320" s="10" t="n">
        <f aca="false">IF(A320="","",R319)</f>
        <v>0</v>
      </c>
      <c r="T320" s="10" t="n">
        <f aca="false">IF(A320="","",IFERROR(S320*(1+Inputs!$B$23/12),""))</f>
        <v>0</v>
      </c>
      <c r="U320" s="6" t="n">
        <f aca="false">IF(A320="","",IF(D320&lt;=Inputs!$B$8,IF(Inputs!$B$22="Premium Offset",MAX(0,Inputs!$B$25-(Q320+T320)),Inputs!$B$25),0))</f>
        <v>77</v>
      </c>
      <c r="V320" s="10" t="n">
        <f aca="false">IF(A320="","",IF(Inputs!$B$22="Cash",Q320,0))</f>
        <v>0</v>
      </c>
      <c r="W320" s="10" t="n">
        <f aca="false">IF(A320="","",IF(Inputs!$B$22="PUA",Q320,0))</f>
        <v>0</v>
      </c>
      <c r="X320" s="12" t="n">
        <f aca="false">IF(A320="","",IFERROR(INDEX(PUA_TABLE!$D$4:$D$105,MATCH(E320,PUA_TABLE!$C$4:$C$105,1)),0))</f>
        <v>0.521844217713775</v>
      </c>
      <c r="Y320" s="10" t="n">
        <f aca="false">IF(A320="","",IF(W320&gt;0,IF(X320&gt;0,W320/X320,0),0))</f>
        <v>0</v>
      </c>
      <c r="Z320" s="10" t="n">
        <f aca="false">IF(A320="","",N320+Y320)</f>
        <v>0</v>
      </c>
      <c r="AA320" s="10" t="n">
        <f aca="false">IF(A320="","",IFERROR(Z320*INDEX(PUA_TABLE!$I$4:$I$105,MATCH(E320,PUA_TABLE!$C$4:$C$105,1))/1000,0))</f>
        <v>0</v>
      </c>
      <c r="AB320" s="10" t="n">
        <f aca="false">IF(A320="","",IFERROR(L320+AA320,0))</f>
        <v>26371.4473552361</v>
      </c>
      <c r="AC320" s="10" t="n">
        <f aca="false">IF(A320="","",IF(Inputs!$B$22="Premium Offset",MIN(Inputs!$B$25,Q320+T320),0))</f>
        <v>0</v>
      </c>
    </row>
    <row r="321" customFormat="false" ht="15" hidden="false" customHeight="false" outlineLevel="0" collapsed="false">
      <c r="A321" s="1" t="n">
        <f aca="false">IF(A320="","",IF(INT((C320+1)/12)+Inputs!$B$7&gt;MAX(MORTALITY!$A:$A),"",Inputs!$B$4))</f>
        <v>34</v>
      </c>
      <c r="B321" s="3" t="n">
        <f aca="false">IF(A321="","",EOMONTH(B320,1))</f>
        <v>31443</v>
      </c>
      <c r="C321" s="1" t="n">
        <f aca="false">IF(A321="","",C320+1)</f>
        <v>319</v>
      </c>
      <c r="D321" s="1" t="n">
        <f aca="false">IF(A321="","",INT(C321/12))</f>
        <v>26</v>
      </c>
      <c r="E321" s="1" t="n">
        <f aca="false">IF(A321="","",D321+Inputs!$B$7)</f>
        <v>42</v>
      </c>
      <c r="F321" s="3" t="n">
        <f aca="false">IF(A321="","",DATE(YEAR(B$2)+D321,MONTH(B$2),DAY(B$2)))</f>
        <v>31203</v>
      </c>
      <c r="G321" s="3" t="n">
        <f aca="false">IF(A321="","",DATE(YEAR(F321)+1,MONTH(F321),DAY(F321)))</f>
        <v>31568</v>
      </c>
      <c r="H321" s="10" t="n">
        <f aca="false">IF(A321="","",IF(G321&gt;F321,(B321-F321)/(G321-F321),0))</f>
        <v>0.657534246575342</v>
      </c>
      <c r="I321" s="10" t="n">
        <f aca="false">IF(A321="","",IFERROR(INDEX(CV_RATES!$I:$I,MATCH(D321,CV_RATES!$C:$C,0)),0))</f>
        <v>521.844217713775</v>
      </c>
      <c r="J321" s="10" t="n">
        <f aca="false">IF(A321="","",IFERROR(IF(E321=MAX(MORTALITY!$A:$A),1000,INDEX(CV_RATES!$J:$J,MATCH(D321,CV_RATES!$C:$C,0))),0))</f>
        <v>531.597453252987</v>
      </c>
      <c r="K321" s="10" t="n">
        <f aca="false">IF(A321="","",IFERROR(I321+H321*(J321-I321),0))</f>
        <v>528.257304095723</v>
      </c>
      <c r="L321" s="10" t="n">
        <f aca="false">IF(A321="","",IFERROR(K321*Inputs!$B$9,0))</f>
        <v>26412.8652047861</v>
      </c>
      <c r="M321" s="10" t="n">
        <f aca="false">IF(A321="","",IFERROR(K321*Inputs!$B$10,0))</f>
        <v>84519.5838834034</v>
      </c>
      <c r="N321" s="10" t="n">
        <f aca="false">IF(A321="","",Z320)</f>
        <v>0</v>
      </c>
      <c r="O321" s="6" t="n">
        <f aca="false">IF(A321="","",Inputs!$B$18+N321)</f>
        <v>50000</v>
      </c>
      <c r="P321" s="5" t="n">
        <f aca="false">IF(A321="","",VLOOKUP(D321,DIvidend_Assumption!$A$3:$CX$103,($E$2+2),0)/12)</f>
        <v>0</v>
      </c>
      <c r="Q321" s="10" t="n">
        <f aca="false">IF(A321="","",IFERROR(AB320*P321,""))</f>
        <v>0</v>
      </c>
      <c r="R321" s="10" t="n">
        <f aca="false">IF(A321="","",IFERROR(IF(Inputs!$B$22="Accumulate",T321+Q321,IF(Inputs!$B$22="Premium Offset",MAX(0,T321+Q321-Inputs!$B$25),T321)),""))</f>
        <v>0</v>
      </c>
      <c r="S321" s="10" t="n">
        <f aca="false">IF(A321="","",R320)</f>
        <v>0</v>
      </c>
      <c r="T321" s="10" t="n">
        <f aca="false">IF(A321="","",IFERROR(S321*(1+Inputs!$B$23/12),""))</f>
        <v>0</v>
      </c>
      <c r="U321" s="6" t="n">
        <f aca="false">IF(A321="","",IF(D321&lt;=Inputs!$B$8,IF(Inputs!$B$22="Premium Offset",MAX(0,Inputs!$B$25-(Q321+T321)),Inputs!$B$25),0))</f>
        <v>77</v>
      </c>
      <c r="V321" s="10" t="n">
        <f aca="false">IF(A321="","",IF(Inputs!$B$22="Cash",Q321,0))</f>
        <v>0</v>
      </c>
      <c r="W321" s="10" t="n">
        <f aca="false">IF(A321="","",IF(Inputs!$B$22="PUA",Q321,0))</f>
        <v>0</v>
      </c>
      <c r="X321" s="12" t="n">
        <f aca="false">IF(A321="","",IFERROR(INDEX(PUA_TABLE!$D$4:$D$105,MATCH(E321,PUA_TABLE!$C$4:$C$105,1)),0))</f>
        <v>0.521844217713775</v>
      </c>
      <c r="Y321" s="10" t="n">
        <f aca="false">IF(A321="","",IF(W321&gt;0,IF(X321&gt;0,W321/X321,0),0))</f>
        <v>0</v>
      </c>
      <c r="Z321" s="10" t="n">
        <f aca="false">IF(A321="","",N321+Y321)</f>
        <v>0</v>
      </c>
      <c r="AA321" s="10" t="n">
        <f aca="false">IF(A321="","",IFERROR(Z321*INDEX(PUA_TABLE!$I$4:$I$105,MATCH(E321,PUA_TABLE!$C$4:$C$105,1))/1000,0))</f>
        <v>0</v>
      </c>
      <c r="AB321" s="10" t="n">
        <f aca="false">IF(A321="","",IFERROR(L321+AA321,0))</f>
        <v>26412.8652047861</v>
      </c>
      <c r="AC321" s="10" t="n">
        <f aca="false">IF(A321="","",IF(Inputs!$B$22="Premium Offset",MIN(Inputs!$B$25,Q321+T321),0))</f>
        <v>0</v>
      </c>
    </row>
    <row r="322" customFormat="false" ht="15" hidden="false" customHeight="false" outlineLevel="0" collapsed="false">
      <c r="A322" s="1" t="n">
        <f aca="false">IF(A321="","",IF(INT((C321+1)/12)+Inputs!$B$7&gt;MAX(MORTALITY!$A:$A),"",Inputs!$B$4))</f>
        <v>34</v>
      </c>
      <c r="B322" s="3" t="n">
        <f aca="false">IF(A322="","",EOMONTH(B321,1))</f>
        <v>31471</v>
      </c>
      <c r="C322" s="1" t="n">
        <f aca="false">IF(A322="","",C321+1)</f>
        <v>320</v>
      </c>
      <c r="D322" s="1" t="n">
        <f aca="false">IF(A322="","",INT(C322/12))</f>
        <v>26</v>
      </c>
      <c r="E322" s="1" t="n">
        <f aca="false">IF(A322="","",D322+Inputs!$B$7)</f>
        <v>42</v>
      </c>
      <c r="F322" s="3" t="n">
        <f aca="false">IF(A322="","",DATE(YEAR(B$2)+D322,MONTH(B$2),DAY(B$2)))</f>
        <v>31203</v>
      </c>
      <c r="G322" s="3" t="n">
        <f aca="false">IF(A322="","",DATE(YEAR(F322)+1,MONTH(F322),DAY(F322)))</f>
        <v>31568</v>
      </c>
      <c r="H322" s="10" t="n">
        <f aca="false">IF(A322="","",IF(G322&gt;F322,(B322-F322)/(G322-F322),0))</f>
        <v>0.734246575342466</v>
      </c>
      <c r="I322" s="10" t="n">
        <f aca="false">IF(A322="","",IFERROR(INDEX(CV_RATES!$I:$I,MATCH(D322,CV_RATES!$C:$C,0)),0))</f>
        <v>521.844217713775</v>
      </c>
      <c r="J322" s="10" t="n">
        <f aca="false">IF(A322="","",IFERROR(IF(E322=MAX(MORTALITY!$A:$A),1000,INDEX(CV_RATES!$J:$J,MATCH(D322,CV_RATES!$C:$C,0))),0))</f>
        <v>531.597453252987</v>
      </c>
      <c r="K322" s="10" t="n">
        <f aca="false">IF(A322="","",IFERROR(I322+H322*(J322-I322),0))</f>
        <v>529.00549750695</v>
      </c>
      <c r="L322" s="10" t="n">
        <f aca="false">IF(A322="","",IFERROR(K322*Inputs!$B$9,0))</f>
        <v>26450.2748753475</v>
      </c>
      <c r="M322" s="10" t="n">
        <f aca="false">IF(A322="","",IFERROR(K322*Inputs!$B$10,0))</f>
        <v>84639.2925846195</v>
      </c>
      <c r="N322" s="10" t="n">
        <f aca="false">IF(A322="","",Z321)</f>
        <v>0</v>
      </c>
      <c r="O322" s="6" t="n">
        <f aca="false">IF(A322="","",Inputs!$B$18+N322)</f>
        <v>50000</v>
      </c>
      <c r="P322" s="5" t="n">
        <f aca="false">IF(A322="","",VLOOKUP(D322,DIvidend_Assumption!$A$3:$CX$103,($E$2+2),0)/12)</f>
        <v>0</v>
      </c>
      <c r="Q322" s="10" t="n">
        <f aca="false">IF(A322="","",IFERROR(AB321*P322,""))</f>
        <v>0</v>
      </c>
      <c r="R322" s="10" t="n">
        <f aca="false">IF(A322="","",IFERROR(IF(Inputs!$B$22="Accumulate",T322+Q322,IF(Inputs!$B$22="Premium Offset",MAX(0,T322+Q322-Inputs!$B$25),T322)),""))</f>
        <v>0</v>
      </c>
      <c r="S322" s="10" t="n">
        <f aca="false">IF(A322="","",R321)</f>
        <v>0</v>
      </c>
      <c r="T322" s="10" t="n">
        <f aca="false">IF(A322="","",IFERROR(S322*(1+Inputs!$B$23/12),""))</f>
        <v>0</v>
      </c>
      <c r="U322" s="6" t="n">
        <f aca="false">IF(A322="","",IF(D322&lt;=Inputs!$B$8,IF(Inputs!$B$22="Premium Offset",MAX(0,Inputs!$B$25-(Q322+T322)),Inputs!$B$25),0))</f>
        <v>77</v>
      </c>
      <c r="V322" s="10" t="n">
        <f aca="false">IF(A322="","",IF(Inputs!$B$22="Cash",Q322,0))</f>
        <v>0</v>
      </c>
      <c r="W322" s="10" t="n">
        <f aca="false">IF(A322="","",IF(Inputs!$B$22="PUA",Q322,0))</f>
        <v>0</v>
      </c>
      <c r="X322" s="12" t="n">
        <f aca="false">IF(A322="","",IFERROR(INDEX(PUA_TABLE!$D$4:$D$105,MATCH(E322,PUA_TABLE!$C$4:$C$105,1)),0))</f>
        <v>0.521844217713775</v>
      </c>
      <c r="Y322" s="10" t="n">
        <f aca="false">IF(A322="","",IF(W322&gt;0,IF(X322&gt;0,W322/X322,0),0))</f>
        <v>0</v>
      </c>
      <c r="Z322" s="10" t="n">
        <f aca="false">IF(A322="","",N322+Y322)</f>
        <v>0</v>
      </c>
      <c r="AA322" s="10" t="n">
        <f aca="false">IF(A322="","",IFERROR(Z322*INDEX(PUA_TABLE!$I$4:$I$105,MATCH(E322,PUA_TABLE!$C$4:$C$105,1))/1000,0))</f>
        <v>0</v>
      </c>
      <c r="AB322" s="10" t="n">
        <f aca="false">IF(A322="","",IFERROR(L322+AA322,0))</f>
        <v>26450.2748753475</v>
      </c>
      <c r="AC322" s="10" t="n">
        <f aca="false">IF(A322="","",IF(Inputs!$B$22="Premium Offset",MIN(Inputs!$B$25,Q322+T322),0))</f>
        <v>0</v>
      </c>
    </row>
    <row r="323" customFormat="false" ht="15" hidden="false" customHeight="false" outlineLevel="0" collapsed="false">
      <c r="A323" s="1" t="n">
        <f aca="false">IF(A322="","",IF(INT((C322+1)/12)+Inputs!$B$7&gt;MAX(MORTALITY!$A:$A),"",Inputs!$B$4))</f>
        <v>34</v>
      </c>
      <c r="B323" s="3" t="n">
        <f aca="false">IF(A323="","",EOMONTH(B322,1))</f>
        <v>31502</v>
      </c>
      <c r="C323" s="1" t="n">
        <f aca="false">IF(A323="","",C322+1)</f>
        <v>321</v>
      </c>
      <c r="D323" s="1" t="n">
        <f aca="false">IF(A323="","",INT(C323/12))</f>
        <v>26</v>
      </c>
      <c r="E323" s="1" t="n">
        <f aca="false">IF(A323="","",D323+Inputs!$B$7)</f>
        <v>42</v>
      </c>
      <c r="F323" s="3" t="n">
        <f aca="false">IF(A323="","",DATE(YEAR(B$2)+D323,MONTH(B$2),DAY(B$2)))</f>
        <v>31203</v>
      </c>
      <c r="G323" s="3" t="n">
        <f aca="false">IF(A323="","",DATE(YEAR(F323)+1,MONTH(F323),DAY(F323)))</f>
        <v>31568</v>
      </c>
      <c r="H323" s="10" t="n">
        <f aca="false">IF(A323="","",IF(G323&gt;F323,(B323-F323)/(G323-F323),0))</f>
        <v>0.819178082191781</v>
      </c>
      <c r="I323" s="10" t="n">
        <f aca="false">IF(A323="","",IFERROR(INDEX(CV_RATES!$I:$I,MATCH(D323,CV_RATES!$C:$C,0)),0))</f>
        <v>521.844217713775</v>
      </c>
      <c r="J323" s="10" t="n">
        <f aca="false">IF(A323="","",IFERROR(IF(E323=MAX(MORTALITY!$A:$A),1000,INDEX(CV_RATES!$J:$J,MATCH(D323,CV_RATES!$C:$C,0))),0))</f>
        <v>531.597453252987</v>
      </c>
      <c r="K323" s="10" t="n">
        <f aca="false">IF(A323="","",IFERROR(I323+H323*(J323-I323),0))</f>
        <v>529.833854497952</v>
      </c>
      <c r="L323" s="10" t="n">
        <f aca="false">IF(A323="","",IFERROR(K323*Inputs!$B$9,0))</f>
        <v>26491.6927248976</v>
      </c>
      <c r="M323" s="10" t="n">
        <f aca="false">IF(A323="","",IFERROR(K323*Inputs!$B$10,0))</f>
        <v>84771.8272181088</v>
      </c>
      <c r="N323" s="10" t="n">
        <f aca="false">IF(A323="","",Z322)</f>
        <v>0</v>
      </c>
      <c r="O323" s="6" t="n">
        <f aca="false">IF(A323="","",Inputs!$B$18+N323)</f>
        <v>50000</v>
      </c>
      <c r="P323" s="5" t="n">
        <f aca="false">IF(A323="","",VLOOKUP(D323,DIvidend_Assumption!$A$3:$CX$103,($E$2+2),0)/12)</f>
        <v>0</v>
      </c>
      <c r="Q323" s="10" t="n">
        <f aca="false">IF(A323="","",IFERROR(AB322*P323,""))</f>
        <v>0</v>
      </c>
      <c r="R323" s="10" t="n">
        <f aca="false">IF(A323="","",IFERROR(IF(Inputs!$B$22="Accumulate",T323+Q323,IF(Inputs!$B$22="Premium Offset",MAX(0,T323+Q323-Inputs!$B$25),T323)),""))</f>
        <v>0</v>
      </c>
      <c r="S323" s="10" t="n">
        <f aca="false">IF(A323="","",R322)</f>
        <v>0</v>
      </c>
      <c r="T323" s="10" t="n">
        <f aca="false">IF(A323="","",IFERROR(S323*(1+Inputs!$B$23/12),""))</f>
        <v>0</v>
      </c>
      <c r="U323" s="6" t="n">
        <f aca="false">IF(A323="","",IF(D323&lt;=Inputs!$B$8,IF(Inputs!$B$22="Premium Offset",MAX(0,Inputs!$B$25-(Q323+T323)),Inputs!$B$25),0))</f>
        <v>77</v>
      </c>
      <c r="V323" s="10" t="n">
        <f aca="false">IF(A323="","",IF(Inputs!$B$22="Cash",Q323,0))</f>
        <v>0</v>
      </c>
      <c r="W323" s="10" t="n">
        <f aca="false">IF(A323="","",IF(Inputs!$B$22="PUA",Q323,0))</f>
        <v>0</v>
      </c>
      <c r="X323" s="12" t="n">
        <f aca="false">IF(A323="","",IFERROR(INDEX(PUA_TABLE!$D$4:$D$105,MATCH(E323,PUA_TABLE!$C$4:$C$105,1)),0))</f>
        <v>0.521844217713775</v>
      </c>
      <c r="Y323" s="10" t="n">
        <f aca="false">IF(A323="","",IF(W323&gt;0,IF(X323&gt;0,W323/X323,0),0))</f>
        <v>0</v>
      </c>
      <c r="Z323" s="10" t="n">
        <f aca="false">IF(A323="","",N323+Y323)</f>
        <v>0</v>
      </c>
      <c r="AA323" s="10" t="n">
        <f aca="false">IF(A323="","",IFERROR(Z323*INDEX(PUA_TABLE!$I$4:$I$105,MATCH(E323,PUA_TABLE!$C$4:$C$105,1))/1000,0))</f>
        <v>0</v>
      </c>
      <c r="AB323" s="10" t="n">
        <f aca="false">IF(A323="","",IFERROR(L323+AA323,0))</f>
        <v>26491.6927248976</v>
      </c>
      <c r="AC323" s="10" t="n">
        <f aca="false">IF(A323="","",IF(Inputs!$B$22="Premium Offset",MIN(Inputs!$B$25,Q323+T323),0))</f>
        <v>0</v>
      </c>
    </row>
    <row r="324" customFormat="false" ht="15" hidden="false" customHeight="false" outlineLevel="0" collapsed="false">
      <c r="A324" s="1" t="n">
        <f aca="false">IF(A323="","",IF(INT((C323+1)/12)+Inputs!$B$7&gt;MAX(MORTALITY!$A:$A),"",Inputs!$B$4))</f>
        <v>34</v>
      </c>
      <c r="B324" s="3" t="n">
        <f aca="false">IF(A324="","",EOMONTH(B323,1))</f>
        <v>31532</v>
      </c>
      <c r="C324" s="1" t="n">
        <f aca="false">IF(A324="","",C323+1)</f>
        <v>322</v>
      </c>
      <c r="D324" s="1" t="n">
        <f aca="false">IF(A324="","",INT(C324/12))</f>
        <v>26</v>
      </c>
      <c r="E324" s="1" t="n">
        <f aca="false">IF(A324="","",D324+Inputs!$B$7)</f>
        <v>42</v>
      </c>
      <c r="F324" s="3" t="n">
        <f aca="false">IF(A324="","",DATE(YEAR(B$2)+D324,MONTH(B$2),DAY(B$2)))</f>
        <v>31203</v>
      </c>
      <c r="G324" s="3" t="n">
        <f aca="false">IF(A324="","",DATE(YEAR(F324)+1,MONTH(F324),DAY(F324)))</f>
        <v>31568</v>
      </c>
      <c r="H324" s="10" t="n">
        <f aca="false">IF(A324="","",IF(G324&gt;F324,(B324-F324)/(G324-F324),0))</f>
        <v>0.901369863013699</v>
      </c>
      <c r="I324" s="10" t="n">
        <f aca="false">IF(A324="","",IFERROR(INDEX(CV_RATES!$I:$I,MATCH(D324,CV_RATES!$C:$C,0)),0))</f>
        <v>521.844217713775</v>
      </c>
      <c r="J324" s="10" t="n">
        <f aca="false">IF(A324="","",IFERROR(IF(E324=MAX(MORTALITY!$A:$A),1000,INDEX(CV_RATES!$J:$J,MATCH(D324,CV_RATES!$C:$C,0))),0))</f>
        <v>531.597453252987</v>
      </c>
      <c r="K324" s="10" t="n">
        <f aca="false">IF(A324="","",IFERROR(I324+H324*(J324-I324),0))</f>
        <v>530.635490295695</v>
      </c>
      <c r="L324" s="10" t="n">
        <f aca="false">IF(A324="","",IFERROR(K324*Inputs!$B$9,0))</f>
        <v>26531.7745147848</v>
      </c>
      <c r="M324" s="10" t="n">
        <f aca="false">IF(A324="","",IFERROR(K324*Inputs!$B$10,0))</f>
        <v>84900.0865408403</v>
      </c>
      <c r="N324" s="10" t="n">
        <f aca="false">IF(A324="","",Z323)</f>
        <v>0</v>
      </c>
      <c r="O324" s="6" t="n">
        <f aca="false">IF(A324="","",Inputs!$B$18+N324)</f>
        <v>50000</v>
      </c>
      <c r="P324" s="5" t="n">
        <f aca="false">IF(A324="","",VLOOKUP(D324,DIvidend_Assumption!$A$3:$CX$103,($E$2+2),0)/12)</f>
        <v>0</v>
      </c>
      <c r="Q324" s="10" t="n">
        <f aca="false">IF(A324="","",IFERROR(AB323*P324,""))</f>
        <v>0</v>
      </c>
      <c r="R324" s="10" t="n">
        <f aca="false">IF(A324="","",IFERROR(IF(Inputs!$B$22="Accumulate",T324+Q324,IF(Inputs!$B$22="Premium Offset",MAX(0,T324+Q324-Inputs!$B$25),T324)),""))</f>
        <v>0</v>
      </c>
      <c r="S324" s="10" t="n">
        <f aca="false">IF(A324="","",R323)</f>
        <v>0</v>
      </c>
      <c r="T324" s="10" t="n">
        <f aca="false">IF(A324="","",IFERROR(S324*(1+Inputs!$B$23/12),""))</f>
        <v>0</v>
      </c>
      <c r="U324" s="6" t="n">
        <f aca="false">IF(A324="","",IF(D324&lt;=Inputs!$B$8,IF(Inputs!$B$22="Premium Offset",MAX(0,Inputs!$B$25-(Q324+T324)),Inputs!$B$25),0))</f>
        <v>77</v>
      </c>
      <c r="V324" s="10" t="n">
        <f aca="false">IF(A324="","",IF(Inputs!$B$22="Cash",Q324,0))</f>
        <v>0</v>
      </c>
      <c r="W324" s="10" t="n">
        <f aca="false">IF(A324="","",IF(Inputs!$B$22="PUA",Q324,0))</f>
        <v>0</v>
      </c>
      <c r="X324" s="12" t="n">
        <f aca="false">IF(A324="","",IFERROR(INDEX(PUA_TABLE!$D$4:$D$105,MATCH(E324,PUA_TABLE!$C$4:$C$105,1)),0))</f>
        <v>0.521844217713775</v>
      </c>
      <c r="Y324" s="10" t="n">
        <f aca="false">IF(A324="","",IF(W324&gt;0,IF(X324&gt;0,W324/X324,0),0))</f>
        <v>0</v>
      </c>
      <c r="Z324" s="10" t="n">
        <f aca="false">IF(A324="","",N324+Y324)</f>
        <v>0</v>
      </c>
      <c r="AA324" s="10" t="n">
        <f aca="false">IF(A324="","",IFERROR(Z324*INDEX(PUA_TABLE!$I$4:$I$105,MATCH(E324,PUA_TABLE!$C$4:$C$105,1))/1000,0))</f>
        <v>0</v>
      </c>
      <c r="AB324" s="10" t="n">
        <f aca="false">IF(A324="","",IFERROR(L324+AA324,0))</f>
        <v>26531.7745147848</v>
      </c>
      <c r="AC324" s="10" t="n">
        <f aca="false">IF(A324="","",IF(Inputs!$B$22="Premium Offset",MIN(Inputs!$B$25,Q324+T324),0))</f>
        <v>0</v>
      </c>
    </row>
    <row r="325" customFormat="false" ht="15" hidden="false" customHeight="false" outlineLevel="0" collapsed="false">
      <c r="A325" s="1" t="n">
        <f aca="false">IF(A324="","",IF(INT((C324+1)/12)+Inputs!$B$7&gt;MAX(MORTALITY!$A:$A),"",Inputs!$B$4))</f>
        <v>34</v>
      </c>
      <c r="B325" s="3" t="n">
        <f aca="false">IF(A325="","",EOMONTH(B324,1))</f>
        <v>31563</v>
      </c>
      <c r="C325" s="1" t="n">
        <f aca="false">IF(A325="","",C324+1)</f>
        <v>323</v>
      </c>
      <c r="D325" s="1" t="n">
        <f aca="false">IF(A325="","",INT(C325/12))</f>
        <v>26</v>
      </c>
      <c r="E325" s="1" t="n">
        <f aca="false">IF(A325="","",D325+Inputs!$B$7)</f>
        <v>42</v>
      </c>
      <c r="F325" s="3" t="n">
        <f aca="false">IF(A325="","",DATE(YEAR(B$2)+D325,MONTH(B$2),DAY(B$2)))</f>
        <v>31203</v>
      </c>
      <c r="G325" s="3" t="n">
        <f aca="false">IF(A325="","",DATE(YEAR(F325)+1,MONTH(F325),DAY(F325)))</f>
        <v>31568</v>
      </c>
      <c r="H325" s="10" t="n">
        <f aca="false">IF(A325="","",IF(G325&gt;F325,(B325-F325)/(G325-F325),0))</f>
        <v>0.986301369863014</v>
      </c>
      <c r="I325" s="10" t="n">
        <f aca="false">IF(A325="","",IFERROR(INDEX(CV_RATES!$I:$I,MATCH(D325,CV_RATES!$C:$C,0)),0))</f>
        <v>521.844217713775</v>
      </c>
      <c r="J325" s="10" t="n">
        <f aca="false">IF(A325="","",IFERROR(IF(E325=MAX(MORTALITY!$A:$A),1000,INDEX(CV_RATES!$J:$J,MATCH(D325,CV_RATES!$C:$C,0))),0))</f>
        <v>531.597453252987</v>
      </c>
      <c r="K325" s="10" t="n">
        <f aca="false">IF(A325="","",IFERROR(I325+H325*(J325-I325),0))</f>
        <v>531.463847286697</v>
      </c>
      <c r="L325" s="10" t="n">
        <f aca="false">IF(A325="","",IFERROR(K325*Inputs!$B$9,0))</f>
        <v>26573.1923643348</v>
      </c>
      <c r="M325" s="10" t="n">
        <f aca="false">IF(A325="","",IFERROR(K325*Inputs!$B$10,0))</f>
        <v>85032.6211743296</v>
      </c>
      <c r="N325" s="10" t="n">
        <f aca="false">IF(A325="","",Z324)</f>
        <v>0</v>
      </c>
      <c r="O325" s="6" t="n">
        <f aca="false">IF(A325="","",Inputs!$B$18+N325)</f>
        <v>50000</v>
      </c>
      <c r="P325" s="5" t="n">
        <f aca="false">IF(A325="","",VLOOKUP(D325,DIvidend_Assumption!$A$3:$CX$103,($E$2+2),0)/12)</f>
        <v>0</v>
      </c>
      <c r="Q325" s="10" t="n">
        <f aca="false">IF(A325="","",IFERROR(AB324*P325,""))</f>
        <v>0</v>
      </c>
      <c r="R325" s="10" t="n">
        <f aca="false">IF(A325="","",IFERROR(IF(Inputs!$B$22="Accumulate",T325+Q325,IF(Inputs!$B$22="Premium Offset",MAX(0,T325+Q325-Inputs!$B$25),T325)),""))</f>
        <v>0</v>
      </c>
      <c r="S325" s="10" t="n">
        <f aca="false">IF(A325="","",R324)</f>
        <v>0</v>
      </c>
      <c r="T325" s="10" t="n">
        <f aca="false">IF(A325="","",IFERROR(S325*(1+Inputs!$B$23/12),""))</f>
        <v>0</v>
      </c>
      <c r="U325" s="6" t="n">
        <f aca="false">IF(A325="","",IF(D325&lt;=Inputs!$B$8,IF(Inputs!$B$22="Premium Offset",MAX(0,Inputs!$B$25-(Q325+T325)),Inputs!$B$25),0))</f>
        <v>77</v>
      </c>
      <c r="V325" s="10" t="n">
        <f aca="false">IF(A325="","",IF(Inputs!$B$22="Cash",Q325,0))</f>
        <v>0</v>
      </c>
      <c r="W325" s="10" t="n">
        <f aca="false">IF(A325="","",IF(Inputs!$B$22="PUA",Q325,0))</f>
        <v>0</v>
      </c>
      <c r="X325" s="12" t="n">
        <f aca="false">IF(A325="","",IFERROR(INDEX(PUA_TABLE!$D$4:$D$105,MATCH(E325,PUA_TABLE!$C$4:$C$105,1)),0))</f>
        <v>0.521844217713775</v>
      </c>
      <c r="Y325" s="10" t="n">
        <f aca="false">IF(A325="","",IF(W325&gt;0,IF(X325&gt;0,W325/X325,0),0))</f>
        <v>0</v>
      </c>
      <c r="Z325" s="10" t="n">
        <f aca="false">IF(A325="","",N325+Y325)</f>
        <v>0</v>
      </c>
      <c r="AA325" s="10" t="n">
        <f aca="false">IF(A325="","",IFERROR(Z325*INDEX(PUA_TABLE!$I$4:$I$105,MATCH(E325,PUA_TABLE!$C$4:$C$105,1))/1000,0))</f>
        <v>0</v>
      </c>
      <c r="AB325" s="10" t="n">
        <f aca="false">IF(A325="","",IFERROR(L325+AA325,0))</f>
        <v>26573.1923643348</v>
      </c>
      <c r="AC325" s="10" t="n">
        <f aca="false">IF(A325="","",IF(Inputs!$B$22="Premium Offset",MIN(Inputs!$B$25,Q325+T325),0))</f>
        <v>0</v>
      </c>
    </row>
    <row r="326" customFormat="false" ht="15" hidden="false" customHeight="false" outlineLevel="0" collapsed="false">
      <c r="A326" s="1" t="n">
        <f aca="false">IF(A325="","",IF(INT((C325+1)/12)+Inputs!$B$7&gt;MAX(MORTALITY!$A:$A),"",Inputs!$B$4))</f>
        <v>34</v>
      </c>
      <c r="B326" s="3" t="n">
        <f aca="false">IF(A326="","",EOMONTH(B325,1))</f>
        <v>31593</v>
      </c>
      <c r="C326" s="1" t="n">
        <f aca="false">IF(A326="","",C325+1)</f>
        <v>324</v>
      </c>
      <c r="D326" s="1" t="n">
        <f aca="false">IF(A326="","",INT(C326/12))</f>
        <v>27</v>
      </c>
      <c r="E326" s="1" t="n">
        <f aca="false">IF(A326="","",D326+Inputs!$B$7)</f>
        <v>43</v>
      </c>
      <c r="F326" s="3" t="n">
        <f aca="false">IF(A326="","",DATE(YEAR(B$2)+D326,MONTH(B$2),DAY(B$2)))</f>
        <v>31568</v>
      </c>
      <c r="G326" s="3" t="n">
        <f aca="false">IF(A326="","",DATE(YEAR(F326)+1,MONTH(F326),DAY(F326)))</f>
        <v>31933</v>
      </c>
      <c r="H326" s="10" t="n">
        <f aca="false">IF(A326="","",IF(G326&gt;F326,(B326-F326)/(G326-F326),0))</f>
        <v>0.0684931506849315</v>
      </c>
      <c r="I326" s="10" t="n">
        <f aca="false">IF(A326="","",IFERROR(INDEX(CV_RATES!$I:$I,MATCH(D326,CV_RATES!$C:$C,0)),0))</f>
        <v>531.597453252987</v>
      </c>
      <c r="J326" s="10" t="n">
        <f aca="false">IF(A326="","",IFERROR(IF(E326=MAX(MORTALITY!$A:$A),1000,INDEX(CV_RATES!$J:$J,MATCH(D326,CV_RATES!$C:$C,0))),0))</f>
        <v>541.443631255037</v>
      </c>
      <c r="K326" s="10" t="n">
        <f aca="false">IF(A326="","",IFERROR(I326+H326*(J326-I326),0))</f>
        <v>532.271849006552</v>
      </c>
      <c r="L326" s="10" t="n">
        <f aca="false">IF(A326="","",IFERROR(K326*Inputs!$B$9,0))</f>
        <v>26613.5924503276</v>
      </c>
      <c r="M326" s="10" t="n">
        <f aca="false">IF(A326="","",IFERROR(K326*Inputs!$B$10,0))</f>
        <v>85161.8990255014</v>
      </c>
      <c r="N326" s="10" t="n">
        <f aca="false">IF(A326="","",Z325)</f>
        <v>0</v>
      </c>
      <c r="O326" s="6" t="n">
        <f aca="false">IF(A326="","",Inputs!$B$18+N326)</f>
        <v>50000</v>
      </c>
      <c r="P326" s="5" t="n">
        <f aca="false">IF(A326="","",VLOOKUP(D326,DIvidend_Assumption!$A$3:$CX$103,($E$2+2),0)/12)</f>
        <v>0</v>
      </c>
      <c r="Q326" s="10" t="n">
        <f aca="false">IF(A326="","",IFERROR(AB325*P326,""))</f>
        <v>0</v>
      </c>
      <c r="R326" s="10" t="n">
        <f aca="false">IF(A326="","",IFERROR(IF(Inputs!$B$22="Accumulate",T326+Q326,IF(Inputs!$B$22="Premium Offset",MAX(0,T326+Q326-Inputs!$B$25),T326)),""))</f>
        <v>0</v>
      </c>
      <c r="S326" s="10" t="n">
        <f aca="false">IF(A326="","",R325)</f>
        <v>0</v>
      </c>
      <c r="T326" s="10" t="n">
        <f aca="false">IF(A326="","",IFERROR(S326*(1+Inputs!$B$23/12),""))</f>
        <v>0</v>
      </c>
      <c r="U326" s="6" t="n">
        <f aca="false">IF(A326="","",IF(D326&lt;=Inputs!$B$8,IF(Inputs!$B$22="Premium Offset",MAX(0,Inputs!$B$25-(Q326+T326)),Inputs!$B$25),0))</f>
        <v>77</v>
      </c>
      <c r="V326" s="10" t="n">
        <f aca="false">IF(A326="","",IF(Inputs!$B$22="Cash",Q326,0))</f>
        <v>0</v>
      </c>
      <c r="W326" s="10" t="n">
        <f aca="false">IF(A326="","",IF(Inputs!$B$22="PUA",Q326,0))</f>
        <v>0</v>
      </c>
      <c r="X326" s="12" t="n">
        <f aca="false">IF(A326="","",IFERROR(INDEX(PUA_TABLE!$D$4:$D$105,MATCH(E326,PUA_TABLE!$C$4:$C$105,1)),0))</f>
        <v>0.531597453252987</v>
      </c>
      <c r="Y326" s="10" t="n">
        <f aca="false">IF(A326="","",IF(W326&gt;0,IF(X326&gt;0,W326/X326,0),0))</f>
        <v>0</v>
      </c>
      <c r="Z326" s="10" t="n">
        <f aca="false">IF(A326="","",N326+Y326)</f>
        <v>0</v>
      </c>
      <c r="AA326" s="10" t="n">
        <f aca="false">IF(A326="","",IFERROR(Z326*INDEX(PUA_TABLE!$I$4:$I$105,MATCH(E326,PUA_TABLE!$C$4:$C$105,1))/1000,0))</f>
        <v>0</v>
      </c>
      <c r="AB326" s="10" t="n">
        <f aca="false">IF(A326="","",IFERROR(L326+AA326,0))</f>
        <v>26613.5924503276</v>
      </c>
      <c r="AC326" s="10" t="n">
        <f aca="false">IF(A326="","",IF(Inputs!$B$22="Premium Offset",MIN(Inputs!$B$25,Q326+T326),0))</f>
        <v>0</v>
      </c>
    </row>
    <row r="327" customFormat="false" ht="15" hidden="false" customHeight="false" outlineLevel="0" collapsed="false">
      <c r="A327" s="1" t="n">
        <f aca="false">IF(A326="","",IF(INT((C326+1)/12)+Inputs!$B$7&gt;MAX(MORTALITY!$A:$A),"",Inputs!$B$4))</f>
        <v>34</v>
      </c>
      <c r="B327" s="3" t="n">
        <f aca="false">IF(A327="","",EOMONTH(B326,1))</f>
        <v>31624</v>
      </c>
      <c r="C327" s="1" t="n">
        <f aca="false">IF(A327="","",C326+1)</f>
        <v>325</v>
      </c>
      <c r="D327" s="1" t="n">
        <f aca="false">IF(A327="","",INT(C327/12))</f>
        <v>27</v>
      </c>
      <c r="E327" s="1" t="n">
        <f aca="false">IF(A327="","",D327+Inputs!$B$7)</f>
        <v>43</v>
      </c>
      <c r="F327" s="3" t="n">
        <f aca="false">IF(A327="","",DATE(YEAR(B$2)+D327,MONTH(B$2),DAY(B$2)))</f>
        <v>31568</v>
      </c>
      <c r="G327" s="3" t="n">
        <f aca="false">IF(A327="","",DATE(YEAR(F327)+1,MONTH(F327),DAY(F327)))</f>
        <v>31933</v>
      </c>
      <c r="H327" s="10" t="n">
        <f aca="false">IF(A327="","",IF(G327&gt;F327,(B327-F327)/(G327-F327),0))</f>
        <v>0.153424657534247</v>
      </c>
      <c r="I327" s="10" t="n">
        <f aca="false">IF(A327="","",IFERROR(INDEX(CV_RATES!$I:$I,MATCH(D327,CV_RATES!$C:$C,0)),0))</f>
        <v>531.597453252987</v>
      </c>
      <c r="J327" s="10" t="n">
        <f aca="false">IF(A327="","",IFERROR(IF(E327=MAX(MORTALITY!$A:$A),1000,INDEX(CV_RATES!$J:$J,MATCH(D327,CV_RATES!$C:$C,0))),0))</f>
        <v>541.443631255037</v>
      </c>
      <c r="K327" s="10" t="n">
        <f aca="false">IF(A327="","",IFERROR(I327+H327*(J327-I327),0))</f>
        <v>533.108099740973</v>
      </c>
      <c r="L327" s="10" t="n">
        <f aca="false">IF(A327="","",IFERROR(K327*Inputs!$B$9,0))</f>
        <v>26655.4049870487</v>
      </c>
      <c r="M327" s="10" t="n">
        <f aca="false">IF(A327="","",IFERROR(K327*Inputs!$B$10,0))</f>
        <v>85295.6966342565</v>
      </c>
      <c r="N327" s="10" t="n">
        <f aca="false">IF(A327="","",Z326)</f>
        <v>0</v>
      </c>
      <c r="O327" s="6" t="n">
        <f aca="false">IF(A327="","",Inputs!$B$18+N327)</f>
        <v>50000</v>
      </c>
      <c r="P327" s="5" t="n">
        <f aca="false">IF(A327="","",VLOOKUP(D327,DIvidend_Assumption!$A$3:$CX$103,($E$2+2),0)/12)</f>
        <v>0</v>
      </c>
      <c r="Q327" s="10" t="n">
        <f aca="false">IF(A327="","",IFERROR(AB326*P327,""))</f>
        <v>0</v>
      </c>
      <c r="R327" s="10" t="n">
        <f aca="false">IF(A327="","",IFERROR(IF(Inputs!$B$22="Accumulate",T327+Q327,IF(Inputs!$B$22="Premium Offset",MAX(0,T327+Q327-Inputs!$B$25),T327)),""))</f>
        <v>0</v>
      </c>
      <c r="S327" s="10" t="n">
        <f aca="false">IF(A327="","",R326)</f>
        <v>0</v>
      </c>
      <c r="T327" s="10" t="n">
        <f aca="false">IF(A327="","",IFERROR(S327*(1+Inputs!$B$23/12),""))</f>
        <v>0</v>
      </c>
      <c r="U327" s="6" t="n">
        <f aca="false">IF(A327="","",IF(D327&lt;=Inputs!$B$8,IF(Inputs!$B$22="Premium Offset",MAX(0,Inputs!$B$25-(Q327+T327)),Inputs!$B$25),0))</f>
        <v>77</v>
      </c>
      <c r="V327" s="10" t="n">
        <f aca="false">IF(A327="","",IF(Inputs!$B$22="Cash",Q327,0))</f>
        <v>0</v>
      </c>
      <c r="W327" s="10" t="n">
        <f aca="false">IF(A327="","",IF(Inputs!$B$22="PUA",Q327,0))</f>
        <v>0</v>
      </c>
      <c r="X327" s="12" t="n">
        <f aca="false">IF(A327="","",IFERROR(INDEX(PUA_TABLE!$D$4:$D$105,MATCH(E327,PUA_TABLE!$C$4:$C$105,1)),0))</f>
        <v>0.531597453252987</v>
      </c>
      <c r="Y327" s="10" t="n">
        <f aca="false">IF(A327="","",IF(W327&gt;0,IF(X327&gt;0,W327/X327,0),0))</f>
        <v>0</v>
      </c>
      <c r="Z327" s="10" t="n">
        <f aca="false">IF(A327="","",N327+Y327)</f>
        <v>0</v>
      </c>
      <c r="AA327" s="10" t="n">
        <f aca="false">IF(A327="","",IFERROR(Z327*INDEX(PUA_TABLE!$I$4:$I$105,MATCH(E327,PUA_TABLE!$C$4:$C$105,1))/1000,0))</f>
        <v>0</v>
      </c>
      <c r="AB327" s="10" t="n">
        <f aca="false">IF(A327="","",IFERROR(L327+AA327,0))</f>
        <v>26655.4049870487</v>
      </c>
      <c r="AC327" s="10" t="n">
        <f aca="false">IF(A327="","",IF(Inputs!$B$22="Premium Offset",MIN(Inputs!$B$25,Q327+T327),0))</f>
        <v>0</v>
      </c>
    </row>
    <row r="328" customFormat="false" ht="15" hidden="false" customHeight="false" outlineLevel="0" collapsed="false">
      <c r="A328" s="1" t="n">
        <f aca="false">IF(A327="","",IF(INT((C327+1)/12)+Inputs!$B$7&gt;MAX(MORTALITY!$A:$A),"",Inputs!$B$4))</f>
        <v>34</v>
      </c>
      <c r="B328" s="3" t="n">
        <f aca="false">IF(A328="","",EOMONTH(B327,1))</f>
        <v>31655</v>
      </c>
      <c r="C328" s="1" t="n">
        <f aca="false">IF(A328="","",C327+1)</f>
        <v>326</v>
      </c>
      <c r="D328" s="1" t="n">
        <f aca="false">IF(A328="","",INT(C328/12))</f>
        <v>27</v>
      </c>
      <c r="E328" s="1" t="n">
        <f aca="false">IF(A328="","",D328+Inputs!$B$7)</f>
        <v>43</v>
      </c>
      <c r="F328" s="3" t="n">
        <f aca="false">IF(A328="","",DATE(YEAR(B$2)+D328,MONTH(B$2),DAY(B$2)))</f>
        <v>31568</v>
      </c>
      <c r="G328" s="3" t="n">
        <f aca="false">IF(A328="","",DATE(YEAR(F328)+1,MONTH(F328),DAY(F328)))</f>
        <v>31933</v>
      </c>
      <c r="H328" s="10" t="n">
        <f aca="false">IF(A328="","",IF(G328&gt;F328,(B328-F328)/(G328-F328),0))</f>
        <v>0.238356164383562</v>
      </c>
      <c r="I328" s="10" t="n">
        <f aca="false">IF(A328="","",IFERROR(INDEX(CV_RATES!$I:$I,MATCH(D328,CV_RATES!$C:$C,0)),0))</f>
        <v>531.597453252987</v>
      </c>
      <c r="J328" s="10" t="n">
        <f aca="false">IF(A328="","",IFERROR(IF(E328=MAX(MORTALITY!$A:$A),1000,INDEX(CV_RATES!$J:$J,MATCH(D328,CV_RATES!$C:$C,0))),0))</f>
        <v>541.443631255037</v>
      </c>
      <c r="K328" s="10" t="n">
        <f aca="false">IF(A328="","",IFERROR(I328+H328*(J328-I328),0))</f>
        <v>533.944350475394</v>
      </c>
      <c r="L328" s="10" t="n">
        <f aca="false">IF(A328="","",IFERROR(K328*Inputs!$B$9,0))</f>
        <v>26697.2175237697</v>
      </c>
      <c r="M328" s="10" t="n">
        <f aca="false">IF(A328="","",IFERROR(K328*Inputs!$B$10,0))</f>
        <v>85429.4942430116</v>
      </c>
      <c r="N328" s="10" t="n">
        <f aca="false">IF(A328="","",Z327)</f>
        <v>0</v>
      </c>
      <c r="O328" s="6" t="n">
        <f aca="false">IF(A328="","",Inputs!$B$18+N328)</f>
        <v>50000</v>
      </c>
      <c r="P328" s="5" t="n">
        <f aca="false">IF(A328="","",VLOOKUP(D328,DIvidend_Assumption!$A$3:$CX$103,($E$2+2),0)/12)</f>
        <v>0</v>
      </c>
      <c r="Q328" s="10" t="n">
        <f aca="false">IF(A328="","",IFERROR(AB327*P328,""))</f>
        <v>0</v>
      </c>
      <c r="R328" s="10" t="n">
        <f aca="false">IF(A328="","",IFERROR(IF(Inputs!$B$22="Accumulate",T328+Q328,IF(Inputs!$B$22="Premium Offset",MAX(0,T328+Q328-Inputs!$B$25),T328)),""))</f>
        <v>0</v>
      </c>
      <c r="S328" s="10" t="n">
        <f aca="false">IF(A328="","",R327)</f>
        <v>0</v>
      </c>
      <c r="T328" s="10" t="n">
        <f aca="false">IF(A328="","",IFERROR(S328*(1+Inputs!$B$23/12),""))</f>
        <v>0</v>
      </c>
      <c r="U328" s="6" t="n">
        <f aca="false">IF(A328="","",IF(D328&lt;=Inputs!$B$8,IF(Inputs!$B$22="Premium Offset",MAX(0,Inputs!$B$25-(Q328+T328)),Inputs!$B$25),0))</f>
        <v>77</v>
      </c>
      <c r="V328" s="10" t="n">
        <f aca="false">IF(A328="","",IF(Inputs!$B$22="Cash",Q328,0))</f>
        <v>0</v>
      </c>
      <c r="W328" s="10" t="n">
        <f aca="false">IF(A328="","",IF(Inputs!$B$22="PUA",Q328,0))</f>
        <v>0</v>
      </c>
      <c r="X328" s="12" t="n">
        <f aca="false">IF(A328="","",IFERROR(INDEX(PUA_TABLE!$D$4:$D$105,MATCH(E328,PUA_TABLE!$C$4:$C$105,1)),0))</f>
        <v>0.531597453252987</v>
      </c>
      <c r="Y328" s="10" t="n">
        <f aca="false">IF(A328="","",IF(W328&gt;0,IF(X328&gt;0,W328/X328,0),0))</f>
        <v>0</v>
      </c>
      <c r="Z328" s="10" t="n">
        <f aca="false">IF(A328="","",N328+Y328)</f>
        <v>0</v>
      </c>
      <c r="AA328" s="10" t="n">
        <f aca="false">IF(A328="","",IFERROR(Z328*INDEX(PUA_TABLE!$I$4:$I$105,MATCH(E328,PUA_TABLE!$C$4:$C$105,1))/1000,0))</f>
        <v>0</v>
      </c>
      <c r="AB328" s="10" t="n">
        <f aca="false">IF(A328="","",IFERROR(L328+AA328,0))</f>
        <v>26697.2175237697</v>
      </c>
      <c r="AC328" s="10" t="n">
        <f aca="false">IF(A328="","",IF(Inputs!$B$22="Premium Offset",MIN(Inputs!$B$25,Q328+T328),0))</f>
        <v>0</v>
      </c>
    </row>
    <row r="329" customFormat="false" ht="15" hidden="false" customHeight="false" outlineLevel="0" collapsed="false">
      <c r="A329" s="1" t="n">
        <f aca="false">IF(A328="","",IF(INT((C328+1)/12)+Inputs!$B$7&gt;MAX(MORTALITY!$A:$A),"",Inputs!$B$4))</f>
        <v>34</v>
      </c>
      <c r="B329" s="3" t="n">
        <f aca="false">IF(A329="","",EOMONTH(B328,1))</f>
        <v>31685</v>
      </c>
      <c r="C329" s="1" t="n">
        <f aca="false">IF(A329="","",C328+1)</f>
        <v>327</v>
      </c>
      <c r="D329" s="1" t="n">
        <f aca="false">IF(A329="","",INT(C329/12))</f>
        <v>27</v>
      </c>
      <c r="E329" s="1" t="n">
        <f aca="false">IF(A329="","",D329+Inputs!$B$7)</f>
        <v>43</v>
      </c>
      <c r="F329" s="3" t="n">
        <f aca="false">IF(A329="","",DATE(YEAR(B$2)+D329,MONTH(B$2),DAY(B$2)))</f>
        <v>31568</v>
      </c>
      <c r="G329" s="3" t="n">
        <f aca="false">IF(A329="","",DATE(YEAR(F329)+1,MONTH(F329),DAY(F329)))</f>
        <v>31933</v>
      </c>
      <c r="H329" s="10" t="n">
        <f aca="false">IF(A329="","",IF(G329&gt;F329,(B329-F329)/(G329-F329),0))</f>
        <v>0.320547945205479</v>
      </c>
      <c r="I329" s="10" t="n">
        <f aca="false">IF(A329="","",IFERROR(INDEX(CV_RATES!$I:$I,MATCH(D329,CV_RATES!$C:$C,0)),0))</f>
        <v>531.597453252987</v>
      </c>
      <c r="J329" s="10" t="n">
        <f aca="false">IF(A329="","",IFERROR(IF(E329=MAX(MORTALITY!$A:$A),1000,INDEX(CV_RATES!$J:$J,MATCH(D329,CV_RATES!$C:$C,0))),0))</f>
        <v>541.443631255037</v>
      </c>
      <c r="K329" s="10" t="n">
        <f aca="false">IF(A329="","",IFERROR(I329+H329*(J329-I329),0))</f>
        <v>534.753625379672</v>
      </c>
      <c r="L329" s="10" t="n">
        <f aca="false">IF(A329="","",IFERROR(K329*Inputs!$B$9,0))</f>
        <v>26737.6812689836</v>
      </c>
      <c r="M329" s="10" t="n">
        <f aca="false">IF(A329="","",IFERROR(K329*Inputs!$B$10,0))</f>
        <v>85558.9757998714</v>
      </c>
      <c r="N329" s="10" t="n">
        <f aca="false">IF(A329="","",Z328)</f>
        <v>0</v>
      </c>
      <c r="O329" s="6" t="n">
        <f aca="false">IF(A329="","",Inputs!$B$18+N329)</f>
        <v>50000</v>
      </c>
      <c r="P329" s="5" t="n">
        <f aca="false">IF(A329="","",VLOOKUP(D329,DIvidend_Assumption!$A$3:$CX$103,($E$2+2),0)/12)</f>
        <v>0</v>
      </c>
      <c r="Q329" s="10" t="n">
        <f aca="false">IF(A329="","",IFERROR(AB328*P329,""))</f>
        <v>0</v>
      </c>
      <c r="R329" s="10" t="n">
        <f aca="false">IF(A329="","",IFERROR(IF(Inputs!$B$22="Accumulate",T329+Q329,IF(Inputs!$B$22="Premium Offset",MAX(0,T329+Q329-Inputs!$B$25),T329)),""))</f>
        <v>0</v>
      </c>
      <c r="S329" s="10" t="n">
        <f aca="false">IF(A329="","",R328)</f>
        <v>0</v>
      </c>
      <c r="T329" s="10" t="n">
        <f aca="false">IF(A329="","",IFERROR(S329*(1+Inputs!$B$23/12),""))</f>
        <v>0</v>
      </c>
      <c r="U329" s="6" t="n">
        <f aca="false">IF(A329="","",IF(D329&lt;=Inputs!$B$8,IF(Inputs!$B$22="Premium Offset",MAX(0,Inputs!$B$25-(Q329+T329)),Inputs!$B$25),0))</f>
        <v>77</v>
      </c>
      <c r="V329" s="10" t="n">
        <f aca="false">IF(A329="","",IF(Inputs!$B$22="Cash",Q329,0))</f>
        <v>0</v>
      </c>
      <c r="W329" s="10" t="n">
        <f aca="false">IF(A329="","",IF(Inputs!$B$22="PUA",Q329,0))</f>
        <v>0</v>
      </c>
      <c r="X329" s="12" t="n">
        <f aca="false">IF(A329="","",IFERROR(INDEX(PUA_TABLE!$D$4:$D$105,MATCH(E329,PUA_TABLE!$C$4:$C$105,1)),0))</f>
        <v>0.531597453252987</v>
      </c>
      <c r="Y329" s="10" t="n">
        <f aca="false">IF(A329="","",IF(W329&gt;0,IF(X329&gt;0,W329/X329,0),0))</f>
        <v>0</v>
      </c>
      <c r="Z329" s="10" t="n">
        <f aca="false">IF(A329="","",N329+Y329)</f>
        <v>0</v>
      </c>
      <c r="AA329" s="10" t="n">
        <f aca="false">IF(A329="","",IFERROR(Z329*INDEX(PUA_TABLE!$I$4:$I$105,MATCH(E329,PUA_TABLE!$C$4:$C$105,1))/1000,0))</f>
        <v>0</v>
      </c>
      <c r="AB329" s="10" t="n">
        <f aca="false">IF(A329="","",IFERROR(L329+AA329,0))</f>
        <v>26737.6812689836</v>
      </c>
      <c r="AC329" s="10" t="n">
        <f aca="false">IF(A329="","",IF(Inputs!$B$22="Premium Offset",MIN(Inputs!$B$25,Q329+T329),0))</f>
        <v>0</v>
      </c>
    </row>
    <row r="330" customFormat="false" ht="15" hidden="false" customHeight="false" outlineLevel="0" collapsed="false">
      <c r="A330" s="1" t="n">
        <f aca="false">IF(A329="","",IF(INT((C329+1)/12)+Inputs!$B$7&gt;MAX(MORTALITY!$A:$A),"",Inputs!$B$4))</f>
        <v>34</v>
      </c>
      <c r="B330" s="3" t="n">
        <f aca="false">IF(A330="","",EOMONTH(B329,1))</f>
        <v>31716</v>
      </c>
      <c r="C330" s="1" t="n">
        <f aca="false">IF(A330="","",C329+1)</f>
        <v>328</v>
      </c>
      <c r="D330" s="1" t="n">
        <f aca="false">IF(A330="","",INT(C330/12))</f>
        <v>27</v>
      </c>
      <c r="E330" s="1" t="n">
        <f aca="false">IF(A330="","",D330+Inputs!$B$7)</f>
        <v>43</v>
      </c>
      <c r="F330" s="3" t="n">
        <f aca="false">IF(A330="","",DATE(YEAR(B$2)+D330,MONTH(B$2),DAY(B$2)))</f>
        <v>31568</v>
      </c>
      <c r="G330" s="3" t="n">
        <f aca="false">IF(A330="","",DATE(YEAR(F330)+1,MONTH(F330),DAY(F330)))</f>
        <v>31933</v>
      </c>
      <c r="H330" s="10" t="n">
        <f aca="false">IF(A330="","",IF(G330&gt;F330,(B330-F330)/(G330-F330),0))</f>
        <v>0.405479452054795</v>
      </c>
      <c r="I330" s="10" t="n">
        <f aca="false">IF(A330="","",IFERROR(INDEX(CV_RATES!$I:$I,MATCH(D330,CV_RATES!$C:$C,0)),0))</f>
        <v>531.597453252987</v>
      </c>
      <c r="J330" s="10" t="n">
        <f aca="false">IF(A330="","",IFERROR(IF(E330=MAX(MORTALITY!$A:$A),1000,INDEX(CV_RATES!$J:$J,MATCH(D330,CV_RATES!$C:$C,0))),0))</f>
        <v>541.443631255037</v>
      </c>
      <c r="K330" s="10" t="n">
        <f aca="false">IF(A330="","",IFERROR(I330+H330*(J330-I330),0))</f>
        <v>535.589876114093</v>
      </c>
      <c r="L330" s="10" t="n">
        <f aca="false">IF(A330="","",IFERROR(K330*Inputs!$B$9,0))</f>
        <v>26779.4938057046</v>
      </c>
      <c r="M330" s="10" t="n">
        <f aca="false">IF(A330="","",IFERROR(K330*Inputs!$B$10,0))</f>
        <v>85692.7734086265</v>
      </c>
      <c r="N330" s="10" t="n">
        <f aca="false">IF(A330="","",Z329)</f>
        <v>0</v>
      </c>
      <c r="O330" s="6" t="n">
        <f aca="false">IF(A330="","",Inputs!$B$18+N330)</f>
        <v>50000</v>
      </c>
      <c r="P330" s="5" t="n">
        <f aca="false">IF(A330="","",VLOOKUP(D330,DIvidend_Assumption!$A$3:$CX$103,($E$2+2),0)/12)</f>
        <v>0</v>
      </c>
      <c r="Q330" s="10" t="n">
        <f aca="false">IF(A330="","",IFERROR(AB329*P330,""))</f>
        <v>0</v>
      </c>
      <c r="R330" s="10" t="n">
        <f aca="false">IF(A330="","",IFERROR(IF(Inputs!$B$22="Accumulate",T330+Q330,IF(Inputs!$B$22="Premium Offset",MAX(0,T330+Q330-Inputs!$B$25),T330)),""))</f>
        <v>0</v>
      </c>
      <c r="S330" s="10" t="n">
        <f aca="false">IF(A330="","",R329)</f>
        <v>0</v>
      </c>
      <c r="T330" s="10" t="n">
        <f aca="false">IF(A330="","",IFERROR(S330*(1+Inputs!$B$23/12),""))</f>
        <v>0</v>
      </c>
      <c r="U330" s="6" t="n">
        <f aca="false">IF(A330="","",IF(D330&lt;=Inputs!$B$8,IF(Inputs!$B$22="Premium Offset",MAX(0,Inputs!$B$25-(Q330+T330)),Inputs!$B$25),0))</f>
        <v>77</v>
      </c>
      <c r="V330" s="10" t="n">
        <f aca="false">IF(A330="","",IF(Inputs!$B$22="Cash",Q330,0))</f>
        <v>0</v>
      </c>
      <c r="W330" s="10" t="n">
        <f aca="false">IF(A330="","",IF(Inputs!$B$22="PUA",Q330,0))</f>
        <v>0</v>
      </c>
      <c r="X330" s="12" t="n">
        <f aca="false">IF(A330="","",IFERROR(INDEX(PUA_TABLE!$D$4:$D$105,MATCH(E330,PUA_TABLE!$C$4:$C$105,1)),0))</f>
        <v>0.531597453252987</v>
      </c>
      <c r="Y330" s="10" t="n">
        <f aca="false">IF(A330="","",IF(W330&gt;0,IF(X330&gt;0,W330/X330,0),0))</f>
        <v>0</v>
      </c>
      <c r="Z330" s="10" t="n">
        <f aca="false">IF(A330="","",N330+Y330)</f>
        <v>0</v>
      </c>
      <c r="AA330" s="10" t="n">
        <f aca="false">IF(A330="","",IFERROR(Z330*INDEX(PUA_TABLE!$I$4:$I$105,MATCH(E330,PUA_TABLE!$C$4:$C$105,1))/1000,0))</f>
        <v>0</v>
      </c>
      <c r="AB330" s="10" t="n">
        <f aca="false">IF(A330="","",IFERROR(L330+AA330,0))</f>
        <v>26779.4938057046</v>
      </c>
      <c r="AC330" s="10" t="n">
        <f aca="false">IF(A330="","",IF(Inputs!$B$22="Premium Offset",MIN(Inputs!$B$25,Q330+T330),0))</f>
        <v>0</v>
      </c>
    </row>
    <row r="331" customFormat="false" ht="15" hidden="false" customHeight="false" outlineLevel="0" collapsed="false">
      <c r="A331" s="1" t="n">
        <f aca="false">IF(A330="","",IF(INT((C330+1)/12)+Inputs!$B$7&gt;MAX(MORTALITY!$A:$A),"",Inputs!$B$4))</f>
        <v>34</v>
      </c>
      <c r="B331" s="3" t="n">
        <f aca="false">IF(A331="","",EOMONTH(B330,1))</f>
        <v>31746</v>
      </c>
      <c r="C331" s="1" t="n">
        <f aca="false">IF(A331="","",C330+1)</f>
        <v>329</v>
      </c>
      <c r="D331" s="1" t="n">
        <f aca="false">IF(A331="","",INT(C331/12))</f>
        <v>27</v>
      </c>
      <c r="E331" s="1" t="n">
        <f aca="false">IF(A331="","",D331+Inputs!$B$7)</f>
        <v>43</v>
      </c>
      <c r="F331" s="3" t="n">
        <f aca="false">IF(A331="","",DATE(YEAR(B$2)+D331,MONTH(B$2),DAY(B$2)))</f>
        <v>31568</v>
      </c>
      <c r="G331" s="3" t="n">
        <f aca="false">IF(A331="","",DATE(YEAR(F331)+1,MONTH(F331),DAY(F331)))</f>
        <v>31933</v>
      </c>
      <c r="H331" s="10" t="n">
        <f aca="false">IF(A331="","",IF(G331&gt;F331,(B331-F331)/(G331-F331),0))</f>
        <v>0.487671232876712</v>
      </c>
      <c r="I331" s="10" t="n">
        <f aca="false">IF(A331="","",IFERROR(INDEX(CV_RATES!$I:$I,MATCH(D331,CV_RATES!$C:$C,0)),0))</f>
        <v>531.597453252987</v>
      </c>
      <c r="J331" s="10" t="n">
        <f aca="false">IF(A331="","",IFERROR(IF(E331=MAX(MORTALITY!$A:$A),1000,INDEX(CV_RATES!$J:$J,MATCH(D331,CV_RATES!$C:$C,0))),0))</f>
        <v>541.443631255037</v>
      </c>
      <c r="K331" s="10" t="n">
        <f aca="false">IF(A331="","",IFERROR(I331+H331*(J331-I331),0))</f>
        <v>536.399151018371</v>
      </c>
      <c r="L331" s="10" t="n">
        <f aca="false">IF(A331="","",IFERROR(K331*Inputs!$B$9,0))</f>
        <v>26819.9575509185</v>
      </c>
      <c r="M331" s="10" t="n">
        <f aca="false">IF(A331="","",IFERROR(K331*Inputs!$B$10,0))</f>
        <v>85822.2549654863</v>
      </c>
      <c r="N331" s="10" t="n">
        <f aca="false">IF(A331="","",Z330)</f>
        <v>0</v>
      </c>
      <c r="O331" s="6" t="n">
        <f aca="false">IF(A331="","",Inputs!$B$18+N331)</f>
        <v>50000</v>
      </c>
      <c r="P331" s="5" t="n">
        <f aca="false">IF(A331="","",VLOOKUP(D331,DIvidend_Assumption!$A$3:$CX$103,($E$2+2),0)/12)</f>
        <v>0</v>
      </c>
      <c r="Q331" s="10" t="n">
        <f aca="false">IF(A331="","",IFERROR(AB330*P331,""))</f>
        <v>0</v>
      </c>
      <c r="R331" s="10" t="n">
        <f aca="false">IF(A331="","",IFERROR(IF(Inputs!$B$22="Accumulate",T331+Q331,IF(Inputs!$B$22="Premium Offset",MAX(0,T331+Q331-Inputs!$B$25),T331)),""))</f>
        <v>0</v>
      </c>
      <c r="S331" s="10" t="n">
        <f aca="false">IF(A331="","",R330)</f>
        <v>0</v>
      </c>
      <c r="T331" s="10" t="n">
        <f aca="false">IF(A331="","",IFERROR(S331*(1+Inputs!$B$23/12),""))</f>
        <v>0</v>
      </c>
      <c r="U331" s="6" t="n">
        <f aca="false">IF(A331="","",IF(D331&lt;=Inputs!$B$8,IF(Inputs!$B$22="Premium Offset",MAX(0,Inputs!$B$25-(Q331+T331)),Inputs!$B$25),0))</f>
        <v>77</v>
      </c>
      <c r="V331" s="10" t="n">
        <f aca="false">IF(A331="","",IF(Inputs!$B$22="Cash",Q331,0))</f>
        <v>0</v>
      </c>
      <c r="W331" s="10" t="n">
        <f aca="false">IF(A331="","",IF(Inputs!$B$22="PUA",Q331,0))</f>
        <v>0</v>
      </c>
      <c r="X331" s="12" t="n">
        <f aca="false">IF(A331="","",IFERROR(INDEX(PUA_TABLE!$D$4:$D$105,MATCH(E331,PUA_TABLE!$C$4:$C$105,1)),0))</f>
        <v>0.531597453252987</v>
      </c>
      <c r="Y331" s="10" t="n">
        <f aca="false">IF(A331="","",IF(W331&gt;0,IF(X331&gt;0,W331/X331,0),0))</f>
        <v>0</v>
      </c>
      <c r="Z331" s="10" t="n">
        <f aca="false">IF(A331="","",N331+Y331)</f>
        <v>0</v>
      </c>
      <c r="AA331" s="10" t="n">
        <f aca="false">IF(A331="","",IFERROR(Z331*INDEX(PUA_TABLE!$I$4:$I$105,MATCH(E331,PUA_TABLE!$C$4:$C$105,1))/1000,0))</f>
        <v>0</v>
      </c>
      <c r="AB331" s="10" t="n">
        <f aca="false">IF(A331="","",IFERROR(L331+AA331,0))</f>
        <v>26819.9575509185</v>
      </c>
      <c r="AC331" s="10" t="n">
        <f aca="false">IF(A331="","",IF(Inputs!$B$22="Premium Offset",MIN(Inputs!$B$25,Q331+T331),0))</f>
        <v>0</v>
      </c>
    </row>
    <row r="332" customFormat="false" ht="15" hidden="false" customHeight="false" outlineLevel="0" collapsed="false">
      <c r="A332" s="1" t="n">
        <f aca="false">IF(A331="","",IF(INT((C331+1)/12)+Inputs!$B$7&gt;MAX(MORTALITY!$A:$A),"",Inputs!$B$4))</f>
        <v>34</v>
      </c>
      <c r="B332" s="3" t="n">
        <f aca="false">IF(A332="","",EOMONTH(B331,1))</f>
        <v>31777</v>
      </c>
      <c r="C332" s="1" t="n">
        <f aca="false">IF(A332="","",C331+1)</f>
        <v>330</v>
      </c>
      <c r="D332" s="1" t="n">
        <f aca="false">IF(A332="","",INT(C332/12))</f>
        <v>27</v>
      </c>
      <c r="E332" s="1" t="n">
        <f aca="false">IF(A332="","",D332+Inputs!$B$7)</f>
        <v>43</v>
      </c>
      <c r="F332" s="3" t="n">
        <f aca="false">IF(A332="","",DATE(YEAR(B$2)+D332,MONTH(B$2),DAY(B$2)))</f>
        <v>31568</v>
      </c>
      <c r="G332" s="3" t="n">
        <f aca="false">IF(A332="","",DATE(YEAR(F332)+1,MONTH(F332),DAY(F332)))</f>
        <v>31933</v>
      </c>
      <c r="H332" s="10" t="n">
        <f aca="false">IF(A332="","",IF(G332&gt;F332,(B332-F332)/(G332-F332),0))</f>
        <v>0.572602739726027</v>
      </c>
      <c r="I332" s="10" t="n">
        <f aca="false">IF(A332="","",IFERROR(INDEX(CV_RATES!$I:$I,MATCH(D332,CV_RATES!$C:$C,0)),0))</f>
        <v>531.597453252987</v>
      </c>
      <c r="J332" s="10" t="n">
        <f aca="false">IF(A332="","",IFERROR(IF(E332=MAX(MORTALITY!$A:$A),1000,INDEX(CV_RATES!$J:$J,MATCH(D332,CV_RATES!$C:$C,0))),0))</f>
        <v>541.443631255037</v>
      </c>
      <c r="K332" s="10" t="n">
        <f aca="false">IF(A332="","",IFERROR(I332+H332*(J332-I332),0))</f>
        <v>537.235401752791</v>
      </c>
      <c r="L332" s="10" t="n">
        <f aca="false">IF(A332="","",IFERROR(K332*Inputs!$B$9,0))</f>
        <v>26861.7700876396</v>
      </c>
      <c r="M332" s="10" t="n">
        <f aca="false">IF(A332="","",IFERROR(K332*Inputs!$B$10,0))</f>
        <v>85956.0525742414</v>
      </c>
      <c r="N332" s="10" t="n">
        <f aca="false">IF(A332="","",Z331)</f>
        <v>0</v>
      </c>
      <c r="O332" s="6" t="n">
        <f aca="false">IF(A332="","",Inputs!$B$18+N332)</f>
        <v>50000</v>
      </c>
      <c r="P332" s="5" t="n">
        <f aca="false">IF(A332="","",VLOOKUP(D332,DIvidend_Assumption!$A$3:$CX$103,($E$2+2),0)/12)</f>
        <v>0</v>
      </c>
      <c r="Q332" s="10" t="n">
        <f aca="false">IF(A332="","",IFERROR(AB331*P332,""))</f>
        <v>0</v>
      </c>
      <c r="R332" s="10" t="n">
        <f aca="false">IF(A332="","",IFERROR(IF(Inputs!$B$22="Accumulate",T332+Q332,IF(Inputs!$B$22="Premium Offset",MAX(0,T332+Q332-Inputs!$B$25),T332)),""))</f>
        <v>0</v>
      </c>
      <c r="S332" s="10" t="n">
        <f aca="false">IF(A332="","",R331)</f>
        <v>0</v>
      </c>
      <c r="T332" s="10" t="n">
        <f aca="false">IF(A332="","",IFERROR(S332*(1+Inputs!$B$23/12),""))</f>
        <v>0</v>
      </c>
      <c r="U332" s="6" t="n">
        <f aca="false">IF(A332="","",IF(D332&lt;=Inputs!$B$8,IF(Inputs!$B$22="Premium Offset",MAX(0,Inputs!$B$25-(Q332+T332)),Inputs!$B$25),0))</f>
        <v>77</v>
      </c>
      <c r="V332" s="10" t="n">
        <f aca="false">IF(A332="","",IF(Inputs!$B$22="Cash",Q332,0))</f>
        <v>0</v>
      </c>
      <c r="W332" s="10" t="n">
        <f aca="false">IF(A332="","",IF(Inputs!$B$22="PUA",Q332,0))</f>
        <v>0</v>
      </c>
      <c r="X332" s="12" t="n">
        <f aca="false">IF(A332="","",IFERROR(INDEX(PUA_TABLE!$D$4:$D$105,MATCH(E332,PUA_TABLE!$C$4:$C$105,1)),0))</f>
        <v>0.531597453252987</v>
      </c>
      <c r="Y332" s="10" t="n">
        <f aca="false">IF(A332="","",IF(W332&gt;0,IF(X332&gt;0,W332/X332,0),0))</f>
        <v>0</v>
      </c>
      <c r="Z332" s="10" t="n">
        <f aca="false">IF(A332="","",N332+Y332)</f>
        <v>0</v>
      </c>
      <c r="AA332" s="10" t="n">
        <f aca="false">IF(A332="","",IFERROR(Z332*INDEX(PUA_TABLE!$I$4:$I$105,MATCH(E332,PUA_TABLE!$C$4:$C$105,1))/1000,0))</f>
        <v>0</v>
      </c>
      <c r="AB332" s="10" t="n">
        <f aca="false">IF(A332="","",IFERROR(L332+AA332,0))</f>
        <v>26861.7700876396</v>
      </c>
      <c r="AC332" s="10" t="n">
        <f aca="false">IF(A332="","",IF(Inputs!$B$22="Premium Offset",MIN(Inputs!$B$25,Q332+T332),0))</f>
        <v>0</v>
      </c>
    </row>
    <row r="333" customFormat="false" ht="15" hidden="false" customHeight="false" outlineLevel="0" collapsed="false">
      <c r="A333" s="1" t="n">
        <f aca="false">IF(A332="","",IF(INT((C332+1)/12)+Inputs!$B$7&gt;MAX(MORTALITY!$A:$A),"",Inputs!$B$4))</f>
        <v>34</v>
      </c>
      <c r="B333" s="3" t="n">
        <f aca="false">IF(A333="","",EOMONTH(B332,1))</f>
        <v>31808</v>
      </c>
      <c r="C333" s="1" t="n">
        <f aca="false">IF(A333="","",C332+1)</f>
        <v>331</v>
      </c>
      <c r="D333" s="1" t="n">
        <f aca="false">IF(A333="","",INT(C333/12))</f>
        <v>27</v>
      </c>
      <c r="E333" s="1" t="n">
        <f aca="false">IF(A333="","",D333+Inputs!$B$7)</f>
        <v>43</v>
      </c>
      <c r="F333" s="3" t="n">
        <f aca="false">IF(A333="","",DATE(YEAR(B$2)+D333,MONTH(B$2),DAY(B$2)))</f>
        <v>31568</v>
      </c>
      <c r="G333" s="3" t="n">
        <f aca="false">IF(A333="","",DATE(YEAR(F333)+1,MONTH(F333),DAY(F333)))</f>
        <v>31933</v>
      </c>
      <c r="H333" s="10" t="n">
        <f aca="false">IF(A333="","",IF(G333&gt;F333,(B333-F333)/(G333-F333),0))</f>
        <v>0.657534246575342</v>
      </c>
      <c r="I333" s="10" t="n">
        <f aca="false">IF(A333="","",IFERROR(INDEX(CV_RATES!$I:$I,MATCH(D333,CV_RATES!$C:$C,0)),0))</f>
        <v>531.597453252987</v>
      </c>
      <c r="J333" s="10" t="n">
        <f aca="false">IF(A333="","",IFERROR(IF(E333=MAX(MORTALITY!$A:$A),1000,INDEX(CV_RATES!$J:$J,MATCH(D333,CV_RATES!$C:$C,0))),0))</f>
        <v>541.443631255037</v>
      </c>
      <c r="K333" s="10" t="n">
        <f aca="false">IF(A333="","",IFERROR(I333+H333*(J333-I333),0))</f>
        <v>538.071652487212</v>
      </c>
      <c r="L333" s="10" t="n">
        <f aca="false">IF(A333="","",IFERROR(K333*Inputs!$B$9,0))</f>
        <v>26903.5826243606</v>
      </c>
      <c r="M333" s="10" t="n">
        <f aca="false">IF(A333="","",IFERROR(K333*Inputs!$B$10,0))</f>
        <v>86089.8501829965</v>
      </c>
      <c r="N333" s="10" t="n">
        <f aca="false">IF(A333="","",Z332)</f>
        <v>0</v>
      </c>
      <c r="O333" s="6" t="n">
        <f aca="false">IF(A333="","",Inputs!$B$18+N333)</f>
        <v>50000</v>
      </c>
      <c r="P333" s="5" t="n">
        <f aca="false">IF(A333="","",VLOOKUP(D333,DIvidend_Assumption!$A$3:$CX$103,($E$2+2),0)/12)</f>
        <v>0</v>
      </c>
      <c r="Q333" s="10" t="n">
        <f aca="false">IF(A333="","",IFERROR(AB332*P333,""))</f>
        <v>0</v>
      </c>
      <c r="R333" s="10" t="n">
        <f aca="false">IF(A333="","",IFERROR(IF(Inputs!$B$22="Accumulate",T333+Q333,IF(Inputs!$B$22="Premium Offset",MAX(0,T333+Q333-Inputs!$B$25),T333)),""))</f>
        <v>0</v>
      </c>
      <c r="S333" s="10" t="n">
        <f aca="false">IF(A333="","",R332)</f>
        <v>0</v>
      </c>
      <c r="T333" s="10" t="n">
        <f aca="false">IF(A333="","",IFERROR(S333*(1+Inputs!$B$23/12),""))</f>
        <v>0</v>
      </c>
      <c r="U333" s="6" t="n">
        <f aca="false">IF(A333="","",IF(D333&lt;=Inputs!$B$8,IF(Inputs!$B$22="Premium Offset",MAX(0,Inputs!$B$25-(Q333+T333)),Inputs!$B$25),0))</f>
        <v>77</v>
      </c>
      <c r="V333" s="10" t="n">
        <f aca="false">IF(A333="","",IF(Inputs!$B$22="Cash",Q333,0))</f>
        <v>0</v>
      </c>
      <c r="W333" s="10" t="n">
        <f aca="false">IF(A333="","",IF(Inputs!$B$22="PUA",Q333,0))</f>
        <v>0</v>
      </c>
      <c r="X333" s="12" t="n">
        <f aca="false">IF(A333="","",IFERROR(INDEX(PUA_TABLE!$D$4:$D$105,MATCH(E333,PUA_TABLE!$C$4:$C$105,1)),0))</f>
        <v>0.531597453252987</v>
      </c>
      <c r="Y333" s="10" t="n">
        <f aca="false">IF(A333="","",IF(W333&gt;0,IF(X333&gt;0,W333/X333,0),0))</f>
        <v>0</v>
      </c>
      <c r="Z333" s="10" t="n">
        <f aca="false">IF(A333="","",N333+Y333)</f>
        <v>0</v>
      </c>
      <c r="AA333" s="10" t="n">
        <f aca="false">IF(A333="","",IFERROR(Z333*INDEX(PUA_TABLE!$I$4:$I$105,MATCH(E333,PUA_TABLE!$C$4:$C$105,1))/1000,0))</f>
        <v>0</v>
      </c>
      <c r="AB333" s="10" t="n">
        <f aca="false">IF(A333="","",IFERROR(L333+AA333,0))</f>
        <v>26903.5826243606</v>
      </c>
      <c r="AC333" s="10" t="n">
        <f aca="false">IF(A333="","",IF(Inputs!$B$22="Premium Offset",MIN(Inputs!$B$25,Q333+T333),0))</f>
        <v>0</v>
      </c>
    </row>
    <row r="334" customFormat="false" ht="15" hidden="false" customHeight="false" outlineLevel="0" collapsed="false">
      <c r="A334" s="1" t="n">
        <f aca="false">IF(A333="","",IF(INT((C333+1)/12)+Inputs!$B$7&gt;MAX(MORTALITY!$A:$A),"",Inputs!$B$4))</f>
        <v>34</v>
      </c>
      <c r="B334" s="3" t="n">
        <f aca="false">IF(A334="","",EOMONTH(B333,1))</f>
        <v>31836</v>
      </c>
      <c r="C334" s="1" t="n">
        <f aca="false">IF(A334="","",C333+1)</f>
        <v>332</v>
      </c>
      <c r="D334" s="1" t="n">
        <f aca="false">IF(A334="","",INT(C334/12))</f>
        <v>27</v>
      </c>
      <c r="E334" s="1" t="n">
        <f aca="false">IF(A334="","",D334+Inputs!$B$7)</f>
        <v>43</v>
      </c>
      <c r="F334" s="3" t="n">
        <f aca="false">IF(A334="","",DATE(YEAR(B$2)+D334,MONTH(B$2),DAY(B$2)))</f>
        <v>31568</v>
      </c>
      <c r="G334" s="3" t="n">
        <f aca="false">IF(A334="","",DATE(YEAR(F334)+1,MONTH(F334),DAY(F334)))</f>
        <v>31933</v>
      </c>
      <c r="H334" s="10" t="n">
        <f aca="false">IF(A334="","",IF(G334&gt;F334,(B334-F334)/(G334-F334),0))</f>
        <v>0.734246575342466</v>
      </c>
      <c r="I334" s="10" t="n">
        <f aca="false">IF(A334="","",IFERROR(INDEX(CV_RATES!$I:$I,MATCH(D334,CV_RATES!$C:$C,0)),0))</f>
        <v>531.597453252987</v>
      </c>
      <c r="J334" s="10" t="n">
        <f aca="false">IF(A334="","",IFERROR(IF(E334=MAX(MORTALITY!$A:$A),1000,INDEX(CV_RATES!$J:$J,MATCH(D334,CV_RATES!$C:$C,0))),0))</f>
        <v>541.443631255037</v>
      </c>
      <c r="K334" s="10" t="n">
        <f aca="false">IF(A334="","",IFERROR(I334+H334*(J334-I334),0))</f>
        <v>538.826975731205</v>
      </c>
      <c r="L334" s="10" t="n">
        <f aca="false">IF(A334="","",IFERROR(K334*Inputs!$B$9,0))</f>
        <v>26941.3487865602</v>
      </c>
      <c r="M334" s="10" t="n">
        <f aca="false">IF(A334="","",IFERROR(K334*Inputs!$B$10,0))</f>
        <v>86210.6996360656</v>
      </c>
      <c r="N334" s="10" t="n">
        <f aca="false">IF(A334="","",Z333)</f>
        <v>0</v>
      </c>
      <c r="O334" s="6" t="n">
        <f aca="false">IF(A334="","",Inputs!$B$18+N334)</f>
        <v>50000</v>
      </c>
      <c r="P334" s="5" t="n">
        <f aca="false">IF(A334="","",VLOOKUP(D334,DIvidend_Assumption!$A$3:$CX$103,($E$2+2),0)/12)</f>
        <v>0</v>
      </c>
      <c r="Q334" s="10" t="n">
        <f aca="false">IF(A334="","",IFERROR(AB333*P334,""))</f>
        <v>0</v>
      </c>
      <c r="R334" s="10" t="n">
        <f aca="false">IF(A334="","",IFERROR(IF(Inputs!$B$22="Accumulate",T334+Q334,IF(Inputs!$B$22="Premium Offset",MAX(0,T334+Q334-Inputs!$B$25),T334)),""))</f>
        <v>0</v>
      </c>
      <c r="S334" s="10" t="n">
        <f aca="false">IF(A334="","",R333)</f>
        <v>0</v>
      </c>
      <c r="T334" s="10" t="n">
        <f aca="false">IF(A334="","",IFERROR(S334*(1+Inputs!$B$23/12),""))</f>
        <v>0</v>
      </c>
      <c r="U334" s="6" t="n">
        <f aca="false">IF(A334="","",IF(D334&lt;=Inputs!$B$8,IF(Inputs!$B$22="Premium Offset",MAX(0,Inputs!$B$25-(Q334+T334)),Inputs!$B$25),0))</f>
        <v>77</v>
      </c>
      <c r="V334" s="10" t="n">
        <f aca="false">IF(A334="","",IF(Inputs!$B$22="Cash",Q334,0))</f>
        <v>0</v>
      </c>
      <c r="W334" s="10" t="n">
        <f aca="false">IF(A334="","",IF(Inputs!$B$22="PUA",Q334,0))</f>
        <v>0</v>
      </c>
      <c r="X334" s="12" t="n">
        <f aca="false">IF(A334="","",IFERROR(INDEX(PUA_TABLE!$D$4:$D$105,MATCH(E334,PUA_TABLE!$C$4:$C$105,1)),0))</f>
        <v>0.531597453252987</v>
      </c>
      <c r="Y334" s="10" t="n">
        <f aca="false">IF(A334="","",IF(W334&gt;0,IF(X334&gt;0,W334/X334,0),0))</f>
        <v>0</v>
      </c>
      <c r="Z334" s="10" t="n">
        <f aca="false">IF(A334="","",N334+Y334)</f>
        <v>0</v>
      </c>
      <c r="AA334" s="10" t="n">
        <f aca="false">IF(A334="","",IFERROR(Z334*INDEX(PUA_TABLE!$I$4:$I$105,MATCH(E334,PUA_TABLE!$C$4:$C$105,1))/1000,0))</f>
        <v>0</v>
      </c>
      <c r="AB334" s="10" t="n">
        <f aca="false">IF(A334="","",IFERROR(L334+AA334,0))</f>
        <v>26941.3487865602</v>
      </c>
      <c r="AC334" s="10" t="n">
        <f aca="false">IF(A334="","",IF(Inputs!$B$22="Premium Offset",MIN(Inputs!$B$25,Q334+T334),0))</f>
        <v>0</v>
      </c>
    </row>
    <row r="335" customFormat="false" ht="15" hidden="false" customHeight="false" outlineLevel="0" collapsed="false">
      <c r="A335" s="1" t="n">
        <f aca="false">IF(A334="","",IF(INT((C334+1)/12)+Inputs!$B$7&gt;MAX(MORTALITY!$A:$A),"",Inputs!$B$4))</f>
        <v>34</v>
      </c>
      <c r="B335" s="3" t="n">
        <f aca="false">IF(A335="","",EOMONTH(B334,1))</f>
        <v>31867</v>
      </c>
      <c r="C335" s="1" t="n">
        <f aca="false">IF(A335="","",C334+1)</f>
        <v>333</v>
      </c>
      <c r="D335" s="1" t="n">
        <f aca="false">IF(A335="","",INT(C335/12))</f>
        <v>27</v>
      </c>
      <c r="E335" s="1" t="n">
        <f aca="false">IF(A335="","",D335+Inputs!$B$7)</f>
        <v>43</v>
      </c>
      <c r="F335" s="3" t="n">
        <f aca="false">IF(A335="","",DATE(YEAR(B$2)+D335,MONTH(B$2),DAY(B$2)))</f>
        <v>31568</v>
      </c>
      <c r="G335" s="3" t="n">
        <f aca="false">IF(A335="","",DATE(YEAR(F335)+1,MONTH(F335),DAY(F335)))</f>
        <v>31933</v>
      </c>
      <c r="H335" s="10" t="n">
        <f aca="false">IF(A335="","",IF(G335&gt;F335,(B335-F335)/(G335-F335),0))</f>
        <v>0.819178082191781</v>
      </c>
      <c r="I335" s="10" t="n">
        <f aca="false">IF(A335="","",IFERROR(INDEX(CV_RATES!$I:$I,MATCH(D335,CV_RATES!$C:$C,0)),0))</f>
        <v>531.597453252987</v>
      </c>
      <c r="J335" s="10" t="n">
        <f aca="false">IF(A335="","",IFERROR(IF(E335=MAX(MORTALITY!$A:$A),1000,INDEX(CV_RATES!$J:$J,MATCH(D335,CV_RATES!$C:$C,0))),0))</f>
        <v>541.443631255037</v>
      </c>
      <c r="K335" s="10" t="n">
        <f aca="false">IF(A335="","",IFERROR(I335+H335*(J335-I335),0))</f>
        <v>539.663226465626</v>
      </c>
      <c r="L335" s="10" t="n">
        <f aca="false">IF(A335="","",IFERROR(K335*Inputs!$B$9,0))</f>
        <v>26983.1613232813</v>
      </c>
      <c r="M335" s="10" t="n">
        <f aca="false">IF(A335="","",IFERROR(K335*Inputs!$B$10,0))</f>
        <v>86344.4972448207</v>
      </c>
      <c r="N335" s="10" t="n">
        <f aca="false">IF(A335="","",Z334)</f>
        <v>0</v>
      </c>
      <c r="O335" s="6" t="n">
        <f aca="false">IF(A335="","",Inputs!$B$18+N335)</f>
        <v>50000</v>
      </c>
      <c r="P335" s="5" t="n">
        <f aca="false">IF(A335="","",VLOOKUP(D335,DIvidend_Assumption!$A$3:$CX$103,($E$2+2),0)/12)</f>
        <v>0</v>
      </c>
      <c r="Q335" s="10" t="n">
        <f aca="false">IF(A335="","",IFERROR(AB334*P335,""))</f>
        <v>0</v>
      </c>
      <c r="R335" s="10" t="n">
        <f aca="false">IF(A335="","",IFERROR(IF(Inputs!$B$22="Accumulate",T335+Q335,IF(Inputs!$B$22="Premium Offset",MAX(0,T335+Q335-Inputs!$B$25),T335)),""))</f>
        <v>0</v>
      </c>
      <c r="S335" s="10" t="n">
        <f aca="false">IF(A335="","",R334)</f>
        <v>0</v>
      </c>
      <c r="T335" s="10" t="n">
        <f aca="false">IF(A335="","",IFERROR(S335*(1+Inputs!$B$23/12),""))</f>
        <v>0</v>
      </c>
      <c r="U335" s="6" t="n">
        <f aca="false">IF(A335="","",IF(D335&lt;=Inputs!$B$8,IF(Inputs!$B$22="Premium Offset",MAX(0,Inputs!$B$25-(Q335+T335)),Inputs!$B$25),0))</f>
        <v>77</v>
      </c>
      <c r="V335" s="10" t="n">
        <f aca="false">IF(A335="","",IF(Inputs!$B$22="Cash",Q335,0))</f>
        <v>0</v>
      </c>
      <c r="W335" s="10" t="n">
        <f aca="false">IF(A335="","",IF(Inputs!$B$22="PUA",Q335,0))</f>
        <v>0</v>
      </c>
      <c r="X335" s="12" t="n">
        <f aca="false">IF(A335="","",IFERROR(INDEX(PUA_TABLE!$D$4:$D$105,MATCH(E335,PUA_TABLE!$C$4:$C$105,1)),0))</f>
        <v>0.531597453252987</v>
      </c>
      <c r="Y335" s="10" t="n">
        <f aca="false">IF(A335="","",IF(W335&gt;0,IF(X335&gt;0,W335/X335,0),0))</f>
        <v>0</v>
      </c>
      <c r="Z335" s="10" t="n">
        <f aca="false">IF(A335="","",N335+Y335)</f>
        <v>0</v>
      </c>
      <c r="AA335" s="10" t="n">
        <f aca="false">IF(A335="","",IFERROR(Z335*INDEX(PUA_TABLE!$I$4:$I$105,MATCH(E335,PUA_TABLE!$C$4:$C$105,1))/1000,0))</f>
        <v>0</v>
      </c>
      <c r="AB335" s="10" t="n">
        <f aca="false">IF(A335="","",IFERROR(L335+AA335,0))</f>
        <v>26983.1613232813</v>
      </c>
      <c r="AC335" s="10" t="n">
        <f aca="false">IF(A335="","",IF(Inputs!$B$22="Premium Offset",MIN(Inputs!$B$25,Q335+T335),0))</f>
        <v>0</v>
      </c>
    </row>
    <row r="336" customFormat="false" ht="15" hidden="false" customHeight="false" outlineLevel="0" collapsed="false">
      <c r="A336" s="1" t="n">
        <f aca="false">IF(A335="","",IF(INT((C335+1)/12)+Inputs!$B$7&gt;MAX(MORTALITY!$A:$A),"",Inputs!$B$4))</f>
        <v>34</v>
      </c>
      <c r="B336" s="3" t="n">
        <f aca="false">IF(A336="","",EOMONTH(B335,1))</f>
        <v>31897</v>
      </c>
      <c r="C336" s="1" t="n">
        <f aca="false">IF(A336="","",C335+1)</f>
        <v>334</v>
      </c>
      <c r="D336" s="1" t="n">
        <f aca="false">IF(A336="","",INT(C336/12))</f>
        <v>27</v>
      </c>
      <c r="E336" s="1" t="n">
        <f aca="false">IF(A336="","",D336+Inputs!$B$7)</f>
        <v>43</v>
      </c>
      <c r="F336" s="3" t="n">
        <f aca="false">IF(A336="","",DATE(YEAR(B$2)+D336,MONTH(B$2),DAY(B$2)))</f>
        <v>31568</v>
      </c>
      <c r="G336" s="3" t="n">
        <f aca="false">IF(A336="","",DATE(YEAR(F336)+1,MONTH(F336),DAY(F336)))</f>
        <v>31933</v>
      </c>
      <c r="H336" s="10" t="n">
        <f aca="false">IF(A336="","",IF(G336&gt;F336,(B336-F336)/(G336-F336),0))</f>
        <v>0.901369863013699</v>
      </c>
      <c r="I336" s="10" t="n">
        <f aca="false">IF(A336="","",IFERROR(INDEX(CV_RATES!$I:$I,MATCH(D336,CV_RATES!$C:$C,0)),0))</f>
        <v>531.597453252987</v>
      </c>
      <c r="J336" s="10" t="n">
        <f aca="false">IF(A336="","",IFERROR(IF(E336=MAX(MORTALITY!$A:$A),1000,INDEX(CV_RATES!$J:$J,MATCH(D336,CV_RATES!$C:$C,0))),0))</f>
        <v>541.443631255037</v>
      </c>
      <c r="K336" s="10" t="n">
        <f aca="false">IF(A336="","",IFERROR(I336+H336*(J336-I336),0))</f>
        <v>540.472501369904</v>
      </c>
      <c r="L336" s="10" t="n">
        <f aca="false">IF(A336="","",IFERROR(K336*Inputs!$B$9,0))</f>
        <v>27023.6250684952</v>
      </c>
      <c r="M336" s="10" t="n">
        <f aca="false">IF(A336="","",IFERROR(K336*Inputs!$B$10,0))</f>
        <v>86473.9788016805</v>
      </c>
      <c r="N336" s="10" t="n">
        <f aca="false">IF(A336="","",Z335)</f>
        <v>0</v>
      </c>
      <c r="O336" s="6" t="n">
        <f aca="false">IF(A336="","",Inputs!$B$18+N336)</f>
        <v>50000</v>
      </c>
      <c r="P336" s="5" t="n">
        <f aca="false">IF(A336="","",VLOOKUP(D336,DIvidend_Assumption!$A$3:$CX$103,($E$2+2),0)/12)</f>
        <v>0</v>
      </c>
      <c r="Q336" s="10" t="n">
        <f aca="false">IF(A336="","",IFERROR(AB335*P336,""))</f>
        <v>0</v>
      </c>
      <c r="R336" s="10" t="n">
        <f aca="false">IF(A336="","",IFERROR(IF(Inputs!$B$22="Accumulate",T336+Q336,IF(Inputs!$B$22="Premium Offset",MAX(0,T336+Q336-Inputs!$B$25),T336)),""))</f>
        <v>0</v>
      </c>
      <c r="S336" s="10" t="n">
        <f aca="false">IF(A336="","",R335)</f>
        <v>0</v>
      </c>
      <c r="T336" s="10" t="n">
        <f aca="false">IF(A336="","",IFERROR(S336*(1+Inputs!$B$23/12),""))</f>
        <v>0</v>
      </c>
      <c r="U336" s="6" t="n">
        <f aca="false">IF(A336="","",IF(D336&lt;=Inputs!$B$8,IF(Inputs!$B$22="Premium Offset",MAX(0,Inputs!$B$25-(Q336+T336)),Inputs!$B$25),0))</f>
        <v>77</v>
      </c>
      <c r="V336" s="10" t="n">
        <f aca="false">IF(A336="","",IF(Inputs!$B$22="Cash",Q336,0))</f>
        <v>0</v>
      </c>
      <c r="W336" s="10" t="n">
        <f aca="false">IF(A336="","",IF(Inputs!$B$22="PUA",Q336,0))</f>
        <v>0</v>
      </c>
      <c r="X336" s="12" t="n">
        <f aca="false">IF(A336="","",IFERROR(INDEX(PUA_TABLE!$D$4:$D$105,MATCH(E336,PUA_TABLE!$C$4:$C$105,1)),0))</f>
        <v>0.531597453252987</v>
      </c>
      <c r="Y336" s="10" t="n">
        <f aca="false">IF(A336="","",IF(W336&gt;0,IF(X336&gt;0,W336/X336,0),0))</f>
        <v>0</v>
      </c>
      <c r="Z336" s="10" t="n">
        <f aca="false">IF(A336="","",N336+Y336)</f>
        <v>0</v>
      </c>
      <c r="AA336" s="10" t="n">
        <f aca="false">IF(A336="","",IFERROR(Z336*INDEX(PUA_TABLE!$I$4:$I$105,MATCH(E336,PUA_TABLE!$C$4:$C$105,1))/1000,0))</f>
        <v>0</v>
      </c>
      <c r="AB336" s="10" t="n">
        <f aca="false">IF(A336="","",IFERROR(L336+AA336,0))</f>
        <v>27023.6250684952</v>
      </c>
      <c r="AC336" s="10" t="n">
        <f aca="false">IF(A336="","",IF(Inputs!$B$22="Premium Offset",MIN(Inputs!$B$25,Q336+T336),0))</f>
        <v>0</v>
      </c>
    </row>
    <row r="337" customFormat="false" ht="15" hidden="false" customHeight="false" outlineLevel="0" collapsed="false">
      <c r="A337" s="1" t="n">
        <f aca="false">IF(A336="","",IF(INT((C336+1)/12)+Inputs!$B$7&gt;MAX(MORTALITY!$A:$A),"",Inputs!$B$4))</f>
        <v>34</v>
      </c>
      <c r="B337" s="3" t="n">
        <f aca="false">IF(A337="","",EOMONTH(B336,1))</f>
        <v>31928</v>
      </c>
      <c r="C337" s="1" t="n">
        <f aca="false">IF(A337="","",C336+1)</f>
        <v>335</v>
      </c>
      <c r="D337" s="1" t="n">
        <f aca="false">IF(A337="","",INT(C337/12))</f>
        <v>27</v>
      </c>
      <c r="E337" s="1" t="n">
        <f aca="false">IF(A337="","",D337+Inputs!$B$7)</f>
        <v>43</v>
      </c>
      <c r="F337" s="3" t="n">
        <f aca="false">IF(A337="","",DATE(YEAR(B$2)+D337,MONTH(B$2),DAY(B$2)))</f>
        <v>31568</v>
      </c>
      <c r="G337" s="3" t="n">
        <f aca="false">IF(A337="","",DATE(YEAR(F337)+1,MONTH(F337),DAY(F337)))</f>
        <v>31933</v>
      </c>
      <c r="H337" s="10" t="n">
        <f aca="false">IF(A337="","",IF(G337&gt;F337,(B337-F337)/(G337-F337),0))</f>
        <v>0.986301369863014</v>
      </c>
      <c r="I337" s="10" t="n">
        <f aca="false">IF(A337="","",IFERROR(INDEX(CV_RATES!$I:$I,MATCH(D337,CV_RATES!$C:$C,0)),0))</f>
        <v>531.597453252987</v>
      </c>
      <c r="J337" s="10" t="n">
        <f aca="false">IF(A337="","",IFERROR(IF(E337=MAX(MORTALITY!$A:$A),1000,INDEX(CV_RATES!$J:$J,MATCH(D337,CV_RATES!$C:$C,0))),0))</f>
        <v>541.443631255037</v>
      </c>
      <c r="K337" s="10" t="n">
        <f aca="false">IF(A337="","",IFERROR(I337+H337*(J337-I337),0))</f>
        <v>541.308752104324</v>
      </c>
      <c r="L337" s="10" t="n">
        <f aca="false">IF(A337="","",IFERROR(K337*Inputs!$B$9,0))</f>
        <v>27065.4376052162</v>
      </c>
      <c r="M337" s="10" t="n">
        <f aca="false">IF(A337="","",IFERROR(K337*Inputs!$B$10,0))</f>
        <v>86607.7764104356</v>
      </c>
      <c r="N337" s="10" t="n">
        <f aca="false">IF(A337="","",Z336)</f>
        <v>0</v>
      </c>
      <c r="O337" s="6" t="n">
        <f aca="false">IF(A337="","",Inputs!$B$18+N337)</f>
        <v>50000</v>
      </c>
      <c r="P337" s="5" t="n">
        <f aca="false">IF(A337="","",VLOOKUP(D337,DIvidend_Assumption!$A$3:$CX$103,($E$2+2),0)/12)</f>
        <v>0</v>
      </c>
      <c r="Q337" s="10" t="n">
        <f aca="false">IF(A337="","",IFERROR(AB336*P337,""))</f>
        <v>0</v>
      </c>
      <c r="R337" s="10" t="n">
        <f aca="false">IF(A337="","",IFERROR(IF(Inputs!$B$22="Accumulate",T337+Q337,IF(Inputs!$B$22="Premium Offset",MAX(0,T337+Q337-Inputs!$B$25),T337)),""))</f>
        <v>0</v>
      </c>
      <c r="S337" s="10" t="n">
        <f aca="false">IF(A337="","",R336)</f>
        <v>0</v>
      </c>
      <c r="T337" s="10" t="n">
        <f aca="false">IF(A337="","",IFERROR(S337*(1+Inputs!$B$23/12),""))</f>
        <v>0</v>
      </c>
      <c r="U337" s="6" t="n">
        <f aca="false">IF(A337="","",IF(D337&lt;=Inputs!$B$8,IF(Inputs!$B$22="Premium Offset",MAX(0,Inputs!$B$25-(Q337+T337)),Inputs!$B$25),0))</f>
        <v>77</v>
      </c>
      <c r="V337" s="10" t="n">
        <f aca="false">IF(A337="","",IF(Inputs!$B$22="Cash",Q337,0))</f>
        <v>0</v>
      </c>
      <c r="W337" s="10" t="n">
        <f aca="false">IF(A337="","",IF(Inputs!$B$22="PUA",Q337,0))</f>
        <v>0</v>
      </c>
      <c r="X337" s="12" t="n">
        <f aca="false">IF(A337="","",IFERROR(INDEX(PUA_TABLE!$D$4:$D$105,MATCH(E337,PUA_TABLE!$C$4:$C$105,1)),0))</f>
        <v>0.531597453252987</v>
      </c>
      <c r="Y337" s="10" t="n">
        <f aca="false">IF(A337="","",IF(W337&gt;0,IF(X337&gt;0,W337/X337,0),0))</f>
        <v>0</v>
      </c>
      <c r="Z337" s="10" t="n">
        <f aca="false">IF(A337="","",N337+Y337)</f>
        <v>0</v>
      </c>
      <c r="AA337" s="10" t="n">
        <f aca="false">IF(A337="","",IFERROR(Z337*INDEX(PUA_TABLE!$I$4:$I$105,MATCH(E337,PUA_TABLE!$C$4:$C$105,1))/1000,0))</f>
        <v>0</v>
      </c>
      <c r="AB337" s="10" t="n">
        <f aca="false">IF(A337="","",IFERROR(L337+AA337,0))</f>
        <v>27065.4376052162</v>
      </c>
      <c r="AC337" s="10" t="n">
        <f aca="false">IF(A337="","",IF(Inputs!$B$22="Premium Offset",MIN(Inputs!$B$25,Q337+T337),0))</f>
        <v>0</v>
      </c>
    </row>
    <row r="338" customFormat="false" ht="15" hidden="false" customHeight="false" outlineLevel="0" collapsed="false">
      <c r="A338" s="1" t="n">
        <f aca="false">IF(A337="","",IF(INT((C337+1)/12)+Inputs!$B$7&gt;MAX(MORTALITY!$A:$A),"",Inputs!$B$4))</f>
        <v>34</v>
      </c>
      <c r="B338" s="3" t="n">
        <f aca="false">IF(A338="","",EOMONTH(B337,1))</f>
        <v>31958</v>
      </c>
      <c r="C338" s="1" t="n">
        <f aca="false">IF(A338="","",C337+1)</f>
        <v>336</v>
      </c>
      <c r="D338" s="1" t="n">
        <f aca="false">IF(A338="","",INT(C338/12))</f>
        <v>28</v>
      </c>
      <c r="E338" s="1" t="n">
        <f aca="false">IF(A338="","",D338+Inputs!$B$7)</f>
        <v>44</v>
      </c>
      <c r="F338" s="3" t="n">
        <f aca="false">IF(A338="","",DATE(YEAR(B$2)+D338,MONTH(B$2),DAY(B$2)))</f>
        <v>31933</v>
      </c>
      <c r="G338" s="3" t="n">
        <f aca="false">IF(A338="","",DATE(YEAR(F338)+1,MONTH(F338),DAY(F338)))</f>
        <v>32299</v>
      </c>
      <c r="H338" s="10" t="n">
        <f aca="false">IF(A338="","",IF(G338&gt;F338,(B338-F338)/(G338-F338),0))</f>
        <v>0.0683060109289618</v>
      </c>
      <c r="I338" s="10" t="n">
        <f aca="false">IF(A338="","",IFERROR(INDEX(CV_RATES!$I:$I,MATCH(D338,CV_RATES!$C:$C,0)),0))</f>
        <v>541.443631255037</v>
      </c>
      <c r="J338" s="10" t="n">
        <f aca="false">IF(A338="","",IFERROR(IF(E338=MAX(MORTALITY!$A:$A),1000,INDEX(CV_RATES!$J:$J,MATCH(D338,CV_RATES!$C:$C,0))),0))</f>
        <v>551.372759018925</v>
      </c>
      <c r="K338" s="10" t="n">
        <f aca="false">IF(A338="","",IFERROR(I338+H338*(J338-I338),0))</f>
        <v>542.121850364593</v>
      </c>
      <c r="L338" s="10" t="n">
        <f aca="false">IF(A338="","",IFERROR(K338*Inputs!$B$9,0))</f>
        <v>27106.0925182296</v>
      </c>
      <c r="M338" s="10" t="n">
        <f aca="false">IF(A338="","",IFERROR(K338*Inputs!$B$10,0))</f>
        <v>86737.8696927837</v>
      </c>
      <c r="N338" s="10" t="n">
        <f aca="false">IF(A338="","",Z337)</f>
        <v>0</v>
      </c>
      <c r="O338" s="6" t="n">
        <f aca="false">IF(A338="","",Inputs!$B$18+N338)</f>
        <v>50000</v>
      </c>
      <c r="P338" s="5" t="n">
        <f aca="false">IF(A338="","",VLOOKUP(D338,DIvidend_Assumption!$A$3:$CX$103,($E$2+2),0)/12)</f>
        <v>0</v>
      </c>
      <c r="Q338" s="10" t="n">
        <f aca="false">IF(A338="","",IFERROR(AB337*P338,""))</f>
        <v>0</v>
      </c>
      <c r="R338" s="10" t="n">
        <f aca="false">IF(A338="","",IFERROR(IF(Inputs!$B$22="Accumulate",T338+Q338,IF(Inputs!$B$22="Premium Offset",MAX(0,T338+Q338-Inputs!$B$25),T338)),""))</f>
        <v>0</v>
      </c>
      <c r="S338" s="10" t="n">
        <f aca="false">IF(A338="","",R337)</f>
        <v>0</v>
      </c>
      <c r="T338" s="10" t="n">
        <f aca="false">IF(A338="","",IFERROR(S338*(1+Inputs!$B$23/12),""))</f>
        <v>0</v>
      </c>
      <c r="U338" s="6" t="n">
        <f aca="false">IF(A338="","",IF(D338&lt;=Inputs!$B$8,IF(Inputs!$B$22="Premium Offset",MAX(0,Inputs!$B$25-(Q338+T338)),Inputs!$B$25),0))</f>
        <v>77</v>
      </c>
      <c r="V338" s="10" t="n">
        <f aca="false">IF(A338="","",IF(Inputs!$B$22="Cash",Q338,0))</f>
        <v>0</v>
      </c>
      <c r="W338" s="10" t="n">
        <f aca="false">IF(A338="","",IF(Inputs!$B$22="PUA",Q338,0))</f>
        <v>0</v>
      </c>
      <c r="X338" s="12" t="n">
        <f aca="false">IF(A338="","",IFERROR(INDEX(PUA_TABLE!$D$4:$D$105,MATCH(E338,PUA_TABLE!$C$4:$C$105,1)),0))</f>
        <v>0.541443631255037</v>
      </c>
      <c r="Y338" s="10" t="n">
        <f aca="false">IF(A338="","",IF(W338&gt;0,IF(X338&gt;0,W338/X338,0),0))</f>
        <v>0</v>
      </c>
      <c r="Z338" s="10" t="n">
        <f aca="false">IF(A338="","",N338+Y338)</f>
        <v>0</v>
      </c>
      <c r="AA338" s="10" t="n">
        <f aca="false">IF(A338="","",IFERROR(Z338*INDEX(PUA_TABLE!$I$4:$I$105,MATCH(E338,PUA_TABLE!$C$4:$C$105,1))/1000,0))</f>
        <v>0</v>
      </c>
      <c r="AB338" s="10" t="n">
        <f aca="false">IF(A338="","",IFERROR(L338+AA338,0))</f>
        <v>27106.0925182296</v>
      </c>
      <c r="AC338" s="10" t="n">
        <f aca="false">IF(A338="","",IF(Inputs!$B$22="Premium Offset",MIN(Inputs!$B$25,Q338+T338),0))</f>
        <v>0</v>
      </c>
    </row>
    <row r="339" customFormat="false" ht="15" hidden="false" customHeight="false" outlineLevel="0" collapsed="false">
      <c r="A339" s="1" t="n">
        <f aca="false">IF(A338="","",IF(INT((C338+1)/12)+Inputs!$B$7&gt;MAX(MORTALITY!$A:$A),"",Inputs!$B$4))</f>
        <v>34</v>
      </c>
      <c r="B339" s="3" t="n">
        <f aca="false">IF(A339="","",EOMONTH(B338,1))</f>
        <v>31989</v>
      </c>
      <c r="C339" s="1" t="n">
        <f aca="false">IF(A339="","",C338+1)</f>
        <v>337</v>
      </c>
      <c r="D339" s="1" t="n">
        <f aca="false">IF(A339="","",INT(C339/12))</f>
        <v>28</v>
      </c>
      <c r="E339" s="1" t="n">
        <f aca="false">IF(A339="","",D339+Inputs!$B$7)</f>
        <v>44</v>
      </c>
      <c r="F339" s="3" t="n">
        <f aca="false">IF(A339="","",DATE(YEAR(B$2)+D339,MONTH(B$2),DAY(B$2)))</f>
        <v>31933</v>
      </c>
      <c r="G339" s="3" t="n">
        <f aca="false">IF(A339="","",DATE(YEAR(F339)+1,MONTH(F339),DAY(F339)))</f>
        <v>32299</v>
      </c>
      <c r="H339" s="10" t="n">
        <f aca="false">IF(A339="","",IF(G339&gt;F339,(B339-F339)/(G339-F339),0))</f>
        <v>0.153005464480874</v>
      </c>
      <c r="I339" s="10" t="n">
        <f aca="false">IF(A339="","",IFERROR(INDEX(CV_RATES!$I:$I,MATCH(D339,CV_RATES!$C:$C,0)),0))</f>
        <v>541.443631255037</v>
      </c>
      <c r="J339" s="10" t="n">
        <f aca="false">IF(A339="","",IFERROR(IF(E339=MAX(MORTALITY!$A:$A),1000,INDEX(CV_RATES!$J:$J,MATCH(D339,CV_RATES!$C:$C,0))),0))</f>
        <v>551.372759018925</v>
      </c>
      <c r="K339" s="10" t="n">
        <f aca="false">IF(A339="","",IFERROR(I339+H339*(J339-I339),0))</f>
        <v>542.962842060441</v>
      </c>
      <c r="L339" s="10" t="n">
        <f aca="false">IF(A339="","",IFERROR(K339*Inputs!$B$9,0))</f>
        <v>27148.142103022</v>
      </c>
      <c r="M339" s="10" t="n">
        <f aca="false">IF(A339="","",IFERROR(K339*Inputs!$B$10,0))</f>
        <v>86872.4258411444</v>
      </c>
      <c r="N339" s="10" t="n">
        <f aca="false">IF(A339="","",Z338)</f>
        <v>0</v>
      </c>
      <c r="O339" s="6" t="n">
        <f aca="false">IF(A339="","",Inputs!$B$18+N339)</f>
        <v>50000</v>
      </c>
      <c r="P339" s="5" t="n">
        <f aca="false">IF(A339="","",VLOOKUP(D339,DIvidend_Assumption!$A$3:$CX$103,($E$2+2),0)/12)</f>
        <v>0</v>
      </c>
      <c r="Q339" s="10" t="n">
        <f aca="false">IF(A339="","",IFERROR(AB338*P339,""))</f>
        <v>0</v>
      </c>
      <c r="R339" s="10" t="n">
        <f aca="false">IF(A339="","",IFERROR(IF(Inputs!$B$22="Accumulate",T339+Q339,IF(Inputs!$B$22="Premium Offset",MAX(0,T339+Q339-Inputs!$B$25),T339)),""))</f>
        <v>0</v>
      </c>
      <c r="S339" s="10" t="n">
        <f aca="false">IF(A339="","",R338)</f>
        <v>0</v>
      </c>
      <c r="T339" s="10" t="n">
        <f aca="false">IF(A339="","",IFERROR(S339*(1+Inputs!$B$23/12),""))</f>
        <v>0</v>
      </c>
      <c r="U339" s="6" t="n">
        <f aca="false">IF(A339="","",IF(D339&lt;=Inputs!$B$8,IF(Inputs!$B$22="Premium Offset",MAX(0,Inputs!$B$25-(Q339+T339)),Inputs!$B$25),0))</f>
        <v>77</v>
      </c>
      <c r="V339" s="10" t="n">
        <f aca="false">IF(A339="","",IF(Inputs!$B$22="Cash",Q339,0))</f>
        <v>0</v>
      </c>
      <c r="W339" s="10" t="n">
        <f aca="false">IF(A339="","",IF(Inputs!$B$22="PUA",Q339,0))</f>
        <v>0</v>
      </c>
      <c r="X339" s="12" t="n">
        <f aca="false">IF(A339="","",IFERROR(INDEX(PUA_TABLE!$D$4:$D$105,MATCH(E339,PUA_TABLE!$C$4:$C$105,1)),0))</f>
        <v>0.541443631255037</v>
      </c>
      <c r="Y339" s="10" t="n">
        <f aca="false">IF(A339="","",IF(W339&gt;0,IF(X339&gt;0,W339/X339,0),0))</f>
        <v>0</v>
      </c>
      <c r="Z339" s="10" t="n">
        <f aca="false">IF(A339="","",N339+Y339)</f>
        <v>0</v>
      </c>
      <c r="AA339" s="10" t="n">
        <f aca="false">IF(A339="","",IFERROR(Z339*INDEX(PUA_TABLE!$I$4:$I$105,MATCH(E339,PUA_TABLE!$C$4:$C$105,1))/1000,0))</f>
        <v>0</v>
      </c>
      <c r="AB339" s="10" t="n">
        <f aca="false">IF(A339="","",IFERROR(L339+AA339,0))</f>
        <v>27148.142103022</v>
      </c>
      <c r="AC339" s="10" t="n">
        <f aca="false">IF(A339="","",IF(Inputs!$B$22="Premium Offset",MIN(Inputs!$B$25,Q339+T339),0))</f>
        <v>0</v>
      </c>
    </row>
    <row r="340" customFormat="false" ht="15" hidden="false" customHeight="false" outlineLevel="0" collapsed="false">
      <c r="A340" s="1" t="n">
        <f aca="false">IF(A339="","",IF(INT((C339+1)/12)+Inputs!$B$7&gt;MAX(MORTALITY!$A:$A),"",Inputs!$B$4))</f>
        <v>34</v>
      </c>
      <c r="B340" s="3" t="n">
        <f aca="false">IF(A340="","",EOMONTH(B339,1))</f>
        <v>32020</v>
      </c>
      <c r="C340" s="1" t="n">
        <f aca="false">IF(A340="","",C339+1)</f>
        <v>338</v>
      </c>
      <c r="D340" s="1" t="n">
        <f aca="false">IF(A340="","",INT(C340/12))</f>
        <v>28</v>
      </c>
      <c r="E340" s="1" t="n">
        <f aca="false">IF(A340="","",D340+Inputs!$B$7)</f>
        <v>44</v>
      </c>
      <c r="F340" s="3" t="n">
        <f aca="false">IF(A340="","",DATE(YEAR(B$2)+D340,MONTH(B$2),DAY(B$2)))</f>
        <v>31933</v>
      </c>
      <c r="G340" s="3" t="n">
        <f aca="false">IF(A340="","",DATE(YEAR(F340)+1,MONTH(F340),DAY(F340)))</f>
        <v>32299</v>
      </c>
      <c r="H340" s="10" t="n">
        <f aca="false">IF(A340="","",IF(G340&gt;F340,(B340-F340)/(G340-F340),0))</f>
        <v>0.237704918032787</v>
      </c>
      <c r="I340" s="10" t="n">
        <f aca="false">IF(A340="","",IFERROR(INDEX(CV_RATES!$I:$I,MATCH(D340,CV_RATES!$C:$C,0)),0))</f>
        <v>541.443631255037</v>
      </c>
      <c r="J340" s="10" t="n">
        <f aca="false">IF(A340="","",IFERROR(IF(E340=MAX(MORTALITY!$A:$A),1000,INDEX(CV_RATES!$J:$J,MATCH(D340,CV_RATES!$C:$C,0))),0))</f>
        <v>551.372759018925</v>
      </c>
      <c r="K340" s="10" t="n">
        <f aca="false">IF(A340="","",IFERROR(I340+H340*(J340-I340),0))</f>
        <v>543.803833756289</v>
      </c>
      <c r="L340" s="10" t="n">
        <f aca="false">IF(A340="","",IFERROR(K340*Inputs!$B$9,0))</f>
        <v>27190.1916878145</v>
      </c>
      <c r="M340" s="10" t="n">
        <f aca="false">IF(A340="","",IFERROR(K340*Inputs!$B$10,0))</f>
        <v>87006.981989505</v>
      </c>
      <c r="N340" s="10" t="n">
        <f aca="false">IF(A340="","",Z339)</f>
        <v>0</v>
      </c>
      <c r="O340" s="6" t="n">
        <f aca="false">IF(A340="","",Inputs!$B$18+N340)</f>
        <v>50000</v>
      </c>
      <c r="P340" s="5" t="n">
        <f aca="false">IF(A340="","",VLOOKUP(D340,DIvidend_Assumption!$A$3:$CX$103,($E$2+2),0)/12)</f>
        <v>0</v>
      </c>
      <c r="Q340" s="10" t="n">
        <f aca="false">IF(A340="","",IFERROR(AB339*P340,""))</f>
        <v>0</v>
      </c>
      <c r="R340" s="10" t="n">
        <f aca="false">IF(A340="","",IFERROR(IF(Inputs!$B$22="Accumulate",T340+Q340,IF(Inputs!$B$22="Premium Offset",MAX(0,T340+Q340-Inputs!$B$25),T340)),""))</f>
        <v>0</v>
      </c>
      <c r="S340" s="10" t="n">
        <f aca="false">IF(A340="","",R339)</f>
        <v>0</v>
      </c>
      <c r="T340" s="10" t="n">
        <f aca="false">IF(A340="","",IFERROR(S340*(1+Inputs!$B$23/12),""))</f>
        <v>0</v>
      </c>
      <c r="U340" s="6" t="n">
        <f aca="false">IF(A340="","",IF(D340&lt;=Inputs!$B$8,IF(Inputs!$B$22="Premium Offset",MAX(0,Inputs!$B$25-(Q340+T340)),Inputs!$B$25),0))</f>
        <v>77</v>
      </c>
      <c r="V340" s="10" t="n">
        <f aca="false">IF(A340="","",IF(Inputs!$B$22="Cash",Q340,0))</f>
        <v>0</v>
      </c>
      <c r="W340" s="10" t="n">
        <f aca="false">IF(A340="","",IF(Inputs!$B$22="PUA",Q340,0))</f>
        <v>0</v>
      </c>
      <c r="X340" s="12" t="n">
        <f aca="false">IF(A340="","",IFERROR(INDEX(PUA_TABLE!$D$4:$D$105,MATCH(E340,PUA_TABLE!$C$4:$C$105,1)),0))</f>
        <v>0.541443631255037</v>
      </c>
      <c r="Y340" s="10" t="n">
        <f aca="false">IF(A340="","",IF(W340&gt;0,IF(X340&gt;0,W340/X340,0),0))</f>
        <v>0</v>
      </c>
      <c r="Z340" s="10" t="n">
        <f aca="false">IF(A340="","",N340+Y340)</f>
        <v>0</v>
      </c>
      <c r="AA340" s="10" t="n">
        <f aca="false">IF(A340="","",IFERROR(Z340*INDEX(PUA_TABLE!$I$4:$I$105,MATCH(E340,PUA_TABLE!$C$4:$C$105,1))/1000,0))</f>
        <v>0</v>
      </c>
      <c r="AB340" s="10" t="n">
        <f aca="false">IF(A340="","",IFERROR(L340+AA340,0))</f>
        <v>27190.1916878145</v>
      </c>
      <c r="AC340" s="10" t="n">
        <f aca="false">IF(A340="","",IF(Inputs!$B$22="Premium Offset",MIN(Inputs!$B$25,Q340+T340),0))</f>
        <v>0</v>
      </c>
    </row>
    <row r="341" customFormat="false" ht="15" hidden="false" customHeight="false" outlineLevel="0" collapsed="false">
      <c r="A341" s="1" t="n">
        <f aca="false">IF(A340="","",IF(INT((C340+1)/12)+Inputs!$B$7&gt;MAX(MORTALITY!$A:$A),"",Inputs!$B$4))</f>
        <v>34</v>
      </c>
      <c r="B341" s="3" t="n">
        <f aca="false">IF(A341="","",EOMONTH(B340,1))</f>
        <v>32050</v>
      </c>
      <c r="C341" s="1" t="n">
        <f aca="false">IF(A341="","",C340+1)</f>
        <v>339</v>
      </c>
      <c r="D341" s="1" t="n">
        <f aca="false">IF(A341="","",INT(C341/12))</f>
        <v>28</v>
      </c>
      <c r="E341" s="1" t="n">
        <f aca="false">IF(A341="","",D341+Inputs!$B$7)</f>
        <v>44</v>
      </c>
      <c r="F341" s="3" t="n">
        <f aca="false">IF(A341="","",DATE(YEAR(B$2)+D341,MONTH(B$2),DAY(B$2)))</f>
        <v>31933</v>
      </c>
      <c r="G341" s="3" t="n">
        <f aca="false">IF(A341="","",DATE(YEAR(F341)+1,MONTH(F341),DAY(F341)))</f>
        <v>32299</v>
      </c>
      <c r="H341" s="10" t="n">
        <f aca="false">IF(A341="","",IF(G341&gt;F341,(B341-F341)/(G341-F341),0))</f>
        <v>0.319672131147541</v>
      </c>
      <c r="I341" s="10" t="n">
        <f aca="false">IF(A341="","",IFERROR(INDEX(CV_RATES!$I:$I,MATCH(D341,CV_RATES!$C:$C,0)),0))</f>
        <v>541.443631255037</v>
      </c>
      <c r="J341" s="10" t="n">
        <f aca="false">IF(A341="","",IFERROR(IF(E341=MAX(MORTALITY!$A:$A),1000,INDEX(CV_RATES!$J:$J,MATCH(D341,CV_RATES!$C:$C,0))),0))</f>
        <v>551.372759018925</v>
      </c>
      <c r="K341" s="10" t="n">
        <f aca="false">IF(A341="","",IFERROR(I341+H341*(J341-I341),0))</f>
        <v>544.617696687756</v>
      </c>
      <c r="L341" s="10" t="n">
        <f aca="false">IF(A341="","",IFERROR(K341*Inputs!$B$9,0))</f>
        <v>27230.8848343878</v>
      </c>
      <c r="M341" s="10" t="n">
        <f aca="false">IF(A341="","",IFERROR(K341*Inputs!$B$10,0))</f>
        <v>87137.1976169508</v>
      </c>
      <c r="N341" s="10" t="n">
        <f aca="false">IF(A341="","",Z340)</f>
        <v>0</v>
      </c>
      <c r="O341" s="6" t="n">
        <f aca="false">IF(A341="","",Inputs!$B$18+N341)</f>
        <v>50000</v>
      </c>
      <c r="P341" s="5" t="n">
        <f aca="false">IF(A341="","",VLOOKUP(D341,DIvidend_Assumption!$A$3:$CX$103,($E$2+2),0)/12)</f>
        <v>0</v>
      </c>
      <c r="Q341" s="10" t="n">
        <f aca="false">IF(A341="","",IFERROR(AB340*P341,""))</f>
        <v>0</v>
      </c>
      <c r="R341" s="10" t="n">
        <f aca="false">IF(A341="","",IFERROR(IF(Inputs!$B$22="Accumulate",T341+Q341,IF(Inputs!$B$22="Premium Offset",MAX(0,T341+Q341-Inputs!$B$25),T341)),""))</f>
        <v>0</v>
      </c>
      <c r="S341" s="10" t="n">
        <f aca="false">IF(A341="","",R340)</f>
        <v>0</v>
      </c>
      <c r="T341" s="10" t="n">
        <f aca="false">IF(A341="","",IFERROR(S341*(1+Inputs!$B$23/12),""))</f>
        <v>0</v>
      </c>
      <c r="U341" s="6" t="n">
        <f aca="false">IF(A341="","",IF(D341&lt;=Inputs!$B$8,IF(Inputs!$B$22="Premium Offset",MAX(0,Inputs!$B$25-(Q341+T341)),Inputs!$B$25),0))</f>
        <v>77</v>
      </c>
      <c r="V341" s="10" t="n">
        <f aca="false">IF(A341="","",IF(Inputs!$B$22="Cash",Q341,0))</f>
        <v>0</v>
      </c>
      <c r="W341" s="10" t="n">
        <f aca="false">IF(A341="","",IF(Inputs!$B$22="PUA",Q341,0))</f>
        <v>0</v>
      </c>
      <c r="X341" s="12" t="n">
        <f aca="false">IF(A341="","",IFERROR(INDEX(PUA_TABLE!$D$4:$D$105,MATCH(E341,PUA_TABLE!$C$4:$C$105,1)),0))</f>
        <v>0.541443631255037</v>
      </c>
      <c r="Y341" s="10" t="n">
        <f aca="false">IF(A341="","",IF(W341&gt;0,IF(X341&gt;0,W341/X341,0),0))</f>
        <v>0</v>
      </c>
      <c r="Z341" s="10" t="n">
        <f aca="false">IF(A341="","",N341+Y341)</f>
        <v>0</v>
      </c>
      <c r="AA341" s="10" t="n">
        <f aca="false">IF(A341="","",IFERROR(Z341*INDEX(PUA_TABLE!$I$4:$I$105,MATCH(E341,PUA_TABLE!$C$4:$C$105,1))/1000,0))</f>
        <v>0</v>
      </c>
      <c r="AB341" s="10" t="n">
        <f aca="false">IF(A341="","",IFERROR(L341+AA341,0))</f>
        <v>27230.8848343878</v>
      </c>
      <c r="AC341" s="10" t="n">
        <f aca="false">IF(A341="","",IF(Inputs!$B$22="Premium Offset",MIN(Inputs!$B$25,Q341+T341),0))</f>
        <v>0</v>
      </c>
    </row>
    <row r="342" customFormat="false" ht="15" hidden="false" customHeight="false" outlineLevel="0" collapsed="false">
      <c r="A342" s="1" t="n">
        <f aca="false">IF(A341="","",IF(INT((C341+1)/12)+Inputs!$B$7&gt;MAX(MORTALITY!$A:$A),"",Inputs!$B$4))</f>
        <v>34</v>
      </c>
      <c r="B342" s="3" t="n">
        <f aca="false">IF(A342="","",EOMONTH(B341,1))</f>
        <v>32081</v>
      </c>
      <c r="C342" s="1" t="n">
        <f aca="false">IF(A342="","",C341+1)</f>
        <v>340</v>
      </c>
      <c r="D342" s="1" t="n">
        <f aca="false">IF(A342="","",INT(C342/12))</f>
        <v>28</v>
      </c>
      <c r="E342" s="1" t="n">
        <f aca="false">IF(A342="","",D342+Inputs!$B$7)</f>
        <v>44</v>
      </c>
      <c r="F342" s="3" t="n">
        <f aca="false">IF(A342="","",DATE(YEAR(B$2)+D342,MONTH(B$2),DAY(B$2)))</f>
        <v>31933</v>
      </c>
      <c r="G342" s="3" t="n">
        <f aca="false">IF(A342="","",DATE(YEAR(F342)+1,MONTH(F342),DAY(F342)))</f>
        <v>32299</v>
      </c>
      <c r="H342" s="10" t="n">
        <f aca="false">IF(A342="","",IF(G342&gt;F342,(B342-F342)/(G342-F342),0))</f>
        <v>0.404371584699454</v>
      </c>
      <c r="I342" s="10" t="n">
        <f aca="false">IF(A342="","",IFERROR(INDEX(CV_RATES!$I:$I,MATCH(D342,CV_RATES!$C:$C,0)),0))</f>
        <v>541.443631255037</v>
      </c>
      <c r="J342" s="10" t="n">
        <f aca="false">IF(A342="","",IFERROR(IF(E342=MAX(MORTALITY!$A:$A),1000,INDEX(CV_RATES!$J:$J,MATCH(D342,CV_RATES!$C:$C,0))),0))</f>
        <v>551.372759018925</v>
      </c>
      <c r="K342" s="10" t="n">
        <f aca="false">IF(A342="","",IFERROR(I342+H342*(J342-I342),0))</f>
        <v>545.458688383604</v>
      </c>
      <c r="L342" s="10" t="n">
        <f aca="false">IF(A342="","",IFERROR(K342*Inputs!$B$9,0))</f>
        <v>27272.9344191802</v>
      </c>
      <c r="M342" s="10" t="n">
        <f aca="false">IF(A342="","",IFERROR(K342*Inputs!$B$10,0))</f>
        <v>87271.7537653115</v>
      </c>
      <c r="N342" s="10" t="n">
        <f aca="false">IF(A342="","",Z341)</f>
        <v>0</v>
      </c>
      <c r="O342" s="6" t="n">
        <f aca="false">IF(A342="","",Inputs!$B$18+N342)</f>
        <v>50000</v>
      </c>
      <c r="P342" s="5" t="n">
        <f aca="false">IF(A342="","",VLOOKUP(D342,DIvidend_Assumption!$A$3:$CX$103,($E$2+2),0)/12)</f>
        <v>0</v>
      </c>
      <c r="Q342" s="10" t="n">
        <f aca="false">IF(A342="","",IFERROR(AB341*P342,""))</f>
        <v>0</v>
      </c>
      <c r="R342" s="10" t="n">
        <f aca="false">IF(A342="","",IFERROR(IF(Inputs!$B$22="Accumulate",T342+Q342,IF(Inputs!$B$22="Premium Offset",MAX(0,T342+Q342-Inputs!$B$25),T342)),""))</f>
        <v>0</v>
      </c>
      <c r="S342" s="10" t="n">
        <f aca="false">IF(A342="","",R341)</f>
        <v>0</v>
      </c>
      <c r="T342" s="10" t="n">
        <f aca="false">IF(A342="","",IFERROR(S342*(1+Inputs!$B$23/12),""))</f>
        <v>0</v>
      </c>
      <c r="U342" s="6" t="n">
        <f aca="false">IF(A342="","",IF(D342&lt;=Inputs!$B$8,IF(Inputs!$B$22="Premium Offset",MAX(0,Inputs!$B$25-(Q342+T342)),Inputs!$B$25),0))</f>
        <v>77</v>
      </c>
      <c r="V342" s="10" t="n">
        <f aca="false">IF(A342="","",IF(Inputs!$B$22="Cash",Q342,0))</f>
        <v>0</v>
      </c>
      <c r="W342" s="10" t="n">
        <f aca="false">IF(A342="","",IF(Inputs!$B$22="PUA",Q342,0))</f>
        <v>0</v>
      </c>
      <c r="X342" s="12" t="n">
        <f aca="false">IF(A342="","",IFERROR(INDEX(PUA_TABLE!$D$4:$D$105,MATCH(E342,PUA_TABLE!$C$4:$C$105,1)),0))</f>
        <v>0.541443631255037</v>
      </c>
      <c r="Y342" s="10" t="n">
        <f aca="false">IF(A342="","",IF(W342&gt;0,IF(X342&gt;0,W342/X342,0),0))</f>
        <v>0</v>
      </c>
      <c r="Z342" s="10" t="n">
        <f aca="false">IF(A342="","",N342+Y342)</f>
        <v>0</v>
      </c>
      <c r="AA342" s="10" t="n">
        <f aca="false">IF(A342="","",IFERROR(Z342*INDEX(PUA_TABLE!$I$4:$I$105,MATCH(E342,PUA_TABLE!$C$4:$C$105,1))/1000,0))</f>
        <v>0</v>
      </c>
      <c r="AB342" s="10" t="n">
        <f aca="false">IF(A342="","",IFERROR(L342+AA342,0))</f>
        <v>27272.9344191802</v>
      </c>
      <c r="AC342" s="10" t="n">
        <f aca="false">IF(A342="","",IF(Inputs!$B$22="Premium Offset",MIN(Inputs!$B$25,Q342+T342),0))</f>
        <v>0</v>
      </c>
    </row>
    <row r="343" customFormat="false" ht="15" hidden="false" customHeight="false" outlineLevel="0" collapsed="false">
      <c r="A343" s="1" t="n">
        <f aca="false">IF(A342="","",IF(INT((C342+1)/12)+Inputs!$B$7&gt;MAX(MORTALITY!$A:$A),"",Inputs!$B$4))</f>
        <v>34</v>
      </c>
      <c r="B343" s="3" t="n">
        <f aca="false">IF(A343="","",EOMONTH(B342,1))</f>
        <v>32111</v>
      </c>
      <c r="C343" s="1" t="n">
        <f aca="false">IF(A343="","",C342+1)</f>
        <v>341</v>
      </c>
      <c r="D343" s="1" t="n">
        <f aca="false">IF(A343="","",INT(C343/12))</f>
        <v>28</v>
      </c>
      <c r="E343" s="1" t="n">
        <f aca="false">IF(A343="","",D343+Inputs!$B$7)</f>
        <v>44</v>
      </c>
      <c r="F343" s="3" t="n">
        <f aca="false">IF(A343="","",DATE(YEAR(B$2)+D343,MONTH(B$2),DAY(B$2)))</f>
        <v>31933</v>
      </c>
      <c r="G343" s="3" t="n">
        <f aca="false">IF(A343="","",DATE(YEAR(F343)+1,MONTH(F343),DAY(F343)))</f>
        <v>32299</v>
      </c>
      <c r="H343" s="10" t="n">
        <f aca="false">IF(A343="","",IF(G343&gt;F343,(B343-F343)/(G343-F343),0))</f>
        <v>0.486338797814208</v>
      </c>
      <c r="I343" s="10" t="n">
        <f aca="false">IF(A343="","",IFERROR(INDEX(CV_RATES!$I:$I,MATCH(D343,CV_RATES!$C:$C,0)),0))</f>
        <v>541.443631255037</v>
      </c>
      <c r="J343" s="10" t="n">
        <f aca="false">IF(A343="","",IFERROR(IF(E343=MAX(MORTALITY!$A:$A),1000,INDEX(CV_RATES!$J:$J,MATCH(D343,CV_RATES!$C:$C,0))),0))</f>
        <v>551.372759018925</v>
      </c>
      <c r="K343" s="10" t="n">
        <f aca="false">IF(A343="","",IFERROR(I343+H343*(J343-I343),0))</f>
        <v>546.27255131507</v>
      </c>
      <c r="L343" s="10" t="n">
        <f aca="false">IF(A343="","",IFERROR(K343*Inputs!$B$9,0))</f>
        <v>27313.6275657535</v>
      </c>
      <c r="M343" s="10" t="n">
        <f aca="false">IF(A343="","",IFERROR(K343*Inputs!$B$10,0))</f>
        <v>87401.9693927573</v>
      </c>
      <c r="N343" s="10" t="n">
        <f aca="false">IF(A343="","",Z342)</f>
        <v>0</v>
      </c>
      <c r="O343" s="6" t="n">
        <f aca="false">IF(A343="","",Inputs!$B$18+N343)</f>
        <v>50000</v>
      </c>
      <c r="P343" s="5" t="n">
        <f aca="false">IF(A343="","",VLOOKUP(D343,DIvidend_Assumption!$A$3:$CX$103,($E$2+2),0)/12)</f>
        <v>0</v>
      </c>
      <c r="Q343" s="10" t="n">
        <f aca="false">IF(A343="","",IFERROR(AB342*P343,""))</f>
        <v>0</v>
      </c>
      <c r="R343" s="10" t="n">
        <f aca="false">IF(A343="","",IFERROR(IF(Inputs!$B$22="Accumulate",T343+Q343,IF(Inputs!$B$22="Premium Offset",MAX(0,T343+Q343-Inputs!$B$25),T343)),""))</f>
        <v>0</v>
      </c>
      <c r="S343" s="10" t="n">
        <f aca="false">IF(A343="","",R342)</f>
        <v>0</v>
      </c>
      <c r="T343" s="10" t="n">
        <f aca="false">IF(A343="","",IFERROR(S343*(1+Inputs!$B$23/12),""))</f>
        <v>0</v>
      </c>
      <c r="U343" s="6" t="n">
        <f aca="false">IF(A343="","",IF(D343&lt;=Inputs!$B$8,IF(Inputs!$B$22="Premium Offset",MAX(0,Inputs!$B$25-(Q343+T343)),Inputs!$B$25),0))</f>
        <v>77</v>
      </c>
      <c r="V343" s="10" t="n">
        <f aca="false">IF(A343="","",IF(Inputs!$B$22="Cash",Q343,0))</f>
        <v>0</v>
      </c>
      <c r="W343" s="10" t="n">
        <f aca="false">IF(A343="","",IF(Inputs!$B$22="PUA",Q343,0))</f>
        <v>0</v>
      </c>
      <c r="X343" s="12" t="n">
        <f aca="false">IF(A343="","",IFERROR(INDEX(PUA_TABLE!$D$4:$D$105,MATCH(E343,PUA_TABLE!$C$4:$C$105,1)),0))</f>
        <v>0.541443631255037</v>
      </c>
      <c r="Y343" s="10" t="n">
        <f aca="false">IF(A343="","",IF(W343&gt;0,IF(X343&gt;0,W343/X343,0),0))</f>
        <v>0</v>
      </c>
      <c r="Z343" s="10" t="n">
        <f aca="false">IF(A343="","",N343+Y343)</f>
        <v>0</v>
      </c>
      <c r="AA343" s="10" t="n">
        <f aca="false">IF(A343="","",IFERROR(Z343*INDEX(PUA_TABLE!$I$4:$I$105,MATCH(E343,PUA_TABLE!$C$4:$C$105,1))/1000,0))</f>
        <v>0</v>
      </c>
      <c r="AB343" s="10" t="n">
        <f aca="false">IF(A343="","",IFERROR(L343+AA343,0))</f>
        <v>27313.6275657535</v>
      </c>
      <c r="AC343" s="10" t="n">
        <f aca="false">IF(A343="","",IF(Inputs!$B$22="Premium Offset",MIN(Inputs!$B$25,Q343+T343),0))</f>
        <v>0</v>
      </c>
    </row>
    <row r="344" customFormat="false" ht="15" hidden="false" customHeight="false" outlineLevel="0" collapsed="false">
      <c r="A344" s="1" t="n">
        <f aca="false">IF(A343="","",IF(INT((C343+1)/12)+Inputs!$B$7&gt;MAX(MORTALITY!$A:$A),"",Inputs!$B$4))</f>
        <v>34</v>
      </c>
      <c r="B344" s="3" t="n">
        <f aca="false">IF(A344="","",EOMONTH(B343,1))</f>
        <v>32142</v>
      </c>
      <c r="C344" s="1" t="n">
        <f aca="false">IF(A344="","",C343+1)</f>
        <v>342</v>
      </c>
      <c r="D344" s="1" t="n">
        <f aca="false">IF(A344="","",INT(C344/12))</f>
        <v>28</v>
      </c>
      <c r="E344" s="1" t="n">
        <f aca="false">IF(A344="","",D344+Inputs!$B$7)</f>
        <v>44</v>
      </c>
      <c r="F344" s="3" t="n">
        <f aca="false">IF(A344="","",DATE(YEAR(B$2)+D344,MONTH(B$2),DAY(B$2)))</f>
        <v>31933</v>
      </c>
      <c r="G344" s="3" t="n">
        <f aca="false">IF(A344="","",DATE(YEAR(F344)+1,MONTH(F344),DAY(F344)))</f>
        <v>32299</v>
      </c>
      <c r="H344" s="10" t="n">
        <f aca="false">IF(A344="","",IF(G344&gt;F344,(B344-F344)/(G344-F344),0))</f>
        <v>0.57103825136612</v>
      </c>
      <c r="I344" s="10" t="n">
        <f aca="false">IF(A344="","",IFERROR(INDEX(CV_RATES!$I:$I,MATCH(D344,CV_RATES!$C:$C,0)),0))</f>
        <v>541.443631255037</v>
      </c>
      <c r="J344" s="10" t="n">
        <f aca="false">IF(A344="","",IFERROR(IF(E344=MAX(MORTALITY!$A:$A),1000,INDEX(CV_RATES!$J:$J,MATCH(D344,CV_RATES!$C:$C,0))),0))</f>
        <v>551.372759018925</v>
      </c>
      <c r="K344" s="10" t="n">
        <f aca="false">IF(A344="","",IFERROR(I344+H344*(J344-I344),0))</f>
        <v>547.113543010919</v>
      </c>
      <c r="L344" s="10" t="n">
        <f aca="false">IF(A344="","",IFERROR(K344*Inputs!$B$9,0))</f>
        <v>27355.6771505459</v>
      </c>
      <c r="M344" s="10" t="n">
        <f aca="false">IF(A344="","",IFERROR(K344*Inputs!$B$10,0))</f>
        <v>87536.525541118</v>
      </c>
      <c r="N344" s="10" t="n">
        <f aca="false">IF(A344="","",Z343)</f>
        <v>0</v>
      </c>
      <c r="O344" s="6" t="n">
        <f aca="false">IF(A344="","",Inputs!$B$18+N344)</f>
        <v>50000</v>
      </c>
      <c r="P344" s="5" t="n">
        <f aca="false">IF(A344="","",VLOOKUP(D344,DIvidend_Assumption!$A$3:$CX$103,($E$2+2),0)/12)</f>
        <v>0</v>
      </c>
      <c r="Q344" s="10" t="n">
        <f aca="false">IF(A344="","",IFERROR(AB343*P344,""))</f>
        <v>0</v>
      </c>
      <c r="R344" s="10" t="n">
        <f aca="false">IF(A344="","",IFERROR(IF(Inputs!$B$22="Accumulate",T344+Q344,IF(Inputs!$B$22="Premium Offset",MAX(0,T344+Q344-Inputs!$B$25),T344)),""))</f>
        <v>0</v>
      </c>
      <c r="S344" s="10" t="n">
        <f aca="false">IF(A344="","",R343)</f>
        <v>0</v>
      </c>
      <c r="T344" s="10" t="n">
        <f aca="false">IF(A344="","",IFERROR(S344*(1+Inputs!$B$23/12),""))</f>
        <v>0</v>
      </c>
      <c r="U344" s="6" t="n">
        <f aca="false">IF(A344="","",IF(D344&lt;=Inputs!$B$8,IF(Inputs!$B$22="Premium Offset",MAX(0,Inputs!$B$25-(Q344+T344)),Inputs!$B$25),0))</f>
        <v>77</v>
      </c>
      <c r="V344" s="10" t="n">
        <f aca="false">IF(A344="","",IF(Inputs!$B$22="Cash",Q344,0))</f>
        <v>0</v>
      </c>
      <c r="W344" s="10" t="n">
        <f aca="false">IF(A344="","",IF(Inputs!$B$22="PUA",Q344,0))</f>
        <v>0</v>
      </c>
      <c r="X344" s="12" t="n">
        <f aca="false">IF(A344="","",IFERROR(INDEX(PUA_TABLE!$D$4:$D$105,MATCH(E344,PUA_TABLE!$C$4:$C$105,1)),0))</f>
        <v>0.541443631255037</v>
      </c>
      <c r="Y344" s="10" t="n">
        <f aca="false">IF(A344="","",IF(W344&gt;0,IF(X344&gt;0,W344/X344,0),0))</f>
        <v>0</v>
      </c>
      <c r="Z344" s="10" t="n">
        <f aca="false">IF(A344="","",N344+Y344)</f>
        <v>0</v>
      </c>
      <c r="AA344" s="10" t="n">
        <f aca="false">IF(A344="","",IFERROR(Z344*INDEX(PUA_TABLE!$I$4:$I$105,MATCH(E344,PUA_TABLE!$C$4:$C$105,1))/1000,0))</f>
        <v>0</v>
      </c>
      <c r="AB344" s="10" t="n">
        <f aca="false">IF(A344="","",IFERROR(L344+AA344,0))</f>
        <v>27355.6771505459</v>
      </c>
      <c r="AC344" s="10" t="n">
        <f aca="false">IF(A344="","",IF(Inputs!$B$22="Premium Offset",MIN(Inputs!$B$25,Q344+T344),0))</f>
        <v>0</v>
      </c>
    </row>
    <row r="345" customFormat="false" ht="15" hidden="false" customHeight="false" outlineLevel="0" collapsed="false">
      <c r="A345" s="1" t="n">
        <f aca="false">IF(A344="","",IF(INT((C344+1)/12)+Inputs!$B$7&gt;MAX(MORTALITY!$A:$A),"",Inputs!$B$4))</f>
        <v>34</v>
      </c>
      <c r="B345" s="3" t="n">
        <f aca="false">IF(A345="","",EOMONTH(B344,1))</f>
        <v>32173</v>
      </c>
      <c r="C345" s="1" t="n">
        <f aca="false">IF(A345="","",C344+1)</f>
        <v>343</v>
      </c>
      <c r="D345" s="1" t="n">
        <f aca="false">IF(A345="","",INT(C345/12))</f>
        <v>28</v>
      </c>
      <c r="E345" s="1" t="n">
        <f aca="false">IF(A345="","",D345+Inputs!$B$7)</f>
        <v>44</v>
      </c>
      <c r="F345" s="3" t="n">
        <f aca="false">IF(A345="","",DATE(YEAR(B$2)+D345,MONTH(B$2),DAY(B$2)))</f>
        <v>31933</v>
      </c>
      <c r="G345" s="3" t="n">
        <f aca="false">IF(A345="","",DATE(YEAR(F345)+1,MONTH(F345),DAY(F345)))</f>
        <v>32299</v>
      </c>
      <c r="H345" s="10" t="n">
        <f aca="false">IF(A345="","",IF(G345&gt;F345,(B345-F345)/(G345-F345),0))</f>
        <v>0.655737704918033</v>
      </c>
      <c r="I345" s="10" t="n">
        <f aca="false">IF(A345="","",IFERROR(INDEX(CV_RATES!$I:$I,MATCH(D345,CV_RATES!$C:$C,0)),0))</f>
        <v>541.443631255037</v>
      </c>
      <c r="J345" s="10" t="n">
        <f aca="false">IF(A345="","",IFERROR(IF(E345=MAX(MORTALITY!$A:$A),1000,INDEX(CV_RATES!$J:$J,MATCH(D345,CV_RATES!$C:$C,0))),0))</f>
        <v>551.372759018925</v>
      </c>
      <c r="K345" s="10" t="n">
        <f aca="false">IF(A345="","",IFERROR(I345+H345*(J345-I345),0))</f>
        <v>547.954534706767</v>
      </c>
      <c r="L345" s="10" t="n">
        <f aca="false">IF(A345="","",IFERROR(K345*Inputs!$B$9,0))</f>
        <v>27397.7267353384</v>
      </c>
      <c r="M345" s="10" t="n">
        <f aca="false">IF(A345="","",IFERROR(K345*Inputs!$B$10,0))</f>
        <v>87671.0816894786</v>
      </c>
      <c r="N345" s="10" t="n">
        <f aca="false">IF(A345="","",Z344)</f>
        <v>0</v>
      </c>
      <c r="O345" s="6" t="n">
        <f aca="false">IF(A345="","",Inputs!$B$18+N345)</f>
        <v>50000</v>
      </c>
      <c r="P345" s="5" t="n">
        <f aca="false">IF(A345="","",VLOOKUP(D345,DIvidend_Assumption!$A$3:$CX$103,($E$2+2),0)/12)</f>
        <v>0</v>
      </c>
      <c r="Q345" s="10" t="n">
        <f aca="false">IF(A345="","",IFERROR(AB344*P345,""))</f>
        <v>0</v>
      </c>
      <c r="R345" s="10" t="n">
        <f aca="false">IF(A345="","",IFERROR(IF(Inputs!$B$22="Accumulate",T345+Q345,IF(Inputs!$B$22="Premium Offset",MAX(0,T345+Q345-Inputs!$B$25),T345)),""))</f>
        <v>0</v>
      </c>
      <c r="S345" s="10" t="n">
        <f aca="false">IF(A345="","",R344)</f>
        <v>0</v>
      </c>
      <c r="T345" s="10" t="n">
        <f aca="false">IF(A345="","",IFERROR(S345*(1+Inputs!$B$23/12),""))</f>
        <v>0</v>
      </c>
      <c r="U345" s="6" t="n">
        <f aca="false">IF(A345="","",IF(D345&lt;=Inputs!$B$8,IF(Inputs!$B$22="Premium Offset",MAX(0,Inputs!$B$25-(Q345+T345)),Inputs!$B$25),0))</f>
        <v>77</v>
      </c>
      <c r="V345" s="10" t="n">
        <f aca="false">IF(A345="","",IF(Inputs!$B$22="Cash",Q345,0))</f>
        <v>0</v>
      </c>
      <c r="W345" s="10" t="n">
        <f aca="false">IF(A345="","",IF(Inputs!$B$22="PUA",Q345,0))</f>
        <v>0</v>
      </c>
      <c r="X345" s="12" t="n">
        <f aca="false">IF(A345="","",IFERROR(INDEX(PUA_TABLE!$D$4:$D$105,MATCH(E345,PUA_TABLE!$C$4:$C$105,1)),0))</f>
        <v>0.541443631255037</v>
      </c>
      <c r="Y345" s="10" t="n">
        <f aca="false">IF(A345="","",IF(W345&gt;0,IF(X345&gt;0,W345/X345,0),0))</f>
        <v>0</v>
      </c>
      <c r="Z345" s="10" t="n">
        <f aca="false">IF(A345="","",N345+Y345)</f>
        <v>0</v>
      </c>
      <c r="AA345" s="10" t="n">
        <f aca="false">IF(A345="","",IFERROR(Z345*INDEX(PUA_TABLE!$I$4:$I$105,MATCH(E345,PUA_TABLE!$C$4:$C$105,1))/1000,0))</f>
        <v>0</v>
      </c>
      <c r="AB345" s="10" t="n">
        <f aca="false">IF(A345="","",IFERROR(L345+AA345,0))</f>
        <v>27397.7267353384</v>
      </c>
      <c r="AC345" s="10" t="n">
        <f aca="false">IF(A345="","",IF(Inputs!$B$22="Premium Offset",MIN(Inputs!$B$25,Q345+T345),0))</f>
        <v>0</v>
      </c>
    </row>
    <row r="346" customFormat="false" ht="15" hidden="false" customHeight="false" outlineLevel="0" collapsed="false">
      <c r="A346" s="1" t="n">
        <f aca="false">IF(A345="","",IF(INT((C345+1)/12)+Inputs!$B$7&gt;MAX(MORTALITY!$A:$A),"",Inputs!$B$4))</f>
        <v>34</v>
      </c>
      <c r="B346" s="3" t="n">
        <f aca="false">IF(A346="","",EOMONTH(B345,1))</f>
        <v>32202</v>
      </c>
      <c r="C346" s="1" t="n">
        <f aca="false">IF(A346="","",C345+1)</f>
        <v>344</v>
      </c>
      <c r="D346" s="1" t="n">
        <f aca="false">IF(A346="","",INT(C346/12))</f>
        <v>28</v>
      </c>
      <c r="E346" s="1" t="n">
        <f aca="false">IF(A346="","",D346+Inputs!$B$7)</f>
        <v>44</v>
      </c>
      <c r="F346" s="3" t="n">
        <f aca="false">IF(A346="","",DATE(YEAR(B$2)+D346,MONTH(B$2),DAY(B$2)))</f>
        <v>31933</v>
      </c>
      <c r="G346" s="3" t="n">
        <f aca="false">IF(A346="","",DATE(YEAR(F346)+1,MONTH(F346),DAY(F346)))</f>
        <v>32299</v>
      </c>
      <c r="H346" s="10" t="n">
        <f aca="false">IF(A346="","",IF(G346&gt;F346,(B346-F346)/(G346-F346),0))</f>
        <v>0.734972677595629</v>
      </c>
      <c r="I346" s="10" t="n">
        <f aca="false">IF(A346="","",IFERROR(INDEX(CV_RATES!$I:$I,MATCH(D346,CV_RATES!$C:$C,0)),0))</f>
        <v>541.443631255037</v>
      </c>
      <c r="J346" s="10" t="n">
        <f aca="false">IF(A346="","",IFERROR(IF(E346=MAX(MORTALITY!$A:$A),1000,INDEX(CV_RATES!$J:$J,MATCH(D346,CV_RATES!$C:$C,0))),0))</f>
        <v>551.372759018925</v>
      </c>
      <c r="K346" s="10" t="n">
        <f aca="false">IF(A346="","",IFERROR(I346+H346*(J346-I346),0))</f>
        <v>548.741268873851</v>
      </c>
      <c r="L346" s="10" t="n">
        <f aca="false">IF(A346="","",IFERROR(K346*Inputs!$B$9,0))</f>
        <v>27437.0634436926</v>
      </c>
      <c r="M346" s="10" t="n">
        <f aca="false">IF(A346="","",IFERROR(K346*Inputs!$B$10,0))</f>
        <v>87796.9567960096</v>
      </c>
      <c r="N346" s="10" t="n">
        <f aca="false">IF(A346="","",Z345)</f>
        <v>0</v>
      </c>
      <c r="O346" s="6" t="n">
        <f aca="false">IF(A346="","",Inputs!$B$18+N346)</f>
        <v>50000</v>
      </c>
      <c r="P346" s="5" t="n">
        <f aca="false">IF(A346="","",VLOOKUP(D346,DIvidend_Assumption!$A$3:$CX$103,($E$2+2),0)/12)</f>
        <v>0</v>
      </c>
      <c r="Q346" s="10" t="n">
        <f aca="false">IF(A346="","",IFERROR(AB345*P346,""))</f>
        <v>0</v>
      </c>
      <c r="R346" s="10" t="n">
        <f aca="false">IF(A346="","",IFERROR(IF(Inputs!$B$22="Accumulate",T346+Q346,IF(Inputs!$B$22="Premium Offset",MAX(0,T346+Q346-Inputs!$B$25),T346)),""))</f>
        <v>0</v>
      </c>
      <c r="S346" s="10" t="n">
        <f aca="false">IF(A346="","",R345)</f>
        <v>0</v>
      </c>
      <c r="T346" s="10" t="n">
        <f aca="false">IF(A346="","",IFERROR(S346*(1+Inputs!$B$23/12),""))</f>
        <v>0</v>
      </c>
      <c r="U346" s="6" t="n">
        <f aca="false">IF(A346="","",IF(D346&lt;=Inputs!$B$8,IF(Inputs!$B$22="Premium Offset",MAX(0,Inputs!$B$25-(Q346+T346)),Inputs!$B$25),0))</f>
        <v>77</v>
      </c>
      <c r="V346" s="10" t="n">
        <f aca="false">IF(A346="","",IF(Inputs!$B$22="Cash",Q346,0))</f>
        <v>0</v>
      </c>
      <c r="W346" s="10" t="n">
        <f aca="false">IF(A346="","",IF(Inputs!$B$22="PUA",Q346,0))</f>
        <v>0</v>
      </c>
      <c r="X346" s="12" t="n">
        <f aca="false">IF(A346="","",IFERROR(INDEX(PUA_TABLE!$D$4:$D$105,MATCH(E346,PUA_TABLE!$C$4:$C$105,1)),0))</f>
        <v>0.541443631255037</v>
      </c>
      <c r="Y346" s="10" t="n">
        <f aca="false">IF(A346="","",IF(W346&gt;0,IF(X346&gt;0,W346/X346,0),0))</f>
        <v>0</v>
      </c>
      <c r="Z346" s="10" t="n">
        <f aca="false">IF(A346="","",N346+Y346)</f>
        <v>0</v>
      </c>
      <c r="AA346" s="10" t="n">
        <f aca="false">IF(A346="","",IFERROR(Z346*INDEX(PUA_TABLE!$I$4:$I$105,MATCH(E346,PUA_TABLE!$C$4:$C$105,1))/1000,0))</f>
        <v>0</v>
      </c>
      <c r="AB346" s="10" t="n">
        <f aca="false">IF(A346="","",IFERROR(L346+AA346,0))</f>
        <v>27437.0634436926</v>
      </c>
      <c r="AC346" s="10" t="n">
        <f aca="false">IF(A346="","",IF(Inputs!$B$22="Premium Offset",MIN(Inputs!$B$25,Q346+T346),0))</f>
        <v>0</v>
      </c>
    </row>
    <row r="347" customFormat="false" ht="15" hidden="false" customHeight="false" outlineLevel="0" collapsed="false">
      <c r="A347" s="1" t="n">
        <f aca="false">IF(A346="","",IF(INT((C346+1)/12)+Inputs!$B$7&gt;MAX(MORTALITY!$A:$A),"",Inputs!$B$4))</f>
        <v>34</v>
      </c>
      <c r="B347" s="3" t="n">
        <f aca="false">IF(A347="","",EOMONTH(B346,1))</f>
        <v>32233</v>
      </c>
      <c r="C347" s="1" t="n">
        <f aca="false">IF(A347="","",C346+1)</f>
        <v>345</v>
      </c>
      <c r="D347" s="1" t="n">
        <f aca="false">IF(A347="","",INT(C347/12))</f>
        <v>28</v>
      </c>
      <c r="E347" s="1" t="n">
        <f aca="false">IF(A347="","",D347+Inputs!$B$7)</f>
        <v>44</v>
      </c>
      <c r="F347" s="3" t="n">
        <f aca="false">IF(A347="","",DATE(YEAR(B$2)+D347,MONTH(B$2),DAY(B$2)))</f>
        <v>31933</v>
      </c>
      <c r="G347" s="3" t="n">
        <f aca="false">IF(A347="","",DATE(YEAR(F347)+1,MONTH(F347),DAY(F347)))</f>
        <v>32299</v>
      </c>
      <c r="H347" s="10" t="n">
        <f aca="false">IF(A347="","",IF(G347&gt;F347,(B347-F347)/(G347-F347),0))</f>
        <v>0.819672131147541</v>
      </c>
      <c r="I347" s="10" t="n">
        <f aca="false">IF(A347="","",IFERROR(INDEX(CV_RATES!$I:$I,MATCH(D347,CV_RATES!$C:$C,0)),0))</f>
        <v>541.443631255037</v>
      </c>
      <c r="J347" s="10" t="n">
        <f aca="false">IF(A347="","",IFERROR(IF(E347=MAX(MORTALITY!$A:$A),1000,INDEX(CV_RATES!$J:$J,MATCH(D347,CV_RATES!$C:$C,0))),0))</f>
        <v>551.372759018925</v>
      </c>
      <c r="K347" s="10" t="n">
        <f aca="false">IF(A347="","",IFERROR(I347+H347*(J347-I347),0))</f>
        <v>549.5822605697</v>
      </c>
      <c r="L347" s="10" t="n">
        <f aca="false">IF(A347="","",IFERROR(K347*Inputs!$B$9,0))</f>
        <v>27479.113028485</v>
      </c>
      <c r="M347" s="10" t="n">
        <f aca="false">IF(A347="","",IFERROR(K347*Inputs!$B$10,0))</f>
        <v>87931.5129443703</v>
      </c>
      <c r="N347" s="10" t="n">
        <f aca="false">IF(A347="","",Z346)</f>
        <v>0</v>
      </c>
      <c r="O347" s="6" t="n">
        <f aca="false">IF(A347="","",Inputs!$B$18+N347)</f>
        <v>50000</v>
      </c>
      <c r="P347" s="5" t="n">
        <f aca="false">IF(A347="","",VLOOKUP(D347,DIvidend_Assumption!$A$3:$CX$103,($E$2+2),0)/12)</f>
        <v>0</v>
      </c>
      <c r="Q347" s="10" t="n">
        <f aca="false">IF(A347="","",IFERROR(AB346*P347,""))</f>
        <v>0</v>
      </c>
      <c r="R347" s="10" t="n">
        <f aca="false">IF(A347="","",IFERROR(IF(Inputs!$B$22="Accumulate",T347+Q347,IF(Inputs!$B$22="Premium Offset",MAX(0,T347+Q347-Inputs!$B$25),T347)),""))</f>
        <v>0</v>
      </c>
      <c r="S347" s="10" t="n">
        <f aca="false">IF(A347="","",R346)</f>
        <v>0</v>
      </c>
      <c r="T347" s="10" t="n">
        <f aca="false">IF(A347="","",IFERROR(S347*(1+Inputs!$B$23/12),""))</f>
        <v>0</v>
      </c>
      <c r="U347" s="6" t="n">
        <f aca="false">IF(A347="","",IF(D347&lt;=Inputs!$B$8,IF(Inputs!$B$22="Premium Offset",MAX(0,Inputs!$B$25-(Q347+T347)),Inputs!$B$25),0))</f>
        <v>77</v>
      </c>
      <c r="V347" s="10" t="n">
        <f aca="false">IF(A347="","",IF(Inputs!$B$22="Cash",Q347,0))</f>
        <v>0</v>
      </c>
      <c r="W347" s="10" t="n">
        <f aca="false">IF(A347="","",IF(Inputs!$B$22="PUA",Q347,0))</f>
        <v>0</v>
      </c>
      <c r="X347" s="12" t="n">
        <f aca="false">IF(A347="","",IFERROR(INDEX(PUA_TABLE!$D$4:$D$105,MATCH(E347,PUA_TABLE!$C$4:$C$105,1)),0))</f>
        <v>0.541443631255037</v>
      </c>
      <c r="Y347" s="10" t="n">
        <f aca="false">IF(A347="","",IF(W347&gt;0,IF(X347&gt;0,W347/X347,0),0))</f>
        <v>0</v>
      </c>
      <c r="Z347" s="10" t="n">
        <f aca="false">IF(A347="","",N347+Y347)</f>
        <v>0</v>
      </c>
      <c r="AA347" s="10" t="n">
        <f aca="false">IF(A347="","",IFERROR(Z347*INDEX(PUA_TABLE!$I$4:$I$105,MATCH(E347,PUA_TABLE!$C$4:$C$105,1))/1000,0))</f>
        <v>0</v>
      </c>
      <c r="AB347" s="10" t="n">
        <f aca="false">IF(A347="","",IFERROR(L347+AA347,0))</f>
        <v>27479.113028485</v>
      </c>
      <c r="AC347" s="10" t="n">
        <f aca="false">IF(A347="","",IF(Inputs!$B$22="Premium Offset",MIN(Inputs!$B$25,Q347+T347),0))</f>
        <v>0</v>
      </c>
    </row>
    <row r="348" customFormat="false" ht="15" hidden="false" customHeight="false" outlineLevel="0" collapsed="false">
      <c r="A348" s="1" t="n">
        <f aca="false">IF(A347="","",IF(INT((C347+1)/12)+Inputs!$B$7&gt;MAX(MORTALITY!$A:$A),"",Inputs!$B$4))</f>
        <v>34</v>
      </c>
      <c r="B348" s="3" t="n">
        <f aca="false">IF(A348="","",EOMONTH(B347,1))</f>
        <v>32263</v>
      </c>
      <c r="C348" s="1" t="n">
        <f aca="false">IF(A348="","",C347+1)</f>
        <v>346</v>
      </c>
      <c r="D348" s="1" t="n">
        <f aca="false">IF(A348="","",INT(C348/12))</f>
        <v>28</v>
      </c>
      <c r="E348" s="1" t="n">
        <f aca="false">IF(A348="","",D348+Inputs!$B$7)</f>
        <v>44</v>
      </c>
      <c r="F348" s="3" t="n">
        <f aca="false">IF(A348="","",DATE(YEAR(B$2)+D348,MONTH(B$2),DAY(B$2)))</f>
        <v>31933</v>
      </c>
      <c r="G348" s="3" t="n">
        <f aca="false">IF(A348="","",DATE(YEAR(F348)+1,MONTH(F348),DAY(F348)))</f>
        <v>32299</v>
      </c>
      <c r="H348" s="10" t="n">
        <f aca="false">IF(A348="","",IF(G348&gt;F348,(B348-F348)/(G348-F348),0))</f>
        <v>0.901639344262295</v>
      </c>
      <c r="I348" s="10" t="n">
        <f aca="false">IF(A348="","",IFERROR(INDEX(CV_RATES!$I:$I,MATCH(D348,CV_RATES!$C:$C,0)),0))</f>
        <v>541.443631255037</v>
      </c>
      <c r="J348" s="10" t="n">
        <f aca="false">IF(A348="","",IFERROR(IF(E348=MAX(MORTALITY!$A:$A),1000,INDEX(CV_RATES!$J:$J,MATCH(D348,CV_RATES!$C:$C,0))),0))</f>
        <v>551.372759018925</v>
      </c>
      <c r="K348" s="10" t="n">
        <f aca="false">IF(A348="","",IFERROR(I348+H348*(J348-I348),0))</f>
        <v>550.396123501166</v>
      </c>
      <c r="L348" s="10" t="n">
        <f aca="false">IF(A348="","",IFERROR(K348*Inputs!$B$9,0))</f>
        <v>27519.8061750583</v>
      </c>
      <c r="M348" s="10" t="n">
        <f aca="false">IF(A348="","",IFERROR(K348*Inputs!$B$10,0))</f>
        <v>88061.728571816</v>
      </c>
      <c r="N348" s="10" t="n">
        <f aca="false">IF(A348="","",Z347)</f>
        <v>0</v>
      </c>
      <c r="O348" s="6" t="n">
        <f aca="false">IF(A348="","",Inputs!$B$18+N348)</f>
        <v>50000</v>
      </c>
      <c r="P348" s="5" t="n">
        <f aca="false">IF(A348="","",VLOOKUP(D348,DIvidend_Assumption!$A$3:$CX$103,($E$2+2),0)/12)</f>
        <v>0</v>
      </c>
      <c r="Q348" s="10" t="n">
        <f aca="false">IF(A348="","",IFERROR(AB347*P348,""))</f>
        <v>0</v>
      </c>
      <c r="R348" s="10" t="n">
        <f aca="false">IF(A348="","",IFERROR(IF(Inputs!$B$22="Accumulate",T348+Q348,IF(Inputs!$B$22="Premium Offset",MAX(0,T348+Q348-Inputs!$B$25),T348)),""))</f>
        <v>0</v>
      </c>
      <c r="S348" s="10" t="n">
        <f aca="false">IF(A348="","",R347)</f>
        <v>0</v>
      </c>
      <c r="T348" s="10" t="n">
        <f aca="false">IF(A348="","",IFERROR(S348*(1+Inputs!$B$23/12),""))</f>
        <v>0</v>
      </c>
      <c r="U348" s="6" t="n">
        <f aca="false">IF(A348="","",IF(D348&lt;=Inputs!$B$8,IF(Inputs!$B$22="Premium Offset",MAX(0,Inputs!$B$25-(Q348+T348)),Inputs!$B$25),0))</f>
        <v>77</v>
      </c>
      <c r="V348" s="10" t="n">
        <f aca="false">IF(A348="","",IF(Inputs!$B$22="Cash",Q348,0))</f>
        <v>0</v>
      </c>
      <c r="W348" s="10" t="n">
        <f aca="false">IF(A348="","",IF(Inputs!$B$22="PUA",Q348,0))</f>
        <v>0</v>
      </c>
      <c r="X348" s="12" t="n">
        <f aca="false">IF(A348="","",IFERROR(INDEX(PUA_TABLE!$D$4:$D$105,MATCH(E348,PUA_TABLE!$C$4:$C$105,1)),0))</f>
        <v>0.541443631255037</v>
      </c>
      <c r="Y348" s="10" t="n">
        <f aca="false">IF(A348="","",IF(W348&gt;0,IF(X348&gt;0,W348/X348,0),0))</f>
        <v>0</v>
      </c>
      <c r="Z348" s="10" t="n">
        <f aca="false">IF(A348="","",N348+Y348)</f>
        <v>0</v>
      </c>
      <c r="AA348" s="10" t="n">
        <f aca="false">IF(A348="","",IFERROR(Z348*INDEX(PUA_TABLE!$I$4:$I$105,MATCH(E348,PUA_TABLE!$C$4:$C$105,1))/1000,0))</f>
        <v>0</v>
      </c>
      <c r="AB348" s="10" t="n">
        <f aca="false">IF(A348="","",IFERROR(L348+AA348,0))</f>
        <v>27519.8061750583</v>
      </c>
      <c r="AC348" s="10" t="n">
        <f aca="false">IF(A348="","",IF(Inputs!$B$22="Premium Offset",MIN(Inputs!$B$25,Q348+T348),0))</f>
        <v>0</v>
      </c>
    </row>
    <row r="349" customFormat="false" ht="15" hidden="false" customHeight="false" outlineLevel="0" collapsed="false">
      <c r="A349" s="1" t="n">
        <f aca="false">IF(A348="","",IF(INT((C348+1)/12)+Inputs!$B$7&gt;MAX(MORTALITY!$A:$A),"",Inputs!$B$4))</f>
        <v>34</v>
      </c>
      <c r="B349" s="3" t="n">
        <f aca="false">IF(A349="","",EOMONTH(B348,1))</f>
        <v>32294</v>
      </c>
      <c r="C349" s="1" t="n">
        <f aca="false">IF(A349="","",C348+1)</f>
        <v>347</v>
      </c>
      <c r="D349" s="1" t="n">
        <f aca="false">IF(A349="","",INT(C349/12))</f>
        <v>28</v>
      </c>
      <c r="E349" s="1" t="n">
        <f aca="false">IF(A349="","",D349+Inputs!$B$7)</f>
        <v>44</v>
      </c>
      <c r="F349" s="3" t="n">
        <f aca="false">IF(A349="","",DATE(YEAR(B$2)+D349,MONTH(B$2),DAY(B$2)))</f>
        <v>31933</v>
      </c>
      <c r="G349" s="3" t="n">
        <f aca="false">IF(A349="","",DATE(YEAR(F349)+1,MONTH(F349),DAY(F349)))</f>
        <v>32299</v>
      </c>
      <c r="H349" s="10" t="n">
        <f aca="false">IF(A349="","",IF(G349&gt;F349,(B349-F349)/(G349-F349),0))</f>
        <v>0.986338797814208</v>
      </c>
      <c r="I349" s="10" t="n">
        <f aca="false">IF(A349="","",IFERROR(INDEX(CV_RATES!$I:$I,MATCH(D349,CV_RATES!$C:$C,0)),0))</f>
        <v>541.443631255037</v>
      </c>
      <c r="J349" s="10" t="n">
        <f aca="false">IF(A349="","",IFERROR(IF(E349=MAX(MORTALITY!$A:$A),1000,INDEX(CV_RATES!$J:$J,MATCH(D349,CV_RATES!$C:$C,0))),0))</f>
        <v>551.372759018925</v>
      </c>
      <c r="K349" s="10" t="n">
        <f aca="false">IF(A349="","",IFERROR(I349+H349*(J349-I349),0))</f>
        <v>551.237115197014</v>
      </c>
      <c r="L349" s="10" t="n">
        <f aca="false">IF(A349="","",IFERROR(K349*Inputs!$B$9,0))</f>
        <v>27561.8557598507</v>
      </c>
      <c r="M349" s="10" t="n">
        <f aca="false">IF(A349="","",IFERROR(K349*Inputs!$B$10,0))</f>
        <v>88196.2847201767</v>
      </c>
      <c r="N349" s="10" t="n">
        <f aca="false">IF(A349="","",Z348)</f>
        <v>0</v>
      </c>
      <c r="O349" s="6" t="n">
        <f aca="false">IF(A349="","",Inputs!$B$18+N349)</f>
        <v>50000</v>
      </c>
      <c r="P349" s="5" t="n">
        <f aca="false">IF(A349="","",VLOOKUP(D349,DIvidend_Assumption!$A$3:$CX$103,($E$2+2),0)/12)</f>
        <v>0</v>
      </c>
      <c r="Q349" s="10" t="n">
        <f aca="false">IF(A349="","",IFERROR(AB348*P349,""))</f>
        <v>0</v>
      </c>
      <c r="R349" s="10" t="n">
        <f aca="false">IF(A349="","",IFERROR(IF(Inputs!$B$22="Accumulate",T349+Q349,IF(Inputs!$B$22="Premium Offset",MAX(0,T349+Q349-Inputs!$B$25),T349)),""))</f>
        <v>0</v>
      </c>
      <c r="S349" s="10" t="n">
        <f aca="false">IF(A349="","",R348)</f>
        <v>0</v>
      </c>
      <c r="T349" s="10" t="n">
        <f aca="false">IF(A349="","",IFERROR(S349*(1+Inputs!$B$23/12),""))</f>
        <v>0</v>
      </c>
      <c r="U349" s="6" t="n">
        <f aca="false">IF(A349="","",IF(D349&lt;=Inputs!$B$8,IF(Inputs!$B$22="Premium Offset",MAX(0,Inputs!$B$25-(Q349+T349)),Inputs!$B$25),0))</f>
        <v>77</v>
      </c>
      <c r="V349" s="10" t="n">
        <f aca="false">IF(A349="","",IF(Inputs!$B$22="Cash",Q349,0))</f>
        <v>0</v>
      </c>
      <c r="W349" s="10" t="n">
        <f aca="false">IF(A349="","",IF(Inputs!$B$22="PUA",Q349,0))</f>
        <v>0</v>
      </c>
      <c r="X349" s="12" t="n">
        <f aca="false">IF(A349="","",IFERROR(INDEX(PUA_TABLE!$D$4:$D$105,MATCH(E349,PUA_TABLE!$C$4:$C$105,1)),0))</f>
        <v>0.541443631255037</v>
      </c>
      <c r="Y349" s="10" t="n">
        <f aca="false">IF(A349="","",IF(W349&gt;0,IF(X349&gt;0,W349/X349,0),0))</f>
        <v>0</v>
      </c>
      <c r="Z349" s="10" t="n">
        <f aca="false">IF(A349="","",N349+Y349)</f>
        <v>0</v>
      </c>
      <c r="AA349" s="10" t="n">
        <f aca="false">IF(A349="","",IFERROR(Z349*INDEX(PUA_TABLE!$I$4:$I$105,MATCH(E349,PUA_TABLE!$C$4:$C$105,1))/1000,0))</f>
        <v>0</v>
      </c>
      <c r="AB349" s="10" t="n">
        <f aca="false">IF(A349="","",IFERROR(L349+AA349,0))</f>
        <v>27561.8557598507</v>
      </c>
      <c r="AC349" s="10" t="n">
        <f aca="false">IF(A349="","",IF(Inputs!$B$22="Premium Offset",MIN(Inputs!$B$25,Q349+T349),0))</f>
        <v>0</v>
      </c>
    </row>
    <row r="350" customFormat="false" ht="15" hidden="false" customHeight="false" outlineLevel="0" collapsed="false">
      <c r="A350" s="1" t="n">
        <f aca="false">IF(A349="","",IF(INT((C349+1)/12)+Inputs!$B$7&gt;MAX(MORTALITY!$A:$A),"",Inputs!$B$4))</f>
        <v>34</v>
      </c>
      <c r="B350" s="3" t="n">
        <f aca="false">IF(A350="","",EOMONTH(B349,1))</f>
        <v>32324</v>
      </c>
      <c r="C350" s="1" t="n">
        <f aca="false">IF(A350="","",C349+1)</f>
        <v>348</v>
      </c>
      <c r="D350" s="1" t="n">
        <f aca="false">IF(A350="","",INT(C350/12))</f>
        <v>29</v>
      </c>
      <c r="E350" s="1" t="n">
        <f aca="false">IF(A350="","",D350+Inputs!$B$7)</f>
        <v>45</v>
      </c>
      <c r="F350" s="3" t="n">
        <f aca="false">IF(A350="","",DATE(YEAR(B$2)+D350,MONTH(B$2),DAY(B$2)))</f>
        <v>32299</v>
      </c>
      <c r="G350" s="3" t="n">
        <f aca="false">IF(A350="","",DATE(YEAR(F350)+1,MONTH(F350),DAY(F350)))</f>
        <v>32664</v>
      </c>
      <c r="H350" s="10" t="n">
        <f aca="false">IF(A350="","",IF(G350&gt;F350,(B350-F350)/(G350-F350),0))</f>
        <v>0.0684931506849315</v>
      </c>
      <c r="I350" s="10" t="n">
        <f aca="false">IF(A350="","",IFERROR(INDEX(CV_RATES!$I:$I,MATCH(D350,CV_RATES!$C:$C,0)),0))</f>
        <v>551.372759018925</v>
      </c>
      <c r="J350" s="10" t="n">
        <f aca="false">IF(A350="","",IFERROR(IF(E350=MAX(MORTALITY!$A:$A),1000,INDEX(CV_RATES!$J:$J,MATCH(D350,CV_RATES!$C:$C,0))),0))</f>
        <v>561.380564656087</v>
      </c>
      <c r="K350" s="10" t="n">
        <f aca="false">IF(A350="","",IFERROR(I350+H350*(J350-I350),0))</f>
        <v>552.058225158457</v>
      </c>
      <c r="L350" s="10" t="n">
        <f aca="false">IF(A350="","",IFERROR(K350*Inputs!$B$9,0))</f>
        <v>27602.9112579228</v>
      </c>
      <c r="M350" s="10" t="n">
        <f aca="false">IF(A350="","",IFERROR(K350*Inputs!$B$10,0))</f>
        <v>88327.6598506776</v>
      </c>
      <c r="N350" s="10" t="n">
        <f aca="false">IF(A350="","",Z349)</f>
        <v>0</v>
      </c>
      <c r="O350" s="6" t="n">
        <f aca="false">IF(A350="","",Inputs!$B$18+N350)</f>
        <v>50000</v>
      </c>
      <c r="P350" s="5" t="n">
        <f aca="false">IF(A350="","",VLOOKUP(D350,DIvidend_Assumption!$A$3:$CX$103,($E$2+2),0)/12)</f>
        <v>0</v>
      </c>
      <c r="Q350" s="10" t="n">
        <f aca="false">IF(A350="","",IFERROR(AB349*P350,""))</f>
        <v>0</v>
      </c>
      <c r="R350" s="10" t="n">
        <f aca="false">IF(A350="","",IFERROR(IF(Inputs!$B$22="Accumulate",T350+Q350,IF(Inputs!$B$22="Premium Offset",MAX(0,T350+Q350-Inputs!$B$25),T350)),""))</f>
        <v>0</v>
      </c>
      <c r="S350" s="10" t="n">
        <f aca="false">IF(A350="","",R349)</f>
        <v>0</v>
      </c>
      <c r="T350" s="10" t="n">
        <f aca="false">IF(A350="","",IFERROR(S350*(1+Inputs!$B$23/12),""))</f>
        <v>0</v>
      </c>
      <c r="U350" s="6" t="n">
        <f aca="false">IF(A350="","",IF(D350&lt;=Inputs!$B$8,IF(Inputs!$B$22="Premium Offset",MAX(0,Inputs!$B$25-(Q350+T350)),Inputs!$B$25),0))</f>
        <v>77</v>
      </c>
      <c r="V350" s="10" t="n">
        <f aca="false">IF(A350="","",IF(Inputs!$B$22="Cash",Q350,0))</f>
        <v>0</v>
      </c>
      <c r="W350" s="10" t="n">
        <f aca="false">IF(A350="","",IF(Inputs!$B$22="PUA",Q350,0))</f>
        <v>0</v>
      </c>
      <c r="X350" s="12" t="n">
        <f aca="false">IF(A350="","",IFERROR(INDEX(PUA_TABLE!$D$4:$D$105,MATCH(E350,PUA_TABLE!$C$4:$C$105,1)),0))</f>
        <v>0.551372759018925</v>
      </c>
      <c r="Y350" s="10" t="n">
        <f aca="false">IF(A350="","",IF(W350&gt;0,IF(X350&gt;0,W350/X350,0),0))</f>
        <v>0</v>
      </c>
      <c r="Z350" s="10" t="n">
        <f aca="false">IF(A350="","",N350+Y350)</f>
        <v>0</v>
      </c>
      <c r="AA350" s="10" t="n">
        <f aca="false">IF(A350="","",IFERROR(Z350*INDEX(PUA_TABLE!$I$4:$I$105,MATCH(E350,PUA_TABLE!$C$4:$C$105,1))/1000,0))</f>
        <v>0</v>
      </c>
      <c r="AB350" s="10" t="n">
        <f aca="false">IF(A350="","",IFERROR(L350+AA350,0))</f>
        <v>27602.9112579228</v>
      </c>
      <c r="AC350" s="10" t="n">
        <f aca="false">IF(A350="","",IF(Inputs!$B$22="Premium Offset",MIN(Inputs!$B$25,Q350+T350),0))</f>
        <v>0</v>
      </c>
    </row>
    <row r="351" customFormat="false" ht="15" hidden="false" customHeight="false" outlineLevel="0" collapsed="false">
      <c r="A351" s="1" t="n">
        <f aca="false">IF(A350="","",IF(INT((C350+1)/12)+Inputs!$B$7&gt;MAX(MORTALITY!$A:$A),"",Inputs!$B$4))</f>
        <v>34</v>
      </c>
      <c r="B351" s="3" t="n">
        <f aca="false">IF(A351="","",EOMONTH(B350,1))</f>
        <v>32355</v>
      </c>
      <c r="C351" s="1" t="n">
        <f aca="false">IF(A351="","",C350+1)</f>
        <v>349</v>
      </c>
      <c r="D351" s="1" t="n">
        <f aca="false">IF(A351="","",INT(C351/12))</f>
        <v>29</v>
      </c>
      <c r="E351" s="1" t="n">
        <f aca="false">IF(A351="","",D351+Inputs!$B$7)</f>
        <v>45</v>
      </c>
      <c r="F351" s="3" t="n">
        <f aca="false">IF(A351="","",DATE(YEAR(B$2)+D351,MONTH(B$2),DAY(B$2)))</f>
        <v>32299</v>
      </c>
      <c r="G351" s="3" t="n">
        <f aca="false">IF(A351="","",DATE(YEAR(F351)+1,MONTH(F351),DAY(F351)))</f>
        <v>32664</v>
      </c>
      <c r="H351" s="10" t="n">
        <f aca="false">IF(A351="","",IF(G351&gt;F351,(B351-F351)/(G351-F351),0))</f>
        <v>0.153424657534247</v>
      </c>
      <c r="I351" s="10" t="n">
        <f aca="false">IF(A351="","",IFERROR(INDEX(CV_RATES!$I:$I,MATCH(D351,CV_RATES!$C:$C,0)),0))</f>
        <v>551.372759018925</v>
      </c>
      <c r="J351" s="10" t="n">
        <f aca="false">IF(A351="","",IFERROR(IF(E351=MAX(MORTALITY!$A:$A),1000,INDEX(CV_RATES!$J:$J,MATCH(D351,CV_RATES!$C:$C,0))),0))</f>
        <v>561.380564656087</v>
      </c>
      <c r="K351" s="10" t="n">
        <f aca="false">IF(A351="","",IFERROR(I351+H351*(J351-I351),0))</f>
        <v>552.908203171476</v>
      </c>
      <c r="L351" s="10" t="n">
        <f aca="false">IF(A351="","",IFERROR(K351*Inputs!$B$9,0))</f>
        <v>27645.4101585738</v>
      </c>
      <c r="M351" s="10" t="n">
        <f aca="false">IF(A351="","",IFERROR(K351*Inputs!$B$10,0))</f>
        <v>88463.6537828267</v>
      </c>
      <c r="N351" s="10" t="n">
        <f aca="false">IF(A351="","",Z350)</f>
        <v>0</v>
      </c>
      <c r="O351" s="6" t="n">
        <f aca="false">IF(A351="","",Inputs!$B$18+N351)</f>
        <v>50000</v>
      </c>
      <c r="P351" s="5" t="n">
        <f aca="false">IF(A351="","",VLOOKUP(D351,DIvidend_Assumption!$A$3:$CX$103,($E$2+2),0)/12)</f>
        <v>0</v>
      </c>
      <c r="Q351" s="10" t="n">
        <f aca="false">IF(A351="","",IFERROR(AB350*P351,""))</f>
        <v>0</v>
      </c>
      <c r="R351" s="10" t="n">
        <f aca="false">IF(A351="","",IFERROR(IF(Inputs!$B$22="Accumulate",T351+Q351,IF(Inputs!$B$22="Premium Offset",MAX(0,T351+Q351-Inputs!$B$25),T351)),""))</f>
        <v>0</v>
      </c>
      <c r="S351" s="10" t="n">
        <f aca="false">IF(A351="","",R350)</f>
        <v>0</v>
      </c>
      <c r="T351" s="10" t="n">
        <f aca="false">IF(A351="","",IFERROR(S351*(1+Inputs!$B$23/12),""))</f>
        <v>0</v>
      </c>
      <c r="U351" s="6" t="n">
        <f aca="false">IF(A351="","",IF(D351&lt;=Inputs!$B$8,IF(Inputs!$B$22="Premium Offset",MAX(0,Inputs!$B$25-(Q351+T351)),Inputs!$B$25),0))</f>
        <v>77</v>
      </c>
      <c r="V351" s="10" t="n">
        <f aca="false">IF(A351="","",IF(Inputs!$B$22="Cash",Q351,0))</f>
        <v>0</v>
      </c>
      <c r="W351" s="10" t="n">
        <f aca="false">IF(A351="","",IF(Inputs!$B$22="PUA",Q351,0))</f>
        <v>0</v>
      </c>
      <c r="X351" s="12" t="n">
        <f aca="false">IF(A351="","",IFERROR(INDEX(PUA_TABLE!$D$4:$D$105,MATCH(E351,PUA_TABLE!$C$4:$C$105,1)),0))</f>
        <v>0.551372759018925</v>
      </c>
      <c r="Y351" s="10" t="n">
        <f aca="false">IF(A351="","",IF(W351&gt;0,IF(X351&gt;0,W351/X351,0),0))</f>
        <v>0</v>
      </c>
      <c r="Z351" s="10" t="n">
        <f aca="false">IF(A351="","",N351+Y351)</f>
        <v>0</v>
      </c>
      <c r="AA351" s="10" t="n">
        <f aca="false">IF(A351="","",IFERROR(Z351*INDEX(PUA_TABLE!$I$4:$I$105,MATCH(E351,PUA_TABLE!$C$4:$C$105,1))/1000,0))</f>
        <v>0</v>
      </c>
      <c r="AB351" s="10" t="n">
        <f aca="false">IF(A351="","",IFERROR(L351+AA351,0))</f>
        <v>27645.4101585738</v>
      </c>
      <c r="AC351" s="10" t="n">
        <f aca="false">IF(A351="","",IF(Inputs!$B$22="Premium Offset",MIN(Inputs!$B$25,Q351+T351),0))</f>
        <v>0</v>
      </c>
    </row>
    <row r="352" customFormat="false" ht="15" hidden="false" customHeight="false" outlineLevel="0" collapsed="false">
      <c r="A352" s="1" t="n">
        <f aca="false">IF(A351="","",IF(INT((C351+1)/12)+Inputs!$B$7&gt;MAX(MORTALITY!$A:$A),"",Inputs!$B$4))</f>
        <v>34</v>
      </c>
      <c r="B352" s="3" t="n">
        <f aca="false">IF(A352="","",EOMONTH(B351,1))</f>
        <v>32386</v>
      </c>
      <c r="C352" s="1" t="n">
        <f aca="false">IF(A352="","",C351+1)</f>
        <v>350</v>
      </c>
      <c r="D352" s="1" t="n">
        <f aca="false">IF(A352="","",INT(C352/12))</f>
        <v>29</v>
      </c>
      <c r="E352" s="1" t="n">
        <f aca="false">IF(A352="","",D352+Inputs!$B$7)</f>
        <v>45</v>
      </c>
      <c r="F352" s="3" t="n">
        <f aca="false">IF(A352="","",DATE(YEAR(B$2)+D352,MONTH(B$2),DAY(B$2)))</f>
        <v>32299</v>
      </c>
      <c r="G352" s="3" t="n">
        <f aca="false">IF(A352="","",DATE(YEAR(F352)+1,MONTH(F352),DAY(F352)))</f>
        <v>32664</v>
      </c>
      <c r="H352" s="10" t="n">
        <f aca="false">IF(A352="","",IF(G352&gt;F352,(B352-F352)/(G352-F352),0))</f>
        <v>0.238356164383562</v>
      </c>
      <c r="I352" s="10" t="n">
        <f aca="false">IF(A352="","",IFERROR(INDEX(CV_RATES!$I:$I,MATCH(D352,CV_RATES!$C:$C,0)),0))</f>
        <v>551.372759018925</v>
      </c>
      <c r="J352" s="10" t="n">
        <f aca="false">IF(A352="","",IFERROR(IF(E352=MAX(MORTALITY!$A:$A),1000,INDEX(CV_RATES!$J:$J,MATCH(D352,CV_RATES!$C:$C,0))),0))</f>
        <v>561.380564656087</v>
      </c>
      <c r="K352" s="10" t="n">
        <f aca="false">IF(A352="","",IFERROR(I352+H352*(J352-I352),0))</f>
        <v>553.758181184496</v>
      </c>
      <c r="L352" s="10" t="n">
        <f aca="false">IF(A352="","",IFERROR(K352*Inputs!$B$9,0))</f>
        <v>27687.9090592248</v>
      </c>
      <c r="M352" s="10" t="n">
        <f aca="false">IF(A352="","",IFERROR(K352*Inputs!$B$10,0))</f>
        <v>88599.6477149757</v>
      </c>
      <c r="N352" s="10" t="n">
        <f aca="false">IF(A352="","",Z351)</f>
        <v>0</v>
      </c>
      <c r="O352" s="6" t="n">
        <f aca="false">IF(A352="","",Inputs!$B$18+N352)</f>
        <v>50000</v>
      </c>
      <c r="P352" s="5" t="n">
        <f aca="false">IF(A352="","",VLOOKUP(D352,DIvidend_Assumption!$A$3:$CX$103,($E$2+2),0)/12)</f>
        <v>0</v>
      </c>
      <c r="Q352" s="10" t="n">
        <f aca="false">IF(A352="","",IFERROR(AB351*P352,""))</f>
        <v>0</v>
      </c>
      <c r="R352" s="10" t="n">
        <f aca="false">IF(A352="","",IFERROR(IF(Inputs!$B$22="Accumulate",T352+Q352,IF(Inputs!$B$22="Premium Offset",MAX(0,T352+Q352-Inputs!$B$25),T352)),""))</f>
        <v>0</v>
      </c>
      <c r="S352" s="10" t="n">
        <f aca="false">IF(A352="","",R351)</f>
        <v>0</v>
      </c>
      <c r="T352" s="10" t="n">
        <f aca="false">IF(A352="","",IFERROR(S352*(1+Inputs!$B$23/12),""))</f>
        <v>0</v>
      </c>
      <c r="U352" s="6" t="n">
        <f aca="false">IF(A352="","",IF(D352&lt;=Inputs!$B$8,IF(Inputs!$B$22="Premium Offset",MAX(0,Inputs!$B$25-(Q352+T352)),Inputs!$B$25),0))</f>
        <v>77</v>
      </c>
      <c r="V352" s="10" t="n">
        <f aca="false">IF(A352="","",IF(Inputs!$B$22="Cash",Q352,0))</f>
        <v>0</v>
      </c>
      <c r="W352" s="10" t="n">
        <f aca="false">IF(A352="","",IF(Inputs!$B$22="PUA",Q352,0))</f>
        <v>0</v>
      </c>
      <c r="X352" s="12" t="n">
        <f aca="false">IF(A352="","",IFERROR(INDEX(PUA_TABLE!$D$4:$D$105,MATCH(E352,PUA_TABLE!$C$4:$C$105,1)),0))</f>
        <v>0.551372759018925</v>
      </c>
      <c r="Y352" s="10" t="n">
        <f aca="false">IF(A352="","",IF(W352&gt;0,IF(X352&gt;0,W352/X352,0),0))</f>
        <v>0</v>
      </c>
      <c r="Z352" s="10" t="n">
        <f aca="false">IF(A352="","",N352+Y352)</f>
        <v>0</v>
      </c>
      <c r="AA352" s="10" t="n">
        <f aca="false">IF(A352="","",IFERROR(Z352*INDEX(PUA_TABLE!$I$4:$I$105,MATCH(E352,PUA_TABLE!$C$4:$C$105,1))/1000,0))</f>
        <v>0</v>
      </c>
      <c r="AB352" s="10" t="n">
        <f aca="false">IF(A352="","",IFERROR(L352+AA352,0))</f>
        <v>27687.9090592248</v>
      </c>
      <c r="AC352" s="10" t="n">
        <f aca="false">IF(A352="","",IF(Inputs!$B$22="Premium Offset",MIN(Inputs!$B$25,Q352+T352),0))</f>
        <v>0</v>
      </c>
    </row>
    <row r="353" customFormat="false" ht="15" hidden="false" customHeight="false" outlineLevel="0" collapsed="false">
      <c r="A353" s="1" t="n">
        <f aca="false">IF(A352="","",IF(INT((C352+1)/12)+Inputs!$B$7&gt;MAX(MORTALITY!$A:$A),"",Inputs!$B$4))</f>
        <v>34</v>
      </c>
      <c r="B353" s="3" t="n">
        <f aca="false">IF(A353="","",EOMONTH(B352,1))</f>
        <v>32416</v>
      </c>
      <c r="C353" s="1" t="n">
        <f aca="false">IF(A353="","",C352+1)</f>
        <v>351</v>
      </c>
      <c r="D353" s="1" t="n">
        <f aca="false">IF(A353="","",INT(C353/12))</f>
        <v>29</v>
      </c>
      <c r="E353" s="1" t="n">
        <f aca="false">IF(A353="","",D353+Inputs!$B$7)</f>
        <v>45</v>
      </c>
      <c r="F353" s="3" t="n">
        <f aca="false">IF(A353="","",DATE(YEAR(B$2)+D353,MONTH(B$2),DAY(B$2)))</f>
        <v>32299</v>
      </c>
      <c r="G353" s="3" t="n">
        <f aca="false">IF(A353="","",DATE(YEAR(F353)+1,MONTH(F353),DAY(F353)))</f>
        <v>32664</v>
      </c>
      <c r="H353" s="10" t="n">
        <f aca="false">IF(A353="","",IF(G353&gt;F353,(B353-F353)/(G353-F353),0))</f>
        <v>0.320547945205479</v>
      </c>
      <c r="I353" s="10" t="n">
        <f aca="false">IF(A353="","",IFERROR(INDEX(CV_RATES!$I:$I,MATCH(D353,CV_RATES!$C:$C,0)),0))</f>
        <v>551.372759018925</v>
      </c>
      <c r="J353" s="10" t="n">
        <f aca="false">IF(A353="","",IFERROR(IF(E353=MAX(MORTALITY!$A:$A),1000,INDEX(CV_RATES!$J:$J,MATCH(D353,CV_RATES!$C:$C,0))),0))</f>
        <v>561.380564656087</v>
      </c>
      <c r="K353" s="10" t="n">
        <f aca="false">IF(A353="","",IFERROR(I353+H353*(J353-I353),0))</f>
        <v>554.580740551933</v>
      </c>
      <c r="L353" s="10" t="n">
        <f aca="false">IF(A353="","",IFERROR(K353*Inputs!$B$9,0))</f>
        <v>27729.0370275967</v>
      </c>
      <c r="M353" s="10" t="n">
        <f aca="false">IF(A353="","",IFERROR(K353*Inputs!$B$10,0))</f>
        <v>88731.2547460877</v>
      </c>
      <c r="N353" s="10" t="n">
        <f aca="false">IF(A353="","",Z352)</f>
        <v>0</v>
      </c>
      <c r="O353" s="6" t="n">
        <f aca="false">IF(A353="","",Inputs!$B$18+N353)</f>
        <v>50000</v>
      </c>
      <c r="P353" s="5" t="n">
        <f aca="false">IF(A353="","",VLOOKUP(D353,DIvidend_Assumption!$A$3:$CX$103,($E$2+2),0)/12)</f>
        <v>0</v>
      </c>
      <c r="Q353" s="10" t="n">
        <f aca="false">IF(A353="","",IFERROR(AB352*P353,""))</f>
        <v>0</v>
      </c>
      <c r="R353" s="10" t="n">
        <f aca="false">IF(A353="","",IFERROR(IF(Inputs!$B$22="Accumulate",T353+Q353,IF(Inputs!$B$22="Premium Offset",MAX(0,T353+Q353-Inputs!$B$25),T353)),""))</f>
        <v>0</v>
      </c>
      <c r="S353" s="10" t="n">
        <f aca="false">IF(A353="","",R352)</f>
        <v>0</v>
      </c>
      <c r="T353" s="10" t="n">
        <f aca="false">IF(A353="","",IFERROR(S353*(1+Inputs!$B$23/12),""))</f>
        <v>0</v>
      </c>
      <c r="U353" s="6" t="n">
        <f aca="false">IF(A353="","",IF(D353&lt;=Inputs!$B$8,IF(Inputs!$B$22="Premium Offset",MAX(0,Inputs!$B$25-(Q353+T353)),Inputs!$B$25),0))</f>
        <v>77</v>
      </c>
      <c r="V353" s="10" t="n">
        <f aca="false">IF(A353="","",IF(Inputs!$B$22="Cash",Q353,0))</f>
        <v>0</v>
      </c>
      <c r="W353" s="10" t="n">
        <f aca="false">IF(A353="","",IF(Inputs!$B$22="PUA",Q353,0))</f>
        <v>0</v>
      </c>
      <c r="X353" s="12" t="n">
        <f aca="false">IF(A353="","",IFERROR(INDEX(PUA_TABLE!$D$4:$D$105,MATCH(E353,PUA_TABLE!$C$4:$C$105,1)),0))</f>
        <v>0.551372759018925</v>
      </c>
      <c r="Y353" s="10" t="n">
        <f aca="false">IF(A353="","",IF(W353&gt;0,IF(X353&gt;0,W353/X353,0),0))</f>
        <v>0</v>
      </c>
      <c r="Z353" s="10" t="n">
        <f aca="false">IF(A353="","",N353+Y353)</f>
        <v>0</v>
      </c>
      <c r="AA353" s="10" t="n">
        <f aca="false">IF(A353="","",IFERROR(Z353*INDEX(PUA_TABLE!$I$4:$I$105,MATCH(E353,PUA_TABLE!$C$4:$C$105,1))/1000,0))</f>
        <v>0</v>
      </c>
      <c r="AB353" s="10" t="n">
        <f aca="false">IF(A353="","",IFERROR(L353+AA353,0))</f>
        <v>27729.0370275967</v>
      </c>
      <c r="AC353" s="10" t="n">
        <f aca="false">IF(A353="","",IF(Inputs!$B$22="Premium Offset",MIN(Inputs!$B$25,Q353+T353),0))</f>
        <v>0</v>
      </c>
    </row>
    <row r="354" customFormat="false" ht="15" hidden="false" customHeight="false" outlineLevel="0" collapsed="false">
      <c r="A354" s="1" t="n">
        <f aca="false">IF(A353="","",IF(INT((C353+1)/12)+Inputs!$B$7&gt;MAX(MORTALITY!$A:$A),"",Inputs!$B$4))</f>
        <v>34</v>
      </c>
      <c r="B354" s="3" t="n">
        <f aca="false">IF(A354="","",EOMONTH(B353,1))</f>
        <v>32447</v>
      </c>
      <c r="C354" s="1" t="n">
        <f aca="false">IF(A354="","",C353+1)</f>
        <v>352</v>
      </c>
      <c r="D354" s="1" t="n">
        <f aca="false">IF(A354="","",INT(C354/12))</f>
        <v>29</v>
      </c>
      <c r="E354" s="1" t="n">
        <f aca="false">IF(A354="","",D354+Inputs!$B$7)</f>
        <v>45</v>
      </c>
      <c r="F354" s="3" t="n">
        <f aca="false">IF(A354="","",DATE(YEAR(B$2)+D354,MONTH(B$2),DAY(B$2)))</f>
        <v>32299</v>
      </c>
      <c r="G354" s="3" t="n">
        <f aca="false">IF(A354="","",DATE(YEAR(F354)+1,MONTH(F354),DAY(F354)))</f>
        <v>32664</v>
      </c>
      <c r="H354" s="10" t="n">
        <f aca="false">IF(A354="","",IF(G354&gt;F354,(B354-F354)/(G354-F354),0))</f>
        <v>0.405479452054795</v>
      </c>
      <c r="I354" s="10" t="n">
        <f aca="false">IF(A354="","",IFERROR(INDEX(CV_RATES!$I:$I,MATCH(D354,CV_RATES!$C:$C,0)),0))</f>
        <v>551.372759018925</v>
      </c>
      <c r="J354" s="10" t="n">
        <f aca="false">IF(A354="","",IFERROR(IF(E354=MAX(MORTALITY!$A:$A),1000,INDEX(CV_RATES!$J:$J,MATCH(D354,CV_RATES!$C:$C,0))),0))</f>
        <v>561.380564656087</v>
      </c>
      <c r="K354" s="10" t="n">
        <f aca="false">IF(A354="","",IFERROR(I354+H354*(J354-I354),0))</f>
        <v>555.430718564953</v>
      </c>
      <c r="L354" s="10" t="n">
        <f aca="false">IF(A354="","",IFERROR(K354*Inputs!$B$9,0))</f>
        <v>27771.5359282476</v>
      </c>
      <c r="M354" s="10" t="n">
        <f aca="false">IF(A354="","",IFERROR(K354*Inputs!$B$10,0))</f>
        <v>88867.2486782368</v>
      </c>
      <c r="N354" s="10" t="n">
        <f aca="false">IF(A354="","",Z353)</f>
        <v>0</v>
      </c>
      <c r="O354" s="6" t="n">
        <f aca="false">IF(A354="","",Inputs!$B$18+N354)</f>
        <v>50000</v>
      </c>
      <c r="P354" s="5" t="n">
        <f aca="false">IF(A354="","",VLOOKUP(D354,DIvidend_Assumption!$A$3:$CX$103,($E$2+2),0)/12)</f>
        <v>0</v>
      </c>
      <c r="Q354" s="10" t="n">
        <f aca="false">IF(A354="","",IFERROR(AB353*P354,""))</f>
        <v>0</v>
      </c>
      <c r="R354" s="10" t="n">
        <f aca="false">IF(A354="","",IFERROR(IF(Inputs!$B$22="Accumulate",T354+Q354,IF(Inputs!$B$22="Premium Offset",MAX(0,T354+Q354-Inputs!$B$25),T354)),""))</f>
        <v>0</v>
      </c>
      <c r="S354" s="10" t="n">
        <f aca="false">IF(A354="","",R353)</f>
        <v>0</v>
      </c>
      <c r="T354" s="10" t="n">
        <f aca="false">IF(A354="","",IFERROR(S354*(1+Inputs!$B$23/12),""))</f>
        <v>0</v>
      </c>
      <c r="U354" s="6" t="n">
        <f aca="false">IF(A354="","",IF(D354&lt;=Inputs!$B$8,IF(Inputs!$B$22="Premium Offset",MAX(0,Inputs!$B$25-(Q354+T354)),Inputs!$B$25),0))</f>
        <v>77</v>
      </c>
      <c r="V354" s="10" t="n">
        <f aca="false">IF(A354="","",IF(Inputs!$B$22="Cash",Q354,0))</f>
        <v>0</v>
      </c>
      <c r="W354" s="10" t="n">
        <f aca="false">IF(A354="","",IF(Inputs!$B$22="PUA",Q354,0))</f>
        <v>0</v>
      </c>
      <c r="X354" s="12" t="n">
        <f aca="false">IF(A354="","",IFERROR(INDEX(PUA_TABLE!$D$4:$D$105,MATCH(E354,PUA_TABLE!$C$4:$C$105,1)),0))</f>
        <v>0.551372759018925</v>
      </c>
      <c r="Y354" s="10" t="n">
        <f aca="false">IF(A354="","",IF(W354&gt;0,IF(X354&gt;0,W354/X354,0),0))</f>
        <v>0</v>
      </c>
      <c r="Z354" s="10" t="n">
        <f aca="false">IF(A354="","",N354+Y354)</f>
        <v>0</v>
      </c>
      <c r="AA354" s="10" t="n">
        <f aca="false">IF(A354="","",IFERROR(Z354*INDEX(PUA_TABLE!$I$4:$I$105,MATCH(E354,PUA_TABLE!$C$4:$C$105,1))/1000,0))</f>
        <v>0</v>
      </c>
      <c r="AB354" s="10" t="n">
        <f aca="false">IF(A354="","",IFERROR(L354+AA354,0))</f>
        <v>27771.5359282476</v>
      </c>
      <c r="AC354" s="10" t="n">
        <f aca="false">IF(A354="","",IF(Inputs!$B$22="Premium Offset",MIN(Inputs!$B$25,Q354+T354),0))</f>
        <v>0</v>
      </c>
    </row>
    <row r="355" customFormat="false" ht="15" hidden="false" customHeight="false" outlineLevel="0" collapsed="false">
      <c r="A355" s="1" t="n">
        <f aca="false">IF(A354="","",IF(INT((C354+1)/12)+Inputs!$B$7&gt;MAX(MORTALITY!$A:$A),"",Inputs!$B$4))</f>
        <v>34</v>
      </c>
      <c r="B355" s="3" t="n">
        <f aca="false">IF(A355="","",EOMONTH(B354,1))</f>
        <v>32477</v>
      </c>
      <c r="C355" s="1" t="n">
        <f aca="false">IF(A355="","",C354+1)</f>
        <v>353</v>
      </c>
      <c r="D355" s="1" t="n">
        <f aca="false">IF(A355="","",INT(C355/12))</f>
        <v>29</v>
      </c>
      <c r="E355" s="1" t="n">
        <f aca="false">IF(A355="","",D355+Inputs!$B$7)</f>
        <v>45</v>
      </c>
      <c r="F355" s="3" t="n">
        <f aca="false">IF(A355="","",DATE(YEAR(B$2)+D355,MONTH(B$2),DAY(B$2)))</f>
        <v>32299</v>
      </c>
      <c r="G355" s="3" t="n">
        <f aca="false">IF(A355="","",DATE(YEAR(F355)+1,MONTH(F355),DAY(F355)))</f>
        <v>32664</v>
      </c>
      <c r="H355" s="10" t="n">
        <f aca="false">IF(A355="","",IF(G355&gt;F355,(B355-F355)/(G355-F355),0))</f>
        <v>0.487671232876712</v>
      </c>
      <c r="I355" s="10" t="n">
        <f aca="false">IF(A355="","",IFERROR(INDEX(CV_RATES!$I:$I,MATCH(D355,CV_RATES!$C:$C,0)),0))</f>
        <v>551.372759018925</v>
      </c>
      <c r="J355" s="10" t="n">
        <f aca="false">IF(A355="","",IFERROR(IF(E355=MAX(MORTALITY!$A:$A),1000,INDEX(CV_RATES!$J:$J,MATCH(D355,CV_RATES!$C:$C,0))),0))</f>
        <v>561.380564656087</v>
      </c>
      <c r="K355" s="10" t="n">
        <f aca="false">IF(A355="","",IFERROR(I355+H355*(J355-I355),0))</f>
        <v>556.253277932391</v>
      </c>
      <c r="L355" s="10" t="n">
        <f aca="false">IF(A355="","",IFERROR(K355*Inputs!$B$9,0))</f>
        <v>27812.6638966195</v>
      </c>
      <c r="M355" s="10" t="n">
        <f aca="false">IF(A355="","",IFERROR(K355*Inputs!$B$10,0))</f>
        <v>88998.8557093487</v>
      </c>
      <c r="N355" s="10" t="n">
        <f aca="false">IF(A355="","",Z354)</f>
        <v>0</v>
      </c>
      <c r="O355" s="6" t="n">
        <f aca="false">IF(A355="","",Inputs!$B$18+N355)</f>
        <v>50000</v>
      </c>
      <c r="P355" s="5" t="n">
        <f aca="false">IF(A355="","",VLOOKUP(D355,DIvidend_Assumption!$A$3:$CX$103,($E$2+2),0)/12)</f>
        <v>0</v>
      </c>
      <c r="Q355" s="10" t="n">
        <f aca="false">IF(A355="","",IFERROR(AB354*P355,""))</f>
        <v>0</v>
      </c>
      <c r="R355" s="10" t="n">
        <f aca="false">IF(A355="","",IFERROR(IF(Inputs!$B$22="Accumulate",T355+Q355,IF(Inputs!$B$22="Premium Offset",MAX(0,T355+Q355-Inputs!$B$25),T355)),""))</f>
        <v>0</v>
      </c>
      <c r="S355" s="10" t="n">
        <f aca="false">IF(A355="","",R354)</f>
        <v>0</v>
      </c>
      <c r="T355" s="10" t="n">
        <f aca="false">IF(A355="","",IFERROR(S355*(1+Inputs!$B$23/12),""))</f>
        <v>0</v>
      </c>
      <c r="U355" s="6" t="n">
        <f aca="false">IF(A355="","",IF(D355&lt;=Inputs!$B$8,IF(Inputs!$B$22="Premium Offset",MAX(0,Inputs!$B$25-(Q355+T355)),Inputs!$B$25),0))</f>
        <v>77</v>
      </c>
      <c r="V355" s="10" t="n">
        <f aca="false">IF(A355="","",IF(Inputs!$B$22="Cash",Q355,0))</f>
        <v>0</v>
      </c>
      <c r="W355" s="10" t="n">
        <f aca="false">IF(A355="","",IF(Inputs!$B$22="PUA",Q355,0))</f>
        <v>0</v>
      </c>
      <c r="X355" s="12" t="n">
        <f aca="false">IF(A355="","",IFERROR(INDEX(PUA_TABLE!$D$4:$D$105,MATCH(E355,PUA_TABLE!$C$4:$C$105,1)),0))</f>
        <v>0.551372759018925</v>
      </c>
      <c r="Y355" s="10" t="n">
        <f aca="false">IF(A355="","",IF(W355&gt;0,IF(X355&gt;0,W355/X355,0),0))</f>
        <v>0</v>
      </c>
      <c r="Z355" s="10" t="n">
        <f aca="false">IF(A355="","",N355+Y355)</f>
        <v>0</v>
      </c>
      <c r="AA355" s="10" t="n">
        <f aca="false">IF(A355="","",IFERROR(Z355*INDEX(PUA_TABLE!$I$4:$I$105,MATCH(E355,PUA_TABLE!$C$4:$C$105,1))/1000,0))</f>
        <v>0</v>
      </c>
      <c r="AB355" s="10" t="n">
        <f aca="false">IF(A355="","",IFERROR(L355+AA355,0))</f>
        <v>27812.6638966195</v>
      </c>
      <c r="AC355" s="10" t="n">
        <f aca="false">IF(A355="","",IF(Inputs!$B$22="Premium Offset",MIN(Inputs!$B$25,Q355+T355),0))</f>
        <v>0</v>
      </c>
    </row>
    <row r="356" customFormat="false" ht="15" hidden="false" customHeight="false" outlineLevel="0" collapsed="false">
      <c r="A356" s="1" t="n">
        <f aca="false">IF(A355="","",IF(INT((C355+1)/12)+Inputs!$B$7&gt;MAX(MORTALITY!$A:$A),"",Inputs!$B$4))</f>
        <v>34</v>
      </c>
      <c r="B356" s="3" t="n">
        <f aca="false">IF(A356="","",EOMONTH(B355,1))</f>
        <v>32508</v>
      </c>
      <c r="C356" s="1" t="n">
        <f aca="false">IF(A356="","",C355+1)</f>
        <v>354</v>
      </c>
      <c r="D356" s="1" t="n">
        <f aca="false">IF(A356="","",INT(C356/12))</f>
        <v>29</v>
      </c>
      <c r="E356" s="1" t="n">
        <f aca="false">IF(A356="","",D356+Inputs!$B$7)</f>
        <v>45</v>
      </c>
      <c r="F356" s="3" t="n">
        <f aca="false">IF(A356="","",DATE(YEAR(B$2)+D356,MONTH(B$2),DAY(B$2)))</f>
        <v>32299</v>
      </c>
      <c r="G356" s="3" t="n">
        <f aca="false">IF(A356="","",DATE(YEAR(F356)+1,MONTH(F356),DAY(F356)))</f>
        <v>32664</v>
      </c>
      <c r="H356" s="10" t="n">
        <f aca="false">IF(A356="","",IF(G356&gt;F356,(B356-F356)/(G356-F356),0))</f>
        <v>0.572602739726027</v>
      </c>
      <c r="I356" s="10" t="n">
        <f aca="false">IF(A356="","",IFERROR(INDEX(CV_RATES!$I:$I,MATCH(D356,CV_RATES!$C:$C,0)),0))</f>
        <v>551.372759018925</v>
      </c>
      <c r="J356" s="10" t="n">
        <f aca="false">IF(A356="","",IFERROR(IF(E356=MAX(MORTALITY!$A:$A),1000,INDEX(CV_RATES!$J:$J,MATCH(D356,CV_RATES!$C:$C,0))),0))</f>
        <v>561.380564656087</v>
      </c>
      <c r="K356" s="10" t="n">
        <f aca="false">IF(A356="","",IFERROR(I356+H356*(J356-I356),0))</f>
        <v>557.10325594541</v>
      </c>
      <c r="L356" s="10" t="n">
        <f aca="false">IF(A356="","",IFERROR(K356*Inputs!$B$9,0))</f>
        <v>27855.1627972705</v>
      </c>
      <c r="M356" s="10" t="n">
        <f aca="false">IF(A356="","",IFERROR(K356*Inputs!$B$10,0))</f>
        <v>89134.8496414977</v>
      </c>
      <c r="N356" s="10" t="n">
        <f aca="false">IF(A356="","",Z355)</f>
        <v>0</v>
      </c>
      <c r="O356" s="6" t="n">
        <f aca="false">IF(A356="","",Inputs!$B$18+N356)</f>
        <v>50000</v>
      </c>
      <c r="P356" s="5" t="n">
        <f aca="false">IF(A356="","",VLOOKUP(D356,DIvidend_Assumption!$A$3:$CX$103,($E$2+2),0)/12)</f>
        <v>0</v>
      </c>
      <c r="Q356" s="10" t="n">
        <f aca="false">IF(A356="","",IFERROR(AB355*P356,""))</f>
        <v>0</v>
      </c>
      <c r="R356" s="10" t="n">
        <f aca="false">IF(A356="","",IFERROR(IF(Inputs!$B$22="Accumulate",T356+Q356,IF(Inputs!$B$22="Premium Offset",MAX(0,T356+Q356-Inputs!$B$25),T356)),""))</f>
        <v>0</v>
      </c>
      <c r="S356" s="10" t="n">
        <f aca="false">IF(A356="","",R355)</f>
        <v>0</v>
      </c>
      <c r="T356" s="10" t="n">
        <f aca="false">IF(A356="","",IFERROR(S356*(1+Inputs!$B$23/12),""))</f>
        <v>0</v>
      </c>
      <c r="U356" s="6" t="n">
        <f aca="false">IF(A356="","",IF(D356&lt;=Inputs!$B$8,IF(Inputs!$B$22="Premium Offset",MAX(0,Inputs!$B$25-(Q356+T356)),Inputs!$B$25),0))</f>
        <v>77</v>
      </c>
      <c r="V356" s="10" t="n">
        <f aca="false">IF(A356="","",IF(Inputs!$B$22="Cash",Q356,0))</f>
        <v>0</v>
      </c>
      <c r="W356" s="10" t="n">
        <f aca="false">IF(A356="","",IF(Inputs!$B$22="PUA",Q356,0))</f>
        <v>0</v>
      </c>
      <c r="X356" s="12" t="n">
        <f aca="false">IF(A356="","",IFERROR(INDEX(PUA_TABLE!$D$4:$D$105,MATCH(E356,PUA_TABLE!$C$4:$C$105,1)),0))</f>
        <v>0.551372759018925</v>
      </c>
      <c r="Y356" s="10" t="n">
        <f aca="false">IF(A356="","",IF(W356&gt;0,IF(X356&gt;0,W356/X356,0),0))</f>
        <v>0</v>
      </c>
      <c r="Z356" s="10" t="n">
        <f aca="false">IF(A356="","",N356+Y356)</f>
        <v>0</v>
      </c>
      <c r="AA356" s="10" t="n">
        <f aca="false">IF(A356="","",IFERROR(Z356*INDEX(PUA_TABLE!$I$4:$I$105,MATCH(E356,PUA_TABLE!$C$4:$C$105,1))/1000,0))</f>
        <v>0</v>
      </c>
      <c r="AB356" s="10" t="n">
        <f aca="false">IF(A356="","",IFERROR(L356+AA356,0))</f>
        <v>27855.1627972705</v>
      </c>
      <c r="AC356" s="10" t="n">
        <f aca="false">IF(A356="","",IF(Inputs!$B$22="Premium Offset",MIN(Inputs!$B$25,Q356+T356),0))</f>
        <v>0</v>
      </c>
    </row>
    <row r="357" customFormat="false" ht="15" hidden="false" customHeight="false" outlineLevel="0" collapsed="false">
      <c r="A357" s="1" t="n">
        <f aca="false">IF(A356="","",IF(INT((C356+1)/12)+Inputs!$B$7&gt;MAX(MORTALITY!$A:$A),"",Inputs!$B$4))</f>
        <v>34</v>
      </c>
      <c r="B357" s="3" t="n">
        <f aca="false">IF(A357="","",EOMONTH(B356,1))</f>
        <v>32539</v>
      </c>
      <c r="C357" s="1" t="n">
        <f aca="false">IF(A357="","",C356+1)</f>
        <v>355</v>
      </c>
      <c r="D357" s="1" t="n">
        <f aca="false">IF(A357="","",INT(C357/12))</f>
        <v>29</v>
      </c>
      <c r="E357" s="1" t="n">
        <f aca="false">IF(A357="","",D357+Inputs!$B$7)</f>
        <v>45</v>
      </c>
      <c r="F357" s="3" t="n">
        <f aca="false">IF(A357="","",DATE(YEAR(B$2)+D357,MONTH(B$2),DAY(B$2)))</f>
        <v>32299</v>
      </c>
      <c r="G357" s="3" t="n">
        <f aca="false">IF(A357="","",DATE(YEAR(F357)+1,MONTH(F357),DAY(F357)))</f>
        <v>32664</v>
      </c>
      <c r="H357" s="10" t="n">
        <f aca="false">IF(A357="","",IF(G357&gt;F357,(B357-F357)/(G357-F357),0))</f>
        <v>0.657534246575342</v>
      </c>
      <c r="I357" s="10" t="n">
        <f aca="false">IF(A357="","",IFERROR(INDEX(CV_RATES!$I:$I,MATCH(D357,CV_RATES!$C:$C,0)),0))</f>
        <v>551.372759018925</v>
      </c>
      <c r="J357" s="10" t="n">
        <f aca="false">IF(A357="","",IFERROR(IF(E357=MAX(MORTALITY!$A:$A),1000,INDEX(CV_RATES!$J:$J,MATCH(D357,CV_RATES!$C:$C,0))),0))</f>
        <v>561.380564656087</v>
      </c>
      <c r="K357" s="10" t="n">
        <f aca="false">IF(A357="","",IFERROR(I357+H357*(J357-I357),0))</f>
        <v>557.953233958429</v>
      </c>
      <c r="L357" s="10" t="n">
        <f aca="false">IF(A357="","",IFERROR(K357*Inputs!$B$9,0))</f>
        <v>27897.6616979215</v>
      </c>
      <c r="M357" s="10" t="n">
        <f aca="false">IF(A357="","",IFERROR(K357*Inputs!$B$10,0))</f>
        <v>89270.8435736468</v>
      </c>
      <c r="N357" s="10" t="n">
        <f aca="false">IF(A357="","",Z356)</f>
        <v>0</v>
      </c>
      <c r="O357" s="6" t="n">
        <f aca="false">IF(A357="","",Inputs!$B$18+N357)</f>
        <v>50000</v>
      </c>
      <c r="P357" s="5" t="n">
        <f aca="false">IF(A357="","",VLOOKUP(D357,DIvidend_Assumption!$A$3:$CX$103,($E$2+2),0)/12)</f>
        <v>0</v>
      </c>
      <c r="Q357" s="10" t="n">
        <f aca="false">IF(A357="","",IFERROR(AB356*P357,""))</f>
        <v>0</v>
      </c>
      <c r="R357" s="10" t="n">
        <f aca="false">IF(A357="","",IFERROR(IF(Inputs!$B$22="Accumulate",T357+Q357,IF(Inputs!$B$22="Premium Offset",MAX(0,T357+Q357-Inputs!$B$25),T357)),""))</f>
        <v>0</v>
      </c>
      <c r="S357" s="10" t="n">
        <f aca="false">IF(A357="","",R356)</f>
        <v>0</v>
      </c>
      <c r="T357" s="10" t="n">
        <f aca="false">IF(A357="","",IFERROR(S357*(1+Inputs!$B$23/12),""))</f>
        <v>0</v>
      </c>
      <c r="U357" s="6" t="n">
        <f aca="false">IF(A357="","",IF(D357&lt;=Inputs!$B$8,IF(Inputs!$B$22="Premium Offset",MAX(0,Inputs!$B$25-(Q357+T357)),Inputs!$B$25),0))</f>
        <v>77</v>
      </c>
      <c r="V357" s="10" t="n">
        <f aca="false">IF(A357="","",IF(Inputs!$B$22="Cash",Q357,0))</f>
        <v>0</v>
      </c>
      <c r="W357" s="10" t="n">
        <f aca="false">IF(A357="","",IF(Inputs!$B$22="PUA",Q357,0))</f>
        <v>0</v>
      </c>
      <c r="X357" s="12" t="n">
        <f aca="false">IF(A357="","",IFERROR(INDEX(PUA_TABLE!$D$4:$D$105,MATCH(E357,PUA_TABLE!$C$4:$C$105,1)),0))</f>
        <v>0.551372759018925</v>
      </c>
      <c r="Y357" s="10" t="n">
        <f aca="false">IF(A357="","",IF(W357&gt;0,IF(X357&gt;0,W357/X357,0),0))</f>
        <v>0</v>
      </c>
      <c r="Z357" s="10" t="n">
        <f aca="false">IF(A357="","",N357+Y357)</f>
        <v>0</v>
      </c>
      <c r="AA357" s="10" t="n">
        <f aca="false">IF(A357="","",IFERROR(Z357*INDEX(PUA_TABLE!$I$4:$I$105,MATCH(E357,PUA_TABLE!$C$4:$C$105,1))/1000,0))</f>
        <v>0</v>
      </c>
      <c r="AB357" s="10" t="n">
        <f aca="false">IF(A357="","",IFERROR(L357+AA357,0))</f>
        <v>27897.6616979215</v>
      </c>
      <c r="AC357" s="10" t="n">
        <f aca="false">IF(A357="","",IF(Inputs!$B$22="Premium Offset",MIN(Inputs!$B$25,Q357+T357),0))</f>
        <v>0</v>
      </c>
    </row>
    <row r="358" customFormat="false" ht="15" hidden="false" customHeight="false" outlineLevel="0" collapsed="false">
      <c r="A358" s="1" t="n">
        <f aca="false">IF(A357="","",IF(INT((C357+1)/12)+Inputs!$B$7&gt;MAX(MORTALITY!$A:$A),"",Inputs!$B$4))</f>
        <v>34</v>
      </c>
      <c r="B358" s="3" t="n">
        <f aca="false">IF(A358="","",EOMONTH(B357,1))</f>
        <v>32567</v>
      </c>
      <c r="C358" s="1" t="n">
        <f aca="false">IF(A358="","",C357+1)</f>
        <v>356</v>
      </c>
      <c r="D358" s="1" t="n">
        <f aca="false">IF(A358="","",INT(C358/12))</f>
        <v>29</v>
      </c>
      <c r="E358" s="1" t="n">
        <f aca="false">IF(A358="","",D358+Inputs!$B$7)</f>
        <v>45</v>
      </c>
      <c r="F358" s="3" t="n">
        <f aca="false">IF(A358="","",DATE(YEAR(B$2)+D358,MONTH(B$2),DAY(B$2)))</f>
        <v>32299</v>
      </c>
      <c r="G358" s="3" t="n">
        <f aca="false">IF(A358="","",DATE(YEAR(F358)+1,MONTH(F358),DAY(F358)))</f>
        <v>32664</v>
      </c>
      <c r="H358" s="10" t="n">
        <f aca="false">IF(A358="","",IF(G358&gt;F358,(B358-F358)/(G358-F358),0))</f>
        <v>0.734246575342466</v>
      </c>
      <c r="I358" s="10" t="n">
        <f aca="false">IF(A358="","",IFERROR(INDEX(CV_RATES!$I:$I,MATCH(D358,CV_RATES!$C:$C,0)),0))</f>
        <v>551.372759018925</v>
      </c>
      <c r="J358" s="10" t="n">
        <f aca="false">IF(A358="","",IFERROR(IF(E358=MAX(MORTALITY!$A:$A),1000,INDEX(CV_RATES!$J:$J,MATCH(D358,CV_RATES!$C:$C,0))),0))</f>
        <v>561.380564656087</v>
      </c>
      <c r="K358" s="10" t="n">
        <f aca="false">IF(A358="","",IFERROR(I358+H358*(J358-I358),0))</f>
        <v>558.720956034705</v>
      </c>
      <c r="L358" s="10" t="n">
        <f aca="false">IF(A358="","",IFERROR(K358*Inputs!$B$9,0))</f>
        <v>27936.0478017352</v>
      </c>
      <c r="M358" s="10" t="n">
        <f aca="false">IF(A358="","",IFERROR(K358*Inputs!$B$10,0))</f>
        <v>89393.6768026846</v>
      </c>
      <c r="N358" s="10" t="n">
        <f aca="false">IF(A358="","",Z357)</f>
        <v>0</v>
      </c>
      <c r="O358" s="6" t="n">
        <f aca="false">IF(A358="","",Inputs!$B$18+N358)</f>
        <v>50000</v>
      </c>
      <c r="P358" s="5" t="n">
        <f aca="false">IF(A358="","",VLOOKUP(D358,DIvidend_Assumption!$A$3:$CX$103,($E$2+2),0)/12)</f>
        <v>0</v>
      </c>
      <c r="Q358" s="10" t="n">
        <f aca="false">IF(A358="","",IFERROR(AB357*P358,""))</f>
        <v>0</v>
      </c>
      <c r="R358" s="10" t="n">
        <f aca="false">IF(A358="","",IFERROR(IF(Inputs!$B$22="Accumulate",T358+Q358,IF(Inputs!$B$22="Premium Offset",MAX(0,T358+Q358-Inputs!$B$25),T358)),""))</f>
        <v>0</v>
      </c>
      <c r="S358" s="10" t="n">
        <f aca="false">IF(A358="","",R357)</f>
        <v>0</v>
      </c>
      <c r="T358" s="10" t="n">
        <f aca="false">IF(A358="","",IFERROR(S358*(1+Inputs!$B$23/12),""))</f>
        <v>0</v>
      </c>
      <c r="U358" s="6" t="n">
        <f aca="false">IF(A358="","",IF(D358&lt;=Inputs!$B$8,IF(Inputs!$B$22="Premium Offset",MAX(0,Inputs!$B$25-(Q358+T358)),Inputs!$B$25),0))</f>
        <v>77</v>
      </c>
      <c r="V358" s="10" t="n">
        <f aca="false">IF(A358="","",IF(Inputs!$B$22="Cash",Q358,0))</f>
        <v>0</v>
      </c>
      <c r="W358" s="10" t="n">
        <f aca="false">IF(A358="","",IF(Inputs!$B$22="PUA",Q358,0))</f>
        <v>0</v>
      </c>
      <c r="X358" s="12" t="n">
        <f aca="false">IF(A358="","",IFERROR(INDEX(PUA_TABLE!$D$4:$D$105,MATCH(E358,PUA_TABLE!$C$4:$C$105,1)),0))</f>
        <v>0.551372759018925</v>
      </c>
      <c r="Y358" s="10" t="n">
        <f aca="false">IF(A358="","",IF(W358&gt;0,IF(X358&gt;0,W358/X358,0),0))</f>
        <v>0</v>
      </c>
      <c r="Z358" s="10" t="n">
        <f aca="false">IF(A358="","",N358+Y358)</f>
        <v>0</v>
      </c>
      <c r="AA358" s="10" t="n">
        <f aca="false">IF(A358="","",IFERROR(Z358*INDEX(PUA_TABLE!$I$4:$I$105,MATCH(E358,PUA_TABLE!$C$4:$C$105,1))/1000,0))</f>
        <v>0</v>
      </c>
      <c r="AB358" s="10" t="n">
        <f aca="false">IF(A358="","",IFERROR(L358+AA358,0))</f>
        <v>27936.0478017352</v>
      </c>
      <c r="AC358" s="10" t="n">
        <f aca="false">IF(A358="","",IF(Inputs!$B$22="Premium Offset",MIN(Inputs!$B$25,Q358+T358),0))</f>
        <v>0</v>
      </c>
    </row>
    <row r="359" customFormat="false" ht="15" hidden="false" customHeight="false" outlineLevel="0" collapsed="false">
      <c r="A359" s="1" t="n">
        <f aca="false">IF(A358="","",IF(INT((C358+1)/12)+Inputs!$B$7&gt;MAX(MORTALITY!$A:$A),"",Inputs!$B$4))</f>
        <v>34</v>
      </c>
      <c r="B359" s="3" t="n">
        <f aca="false">IF(A359="","",EOMONTH(B358,1))</f>
        <v>32598</v>
      </c>
      <c r="C359" s="1" t="n">
        <f aca="false">IF(A359="","",C358+1)</f>
        <v>357</v>
      </c>
      <c r="D359" s="1" t="n">
        <f aca="false">IF(A359="","",INT(C359/12))</f>
        <v>29</v>
      </c>
      <c r="E359" s="1" t="n">
        <f aca="false">IF(A359="","",D359+Inputs!$B$7)</f>
        <v>45</v>
      </c>
      <c r="F359" s="3" t="n">
        <f aca="false">IF(A359="","",DATE(YEAR(B$2)+D359,MONTH(B$2),DAY(B$2)))</f>
        <v>32299</v>
      </c>
      <c r="G359" s="3" t="n">
        <f aca="false">IF(A359="","",DATE(YEAR(F359)+1,MONTH(F359),DAY(F359)))</f>
        <v>32664</v>
      </c>
      <c r="H359" s="10" t="n">
        <f aca="false">IF(A359="","",IF(G359&gt;F359,(B359-F359)/(G359-F359),0))</f>
        <v>0.819178082191781</v>
      </c>
      <c r="I359" s="10" t="n">
        <f aca="false">IF(A359="","",IFERROR(INDEX(CV_RATES!$I:$I,MATCH(D359,CV_RATES!$C:$C,0)),0))</f>
        <v>551.372759018925</v>
      </c>
      <c r="J359" s="10" t="n">
        <f aca="false">IF(A359="","",IFERROR(IF(E359=MAX(MORTALITY!$A:$A),1000,INDEX(CV_RATES!$J:$J,MATCH(D359,CV_RATES!$C:$C,0))),0))</f>
        <v>561.380564656087</v>
      </c>
      <c r="K359" s="10" t="n">
        <f aca="false">IF(A359="","",IFERROR(I359+H359*(J359-I359),0))</f>
        <v>559.570934047724</v>
      </c>
      <c r="L359" s="10" t="n">
        <f aca="false">IF(A359="","",IFERROR(K359*Inputs!$B$9,0))</f>
        <v>27978.5467023862</v>
      </c>
      <c r="M359" s="10" t="n">
        <f aca="false">IF(A359="","",IFERROR(K359*Inputs!$B$10,0))</f>
        <v>89529.6707348337</v>
      </c>
      <c r="N359" s="10" t="n">
        <f aca="false">IF(A359="","",Z358)</f>
        <v>0</v>
      </c>
      <c r="O359" s="6" t="n">
        <f aca="false">IF(A359="","",Inputs!$B$18+N359)</f>
        <v>50000</v>
      </c>
      <c r="P359" s="5" t="n">
        <f aca="false">IF(A359="","",VLOOKUP(D359,DIvidend_Assumption!$A$3:$CX$103,($E$2+2),0)/12)</f>
        <v>0</v>
      </c>
      <c r="Q359" s="10" t="n">
        <f aca="false">IF(A359="","",IFERROR(AB358*P359,""))</f>
        <v>0</v>
      </c>
      <c r="R359" s="10" t="n">
        <f aca="false">IF(A359="","",IFERROR(IF(Inputs!$B$22="Accumulate",T359+Q359,IF(Inputs!$B$22="Premium Offset",MAX(0,T359+Q359-Inputs!$B$25),T359)),""))</f>
        <v>0</v>
      </c>
      <c r="S359" s="10" t="n">
        <f aca="false">IF(A359="","",R358)</f>
        <v>0</v>
      </c>
      <c r="T359" s="10" t="n">
        <f aca="false">IF(A359="","",IFERROR(S359*(1+Inputs!$B$23/12),""))</f>
        <v>0</v>
      </c>
      <c r="U359" s="6" t="n">
        <f aca="false">IF(A359="","",IF(D359&lt;=Inputs!$B$8,IF(Inputs!$B$22="Premium Offset",MAX(0,Inputs!$B$25-(Q359+T359)),Inputs!$B$25),0))</f>
        <v>77</v>
      </c>
      <c r="V359" s="10" t="n">
        <f aca="false">IF(A359="","",IF(Inputs!$B$22="Cash",Q359,0))</f>
        <v>0</v>
      </c>
      <c r="W359" s="10" t="n">
        <f aca="false">IF(A359="","",IF(Inputs!$B$22="PUA",Q359,0))</f>
        <v>0</v>
      </c>
      <c r="X359" s="12" t="n">
        <f aca="false">IF(A359="","",IFERROR(INDEX(PUA_TABLE!$D$4:$D$105,MATCH(E359,PUA_TABLE!$C$4:$C$105,1)),0))</f>
        <v>0.551372759018925</v>
      </c>
      <c r="Y359" s="10" t="n">
        <f aca="false">IF(A359="","",IF(W359&gt;0,IF(X359&gt;0,W359/X359,0),0))</f>
        <v>0</v>
      </c>
      <c r="Z359" s="10" t="n">
        <f aca="false">IF(A359="","",N359+Y359)</f>
        <v>0</v>
      </c>
      <c r="AA359" s="10" t="n">
        <f aca="false">IF(A359="","",IFERROR(Z359*INDEX(PUA_TABLE!$I$4:$I$105,MATCH(E359,PUA_TABLE!$C$4:$C$105,1))/1000,0))</f>
        <v>0</v>
      </c>
      <c r="AB359" s="10" t="n">
        <f aca="false">IF(A359="","",IFERROR(L359+AA359,0))</f>
        <v>27978.5467023862</v>
      </c>
      <c r="AC359" s="10" t="n">
        <f aca="false">IF(A359="","",IF(Inputs!$B$22="Premium Offset",MIN(Inputs!$B$25,Q359+T359),0))</f>
        <v>0</v>
      </c>
    </row>
    <row r="360" customFormat="false" ht="15" hidden="false" customHeight="false" outlineLevel="0" collapsed="false">
      <c r="A360" s="1" t="n">
        <f aca="false">IF(A359="","",IF(INT((C359+1)/12)+Inputs!$B$7&gt;MAX(MORTALITY!$A:$A),"",Inputs!$B$4))</f>
        <v>34</v>
      </c>
      <c r="B360" s="3" t="n">
        <f aca="false">IF(A360="","",EOMONTH(B359,1))</f>
        <v>32628</v>
      </c>
      <c r="C360" s="1" t="n">
        <f aca="false">IF(A360="","",C359+1)</f>
        <v>358</v>
      </c>
      <c r="D360" s="1" t="n">
        <f aca="false">IF(A360="","",INT(C360/12))</f>
        <v>29</v>
      </c>
      <c r="E360" s="1" t="n">
        <f aca="false">IF(A360="","",D360+Inputs!$B$7)</f>
        <v>45</v>
      </c>
      <c r="F360" s="3" t="n">
        <f aca="false">IF(A360="","",DATE(YEAR(B$2)+D360,MONTH(B$2),DAY(B$2)))</f>
        <v>32299</v>
      </c>
      <c r="G360" s="3" t="n">
        <f aca="false">IF(A360="","",DATE(YEAR(F360)+1,MONTH(F360),DAY(F360)))</f>
        <v>32664</v>
      </c>
      <c r="H360" s="10" t="n">
        <f aca="false">IF(A360="","",IF(G360&gt;F360,(B360-F360)/(G360-F360),0))</f>
        <v>0.901369863013699</v>
      </c>
      <c r="I360" s="10" t="n">
        <f aca="false">IF(A360="","",IFERROR(INDEX(CV_RATES!$I:$I,MATCH(D360,CV_RATES!$C:$C,0)),0))</f>
        <v>551.372759018925</v>
      </c>
      <c r="J360" s="10" t="n">
        <f aca="false">IF(A360="","",IFERROR(IF(E360=MAX(MORTALITY!$A:$A),1000,INDEX(CV_RATES!$J:$J,MATCH(D360,CV_RATES!$C:$C,0))),0))</f>
        <v>561.380564656087</v>
      </c>
      <c r="K360" s="10" t="n">
        <f aca="false">IF(A360="","",IFERROR(I360+H360*(J360-I360),0))</f>
        <v>560.393493415162</v>
      </c>
      <c r="L360" s="10" t="n">
        <f aca="false">IF(A360="","",IFERROR(K360*Inputs!$B$9,0))</f>
        <v>28019.6746707581</v>
      </c>
      <c r="M360" s="10" t="n">
        <f aca="false">IF(A360="","",IFERROR(K360*Inputs!$B$10,0))</f>
        <v>89661.2777659457</v>
      </c>
      <c r="N360" s="10" t="n">
        <f aca="false">IF(A360="","",Z359)</f>
        <v>0</v>
      </c>
      <c r="O360" s="6" t="n">
        <f aca="false">IF(A360="","",Inputs!$B$18+N360)</f>
        <v>50000</v>
      </c>
      <c r="P360" s="5" t="n">
        <f aca="false">IF(A360="","",VLOOKUP(D360,DIvidend_Assumption!$A$3:$CX$103,($E$2+2),0)/12)</f>
        <v>0</v>
      </c>
      <c r="Q360" s="10" t="n">
        <f aca="false">IF(A360="","",IFERROR(AB359*P360,""))</f>
        <v>0</v>
      </c>
      <c r="R360" s="10" t="n">
        <f aca="false">IF(A360="","",IFERROR(IF(Inputs!$B$22="Accumulate",T360+Q360,IF(Inputs!$B$22="Premium Offset",MAX(0,T360+Q360-Inputs!$B$25),T360)),""))</f>
        <v>0</v>
      </c>
      <c r="S360" s="10" t="n">
        <f aca="false">IF(A360="","",R359)</f>
        <v>0</v>
      </c>
      <c r="T360" s="10" t="n">
        <f aca="false">IF(A360="","",IFERROR(S360*(1+Inputs!$B$23/12),""))</f>
        <v>0</v>
      </c>
      <c r="U360" s="6" t="n">
        <f aca="false">IF(A360="","",IF(D360&lt;=Inputs!$B$8,IF(Inputs!$B$22="Premium Offset",MAX(0,Inputs!$B$25-(Q360+T360)),Inputs!$B$25),0))</f>
        <v>77</v>
      </c>
      <c r="V360" s="10" t="n">
        <f aca="false">IF(A360="","",IF(Inputs!$B$22="Cash",Q360,0))</f>
        <v>0</v>
      </c>
      <c r="W360" s="10" t="n">
        <f aca="false">IF(A360="","",IF(Inputs!$B$22="PUA",Q360,0))</f>
        <v>0</v>
      </c>
      <c r="X360" s="12" t="n">
        <f aca="false">IF(A360="","",IFERROR(INDEX(PUA_TABLE!$D$4:$D$105,MATCH(E360,PUA_TABLE!$C$4:$C$105,1)),0))</f>
        <v>0.551372759018925</v>
      </c>
      <c r="Y360" s="10" t="n">
        <f aca="false">IF(A360="","",IF(W360&gt;0,IF(X360&gt;0,W360/X360,0),0))</f>
        <v>0</v>
      </c>
      <c r="Z360" s="10" t="n">
        <f aca="false">IF(A360="","",N360+Y360)</f>
        <v>0</v>
      </c>
      <c r="AA360" s="10" t="n">
        <f aca="false">IF(A360="","",IFERROR(Z360*INDEX(PUA_TABLE!$I$4:$I$105,MATCH(E360,PUA_TABLE!$C$4:$C$105,1))/1000,0))</f>
        <v>0</v>
      </c>
      <c r="AB360" s="10" t="n">
        <f aca="false">IF(A360="","",IFERROR(L360+AA360,0))</f>
        <v>28019.6746707581</v>
      </c>
      <c r="AC360" s="10" t="n">
        <f aca="false">IF(A360="","",IF(Inputs!$B$22="Premium Offset",MIN(Inputs!$B$25,Q360+T360),0))</f>
        <v>0</v>
      </c>
    </row>
    <row r="361" customFormat="false" ht="15" hidden="false" customHeight="false" outlineLevel="0" collapsed="false">
      <c r="A361" s="1" t="n">
        <f aca="false">IF(A360="","",IF(INT((C360+1)/12)+Inputs!$B$7&gt;MAX(MORTALITY!$A:$A),"",Inputs!$B$4))</f>
        <v>34</v>
      </c>
      <c r="B361" s="3" t="n">
        <f aca="false">IF(A361="","",EOMONTH(B360,1))</f>
        <v>32659</v>
      </c>
      <c r="C361" s="1" t="n">
        <f aca="false">IF(A361="","",C360+1)</f>
        <v>359</v>
      </c>
      <c r="D361" s="1" t="n">
        <f aca="false">IF(A361="","",INT(C361/12))</f>
        <v>29</v>
      </c>
      <c r="E361" s="1" t="n">
        <f aca="false">IF(A361="","",D361+Inputs!$B$7)</f>
        <v>45</v>
      </c>
      <c r="F361" s="3" t="n">
        <f aca="false">IF(A361="","",DATE(YEAR(B$2)+D361,MONTH(B$2),DAY(B$2)))</f>
        <v>32299</v>
      </c>
      <c r="G361" s="3" t="n">
        <f aca="false">IF(A361="","",DATE(YEAR(F361)+1,MONTH(F361),DAY(F361)))</f>
        <v>32664</v>
      </c>
      <c r="H361" s="10" t="n">
        <f aca="false">IF(A361="","",IF(G361&gt;F361,(B361-F361)/(G361-F361),0))</f>
        <v>0.986301369863014</v>
      </c>
      <c r="I361" s="10" t="n">
        <f aca="false">IF(A361="","",IFERROR(INDEX(CV_RATES!$I:$I,MATCH(D361,CV_RATES!$C:$C,0)),0))</f>
        <v>551.372759018925</v>
      </c>
      <c r="J361" s="10" t="n">
        <f aca="false">IF(A361="","",IFERROR(IF(E361=MAX(MORTALITY!$A:$A),1000,INDEX(CV_RATES!$J:$J,MATCH(D361,CV_RATES!$C:$C,0))),0))</f>
        <v>561.380564656087</v>
      </c>
      <c r="K361" s="10" t="n">
        <f aca="false">IF(A361="","",IFERROR(I361+H361*(J361-I361),0))</f>
        <v>561.243471428181</v>
      </c>
      <c r="L361" s="10" t="n">
        <f aca="false">IF(A361="","",IFERROR(K361*Inputs!$B$9,0))</f>
        <v>28062.1735714091</v>
      </c>
      <c r="M361" s="10" t="n">
        <f aca="false">IF(A361="","",IFERROR(K361*Inputs!$B$10,0))</f>
        <v>89797.2716980947</v>
      </c>
      <c r="N361" s="10" t="n">
        <f aca="false">IF(A361="","",Z360)</f>
        <v>0</v>
      </c>
      <c r="O361" s="6" t="n">
        <f aca="false">IF(A361="","",Inputs!$B$18+N361)</f>
        <v>50000</v>
      </c>
      <c r="P361" s="5" t="n">
        <f aca="false">IF(A361="","",VLOOKUP(D361,DIvidend_Assumption!$A$3:$CX$103,($E$2+2),0)/12)</f>
        <v>0</v>
      </c>
      <c r="Q361" s="10" t="n">
        <f aca="false">IF(A361="","",IFERROR(AB360*P361,""))</f>
        <v>0</v>
      </c>
      <c r="R361" s="10" t="n">
        <f aca="false">IF(A361="","",IFERROR(IF(Inputs!$B$22="Accumulate",T361+Q361,IF(Inputs!$B$22="Premium Offset",MAX(0,T361+Q361-Inputs!$B$25),T361)),""))</f>
        <v>0</v>
      </c>
      <c r="S361" s="10" t="n">
        <f aca="false">IF(A361="","",R360)</f>
        <v>0</v>
      </c>
      <c r="T361" s="10" t="n">
        <f aca="false">IF(A361="","",IFERROR(S361*(1+Inputs!$B$23/12),""))</f>
        <v>0</v>
      </c>
      <c r="U361" s="6" t="n">
        <f aca="false">IF(A361="","",IF(D361&lt;=Inputs!$B$8,IF(Inputs!$B$22="Premium Offset",MAX(0,Inputs!$B$25-(Q361+T361)),Inputs!$B$25),0))</f>
        <v>77</v>
      </c>
      <c r="V361" s="10" t="n">
        <f aca="false">IF(A361="","",IF(Inputs!$B$22="Cash",Q361,0))</f>
        <v>0</v>
      </c>
      <c r="W361" s="10" t="n">
        <f aca="false">IF(A361="","",IF(Inputs!$B$22="PUA",Q361,0))</f>
        <v>0</v>
      </c>
      <c r="X361" s="12" t="n">
        <f aca="false">IF(A361="","",IFERROR(INDEX(PUA_TABLE!$D$4:$D$105,MATCH(E361,PUA_TABLE!$C$4:$C$105,1)),0))</f>
        <v>0.551372759018925</v>
      </c>
      <c r="Y361" s="10" t="n">
        <f aca="false">IF(A361="","",IF(W361&gt;0,IF(X361&gt;0,W361/X361,0),0))</f>
        <v>0</v>
      </c>
      <c r="Z361" s="10" t="n">
        <f aca="false">IF(A361="","",N361+Y361)</f>
        <v>0</v>
      </c>
      <c r="AA361" s="10" t="n">
        <f aca="false">IF(A361="","",IFERROR(Z361*INDEX(PUA_TABLE!$I$4:$I$105,MATCH(E361,PUA_TABLE!$C$4:$C$105,1))/1000,0))</f>
        <v>0</v>
      </c>
      <c r="AB361" s="10" t="n">
        <f aca="false">IF(A361="","",IFERROR(L361+AA361,0))</f>
        <v>28062.1735714091</v>
      </c>
      <c r="AC361" s="10" t="n">
        <f aca="false">IF(A361="","",IF(Inputs!$B$22="Premium Offset",MIN(Inputs!$B$25,Q361+T361),0))</f>
        <v>0</v>
      </c>
    </row>
    <row r="362" customFormat="false" ht="15" hidden="false" customHeight="false" outlineLevel="0" collapsed="false">
      <c r="A362" s="1" t="n">
        <f aca="false">IF(A361="","",IF(INT((C361+1)/12)+Inputs!$B$7&gt;MAX(MORTALITY!$A:$A),"",Inputs!$B$4))</f>
        <v>34</v>
      </c>
      <c r="B362" s="3" t="n">
        <f aca="false">IF(A362="","",EOMONTH(B361,1))</f>
        <v>32689</v>
      </c>
      <c r="C362" s="1" t="n">
        <f aca="false">IF(A362="","",C361+1)</f>
        <v>360</v>
      </c>
      <c r="D362" s="1" t="n">
        <f aca="false">IF(A362="","",INT(C362/12))</f>
        <v>30</v>
      </c>
      <c r="E362" s="1" t="n">
        <f aca="false">IF(A362="","",D362+Inputs!$B$7)</f>
        <v>46</v>
      </c>
      <c r="F362" s="3" t="n">
        <f aca="false">IF(A362="","",DATE(YEAR(B$2)+D362,MONTH(B$2),DAY(B$2)))</f>
        <v>32664</v>
      </c>
      <c r="G362" s="3" t="n">
        <f aca="false">IF(A362="","",DATE(YEAR(F362)+1,MONTH(F362),DAY(F362)))</f>
        <v>33029</v>
      </c>
      <c r="H362" s="10" t="n">
        <f aca="false">IF(A362="","",IF(G362&gt;F362,(B362-F362)/(G362-F362),0))</f>
        <v>0.0684931506849315</v>
      </c>
      <c r="I362" s="10" t="n">
        <f aca="false">IF(A362="","",IFERROR(INDEX(CV_RATES!$I:$I,MATCH(D362,CV_RATES!$C:$C,0)),0))</f>
        <v>561.380564656087</v>
      </c>
      <c r="J362" s="10" t="n">
        <f aca="false">IF(A362="","",IFERROR(IF(E362=MAX(MORTALITY!$A:$A),1000,INDEX(CV_RATES!$J:$J,MATCH(D362,CV_RATES!$C:$C,0))),0))</f>
        <v>571.459651354491</v>
      </c>
      <c r="K362" s="10" t="n">
        <f aca="false">IF(A362="","",IFERROR(I362+H362*(J362-I362),0))</f>
        <v>562.070913060088</v>
      </c>
      <c r="L362" s="10" t="n">
        <f aca="false">IF(A362="","",IFERROR(K362*Inputs!$B$9,0))</f>
        <v>28103.5456530044</v>
      </c>
      <c r="M362" s="10" t="n">
        <f aca="false">IF(A362="","",IFERROR(K362*Inputs!$B$10,0))</f>
        <v>89929.6598768748</v>
      </c>
      <c r="N362" s="10" t="n">
        <f aca="false">IF(A362="","",Z361)</f>
        <v>0</v>
      </c>
      <c r="O362" s="6" t="n">
        <f aca="false">IF(A362="","",Inputs!$B$18+N362)</f>
        <v>50000</v>
      </c>
      <c r="P362" s="5" t="n">
        <f aca="false">IF(A362="","",VLOOKUP(D362,DIvidend_Assumption!$A$3:$CX$103,($E$2+2),0)/12)</f>
        <v>0</v>
      </c>
      <c r="Q362" s="10" t="n">
        <f aca="false">IF(A362="","",IFERROR(AB361*P362,""))</f>
        <v>0</v>
      </c>
      <c r="R362" s="10" t="n">
        <f aca="false">IF(A362="","",IFERROR(IF(Inputs!$B$22="Accumulate",T362+Q362,IF(Inputs!$B$22="Premium Offset",MAX(0,T362+Q362-Inputs!$B$25),T362)),""))</f>
        <v>0</v>
      </c>
      <c r="S362" s="10" t="n">
        <f aca="false">IF(A362="","",R361)</f>
        <v>0</v>
      </c>
      <c r="T362" s="10" t="n">
        <f aca="false">IF(A362="","",IFERROR(S362*(1+Inputs!$B$23/12),""))</f>
        <v>0</v>
      </c>
      <c r="U362" s="6" t="n">
        <f aca="false">IF(A362="","",IF(D362&lt;=Inputs!$B$8,IF(Inputs!$B$22="Premium Offset",MAX(0,Inputs!$B$25-(Q362+T362)),Inputs!$B$25),0))</f>
        <v>77</v>
      </c>
      <c r="V362" s="10" t="n">
        <f aca="false">IF(A362="","",IF(Inputs!$B$22="Cash",Q362,0))</f>
        <v>0</v>
      </c>
      <c r="W362" s="10" t="n">
        <f aca="false">IF(A362="","",IF(Inputs!$B$22="PUA",Q362,0))</f>
        <v>0</v>
      </c>
      <c r="X362" s="12" t="n">
        <f aca="false">IF(A362="","",IFERROR(INDEX(PUA_TABLE!$D$4:$D$105,MATCH(E362,PUA_TABLE!$C$4:$C$105,1)),0))</f>
        <v>0.561380564656087</v>
      </c>
      <c r="Y362" s="10" t="n">
        <f aca="false">IF(A362="","",IF(W362&gt;0,IF(X362&gt;0,W362/X362,0),0))</f>
        <v>0</v>
      </c>
      <c r="Z362" s="10" t="n">
        <f aca="false">IF(A362="","",N362+Y362)</f>
        <v>0</v>
      </c>
      <c r="AA362" s="10" t="n">
        <f aca="false">IF(A362="","",IFERROR(Z362*INDEX(PUA_TABLE!$I$4:$I$105,MATCH(E362,PUA_TABLE!$C$4:$C$105,1))/1000,0))</f>
        <v>0</v>
      </c>
      <c r="AB362" s="10" t="n">
        <f aca="false">IF(A362="","",IFERROR(L362+AA362,0))</f>
        <v>28103.5456530044</v>
      </c>
      <c r="AC362" s="10" t="n">
        <f aca="false">IF(A362="","",IF(Inputs!$B$22="Premium Offset",MIN(Inputs!$B$25,Q362+T362),0))</f>
        <v>0</v>
      </c>
    </row>
    <row r="363" customFormat="false" ht="15" hidden="false" customHeight="false" outlineLevel="0" collapsed="false">
      <c r="A363" s="1" t="n">
        <f aca="false">IF(A362="","",IF(INT((C362+1)/12)+Inputs!$B$7&gt;MAX(MORTALITY!$A:$A),"",Inputs!$B$4))</f>
        <v>34</v>
      </c>
      <c r="B363" s="3" t="n">
        <f aca="false">IF(A363="","",EOMONTH(B362,1))</f>
        <v>32720</v>
      </c>
      <c r="C363" s="1" t="n">
        <f aca="false">IF(A363="","",C362+1)</f>
        <v>361</v>
      </c>
      <c r="D363" s="1" t="n">
        <f aca="false">IF(A363="","",INT(C363/12))</f>
        <v>30</v>
      </c>
      <c r="E363" s="1" t="n">
        <f aca="false">IF(A363="","",D363+Inputs!$B$7)</f>
        <v>46</v>
      </c>
      <c r="F363" s="3" t="n">
        <f aca="false">IF(A363="","",DATE(YEAR(B$2)+D363,MONTH(B$2),DAY(B$2)))</f>
        <v>32664</v>
      </c>
      <c r="G363" s="3" t="n">
        <f aca="false">IF(A363="","",DATE(YEAR(F363)+1,MONTH(F363),DAY(F363)))</f>
        <v>33029</v>
      </c>
      <c r="H363" s="10" t="n">
        <f aca="false">IF(A363="","",IF(G363&gt;F363,(B363-F363)/(G363-F363),0))</f>
        <v>0.153424657534247</v>
      </c>
      <c r="I363" s="10" t="n">
        <f aca="false">IF(A363="","",IFERROR(INDEX(CV_RATES!$I:$I,MATCH(D363,CV_RATES!$C:$C,0)),0))</f>
        <v>561.380564656087</v>
      </c>
      <c r="J363" s="10" t="n">
        <f aca="false">IF(A363="","",IFERROR(IF(E363=MAX(MORTALITY!$A:$A),1000,INDEX(CV_RATES!$J:$J,MATCH(D363,CV_RATES!$C:$C,0))),0))</f>
        <v>571.459651354491</v>
      </c>
      <c r="K363" s="10" t="n">
        <f aca="false">IF(A363="","",IFERROR(I363+H363*(J363-I363),0))</f>
        <v>562.926945081048</v>
      </c>
      <c r="L363" s="10" t="n">
        <f aca="false">IF(A363="","",IFERROR(K363*Inputs!$B$9,0))</f>
        <v>28146.3472540524</v>
      </c>
      <c r="M363" s="10" t="n">
        <f aca="false">IF(A363="","",IFERROR(K363*Inputs!$B$10,0))</f>
        <v>90066.6224321324</v>
      </c>
      <c r="N363" s="10" t="n">
        <f aca="false">IF(A363="","",Z362)</f>
        <v>0</v>
      </c>
      <c r="O363" s="6" t="n">
        <f aca="false">IF(A363="","",Inputs!$B$18+N363)</f>
        <v>50000</v>
      </c>
      <c r="P363" s="5" t="n">
        <f aca="false">IF(A363="","",VLOOKUP(D363,DIvidend_Assumption!$A$3:$CX$103,($E$2+2),0)/12)</f>
        <v>0</v>
      </c>
      <c r="Q363" s="10" t="n">
        <f aca="false">IF(A363="","",IFERROR(AB362*P363,""))</f>
        <v>0</v>
      </c>
      <c r="R363" s="10" t="n">
        <f aca="false">IF(A363="","",IFERROR(IF(Inputs!$B$22="Accumulate",T363+Q363,IF(Inputs!$B$22="Premium Offset",MAX(0,T363+Q363-Inputs!$B$25),T363)),""))</f>
        <v>0</v>
      </c>
      <c r="S363" s="10" t="n">
        <f aca="false">IF(A363="","",R362)</f>
        <v>0</v>
      </c>
      <c r="T363" s="10" t="n">
        <f aca="false">IF(A363="","",IFERROR(S363*(1+Inputs!$B$23/12),""))</f>
        <v>0</v>
      </c>
      <c r="U363" s="6" t="n">
        <f aca="false">IF(A363="","",IF(D363&lt;=Inputs!$B$8,IF(Inputs!$B$22="Premium Offset",MAX(0,Inputs!$B$25-(Q363+T363)),Inputs!$B$25),0))</f>
        <v>77</v>
      </c>
      <c r="V363" s="10" t="n">
        <f aca="false">IF(A363="","",IF(Inputs!$B$22="Cash",Q363,0))</f>
        <v>0</v>
      </c>
      <c r="W363" s="10" t="n">
        <f aca="false">IF(A363="","",IF(Inputs!$B$22="PUA",Q363,0))</f>
        <v>0</v>
      </c>
      <c r="X363" s="12" t="n">
        <f aca="false">IF(A363="","",IFERROR(INDEX(PUA_TABLE!$D$4:$D$105,MATCH(E363,PUA_TABLE!$C$4:$C$105,1)),0))</f>
        <v>0.561380564656087</v>
      </c>
      <c r="Y363" s="10" t="n">
        <f aca="false">IF(A363="","",IF(W363&gt;0,IF(X363&gt;0,W363/X363,0),0))</f>
        <v>0</v>
      </c>
      <c r="Z363" s="10" t="n">
        <f aca="false">IF(A363="","",N363+Y363)</f>
        <v>0</v>
      </c>
      <c r="AA363" s="10" t="n">
        <f aca="false">IF(A363="","",IFERROR(Z363*INDEX(PUA_TABLE!$I$4:$I$105,MATCH(E363,PUA_TABLE!$C$4:$C$105,1))/1000,0))</f>
        <v>0</v>
      </c>
      <c r="AB363" s="10" t="n">
        <f aca="false">IF(A363="","",IFERROR(L363+AA363,0))</f>
        <v>28146.3472540524</v>
      </c>
      <c r="AC363" s="10" t="n">
        <f aca="false">IF(A363="","",IF(Inputs!$B$22="Premium Offset",MIN(Inputs!$B$25,Q363+T363),0))</f>
        <v>0</v>
      </c>
    </row>
    <row r="364" customFormat="false" ht="15" hidden="false" customHeight="false" outlineLevel="0" collapsed="false">
      <c r="A364" s="1" t="n">
        <f aca="false">IF(A363="","",IF(INT((C363+1)/12)+Inputs!$B$7&gt;MAX(MORTALITY!$A:$A),"",Inputs!$B$4))</f>
        <v>34</v>
      </c>
      <c r="B364" s="3" t="n">
        <f aca="false">IF(A364="","",EOMONTH(B363,1))</f>
        <v>32751</v>
      </c>
      <c r="C364" s="1" t="n">
        <f aca="false">IF(A364="","",C363+1)</f>
        <v>362</v>
      </c>
      <c r="D364" s="1" t="n">
        <f aca="false">IF(A364="","",INT(C364/12))</f>
        <v>30</v>
      </c>
      <c r="E364" s="1" t="n">
        <f aca="false">IF(A364="","",D364+Inputs!$B$7)</f>
        <v>46</v>
      </c>
      <c r="F364" s="3" t="n">
        <f aca="false">IF(A364="","",DATE(YEAR(B$2)+D364,MONTH(B$2),DAY(B$2)))</f>
        <v>32664</v>
      </c>
      <c r="G364" s="3" t="n">
        <f aca="false">IF(A364="","",DATE(YEAR(F364)+1,MONTH(F364),DAY(F364)))</f>
        <v>33029</v>
      </c>
      <c r="H364" s="10" t="n">
        <f aca="false">IF(A364="","",IF(G364&gt;F364,(B364-F364)/(G364-F364),0))</f>
        <v>0.238356164383562</v>
      </c>
      <c r="I364" s="10" t="n">
        <f aca="false">IF(A364="","",IFERROR(INDEX(CV_RATES!$I:$I,MATCH(D364,CV_RATES!$C:$C,0)),0))</f>
        <v>561.380564656087</v>
      </c>
      <c r="J364" s="10" t="n">
        <f aca="false">IF(A364="","",IFERROR(IF(E364=MAX(MORTALITY!$A:$A),1000,INDEX(CV_RATES!$J:$J,MATCH(D364,CV_RATES!$C:$C,0))),0))</f>
        <v>571.459651354491</v>
      </c>
      <c r="K364" s="10" t="n">
        <f aca="false">IF(A364="","",IFERROR(I364+H364*(J364-I364),0))</f>
        <v>563.782977102008</v>
      </c>
      <c r="L364" s="10" t="n">
        <f aca="false">IF(A364="","",IFERROR(K364*Inputs!$B$9,0))</f>
        <v>28189.1488551004</v>
      </c>
      <c r="M364" s="10" t="n">
        <f aca="false">IF(A364="","",IFERROR(K364*Inputs!$B$10,0))</f>
        <v>90203.58498739</v>
      </c>
      <c r="N364" s="10" t="n">
        <f aca="false">IF(A364="","",Z363)</f>
        <v>0</v>
      </c>
      <c r="O364" s="6" t="n">
        <f aca="false">IF(A364="","",Inputs!$B$18+N364)</f>
        <v>50000</v>
      </c>
      <c r="P364" s="5" t="n">
        <f aca="false">IF(A364="","",VLOOKUP(D364,DIvidend_Assumption!$A$3:$CX$103,($E$2+2),0)/12)</f>
        <v>0</v>
      </c>
      <c r="Q364" s="10" t="n">
        <f aca="false">IF(A364="","",IFERROR(AB363*P364,""))</f>
        <v>0</v>
      </c>
      <c r="R364" s="10" t="n">
        <f aca="false">IF(A364="","",IFERROR(IF(Inputs!$B$22="Accumulate",T364+Q364,IF(Inputs!$B$22="Premium Offset",MAX(0,T364+Q364-Inputs!$B$25),T364)),""))</f>
        <v>0</v>
      </c>
      <c r="S364" s="10" t="n">
        <f aca="false">IF(A364="","",R363)</f>
        <v>0</v>
      </c>
      <c r="T364" s="10" t="n">
        <f aca="false">IF(A364="","",IFERROR(S364*(1+Inputs!$B$23/12),""))</f>
        <v>0</v>
      </c>
      <c r="U364" s="6" t="n">
        <f aca="false">IF(A364="","",IF(D364&lt;=Inputs!$B$8,IF(Inputs!$B$22="Premium Offset",MAX(0,Inputs!$B$25-(Q364+T364)),Inputs!$B$25),0))</f>
        <v>77</v>
      </c>
      <c r="V364" s="10" t="n">
        <f aca="false">IF(A364="","",IF(Inputs!$B$22="Cash",Q364,0))</f>
        <v>0</v>
      </c>
      <c r="W364" s="10" t="n">
        <f aca="false">IF(A364="","",IF(Inputs!$B$22="PUA",Q364,0))</f>
        <v>0</v>
      </c>
      <c r="X364" s="12" t="n">
        <f aca="false">IF(A364="","",IFERROR(INDEX(PUA_TABLE!$D$4:$D$105,MATCH(E364,PUA_TABLE!$C$4:$C$105,1)),0))</f>
        <v>0.561380564656087</v>
      </c>
      <c r="Y364" s="10" t="n">
        <f aca="false">IF(A364="","",IF(W364&gt;0,IF(X364&gt;0,W364/X364,0),0))</f>
        <v>0</v>
      </c>
      <c r="Z364" s="10" t="n">
        <f aca="false">IF(A364="","",N364+Y364)</f>
        <v>0</v>
      </c>
      <c r="AA364" s="10" t="n">
        <f aca="false">IF(A364="","",IFERROR(Z364*INDEX(PUA_TABLE!$I$4:$I$105,MATCH(E364,PUA_TABLE!$C$4:$C$105,1))/1000,0))</f>
        <v>0</v>
      </c>
      <c r="AB364" s="10" t="n">
        <f aca="false">IF(A364="","",IFERROR(L364+AA364,0))</f>
        <v>28189.1488551004</v>
      </c>
      <c r="AC364" s="10" t="n">
        <f aca="false">IF(A364="","",IF(Inputs!$B$22="Premium Offset",MIN(Inputs!$B$25,Q364+T364),0))</f>
        <v>0</v>
      </c>
    </row>
    <row r="365" customFormat="false" ht="15" hidden="false" customHeight="false" outlineLevel="0" collapsed="false">
      <c r="A365" s="1" t="n">
        <f aca="false">IF(A364="","",IF(INT((C364+1)/12)+Inputs!$B$7&gt;MAX(MORTALITY!$A:$A),"",Inputs!$B$4))</f>
        <v>34</v>
      </c>
      <c r="B365" s="3" t="n">
        <f aca="false">IF(A365="","",EOMONTH(B364,1))</f>
        <v>32781</v>
      </c>
      <c r="C365" s="1" t="n">
        <f aca="false">IF(A365="","",C364+1)</f>
        <v>363</v>
      </c>
      <c r="D365" s="1" t="n">
        <f aca="false">IF(A365="","",INT(C365/12))</f>
        <v>30</v>
      </c>
      <c r="E365" s="1" t="n">
        <f aca="false">IF(A365="","",D365+Inputs!$B$7)</f>
        <v>46</v>
      </c>
      <c r="F365" s="3" t="n">
        <f aca="false">IF(A365="","",DATE(YEAR(B$2)+D365,MONTH(B$2),DAY(B$2)))</f>
        <v>32664</v>
      </c>
      <c r="G365" s="3" t="n">
        <f aca="false">IF(A365="","",DATE(YEAR(F365)+1,MONTH(F365),DAY(F365)))</f>
        <v>33029</v>
      </c>
      <c r="H365" s="10" t="n">
        <f aca="false">IF(A365="","",IF(G365&gt;F365,(B365-F365)/(G365-F365),0))</f>
        <v>0.320547945205479</v>
      </c>
      <c r="I365" s="10" t="n">
        <f aca="false">IF(A365="","",IFERROR(INDEX(CV_RATES!$I:$I,MATCH(D365,CV_RATES!$C:$C,0)),0))</f>
        <v>561.380564656087</v>
      </c>
      <c r="J365" s="10" t="n">
        <f aca="false">IF(A365="","",IFERROR(IF(E365=MAX(MORTALITY!$A:$A),1000,INDEX(CV_RATES!$J:$J,MATCH(D365,CV_RATES!$C:$C,0))),0))</f>
        <v>571.459651354491</v>
      </c>
      <c r="K365" s="10" t="n">
        <f aca="false">IF(A365="","",IFERROR(I365+H365*(J365-I365),0))</f>
        <v>564.611395186809</v>
      </c>
      <c r="L365" s="10" t="n">
        <f aca="false">IF(A365="","",IFERROR(K365*Inputs!$B$9,0))</f>
        <v>28230.5697593404</v>
      </c>
      <c r="M365" s="10" t="n">
        <f aca="false">IF(A365="","",IFERROR(K365*Inputs!$B$10,0))</f>
        <v>90336.1293957038</v>
      </c>
      <c r="N365" s="10" t="n">
        <f aca="false">IF(A365="","",Z364)</f>
        <v>0</v>
      </c>
      <c r="O365" s="6" t="n">
        <f aca="false">IF(A365="","",Inputs!$B$18+N365)</f>
        <v>50000</v>
      </c>
      <c r="P365" s="5" t="n">
        <f aca="false">IF(A365="","",VLOOKUP(D365,DIvidend_Assumption!$A$3:$CX$103,($E$2+2),0)/12)</f>
        <v>0</v>
      </c>
      <c r="Q365" s="10" t="n">
        <f aca="false">IF(A365="","",IFERROR(AB364*P365,""))</f>
        <v>0</v>
      </c>
      <c r="R365" s="10" t="n">
        <f aca="false">IF(A365="","",IFERROR(IF(Inputs!$B$22="Accumulate",T365+Q365,IF(Inputs!$B$22="Premium Offset",MAX(0,T365+Q365-Inputs!$B$25),T365)),""))</f>
        <v>0</v>
      </c>
      <c r="S365" s="10" t="n">
        <f aca="false">IF(A365="","",R364)</f>
        <v>0</v>
      </c>
      <c r="T365" s="10" t="n">
        <f aca="false">IF(A365="","",IFERROR(S365*(1+Inputs!$B$23/12),""))</f>
        <v>0</v>
      </c>
      <c r="U365" s="6" t="n">
        <f aca="false">IF(A365="","",IF(D365&lt;=Inputs!$B$8,IF(Inputs!$B$22="Premium Offset",MAX(0,Inputs!$B$25-(Q365+T365)),Inputs!$B$25),0))</f>
        <v>77</v>
      </c>
      <c r="V365" s="10" t="n">
        <f aca="false">IF(A365="","",IF(Inputs!$B$22="Cash",Q365,0))</f>
        <v>0</v>
      </c>
      <c r="W365" s="10" t="n">
        <f aca="false">IF(A365="","",IF(Inputs!$B$22="PUA",Q365,0))</f>
        <v>0</v>
      </c>
      <c r="X365" s="12" t="n">
        <f aca="false">IF(A365="","",IFERROR(INDEX(PUA_TABLE!$D$4:$D$105,MATCH(E365,PUA_TABLE!$C$4:$C$105,1)),0))</f>
        <v>0.561380564656087</v>
      </c>
      <c r="Y365" s="10" t="n">
        <f aca="false">IF(A365="","",IF(W365&gt;0,IF(X365&gt;0,W365/X365,0),0))</f>
        <v>0</v>
      </c>
      <c r="Z365" s="10" t="n">
        <f aca="false">IF(A365="","",N365+Y365)</f>
        <v>0</v>
      </c>
      <c r="AA365" s="10" t="n">
        <f aca="false">IF(A365="","",IFERROR(Z365*INDEX(PUA_TABLE!$I$4:$I$105,MATCH(E365,PUA_TABLE!$C$4:$C$105,1))/1000,0))</f>
        <v>0</v>
      </c>
      <c r="AB365" s="10" t="n">
        <f aca="false">IF(A365="","",IFERROR(L365+AA365,0))</f>
        <v>28230.5697593404</v>
      </c>
      <c r="AC365" s="10" t="n">
        <f aca="false">IF(A365="","",IF(Inputs!$B$22="Premium Offset",MIN(Inputs!$B$25,Q365+T365),0))</f>
        <v>0</v>
      </c>
    </row>
    <row r="366" customFormat="false" ht="15" hidden="false" customHeight="false" outlineLevel="0" collapsed="false">
      <c r="A366" s="1" t="n">
        <f aca="false">IF(A365="","",IF(INT((C365+1)/12)+Inputs!$B$7&gt;MAX(MORTALITY!$A:$A),"",Inputs!$B$4))</f>
        <v>34</v>
      </c>
      <c r="B366" s="3" t="n">
        <f aca="false">IF(A366="","",EOMONTH(B365,1))</f>
        <v>32812</v>
      </c>
      <c r="C366" s="1" t="n">
        <f aca="false">IF(A366="","",C365+1)</f>
        <v>364</v>
      </c>
      <c r="D366" s="1" t="n">
        <f aca="false">IF(A366="","",INT(C366/12))</f>
        <v>30</v>
      </c>
      <c r="E366" s="1" t="n">
        <f aca="false">IF(A366="","",D366+Inputs!$B$7)</f>
        <v>46</v>
      </c>
      <c r="F366" s="3" t="n">
        <f aca="false">IF(A366="","",DATE(YEAR(B$2)+D366,MONTH(B$2),DAY(B$2)))</f>
        <v>32664</v>
      </c>
      <c r="G366" s="3" t="n">
        <f aca="false">IF(A366="","",DATE(YEAR(F366)+1,MONTH(F366),DAY(F366)))</f>
        <v>33029</v>
      </c>
      <c r="H366" s="10" t="n">
        <f aca="false">IF(A366="","",IF(G366&gt;F366,(B366-F366)/(G366-F366),0))</f>
        <v>0.405479452054795</v>
      </c>
      <c r="I366" s="10" t="n">
        <f aca="false">IF(A366="","",IFERROR(INDEX(CV_RATES!$I:$I,MATCH(D366,CV_RATES!$C:$C,0)),0))</f>
        <v>561.380564656087</v>
      </c>
      <c r="J366" s="10" t="n">
        <f aca="false">IF(A366="","",IFERROR(IF(E366=MAX(MORTALITY!$A:$A),1000,INDEX(CV_RATES!$J:$J,MATCH(D366,CV_RATES!$C:$C,0))),0))</f>
        <v>571.459651354491</v>
      </c>
      <c r="K366" s="10" t="n">
        <f aca="false">IF(A366="","",IFERROR(I366+H366*(J366-I366),0))</f>
        <v>565.467427207769</v>
      </c>
      <c r="L366" s="10" t="n">
        <f aca="false">IF(A366="","",IFERROR(K366*Inputs!$B$9,0))</f>
        <v>28273.3713603885</v>
      </c>
      <c r="M366" s="10" t="n">
        <f aca="false">IF(A366="","",IFERROR(K366*Inputs!$B$10,0))</f>
        <v>90473.0919509614</v>
      </c>
      <c r="N366" s="10" t="n">
        <f aca="false">IF(A366="","",Z365)</f>
        <v>0</v>
      </c>
      <c r="O366" s="6" t="n">
        <f aca="false">IF(A366="","",Inputs!$B$18+N366)</f>
        <v>50000</v>
      </c>
      <c r="P366" s="5" t="n">
        <f aca="false">IF(A366="","",VLOOKUP(D366,DIvidend_Assumption!$A$3:$CX$103,($E$2+2),0)/12)</f>
        <v>0</v>
      </c>
      <c r="Q366" s="10" t="n">
        <f aca="false">IF(A366="","",IFERROR(AB365*P366,""))</f>
        <v>0</v>
      </c>
      <c r="R366" s="10" t="n">
        <f aca="false">IF(A366="","",IFERROR(IF(Inputs!$B$22="Accumulate",T366+Q366,IF(Inputs!$B$22="Premium Offset",MAX(0,T366+Q366-Inputs!$B$25),T366)),""))</f>
        <v>0</v>
      </c>
      <c r="S366" s="10" t="n">
        <f aca="false">IF(A366="","",R365)</f>
        <v>0</v>
      </c>
      <c r="T366" s="10" t="n">
        <f aca="false">IF(A366="","",IFERROR(S366*(1+Inputs!$B$23/12),""))</f>
        <v>0</v>
      </c>
      <c r="U366" s="6" t="n">
        <f aca="false">IF(A366="","",IF(D366&lt;=Inputs!$B$8,IF(Inputs!$B$22="Premium Offset",MAX(0,Inputs!$B$25-(Q366+T366)),Inputs!$B$25),0))</f>
        <v>77</v>
      </c>
      <c r="V366" s="10" t="n">
        <f aca="false">IF(A366="","",IF(Inputs!$B$22="Cash",Q366,0))</f>
        <v>0</v>
      </c>
      <c r="W366" s="10" t="n">
        <f aca="false">IF(A366="","",IF(Inputs!$B$22="PUA",Q366,0))</f>
        <v>0</v>
      </c>
      <c r="X366" s="12" t="n">
        <f aca="false">IF(A366="","",IFERROR(INDEX(PUA_TABLE!$D$4:$D$105,MATCH(E366,PUA_TABLE!$C$4:$C$105,1)),0))</f>
        <v>0.561380564656087</v>
      </c>
      <c r="Y366" s="10" t="n">
        <f aca="false">IF(A366="","",IF(W366&gt;0,IF(X366&gt;0,W366/X366,0),0))</f>
        <v>0</v>
      </c>
      <c r="Z366" s="10" t="n">
        <f aca="false">IF(A366="","",N366+Y366)</f>
        <v>0</v>
      </c>
      <c r="AA366" s="10" t="n">
        <f aca="false">IF(A366="","",IFERROR(Z366*INDEX(PUA_TABLE!$I$4:$I$105,MATCH(E366,PUA_TABLE!$C$4:$C$105,1))/1000,0))</f>
        <v>0</v>
      </c>
      <c r="AB366" s="10" t="n">
        <f aca="false">IF(A366="","",IFERROR(L366+AA366,0))</f>
        <v>28273.3713603885</v>
      </c>
      <c r="AC366" s="10" t="n">
        <f aca="false">IF(A366="","",IF(Inputs!$B$22="Premium Offset",MIN(Inputs!$B$25,Q366+T366),0))</f>
        <v>0</v>
      </c>
    </row>
    <row r="367" customFormat="false" ht="15" hidden="false" customHeight="false" outlineLevel="0" collapsed="false">
      <c r="A367" s="1" t="n">
        <f aca="false">IF(A366="","",IF(INT((C366+1)/12)+Inputs!$B$7&gt;MAX(MORTALITY!$A:$A),"",Inputs!$B$4))</f>
        <v>34</v>
      </c>
      <c r="B367" s="3" t="n">
        <f aca="false">IF(A367="","",EOMONTH(B366,1))</f>
        <v>32842</v>
      </c>
      <c r="C367" s="1" t="n">
        <f aca="false">IF(A367="","",C366+1)</f>
        <v>365</v>
      </c>
      <c r="D367" s="1" t="n">
        <f aca="false">IF(A367="","",INT(C367/12))</f>
        <v>30</v>
      </c>
      <c r="E367" s="1" t="n">
        <f aca="false">IF(A367="","",D367+Inputs!$B$7)</f>
        <v>46</v>
      </c>
      <c r="F367" s="3" t="n">
        <f aca="false">IF(A367="","",DATE(YEAR(B$2)+D367,MONTH(B$2),DAY(B$2)))</f>
        <v>32664</v>
      </c>
      <c r="G367" s="3" t="n">
        <f aca="false">IF(A367="","",DATE(YEAR(F367)+1,MONTH(F367),DAY(F367)))</f>
        <v>33029</v>
      </c>
      <c r="H367" s="10" t="n">
        <f aca="false">IF(A367="","",IF(G367&gt;F367,(B367-F367)/(G367-F367),0))</f>
        <v>0.487671232876712</v>
      </c>
      <c r="I367" s="10" t="n">
        <f aca="false">IF(A367="","",IFERROR(INDEX(CV_RATES!$I:$I,MATCH(D367,CV_RATES!$C:$C,0)),0))</f>
        <v>561.380564656087</v>
      </c>
      <c r="J367" s="10" t="n">
        <f aca="false">IF(A367="","",IFERROR(IF(E367=MAX(MORTALITY!$A:$A),1000,INDEX(CV_RATES!$J:$J,MATCH(D367,CV_RATES!$C:$C,0))),0))</f>
        <v>571.459651354491</v>
      </c>
      <c r="K367" s="10" t="n">
        <f aca="false">IF(A367="","",IFERROR(I367+H367*(J367-I367),0))</f>
        <v>566.295845292569</v>
      </c>
      <c r="L367" s="10" t="n">
        <f aca="false">IF(A367="","",IFERROR(K367*Inputs!$B$9,0))</f>
        <v>28314.7922646285</v>
      </c>
      <c r="M367" s="10" t="n">
        <f aca="false">IF(A367="","",IFERROR(K367*Inputs!$B$10,0))</f>
        <v>90605.6363592752</v>
      </c>
      <c r="N367" s="10" t="n">
        <f aca="false">IF(A367="","",Z366)</f>
        <v>0</v>
      </c>
      <c r="O367" s="6" t="n">
        <f aca="false">IF(A367="","",Inputs!$B$18+N367)</f>
        <v>50000</v>
      </c>
      <c r="P367" s="5" t="n">
        <f aca="false">IF(A367="","",VLOOKUP(D367,DIvidend_Assumption!$A$3:$CX$103,($E$2+2),0)/12)</f>
        <v>0</v>
      </c>
      <c r="Q367" s="10" t="n">
        <f aca="false">IF(A367="","",IFERROR(AB366*P367,""))</f>
        <v>0</v>
      </c>
      <c r="R367" s="10" t="n">
        <f aca="false">IF(A367="","",IFERROR(IF(Inputs!$B$22="Accumulate",T367+Q367,IF(Inputs!$B$22="Premium Offset",MAX(0,T367+Q367-Inputs!$B$25),T367)),""))</f>
        <v>0</v>
      </c>
      <c r="S367" s="10" t="n">
        <f aca="false">IF(A367="","",R366)</f>
        <v>0</v>
      </c>
      <c r="T367" s="10" t="n">
        <f aca="false">IF(A367="","",IFERROR(S367*(1+Inputs!$B$23/12),""))</f>
        <v>0</v>
      </c>
      <c r="U367" s="6" t="n">
        <f aca="false">IF(A367="","",IF(D367&lt;=Inputs!$B$8,IF(Inputs!$B$22="Premium Offset",MAX(0,Inputs!$B$25-(Q367+T367)),Inputs!$B$25),0))</f>
        <v>77</v>
      </c>
      <c r="V367" s="10" t="n">
        <f aca="false">IF(A367="","",IF(Inputs!$B$22="Cash",Q367,0))</f>
        <v>0</v>
      </c>
      <c r="W367" s="10" t="n">
        <f aca="false">IF(A367="","",IF(Inputs!$B$22="PUA",Q367,0))</f>
        <v>0</v>
      </c>
      <c r="X367" s="12" t="n">
        <f aca="false">IF(A367="","",IFERROR(INDEX(PUA_TABLE!$D$4:$D$105,MATCH(E367,PUA_TABLE!$C$4:$C$105,1)),0))</f>
        <v>0.561380564656087</v>
      </c>
      <c r="Y367" s="10" t="n">
        <f aca="false">IF(A367="","",IF(W367&gt;0,IF(X367&gt;0,W367/X367,0),0))</f>
        <v>0</v>
      </c>
      <c r="Z367" s="10" t="n">
        <f aca="false">IF(A367="","",N367+Y367)</f>
        <v>0</v>
      </c>
      <c r="AA367" s="10" t="n">
        <f aca="false">IF(A367="","",IFERROR(Z367*INDEX(PUA_TABLE!$I$4:$I$105,MATCH(E367,PUA_TABLE!$C$4:$C$105,1))/1000,0))</f>
        <v>0</v>
      </c>
      <c r="AB367" s="10" t="n">
        <f aca="false">IF(A367="","",IFERROR(L367+AA367,0))</f>
        <v>28314.7922646285</v>
      </c>
      <c r="AC367" s="10" t="n">
        <f aca="false">IF(A367="","",IF(Inputs!$B$22="Premium Offset",MIN(Inputs!$B$25,Q367+T367),0))</f>
        <v>0</v>
      </c>
    </row>
    <row r="368" customFormat="false" ht="15" hidden="false" customHeight="false" outlineLevel="0" collapsed="false">
      <c r="A368" s="1" t="n">
        <f aca="false">IF(A367="","",IF(INT((C367+1)/12)+Inputs!$B$7&gt;MAX(MORTALITY!$A:$A),"",Inputs!$B$4))</f>
        <v>34</v>
      </c>
      <c r="B368" s="3" t="n">
        <f aca="false">IF(A368="","",EOMONTH(B367,1))</f>
        <v>32873</v>
      </c>
      <c r="C368" s="1" t="n">
        <f aca="false">IF(A368="","",C367+1)</f>
        <v>366</v>
      </c>
      <c r="D368" s="1" t="n">
        <f aca="false">IF(A368="","",INT(C368/12))</f>
        <v>30</v>
      </c>
      <c r="E368" s="1" t="n">
        <f aca="false">IF(A368="","",D368+Inputs!$B$7)</f>
        <v>46</v>
      </c>
      <c r="F368" s="3" t="n">
        <f aca="false">IF(A368="","",DATE(YEAR(B$2)+D368,MONTH(B$2),DAY(B$2)))</f>
        <v>32664</v>
      </c>
      <c r="G368" s="3" t="n">
        <f aca="false">IF(A368="","",DATE(YEAR(F368)+1,MONTH(F368),DAY(F368)))</f>
        <v>33029</v>
      </c>
      <c r="H368" s="10" t="n">
        <f aca="false">IF(A368="","",IF(G368&gt;F368,(B368-F368)/(G368-F368),0))</f>
        <v>0.572602739726027</v>
      </c>
      <c r="I368" s="10" t="n">
        <f aca="false">IF(A368="","",IFERROR(INDEX(CV_RATES!$I:$I,MATCH(D368,CV_RATES!$C:$C,0)),0))</f>
        <v>561.380564656087</v>
      </c>
      <c r="J368" s="10" t="n">
        <f aca="false">IF(A368="","",IFERROR(IF(E368=MAX(MORTALITY!$A:$A),1000,INDEX(CV_RATES!$J:$J,MATCH(D368,CV_RATES!$C:$C,0))),0))</f>
        <v>571.459651354491</v>
      </c>
      <c r="K368" s="10" t="n">
        <f aca="false">IF(A368="","",IFERROR(I368+H368*(J368-I368),0))</f>
        <v>567.15187731353</v>
      </c>
      <c r="L368" s="10" t="n">
        <f aca="false">IF(A368="","",IFERROR(K368*Inputs!$B$9,0))</f>
        <v>28357.5938656765</v>
      </c>
      <c r="M368" s="10" t="n">
        <f aca="false">IF(A368="","",IFERROR(K368*Inputs!$B$10,0))</f>
        <v>90742.5989145328</v>
      </c>
      <c r="N368" s="10" t="n">
        <f aca="false">IF(A368="","",Z367)</f>
        <v>0</v>
      </c>
      <c r="O368" s="6" t="n">
        <f aca="false">IF(A368="","",Inputs!$B$18+N368)</f>
        <v>50000</v>
      </c>
      <c r="P368" s="5" t="n">
        <f aca="false">IF(A368="","",VLOOKUP(D368,DIvidend_Assumption!$A$3:$CX$103,($E$2+2),0)/12)</f>
        <v>0</v>
      </c>
      <c r="Q368" s="10" t="n">
        <f aca="false">IF(A368="","",IFERROR(AB367*P368,""))</f>
        <v>0</v>
      </c>
      <c r="R368" s="10" t="n">
        <f aca="false">IF(A368="","",IFERROR(IF(Inputs!$B$22="Accumulate",T368+Q368,IF(Inputs!$B$22="Premium Offset",MAX(0,T368+Q368-Inputs!$B$25),T368)),""))</f>
        <v>0</v>
      </c>
      <c r="S368" s="10" t="n">
        <f aca="false">IF(A368="","",R367)</f>
        <v>0</v>
      </c>
      <c r="T368" s="10" t="n">
        <f aca="false">IF(A368="","",IFERROR(S368*(1+Inputs!$B$23/12),""))</f>
        <v>0</v>
      </c>
      <c r="U368" s="6" t="n">
        <f aca="false">IF(A368="","",IF(D368&lt;=Inputs!$B$8,IF(Inputs!$B$22="Premium Offset",MAX(0,Inputs!$B$25-(Q368+T368)),Inputs!$B$25),0))</f>
        <v>77</v>
      </c>
      <c r="V368" s="10" t="n">
        <f aca="false">IF(A368="","",IF(Inputs!$B$22="Cash",Q368,0))</f>
        <v>0</v>
      </c>
      <c r="W368" s="10" t="n">
        <f aca="false">IF(A368="","",IF(Inputs!$B$22="PUA",Q368,0))</f>
        <v>0</v>
      </c>
      <c r="X368" s="12" t="n">
        <f aca="false">IF(A368="","",IFERROR(INDEX(PUA_TABLE!$D$4:$D$105,MATCH(E368,PUA_TABLE!$C$4:$C$105,1)),0))</f>
        <v>0.561380564656087</v>
      </c>
      <c r="Y368" s="10" t="n">
        <f aca="false">IF(A368="","",IF(W368&gt;0,IF(X368&gt;0,W368/X368,0),0))</f>
        <v>0</v>
      </c>
      <c r="Z368" s="10" t="n">
        <f aca="false">IF(A368="","",N368+Y368)</f>
        <v>0</v>
      </c>
      <c r="AA368" s="10" t="n">
        <f aca="false">IF(A368="","",IFERROR(Z368*INDEX(PUA_TABLE!$I$4:$I$105,MATCH(E368,PUA_TABLE!$C$4:$C$105,1))/1000,0))</f>
        <v>0</v>
      </c>
      <c r="AB368" s="10" t="n">
        <f aca="false">IF(A368="","",IFERROR(L368+AA368,0))</f>
        <v>28357.5938656765</v>
      </c>
      <c r="AC368" s="10" t="n">
        <f aca="false">IF(A368="","",IF(Inputs!$B$22="Premium Offset",MIN(Inputs!$B$25,Q368+T368),0))</f>
        <v>0</v>
      </c>
    </row>
    <row r="369" customFormat="false" ht="15" hidden="false" customHeight="false" outlineLevel="0" collapsed="false">
      <c r="A369" s="1" t="n">
        <f aca="false">IF(A368="","",IF(INT((C368+1)/12)+Inputs!$B$7&gt;MAX(MORTALITY!$A:$A),"",Inputs!$B$4))</f>
        <v>34</v>
      </c>
      <c r="B369" s="3" t="n">
        <f aca="false">IF(A369="","",EOMONTH(B368,1))</f>
        <v>32904</v>
      </c>
      <c r="C369" s="1" t="n">
        <f aca="false">IF(A369="","",C368+1)</f>
        <v>367</v>
      </c>
      <c r="D369" s="1" t="n">
        <f aca="false">IF(A369="","",INT(C369/12))</f>
        <v>30</v>
      </c>
      <c r="E369" s="1" t="n">
        <f aca="false">IF(A369="","",D369+Inputs!$B$7)</f>
        <v>46</v>
      </c>
      <c r="F369" s="3" t="n">
        <f aca="false">IF(A369="","",DATE(YEAR(B$2)+D369,MONTH(B$2),DAY(B$2)))</f>
        <v>32664</v>
      </c>
      <c r="G369" s="3" t="n">
        <f aca="false">IF(A369="","",DATE(YEAR(F369)+1,MONTH(F369),DAY(F369)))</f>
        <v>33029</v>
      </c>
      <c r="H369" s="10" t="n">
        <f aca="false">IF(A369="","",IF(G369&gt;F369,(B369-F369)/(G369-F369),0))</f>
        <v>0.657534246575342</v>
      </c>
      <c r="I369" s="10" t="n">
        <f aca="false">IF(A369="","",IFERROR(INDEX(CV_RATES!$I:$I,MATCH(D369,CV_RATES!$C:$C,0)),0))</f>
        <v>561.380564656087</v>
      </c>
      <c r="J369" s="10" t="n">
        <f aca="false">IF(A369="","",IFERROR(IF(E369=MAX(MORTALITY!$A:$A),1000,INDEX(CV_RATES!$J:$J,MATCH(D369,CV_RATES!$C:$C,0))),0))</f>
        <v>571.459651354491</v>
      </c>
      <c r="K369" s="10" t="n">
        <f aca="false">IF(A369="","",IFERROR(I369+H369*(J369-I369),0))</f>
        <v>568.00790933449</v>
      </c>
      <c r="L369" s="10" t="n">
        <f aca="false">IF(A369="","",IFERROR(K369*Inputs!$B$9,0))</f>
        <v>28400.3954667245</v>
      </c>
      <c r="M369" s="10" t="n">
        <f aca="false">IF(A369="","",IFERROR(K369*Inputs!$B$10,0))</f>
        <v>90879.5614697904</v>
      </c>
      <c r="N369" s="10" t="n">
        <f aca="false">IF(A369="","",Z368)</f>
        <v>0</v>
      </c>
      <c r="O369" s="6" t="n">
        <f aca="false">IF(A369="","",Inputs!$B$18+N369)</f>
        <v>50000</v>
      </c>
      <c r="P369" s="5" t="n">
        <f aca="false">IF(A369="","",VLOOKUP(D369,DIvidend_Assumption!$A$3:$CX$103,($E$2+2),0)/12)</f>
        <v>0</v>
      </c>
      <c r="Q369" s="10" t="n">
        <f aca="false">IF(A369="","",IFERROR(AB368*P369,""))</f>
        <v>0</v>
      </c>
      <c r="R369" s="10" t="n">
        <f aca="false">IF(A369="","",IFERROR(IF(Inputs!$B$22="Accumulate",T369+Q369,IF(Inputs!$B$22="Premium Offset",MAX(0,T369+Q369-Inputs!$B$25),T369)),""))</f>
        <v>0</v>
      </c>
      <c r="S369" s="10" t="n">
        <f aca="false">IF(A369="","",R368)</f>
        <v>0</v>
      </c>
      <c r="T369" s="10" t="n">
        <f aca="false">IF(A369="","",IFERROR(S369*(1+Inputs!$B$23/12),""))</f>
        <v>0</v>
      </c>
      <c r="U369" s="6" t="n">
        <f aca="false">IF(A369="","",IF(D369&lt;=Inputs!$B$8,IF(Inputs!$B$22="Premium Offset",MAX(0,Inputs!$B$25-(Q369+T369)),Inputs!$B$25),0))</f>
        <v>77</v>
      </c>
      <c r="V369" s="10" t="n">
        <f aca="false">IF(A369="","",IF(Inputs!$B$22="Cash",Q369,0))</f>
        <v>0</v>
      </c>
      <c r="W369" s="10" t="n">
        <f aca="false">IF(A369="","",IF(Inputs!$B$22="PUA",Q369,0))</f>
        <v>0</v>
      </c>
      <c r="X369" s="12" t="n">
        <f aca="false">IF(A369="","",IFERROR(INDEX(PUA_TABLE!$D$4:$D$105,MATCH(E369,PUA_TABLE!$C$4:$C$105,1)),0))</f>
        <v>0.561380564656087</v>
      </c>
      <c r="Y369" s="10" t="n">
        <f aca="false">IF(A369="","",IF(W369&gt;0,IF(X369&gt;0,W369/X369,0),0))</f>
        <v>0</v>
      </c>
      <c r="Z369" s="10" t="n">
        <f aca="false">IF(A369="","",N369+Y369)</f>
        <v>0</v>
      </c>
      <c r="AA369" s="10" t="n">
        <f aca="false">IF(A369="","",IFERROR(Z369*INDEX(PUA_TABLE!$I$4:$I$105,MATCH(E369,PUA_TABLE!$C$4:$C$105,1))/1000,0))</f>
        <v>0</v>
      </c>
      <c r="AB369" s="10" t="n">
        <f aca="false">IF(A369="","",IFERROR(L369+AA369,0))</f>
        <v>28400.3954667245</v>
      </c>
      <c r="AC369" s="10" t="n">
        <f aca="false">IF(A369="","",IF(Inputs!$B$22="Premium Offset",MIN(Inputs!$B$25,Q369+T369),0))</f>
        <v>0</v>
      </c>
    </row>
    <row r="370" customFormat="false" ht="15" hidden="false" customHeight="false" outlineLevel="0" collapsed="false">
      <c r="A370" s="1" t="n">
        <f aca="false">IF(A369="","",IF(INT((C369+1)/12)+Inputs!$B$7&gt;MAX(MORTALITY!$A:$A),"",Inputs!$B$4))</f>
        <v>34</v>
      </c>
      <c r="B370" s="3" t="n">
        <f aca="false">IF(A370="","",EOMONTH(B369,1))</f>
        <v>32932</v>
      </c>
      <c r="C370" s="1" t="n">
        <f aca="false">IF(A370="","",C369+1)</f>
        <v>368</v>
      </c>
      <c r="D370" s="1" t="n">
        <f aca="false">IF(A370="","",INT(C370/12))</f>
        <v>30</v>
      </c>
      <c r="E370" s="1" t="n">
        <f aca="false">IF(A370="","",D370+Inputs!$B$7)</f>
        <v>46</v>
      </c>
      <c r="F370" s="3" t="n">
        <f aca="false">IF(A370="","",DATE(YEAR(B$2)+D370,MONTH(B$2),DAY(B$2)))</f>
        <v>32664</v>
      </c>
      <c r="G370" s="3" t="n">
        <f aca="false">IF(A370="","",DATE(YEAR(F370)+1,MONTH(F370),DAY(F370)))</f>
        <v>33029</v>
      </c>
      <c r="H370" s="10" t="n">
        <f aca="false">IF(A370="","",IF(G370&gt;F370,(B370-F370)/(G370-F370),0))</f>
        <v>0.734246575342466</v>
      </c>
      <c r="I370" s="10" t="n">
        <f aca="false">IF(A370="","",IFERROR(INDEX(CV_RATES!$I:$I,MATCH(D370,CV_RATES!$C:$C,0)),0))</f>
        <v>561.380564656087</v>
      </c>
      <c r="J370" s="10" t="n">
        <f aca="false">IF(A370="","",IFERROR(IF(E370=MAX(MORTALITY!$A:$A),1000,INDEX(CV_RATES!$J:$J,MATCH(D370,CV_RATES!$C:$C,0))),0))</f>
        <v>571.459651354491</v>
      </c>
      <c r="K370" s="10" t="n">
        <f aca="false">IF(A370="","",IFERROR(I370+H370*(J370-I370),0))</f>
        <v>568.78109954697</v>
      </c>
      <c r="L370" s="10" t="n">
        <f aca="false">IF(A370="","",IFERROR(K370*Inputs!$B$9,0))</f>
        <v>28439.0549773485</v>
      </c>
      <c r="M370" s="10" t="n">
        <f aca="false">IF(A370="","",IFERROR(K370*Inputs!$B$10,0))</f>
        <v>91003.2695842166</v>
      </c>
      <c r="N370" s="10" t="n">
        <f aca="false">IF(A370="","",Z369)</f>
        <v>0</v>
      </c>
      <c r="O370" s="6" t="n">
        <f aca="false">IF(A370="","",Inputs!$B$18+N370)</f>
        <v>50000</v>
      </c>
      <c r="P370" s="5" t="n">
        <f aca="false">IF(A370="","",VLOOKUP(D370,DIvidend_Assumption!$A$3:$CX$103,($E$2+2),0)/12)</f>
        <v>0</v>
      </c>
      <c r="Q370" s="10" t="n">
        <f aca="false">IF(A370="","",IFERROR(AB369*P370,""))</f>
        <v>0</v>
      </c>
      <c r="R370" s="10" t="n">
        <f aca="false">IF(A370="","",IFERROR(IF(Inputs!$B$22="Accumulate",T370+Q370,IF(Inputs!$B$22="Premium Offset",MAX(0,T370+Q370-Inputs!$B$25),T370)),""))</f>
        <v>0</v>
      </c>
      <c r="S370" s="10" t="n">
        <f aca="false">IF(A370="","",R369)</f>
        <v>0</v>
      </c>
      <c r="T370" s="10" t="n">
        <f aca="false">IF(A370="","",IFERROR(S370*(1+Inputs!$B$23/12),""))</f>
        <v>0</v>
      </c>
      <c r="U370" s="6" t="n">
        <f aca="false">IF(A370="","",IF(D370&lt;=Inputs!$B$8,IF(Inputs!$B$22="Premium Offset",MAX(0,Inputs!$B$25-(Q370+T370)),Inputs!$B$25),0))</f>
        <v>77</v>
      </c>
      <c r="V370" s="10" t="n">
        <f aca="false">IF(A370="","",IF(Inputs!$B$22="Cash",Q370,0))</f>
        <v>0</v>
      </c>
      <c r="W370" s="10" t="n">
        <f aca="false">IF(A370="","",IF(Inputs!$B$22="PUA",Q370,0))</f>
        <v>0</v>
      </c>
      <c r="X370" s="12" t="n">
        <f aca="false">IF(A370="","",IFERROR(INDEX(PUA_TABLE!$D$4:$D$105,MATCH(E370,PUA_TABLE!$C$4:$C$105,1)),0))</f>
        <v>0.561380564656087</v>
      </c>
      <c r="Y370" s="10" t="n">
        <f aca="false">IF(A370="","",IF(W370&gt;0,IF(X370&gt;0,W370/X370,0),0))</f>
        <v>0</v>
      </c>
      <c r="Z370" s="10" t="n">
        <f aca="false">IF(A370="","",N370+Y370)</f>
        <v>0</v>
      </c>
      <c r="AA370" s="10" t="n">
        <f aca="false">IF(A370="","",IFERROR(Z370*INDEX(PUA_TABLE!$I$4:$I$105,MATCH(E370,PUA_TABLE!$C$4:$C$105,1))/1000,0))</f>
        <v>0</v>
      </c>
      <c r="AB370" s="10" t="n">
        <f aca="false">IF(A370="","",IFERROR(L370+AA370,0))</f>
        <v>28439.0549773485</v>
      </c>
      <c r="AC370" s="10" t="n">
        <f aca="false">IF(A370="","",IF(Inputs!$B$22="Premium Offset",MIN(Inputs!$B$25,Q370+T370),0))</f>
        <v>0</v>
      </c>
    </row>
    <row r="371" customFormat="false" ht="15" hidden="false" customHeight="false" outlineLevel="0" collapsed="false">
      <c r="A371" s="1" t="n">
        <f aca="false">IF(A370="","",IF(INT((C370+1)/12)+Inputs!$B$7&gt;MAX(MORTALITY!$A:$A),"",Inputs!$B$4))</f>
        <v>34</v>
      </c>
      <c r="B371" s="3" t="n">
        <f aca="false">IF(A371="","",EOMONTH(B370,1))</f>
        <v>32963</v>
      </c>
      <c r="C371" s="1" t="n">
        <f aca="false">IF(A371="","",C370+1)</f>
        <v>369</v>
      </c>
      <c r="D371" s="1" t="n">
        <f aca="false">IF(A371="","",INT(C371/12))</f>
        <v>30</v>
      </c>
      <c r="E371" s="1" t="n">
        <f aca="false">IF(A371="","",D371+Inputs!$B$7)</f>
        <v>46</v>
      </c>
      <c r="F371" s="3" t="n">
        <f aca="false">IF(A371="","",DATE(YEAR(B$2)+D371,MONTH(B$2),DAY(B$2)))</f>
        <v>32664</v>
      </c>
      <c r="G371" s="3" t="n">
        <f aca="false">IF(A371="","",DATE(YEAR(F371)+1,MONTH(F371),DAY(F371)))</f>
        <v>33029</v>
      </c>
      <c r="H371" s="10" t="n">
        <f aca="false">IF(A371="","",IF(G371&gt;F371,(B371-F371)/(G371-F371),0))</f>
        <v>0.819178082191781</v>
      </c>
      <c r="I371" s="10" t="n">
        <f aca="false">IF(A371="","",IFERROR(INDEX(CV_RATES!$I:$I,MATCH(D371,CV_RATES!$C:$C,0)),0))</f>
        <v>561.380564656087</v>
      </c>
      <c r="J371" s="10" t="n">
        <f aca="false">IF(A371="","",IFERROR(IF(E371=MAX(MORTALITY!$A:$A),1000,INDEX(CV_RATES!$J:$J,MATCH(D371,CV_RATES!$C:$C,0))),0))</f>
        <v>571.459651354491</v>
      </c>
      <c r="K371" s="10" t="n">
        <f aca="false">IF(A371="","",IFERROR(I371+H371*(J371-I371),0))</f>
        <v>569.637131567931</v>
      </c>
      <c r="L371" s="10" t="n">
        <f aca="false">IF(A371="","",IFERROR(K371*Inputs!$B$9,0))</f>
        <v>28481.8565783965</v>
      </c>
      <c r="M371" s="10" t="n">
        <f aca="false">IF(A371="","",IFERROR(K371*Inputs!$B$10,0))</f>
        <v>91140.2321394742</v>
      </c>
      <c r="N371" s="10" t="n">
        <f aca="false">IF(A371="","",Z370)</f>
        <v>0</v>
      </c>
      <c r="O371" s="6" t="n">
        <f aca="false">IF(A371="","",Inputs!$B$18+N371)</f>
        <v>50000</v>
      </c>
      <c r="P371" s="5" t="n">
        <f aca="false">IF(A371="","",VLOOKUP(D371,DIvidend_Assumption!$A$3:$CX$103,($E$2+2),0)/12)</f>
        <v>0</v>
      </c>
      <c r="Q371" s="10" t="n">
        <f aca="false">IF(A371="","",IFERROR(AB370*P371,""))</f>
        <v>0</v>
      </c>
      <c r="R371" s="10" t="n">
        <f aca="false">IF(A371="","",IFERROR(IF(Inputs!$B$22="Accumulate",T371+Q371,IF(Inputs!$B$22="Premium Offset",MAX(0,T371+Q371-Inputs!$B$25),T371)),""))</f>
        <v>0</v>
      </c>
      <c r="S371" s="10" t="n">
        <f aca="false">IF(A371="","",R370)</f>
        <v>0</v>
      </c>
      <c r="T371" s="10" t="n">
        <f aca="false">IF(A371="","",IFERROR(S371*(1+Inputs!$B$23/12),""))</f>
        <v>0</v>
      </c>
      <c r="U371" s="6" t="n">
        <f aca="false">IF(A371="","",IF(D371&lt;=Inputs!$B$8,IF(Inputs!$B$22="Premium Offset",MAX(0,Inputs!$B$25-(Q371+T371)),Inputs!$B$25),0))</f>
        <v>77</v>
      </c>
      <c r="V371" s="10" t="n">
        <f aca="false">IF(A371="","",IF(Inputs!$B$22="Cash",Q371,0))</f>
        <v>0</v>
      </c>
      <c r="W371" s="10" t="n">
        <f aca="false">IF(A371="","",IF(Inputs!$B$22="PUA",Q371,0))</f>
        <v>0</v>
      </c>
      <c r="X371" s="12" t="n">
        <f aca="false">IF(A371="","",IFERROR(INDEX(PUA_TABLE!$D$4:$D$105,MATCH(E371,PUA_TABLE!$C$4:$C$105,1)),0))</f>
        <v>0.561380564656087</v>
      </c>
      <c r="Y371" s="10" t="n">
        <f aca="false">IF(A371="","",IF(W371&gt;0,IF(X371&gt;0,W371/X371,0),0))</f>
        <v>0</v>
      </c>
      <c r="Z371" s="10" t="n">
        <f aca="false">IF(A371="","",N371+Y371)</f>
        <v>0</v>
      </c>
      <c r="AA371" s="10" t="n">
        <f aca="false">IF(A371="","",IFERROR(Z371*INDEX(PUA_TABLE!$I$4:$I$105,MATCH(E371,PUA_TABLE!$C$4:$C$105,1))/1000,0))</f>
        <v>0</v>
      </c>
      <c r="AB371" s="10" t="n">
        <f aca="false">IF(A371="","",IFERROR(L371+AA371,0))</f>
        <v>28481.8565783965</v>
      </c>
      <c r="AC371" s="10" t="n">
        <f aca="false">IF(A371="","",IF(Inputs!$B$22="Premium Offset",MIN(Inputs!$B$25,Q371+T371),0))</f>
        <v>0</v>
      </c>
    </row>
    <row r="372" customFormat="false" ht="15" hidden="false" customHeight="false" outlineLevel="0" collapsed="false">
      <c r="A372" s="1" t="n">
        <f aca="false">IF(A371="","",IF(INT((C371+1)/12)+Inputs!$B$7&gt;MAX(MORTALITY!$A:$A),"",Inputs!$B$4))</f>
        <v>34</v>
      </c>
      <c r="B372" s="3" t="n">
        <f aca="false">IF(A372="","",EOMONTH(B371,1))</f>
        <v>32993</v>
      </c>
      <c r="C372" s="1" t="n">
        <f aca="false">IF(A372="","",C371+1)</f>
        <v>370</v>
      </c>
      <c r="D372" s="1" t="n">
        <f aca="false">IF(A372="","",INT(C372/12))</f>
        <v>30</v>
      </c>
      <c r="E372" s="1" t="n">
        <f aca="false">IF(A372="","",D372+Inputs!$B$7)</f>
        <v>46</v>
      </c>
      <c r="F372" s="3" t="n">
        <f aca="false">IF(A372="","",DATE(YEAR(B$2)+D372,MONTH(B$2),DAY(B$2)))</f>
        <v>32664</v>
      </c>
      <c r="G372" s="3" t="n">
        <f aca="false">IF(A372="","",DATE(YEAR(F372)+1,MONTH(F372),DAY(F372)))</f>
        <v>33029</v>
      </c>
      <c r="H372" s="10" t="n">
        <f aca="false">IF(A372="","",IF(G372&gt;F372,(B372-F372)/(G372-F372),0))</f>
        <v>0.901369863013699</v>
      </c>
      <c r="I372" s="10" t="n">
        <f aca="false">IF(A372="","",IFERROR(INDEX(CV_RATES!$I:$I,MATCH(D372,CV_RATES!$C:$C,0)),0))</f>
        <v>561.380564656087</v>
      </c>
      <c r="J372" s="10" t="n">
        <f aca="false">IF(A372="","",IFERROR(IF(E372=MAX(MORTALITY!$A:$A),1000,INDEX(CV_RATES!$J:$J,MATCH(D372,CV_RATES!$C:$C,0))),0))</f>
        <v>571.459651354491</v>
      </c>
      <c r="K372" s="10" t="n">
        <f aca="false">IF(A372="","",IFERROR(I372+H372*(J372-I372),0))</f>
        <v>570.465549652731</v>
      </c>
      <c r="L372" s="10" t="n">
        <f aca="false">IF(A372="","",IFERROR(K372*Inputs!$B$9,0))</f>
        <v>28523.2774826365</v>
      </c>
      <c r="M372" s="10" t="n">
        <f aca="false">IF(A372="","",IFERROR(K372*Inputs!$B$10,0))</f>
        <v>91272.776547788</v>
      </c>
      <c r="N372" s="10" t="n">
        <f aca="false">IF(A372="","",Z371)</f>
        <v>0</v>
      </c>
      <c r="O372" s="6" t="n">
        <f aca="false">IF(A372="","",Inputs!$B$18+N372)</f>
        <v>50000</v>
      </c>
      <c r="P372" s="5" t="n">
        <f aca="false">IF(A372="","",VLOOKUP(D372,DIvidend_Assumption!$A$3:$CX$103,($E$2+2),0)/12)</f>
        <v>0</v>
      </c>
      <c r="Q372" s="10" t="n">
        <f aca="false">IF(A372="","",IFERROR(AB371*P372,""))</f>
        <v>0</v>
      </c>
      <c r="R372" s="10" t="n">
        <f aca="false">IF(A372="","",IFERROR(IF(Inputs!$B$22="Accumulate",T372+Q372,IF(Inputs!$B$22="Premium Offset",MAX(0,T372+Q372-Inputs!$B$25),T372)),""))</f>
        <v>0</v>
      </c>
      <c r="S372" s="10" t="n">
        <f aca="false">IF(A372="","",R371)</f>
        <v>0</v>
      </c>
      <c r="T372" s="10" t="n">
        <f aca="false">IF(A372="","",IFERROR(S372*(1+Inputs!$B$23/12),""))</f>
        <v>0</v>
      </c>
      <c r="U372" s="6" t="n">
        <f aca="false">IF(A372="","",IF(D372&lt;=Inputs!$B$8,IF(Inputs!$B$22="Premium Offset",MAX(0,Inputs!$B$25-(Q372+T372)),Inputs!$B$25),0))</f>
        <v>77</v>
      </c>
      <c r="V372" s="10" t="n">
        <f aca="false">IF(A372="","",IF(Inputs!$B$22="Cash",Q372,0))</f>
        <v>0</v>
      </c>
      <c r="W372" s="10" t="n">
        <f aca="false">IF(A372="","",IF(Inputs!$B$22="PUA",Q372,0))</f>
        <v>0</v>
      </c>
      <c r="X372" s="12" t="n">
        <f aca="false">IF(A372="","",IFERROR(INDEX(PUA_TABLE!$D$4:$D$105,MATCH(E372,PUA_TABLE!$C$4:$C$105,1)),0))</f>
        <v>0.561380564656087</v>
      </c>
      <c r="Y372" s="10" t="n">
        <f aca="false">IF(A372="","",IF(W372&gt;0,IF(X372&gt;0,W372/X372,0),0))</f>
        <v>0</v>
      </c>
      <c r="Z372" s="10" t="n">
        <f aca="false">IF(A372="","",N372+Y372)</f>
        <v>0</v>
      </c>
      <c r="AA372" s="10" t="n">
        <f aca="false">IF(A372="","",IFERROR(Z372*INDEX(PUA_TABLE!$I$4:$I$105,MATCH(E372,PUA_TABLE!$C$4:$C$105,1))/1000,0))</f>
        <v>0</v>
      </c>
      <c r="AB372" s="10" t="n">
        <f aca="false">IF(A372="","",IFERROR(L372+AA372,0))</f>
        <v>28523.2774826365</v>
      </c>
      <c r="AC372" s="10" t="n">
        <f aca="false">IF(A372="","",IF(Inputs!$B$22="Premium Offset",MIN(Inputs!$B$25,Q372+T372),0))</f>
        <v>0</v>
      </c>
    </row>
    <row r="373" customFormat="false" ht="15" hidden="false" customHeight="false" outlineLevel="0" collapsed="false">
      <c r="A373" s="1" t="n">
        <f aca="false">IF(A372="","",IF(INT((C372+1)/12)+Inputs!$B$7&gt;MAX(MORTALITY!$A:$A),"",Inputs!$B$4))</f>
        <v>34</v>
      </c>
      <c r="B373" s="3" t="n">
        <f aca="false">IF(A373="","",EOMONTH(B372,1))</f>
        <v>33024</v>
      </c>
      <c r="C373" s="1" t="n">
        <f aca="false">IF(A373="","",C372+1)</f>
        <v>371</v>
      </c>
      <c r="D373" s="1" t="n">
        <f aca="false">IF(A373="","",INT(C373/12))</f>
        <v>30</v>
      </c>
      <c r="E373" s="1" t="n">
        <f aca="false">IF(A373="","",D373+Inputs!$B$7)</f>
        <v>46</v>
      </c>
      <c r="F373" s="3" t="n">
        <f aca="false">IF(A373="","",DATE(YEAR(B$2)+D373,MONTH(B$2),DAY(B$2)))</f>
        <v>32664</v>
      </c>
      <c r="G373" s="3" t="n">
        <f aca="false">IF(A373="","",DATE(YEAR(F373)+1,MONTH(F373),DAY(F373)))</f>
        <v>33029</v>
      </c>
      <c r="H373" s="10" t="n">
        <f aca="false">IF(A373="","",IF(G373&gt;F373,(B373-F373)/(G373-F373),0))</f>
        <v>0.986301369863014</v>
      </c>
      <c r="I373" s="10" t="n">
        <f aca="false">IF(A373="","",IFERROR(INDEX(CV_RATES!$I:$I,MATCH(D373,CV_RATES!$C:$C,0)),0))</f>
        <v>561.380564656087</v>
      </c>
      <c r="J373" s="10" t="n">
        <f aca="false">IF(A373="","",IFERROR(IF(E373=MAX(MORTALITY!$A:$A),1000,INDEX(CV_RATES!$J:$J,MATCH(D373,CV_RATES!$C:$C,0))),0))</f>
        <v>571.459651354491</v>
      </c>
      <c r="K373" s="10" t="n">
        <f aca="false">IF(A373="","",IFERROR(I373+H373*(J373-I373),0))</f>
        <v>571.321581673691</v>
      </c>
      <c r="L373" s="10" t="n">
        <f aca="false">IF(A373="","",IFERROR(K373*Inputs!$B$9,0))</f>
        <v>28566.0790836846</v>
      </c>
      <c r="M373" s="10" t="n">
        <f aca="false">IF(A373="","",IFERROR(K373*Inputs!$B$10,0))</f>
        <v>91409.7391030456</v>
      </c>
      <c r="N373" s="10" t="n">
        <f aca="false">IF(A373="","",Z372)</f>
        <v>0</v>
      </c>
      <c r="O373" s="6" t="n">
        <f aca="false">IF(A373="","",Inputs!$B$18+N373)</f>
        <v>50000</v>
      </c>
      <c r="P373" s="5" t="n">
        <f aca="false">IF(A373="","",VLOOKUP(D373,DIvidend_Assumption!$A$3:$CX$103,($E$2+2),0)/12)</f>
        <v>0</v>
      </c>
      <c r="Q373" s="10" t="n">
        <f aca="false">IF(A373="","",IFERROR(AB372*P373,""))</f>
        <v>0</v>
      </c>
      <c r="R373" s="10" t="n">
        <f aca="false">IF(A373="","",IFERROR(IF(Inputs!$B$22="Accumulate",T373+Q373,IF(Inputs!$B$22="Premium Offset",MAX(0,T373+Q373-Inputs!$B$25),T373)),""))</f>
        <v>0</v>
      </c>
      <c r="S373" s="10" t="n">
        <f aca="false">IF(A373="","",R372)</f>
        <v>0</v>
      </c>
      <c r="T373" s="10" t="n">
        <f aca="false">IF(A373="","",IFERROR(S373*(1+Inputs!$B$23/12),""))</f>
        <v>0</v>
      </c>
      <c r="U373" s="6" t="n">
        <f aca="false">IF(A373="","",IF(D373&lt;=Inputs!$B$8,IF(Inputs!$B$22="Premium Offset",MAX(0,Inputs!$B$25-(Q373+T373)),Inputs!$B$25),0))</f>
        <v>77</v>
      </c>
      <c r="V373" s="10" t="n">
        <f aca="false">IF(A373="","",IF(Inputs!$B$22="Cash",Q373,0))</f>
        <v>0</v>
      </c>
      <c r="W373" s="10" t="n">
        <f aca="false">IF(A373="","",IF(Inputs!$B$22="PUA",Q373,0))</f>
        <v>0</v>
      </c>
      <c r="X373" s="12" t="n">
        <f aca="false">IF(A373="","",IFERROR(INDEX(PUA_TABLE!$D$4:$D$105,MATCH(E373,PUA_TABLE!$C$4:$C$105,1)),0))</f>
        <v>0.561380564656087</v>
      </c>
      <c r="Y373" s="10" t="n">
        <f aca="false">IF(A373="","",IF(W373&gt;0,IF(X373&gt;0,W373/X373,0),0))</f>
        <v>0</v>
      </c>
      <c r="Z373" s="10" t="n">
        <f aca="false">IF(A373="","",N373+Y373)</f>
        <v>0</v>
      </c>
      <c r="AA373" s="10" t="n">
        <f aca="false">IF(A373="","",IFERROR(Z373*INDEX(PUA_TABLE!$I$4:$I$105,MATCH(E373,PUA_TABLE!$C$4:$C$105,1))/1000,0))</f>
        <v>0</v>
      </c>
      <c r="AB373" s="10" t="n">
        <f aca="false">IF(A373="","",IFERROR(L373+AA373,0))</f>
        <v>28566.0790836846</v>
      </c>
      <c r="AC373" s="10" t="n">
        <f aca="false">IF(A373="","",IF(Inputs!$B$22="Premium Offset",MIN(Inputs!$B$25,Q373+T373),0))</f>
        <v>0</v>
      </c>
    </row>
    <row r="374" customFormat="false" ht="15" hidden="false" customHeight="false" outlineLevel="0" collapsed="false">
      <c r="A374" s="1" t="n">
        <f aca="false">IF(A373="","",IF(INT((C373+1)/12)+Inputs!$B$7&gt;MAX(MORTALITY!$A:$A),"",Inputs!$B$4))</f>
        <v>34</v>
      </c>
      <c r="B374" s="3" t="n">
        <f aca="false">IF(A374="","",EOMONTH(B373,1))</f>
        <v>33054</v>
      </c>
      <c r="C374" s="1" t="n">
        <f aca="false">IF(A374="","",C373+1)</f>
        <v>372</v>
      </c>
      <c r="D374" s="1" t="n">
        <f aca="false">IF(A374="","",INT(C374/12))</f>
        <v>31</v>
      </c>
      <c r="E374" s="1" t="n">
        <f aca="false">IF(A374="","",D374+Inputs!$B$7)</f>
        <v>47</v>
      </c>
      <c r="F374" s="3" t="n">
        <f aca="false">IF(A374="","",DATE(YEAR(B$2)+D374,MONTH(B$2),DAY(B$2)))</f>
        <v>33029</v>
      </c>
      <c r="G374" s="3" t="n">
        <f aca="false">IF(A374="","",DATE(YEAR(F374)+1,MONTH(F374),DAY(F374)))</f>
        <v>33394</v>
      </c>
      <c r="H374" s="10" t="n">
        <f aca="false">IF(A374="","",IF(G374&gt;F374,(B374-F374)/(G374-F374),0))</f>
        <v>0.0684931506849315</v>
      </c>
      <c r="I374" s="10" t="n">
        <f aca="false">IF(A374="","",IFERROR(INDEX(CV_RATES!$I:$I,MATCH(D374,CV_RATES!$C:$C,0)),0))</f>
        <v>571.459651354491</v>
      </c>
      <c r="J374" s="10" t="n">
        <f aca="false">IF(A374="","",IFERROR(IF(E374=MAX(MORTALITY!$A:$A),1000,INDEX(CV_RATES!$J:$J,MATCH(D374,CV_RATES!$C:$C,0))),0))</f>
        <v>581.599796622886</v>
      </c>
      <c r="K374" s="10" t="n">
        <f aca="false">IF(A374="","",IFERROR(I374+H374*(J374-I374),0))</f>
        <v>572.154181852327</v>
      </c>
      <c r="L374" s="10" t="n">
        <f aca="false">IF(A374="","",IFERROR(K374*Inputs!$B$9,0))</f>
        <v>28607.7090926163</v>
      </c>
      <c r="M374" s="10" t="n">
        <f aca="false">IF(A374="","",IFERROR(K374*Inputs!$B$10,0))</f>
        <v>91542.9526338267</v>
      </c>
      <c r="N374" s="10" t="n">
        <f aca="false">IF(A374="","",Z373)</f>
        <v>0</v>
      </c>
      <c r="O374" s="6" t="n">
        <f aca="false">IF(A374="","",Inputs!$B$18+N374)</f>
        <v>50000</v>
      </c>
      <c r="P374" s="5" t="n">
        <f aca="false">IF(A374="","",VLOOKUP(D374,DIvidend_Assumption!$A$3:$CX$103,($E$2+2),0)/12)</f>
        <v>0</v>
      </c>
      <c r="Q374" s="10" t="n">
        <f aca="false">IF(A374="","",IFERROR(AB373*P374,""))</f>
        <v>0</v>
      </c>
      <c r="R374" s="10" t="n">
        <f aca="false">IF(A374="","",IFERROR(IF(Inputs!$B$22="Accumulate",T374+Q374,IF(Inputs!$B$22="Premium Offset",MAX(0,T374+Q374-Inputs!$B$25),T374)),""))</f>
        <v>0</v>
      </c>
      <c r="S374" s="10" t="n">
        <f aca="false">IF(A374="","",R373)</f>
        <v>0</v>
      </c>
      <c r="T374" s="10" t="n">
        <f aca="false">IF(A374="","",IFERROR(S374*(1+Inputs!$B$23/12),""))</f>
        <v>0</v>
      </c>
      <c r="U374" s="6" t="n">
        <f aca="false">IF(A374="","",IF(D374&lt;=Inputs!$B$8,IF(Inputs!$B$22="Premium Offset",MAX(0,Inputs!$B$25-(Q374+T374)),Inputs!$B$25),0))</f>
        <v>0</v>
      </c>
      <c r="V374" s="10" t="n">
        <f aca="false">IF(A374="","",IF(Inputs!$B$22="Cash",Q374,0))</f>
        <v>0</v>
      </c>
      <c r="W374" s="10" t="n">
        <f aca="false">IF(A374="","",IF(Inputs!$B$22="PUA",Q374,0))</f>
        <v>0</v>
      </c>
      <c r="X374" s="12" t="n">
        <f aca="false">IF(A374="","",IFERROR(INDEX(PUA_TABLE!$D$4:$D$105,MATCH(E374,PUA_TABLE!$C$4:$C$105,1)),0))</f>
        <v>0.571459651354491</v>
      </c>
      <c r="Y374" s="10" t="n">
        <f aca="false">IF(A374="","",IF(W374&gt;0,IF(X374&gt;0,W374/X374,0),0))</f>
        <v>0</v>
      </c>
      <c r="Z374" s="10" t="n">
        <f aca="false">IF(A374="","",N374+Y374)</f>
        <v>0</v>
      </c>
      <c r="AA374" s="10" t="n">
        <f aca="false">IF(A374="","",IFERROR(Z374*INDEX(PUA_TABLE!$I$4:$I$105,MATCH(E374,PUA_TABLE!$C$4:$C$105,1))/1000,0))</f>
        <v>0</v>
      </c>
      <c r="AB374" s="10" t="n">
        <f aca="false">IF(A374="","",IFERROR(L374+AA374,0))</f>
        <v>28607.7090926163</v>
      </c>
      <c r="AC374" s="10" t="n">
        <f aca="false">IF(A374="","",IF(Inputs!$B$22="Premium Offset",MIN(Inputs!$B$25,Q374+T374),0))</f>
        <v>0</v>
      </c>
    </row>
    <row r="375" customFormat="false" ht="15" hidden="false" customHeight="false" outlineLevel="0" collapsed="false">
      <c r="A375" s="1" t="n">
        <f aca="false">IF(A374="","",IF(INT((C374+1)/12)+Inputs!$B$7&gt;MAX(MORTALITY!$A:$A),"",Inputs!$B$4))</f>
        <v>34</v>
      </c>
      <c r="B375" s="3" t="n">
        <f aca="false">IF(A375="","",EOMONTH(B374,1))</f>
        <v>33085</v>
      </c>
      <c r="C375" s="1" t="n">
        <f aca="false">IF(A375="","",C374+1)</f>
        <v>373</v>
      </c>
      <c r="D375" s="1" t="n">
        <f aca="false">IF(A375="","",INT(C375/12))</f>
        <v>31</v>
      </c>
      <c r="E375" s="1" t="n">
        <f aca="false">IF(A375="","",D375+Inputs!$B$7)</f>
        <v>47</v>
      </c>
      <c r="F375" s="3" t="n">
        <f aca="false">IF(A375="","",DATE(YEAR(B$2)+D375,MONTH(B$2),DAY(B$2)))</f>
        <v>33029</v>
      </c>
      <c r="G375" s="3" t="n">
        <f aca="false">IF(A375="","",DATE(YEAR(F375)+1,MONTH(F375),DAY(F375)))</f>
        <v>33394</v>
      </c>
      <c r="H375" s="10" t="n">
        <f aca="false">IF(A375="","",IF(G375&gt;F375,(B375-F375)/(G375-F375),0))</f>
        <v>0.153424657534247</v>
      </c>
      <c r="I375" s="10" t="n">
        <f aca="false">IF(A375="","",IFERROR(INDEX(CV_RATES!$I:$I,MATCH(D375,CV_RATES!$C:$C,0)),0))</f>
        <v>571.459651354491</v>
      </c>
      <c r="J375" s="10" t="n">
        <f aca="false">IF(A375="","",IFERROR(IF(E375=MAX(MORTALITY!$A:$A),1000,INDEX(CV_RATES!$J:$J,MATCH(D375,CV_RATES!$C:$C,0))),0))</f>
        <v>581.599796622886</v>
      </c>
      <c r="K375" s="10" t="n">
        <f aca="false">IF(A375="","",IFERROR(I375+H375*(J375-I375),0))</f>
        <v>573.015399669642</v>
      </c>
      <c r="L375" s="10" t="n">
        <f aca="false">IF(A375="","",IFERROR(K375*Inputs!$B$9,0))</f>
        <v>28650.7699834821</v>
      </c>
      <c r="M375" s="10" t="n">
        <f aca="false">IF(A375="","",IFERROR(K375*Inputs!$B$10,0))</f>
        <v>91680.7449009438</v>
      </c>
      <c r="N375" s="10" t="n">
        <f aca="false">IF(A375="","",Z374)</f>
        <v>0</v>
      </c>
      <c r="O375" s="6" t="n">
        <f aca="false">IF(A375="","",Inputs!$B$18+N375)</f>
        <v>50000</v>
      </c>
      <c r="P375" s="5" t="n">
        <f aca="false">IF(A375="","",VLOOKUP(D375,DIvidend_Assumption!$A$3:$CX$103,($E$2+2),0)/12)</f>
        <v>0</v>
      </c>
      <c r="Q375" s="10" t="n">
        <f aca="false">IF(A375="","",IFERROR(AB374*P375,""))</f>
        <v>0</v>
      </c>
      <c r="R375" s="10" t="n">
        <f aca="false">IF(A375="","",IFERROR(IF(Inputs!$B$22="Accumulate",T375+Q375,IF(Inputs!$B$22="Premium Offset",MAX(0,T375+Q375-Inputs!$B$25),T375)),""))</f>
        <v>0</v>
      </c>
      <c r="S375" s="10" t="n">
        <f aca="false">IF(A375="","",R374)</f>
        <v>0</v>
      </c>
      <c r="T375" s="10" t="n">
        <f aca="false">IF(A375="","",IFERROR(S375*(1+Inputs!$B$23/12),""))</f>
        <v>0</v>
      </c>
      <c r="U375" s="6" t="n">
        <f aca="false">IF(A375="","",IF(D375&lt;=Inputs!$B$8,IF(Inputs!$B$22="Premium Offset",MAX(0,Inputs!$B$25-(Q375+T375)),Inputs!$B$25),0))</f>
        <v>0</v>
      </c>
      <c r="V375" s="10" t="n">
        <f aca="false">IF(A375="","",IF(Inputs!$B$22="Cash",Q375,0))</f>
        <v>0</v>
      </c>
      <c r="W375" s="10" t="n">
        <f aca="false">IF(A375="","",IF(Inputs!$B$22="PUA",Q375,0))</f>
        <v>0</v>
      </c>
      <c r="X375" s="12" t="n">
        <f aca="false">IF(A375="","",IFERROR(INDEX(PUA_TABLE!$D$4:$D$105,MATCH(E375,PUA_TABLE!$C$4:$C$105,1)),0))</f>
        <v>0.571459651354491</v>
      </c>
      <c r="Y375" s="10" t="n">
        <f aca="false">IF(A375="","",IF(W375&gt;0,IF(X375&gt;0,W375/X375,0),0))</f>
        <v>0</v>
      </c>
      <c r="Z375" s="10" t="n">
        <f aca="false">IF(A375="","",N375+Y375)</f>
        <v>0</v>
      </c>
      <c r="AA375" s="10" t="n">
        <f aca="false">IF(A375="","",IFERROR(Z375*INDEX(PUA_TABLE!$I$4:$I$105,MATCH(E375,PUA_TABLE!$C$4:$C$105,1))/1000,0))</f>
        <v>0</v>
      </c>
      <c r="AB375" s="10" t="n">
        <f aca="false">IF(A375="","",IFERROR(L375+AA375,0))</f>
        <v>28650.7699834821</v>
      </c>
      <c r="AC375" s="10" t="n">
        <f aca="false">IF(A375="","",IF(Inputs!$B$22="Premium Offset",MIN(Inputs!$B$25,Q375+T375),0))</f>
        <v>0</v>
      </c>
    </row>
    <row r="376" customFormat="false" ht="15" hidden="false" customHeight="false" outlineLevel="0" collapsed="false">
      <c r="A376" s="1" t="n">
        <f aca="false">IF(A375="","",IF(INT((C375+1)/12)+Inputs!$B$7&gt;MAX(MORTALITY!$A:$A),"",Inputs!$B$4))</f>
        <v>34</v>
      </c>
      <c r="B376" s="3" t="n">
        <f aca="false">IF(A376="","",EOMONTH(B375,1))</f>
        <v>33116</v>
      </c>
      <c r="C376" s="1" t="n">
        <f aca="false">IF(A376="","",C375+1)</f>
        <v>374</v>
      </c>
      <c r="D376" s="1" t="n">
        <f aca="false">IF(A376="","",INT(C376/12))</f>
        <v>31</v>
      </c>
      <c r="E376" s="1" t="n">
        <f aca="false">IF(A376="","",D376+Inputs!$B$7)</f>
        <v>47</v>
      </c>
      <c r="F376" s="3" t="n">
        <f aca="false">IF(A376="","",DATE(YEAR(B$2)+D376,MONTH(B$2),DAY(B$2)))</f>
        <v>33029</v>
      </c>
      <c r="G376" s="3" t="n">
        <f aca="false">IF(A376="","",DATE(YEAR(F376)+1,MONTH(F376),DAY(F376)))</f>
        <v>33394</v>
      </c>
      <c r="H376" s="10" t="n">
        <f aca="false">IF(A376="","",IF(G376&gt;F376,(B376-F376)/(G376-F376),0))</f>
        <v>0.238356164383562</v>
      </c>
      <c r="I376" s="10" t="n">
        <f aca="false">IF(A376="","",IFERROR(INDEX(CV_RATES!$I:$I,MATCH(D376,CV_RATES!$C:$C,0)),0))</f>
        <v>571.459651354491</v>
      </c>
      <c r="J376" s="10" t="n">
        <f aca="false">IF(A376="","",IFERROR(IF(E376=MAX(MORTALITY!$A:$A),1000,INDEX(CV_RATES!$J:$J,MATCH(D376,CV_RATES!$C:$C,0))),0))</f>
        <v>581.599796622886</v>
      </c>
      <c r="K376" s="10" t="n">
        <f aca="false">IF(A376="","",IFERROR(I376+H376*(J376-I376),0))</f>
        <v>573.876617486958</v>
      </c>
      <c r="L376" s="10" t="n">
        <f aca="false">IF(A376="","",IFERROR(K376*Inputs!$B$9,0))</f>
        <v>28693.8308743479</v>
      </c>
      <c r="M376" s="10" t="n">
        <f aca="false">IF(A376="","",IFERROR(K376*Inputs!$B$10,0))</f>
        <v>91818.5371680608</v>
      </c>
      <c r="N376" s="10" t="n">
        <f aca="false">IF(A376="","",Z375)</f>
        <v>0</v>
      </c>
      <c r="O376" s="6" t="n">
        <f aca="false">IF(A376="","",Inputs!$B$18+N376)</f>
        <v>50000</v>
      </c>
      <c r="P376" s="5" t="n">
        <f aca="false">IF(A376="","",VLOOKUP(D376,DIvidend_Assumption!$A$3:$CX$103,($E$2+2),0)/12)</f>
        <v>0</v>
      </c>
      <c r="Q376" s="10" t="n">
        <f aca="false">IF(A376="","",IFERROR(AB375*P376,""))</f>
        <v>0</v>
      </c>
      <c r="R376" s="10" t="n">
        <f aca="false">IF(A376="","",IFERROR(IF(Inputs!$B$22="Accumulate",T376+Q376,IF(Inputs!$B$22="Premium Offset",MAX(0,T376+Q376-Inputs!$B$25),T376)),""))</f>
        <v>0</v>
      </c>
      <c r="S376" s="10" t="n">
        <f aca="false">IF(A376="","",R375)</f>
        <v>0</v>
      </c>
      <c r="T376" s="10" t="n">
        <f aca="false">IF(A376="","",IFERROR(S376*(1+Inputs!$B$23/12),""))</f>
        <v>0</v>
      </c>
      <c r="U376" s="6" t="n">
        <f aca="false">IF(A376="","",IF(D376&lt;=Inputs!$B$8,IF(Inputs!$B$22="Premium Offset",MAX(0,Inputs!$B$25-(Q376+T376)),Inputs!$B$25),0))</f>
        <v>0</v>
      </c>
      <c r="V376" s="10" t="n">
        <f aca="false">IF(A376="","",IF(Inputs!$B$22="Cash",Q376,0))</f>
        <v>0</v>
      </c>
      <c r="W376" s="10" t="n">
        <f aca="false">IF(A376="","",IF(Inputs!$B$22="PUA",Q376,0))</f>
        <v>0</v>
      </c>
      <c r="X376" s="12" t="n">
        <f aca="false">IF(A376="","",IFERROR(INDEX(PUA_TABLE!$D$4:$D$105,MATCH(E376,PUA_TABLE!$C$4:$C$105,1)),0))</f>
        <v>0.571459651354491</v>
      </c>
      <c r="Y376" s="10" t="n">
        <f aca="false">IF(A376="","",IF(W376&gt;0,IF(X376&gt;0,W376/X376,0),0))</f>
        <v>0</v>
      </c>
      <c r="Z376" s="10" t="n">
        <f aca="false">IF(A376="","",N376+Y376)</f>
        <v>0</v>
      </c>
      <c r="AA376" s="10" t="n">
        <f aca="false">IF(A376="","",IFERROR(Z376*INDEX(PUA_TABLE!$I$4:$I$105,MATCH(E376,PUA_TABLE!$C$4:$C$105,1))/1000,0))</f>
        <v>0</v>
      </c>
      <c r="AB376" s="10" t="n">
        <f aca="false">IF(A376="","",IFERROR(L376+AA376,0))</f>
        <v>28693.8308743479</v>
      </c>
      <c r="AC376" s="10" t="n">
        <f aca="false">IF(A376="","",IF(Inputs!$B$22="Premium Offset",MIN(Inputs!$B$25,Q376+T376),0))</f>
        <v>0</v>
      </c>
    </row>
    <row r="377" customFormat="false" ht="15" hidden="false" customHeight="false" outlineLevel="0" collapsed="false">
      <c r="A377" s="1" t="n">
        <f aca="false">IF(A376="","",IF(INT((C376+1)/12)+Inputs!$B$7&gt;MAX(MORTALITY!$A:$A),"",Inputs!$B$4))</f>
        <v>34</v>
      </c>
      <c r="B377" s="3" t="n">
        <f aca="false">IF(A377="","",EOMONTH(B376,1))</f>
        <v>33146</v>
      </c>
      <c r="C377" s="1" t="n">
        <f aca="false">IF(A377="","",C376+1)</f>
        <v>375</v>
      </c>
      <c r="D377" s="1" t="n">
        <f aca="false">IF(A377="","",INT(C377/12))</f>
        <v>31</v>
      </c>
      <c r="E377" s="1" t="n">
        <f aca="false">IF(A377="","",D377+Inputs!$B$7)</f>
        <v>47</v>
      </c>
      <c r="F377" s="3" t="n">
        <f aca="false">IF(A377="","",DATE(YEAR(B$2)+D377,MONTH(B$2),DAY(B$2)))</f>
        <v>33029</v>
      </c>
      <c r="G377" s="3" t="n">
        <f aca="false">IF(A377="","",DATE(YEAR(F377)+1,MONTH(F377),DAY(F377)))</f>
        <v>33394</v>
      </c>
      <c r="H377" s="10" t="n">
        <f aca="false">IF(A377="","",IF(G377&gt;F377,(B377-F377)/(G377-F377),0))</f>
        <v>0.320547945205479</v>
      </c>
      <c r="I377" s="10" t="n">
        <f aca="false">IF(A377="","",IFERROR(INDEX(CV_RATES!$I:$I,MATCH(D377,CV_RATES!$C:$C,0)),0))</f>
        <v>571.459651354491</v>
      </c>
      <c r="J377" s="10" t="n">
        <f aca="false">IF(A377="","",IFERROR(IF(E377=MAX(MORTALITY!$A:$A),1000,INDEX(CV_RATES!$J:$J,MATCH(D377,CV_RATES!$C:$C,0))),0))</f>
        <v>581.599796622886</v>
      </c>
      <c r="K377" s="10" t="n">
        <f aca="false">IF(A377="","",IFERROR(I377+H377*(J377-I377),0))</f>
        <v>574.71005408436</v>
      </c>
      <c r="L377" s="10" t="n">
        <f aca="false">IF(A377="","",IFERROR(K377*Inputs!$B$9,0))</f>
        <v>28735.502704218</v>
      </c>
      <c r="M377" s="10" t="n">
        <f aca="false">IF(A377="","",IFERROR(K377*Inputs!$B$10,0))</f>
        <v>91951.8845233354</v>
      </c>
      <c r="N377" s="10" t="n">
        <f aca="false">IF(A377="","",Z376)</f>
        <v>0</v>
      </c>
      <c r="O377" s="6" t="n">
        <f aca="false">IF(A377="","",Inputs!$B$18+N377)</f>
        <v>50000</v>
      </c>
      <c r="P377" s="5" t="n">
        <f aca="false">IF(A377="","",VLOOKUP(D377,DIvidend_Assumption!$A$3:$CX$103,($E$2+2),0)/12)</f>
        <v>0</v>
      </c>
      <c r="Q377" s="10" t="n">
        <f aca="false">IF(A377="","",IFERROR(AB376*P377,""))</f>
        <v>0</v>
      </c>
      <c r="R377" s="10" t="n">
        <f aca="false">IF(A377="","",IFERROR(IF(Inputs!$B$22="Accumulate",T377+Q377,IF(Inputs!$B$22="Premium Offset",MAX(0,T377+Q377-Inputs!$B$25),T377)),""))</f>
        <v>0</v>
      </c>
      <c r="S377" s="10" t="n">
        <f aca="false">IF(A377="","",R376)</f>
        <v>0</v>
      </c>
      <c r="T377" s="10" t="n">
        <f aca="false">IF(A377="","",IFERROR(S377*(1+Inputs!$B$23/12),""))</f>
        <v>0</v>
      </c>
      <c r="U377" s="6" t="n">
        <f aca="false">IF(A377="","",IF(D377&lt;=Inputs!$B$8,IF(Inputs!$B$22="Premium Offset",MAX(0,Inputs!$B$25-(Q377+T377)),Inputs!$B$25),0))</f>
        <v>0</v>
      </c>
      <c r="V377" s="10" t="n">
        <f aca="false">IF(A377="","",IF(Inputs!$B$22="Cash",Q377,0))</f>
        <v>0</v>
      </c>
      <c r="W377" s="10" t="n">
        <f aca="false">IF(A377="","",IF(Inputs!$B$22="PUA",Q377,0))</f>
        <v>0</v>
      </c>
      <c r="X377" s="12" t="n">
        <f aca="false">IF(A377="","",IFERROR(INDEX(PUA_TABLE!$D$4:$D$105,MATCH(E377,PUA_TABLE!$C$4:$C$105,1)),0))</f>
        <v>0.571459651354491</v>
      </c>
      <c r="Y377" s="10" t="n">
        <f aca="false">IF(A377="","",IF(W377&gt;0,IF(X377&gt;0,W377/X377,0),0))</f>
        <v>0</v>
      </c>
      <c r="Z377" s="10" t="n">
        <f aca="false">IF(A377="","",N377+Y377)</f>
        <v>0</v>
      </c>
      <c r="AA377" s="10" t="n">
        <f aca="false">IF(A377="","",IFERROR(Z377*INDEX(PUA_TABLE!$I$4:$I$105,MATCH(E377,PUA_TABLE!$C$4:$C$105,1))/1000,0))</f>
        <v>0</v>
      </c>
      <c r="AB377" s="10" t="n">
        <f aca="false">IF(A377="","",IFERROR(L377+AA377,0))</f>
        <v>28735.502704218</v>
      </c>
      <c r="AC377" s="10" t="n">
        <f aca="false">IF(A377="","",IF(Inputs!$B$22="Premium Offset",MIN(Inputs!$B$25,Q377+T377),0))</f>
        <v>0</v>
      </c>
    </row>
    <row r="378" customFormat="false" ht="15" hidden="false" customHeight="false" outlineLevel="0" collapsed="false">
      <c r="A378" s="1" t="n">
        <f aca="false">IF(A377="","",IF(INT((C377+1)/12)+Inputs!$B$7&gt;MAX(MORTALITY!$A:$A),"",Inputs!$B$4))</f>
        <v>34</v>
      </c>
      <c r="B378" s="3" t="n">
        <f aca="false">IF(A378="","",EOMONTH(B377,1))</f>
        <v>33177</v>
      </c>
      <c r="C378" s="1" t="n">
        <f aca="false">IF(A378="","",C377+1)</f>
        <v>376</v>
      </c>
      <c r="D378" s="1" t="n">
        <f aca="false">IF(A378="","",INT(C378/12))</f>
        <v>31</v>
      </c>
      <c r="E378" s="1" t="n">
        <f aca="false">IF(A378="","",D378+Inputs!$B$7)</f>
        <v>47</v>
      </c>
      <c r="F378" s="3" t="n">
        <f aca="false">IF(A378="","",DATE(YEAR(B$2)+D378,MONTH(B$2),DAY(B$2)))</f>
        <v>33029</v>
      </c>
      <c r="G378" s="3" t="n">
        <f aca="false">IF(A378="","",DATE(YEAR(F378)+1,MONTH(F378),DAY(F378)))</f>
        <v>33394</v>
      </c>
      <c r="H378" s="10" t="n">
        <f aca="false">IF(A378="","",IF(G378&gt;F378,(B378-F378)/(G378-F378),0))</f>
        <v>0.405479452054795</v>
      </c>
      <c r="I378" s="10" t="n">
        <f aca="false">IF(A378="","",IFERROR(INDEX(CV_RATES!$I:$I,MATCH(D378,CV_RATES!$C:$C,0)),0))</f>
        <v>571.459651354491</v>
      </c>
      <c r="J378" s="10" t="n">
        <f aca="false">IF(A378="","",IFERROR(IF(E378=MAX(MORTALITY!$A:$A),1000,INDEX(CV_RATES!$J:$J,MATCH(D378,CV_RATES!$C:$C,0))),0))</f>
        <v>581.599796622886</v>
      </c>
      <c r="K378" s="10" t="n">
        <f aca="false">IF(A378="","",IFERROR(I378+H378*(J378-I378),0))</f>
        <v>575.571271901676</v>
      </c>
      <c r="L378" s="10" t="n">
        <f aca="false">IF(A378="","",IFERROR(K378*Inputs!$B$9,0))</f>
        <v>28778.5635950838</v>
      </c>
      <c r="M378" s="10" t="n">
        <f aca="false">IF(A378="","",IFERROR(K378*Inputs!$B$10,0))</f>
        <v>92089.6767904525</v>
      </c>
      <c r="N378" s="10" t="n">
        <f aca="false">IF(A378="","",Z377)</f>
        <v>0</v>
      </c>
      <c r="O378" s="6" t="n">
        <f aca="false">IF(A378="","",Inputs!$B$18+N378)</f>
        <v>50000</v>
      </c>
      <c r="P378" s="5" t="n">
        <f aca="false">IF(A378="","",VLOOKUP(D378,DIvidend_Assumption!$A$3:$CX$103,($E$2+2),0)/12)</f>
        <v>0</v>
      </c>
      <c r="Q378" s="10" t="n">
        <f aca="false">IF(A378="","",IFERROR(AB377*P378,""))</f>
        <v>0</v>
      </c>
      <c r="R378" s="10" t="n">
        <f aca="false">IF(A378="","",IFERROR(IF(Inputs!$B$22="Accumulate",T378+Q378,IF(Inputs!$B$22="Premium Offset",MAX(0,T378+Q378-Inputs!$B$25),T378)),""))</f>
        <v>0</v>
      </c>
      <c r="S378" s="10" t="n">
        <f aca="false">IF(A378="","",R377)</f>
        <v>0</v>
      </c>
      <c r="T378" s="10" t="n">
        <f aca="false">IF(A378="","",IFERROR(S378*(1+Inputs!$B$23/12),""))</f>
        <v>0</v>
      </c>
      <c r="U378" s="6" t="n">
        <f aca="false">IF(A378="","",IF(D378&lt;=Inputs!$B$8,IF(Inputs!$B$22="Premium Offset",MAX(0,Inputs!$B$25-(Q378+T378)),Inputs!$B$25),0))</f>
        <v>0</v>
      </c>
      <c r="V378" s="10" t="n">
        <f aca="false">IF(A378="","",IF(Inputs!$B$22="Cash",Q378,0))</f>
        <v>0</v>
      </c>
      <c r="W378" s="10" t="n">
        <f aca="false">IF(A378="","",IF(Inputs!$B$22="PUA",Q378,0))</f>
        <v>0</v>
      </c>
      <c r="X378" s="12" t="n">
        <f aca="false">IF(A378="","",IFERROR(INDEX(PUA_TABLE!$D$4:$D$105,MATCH(E378,PUA_TABLE!$C$4:$C$105,1)),0))</f>
        <v>0.571459651354491</v>
      </c>
      <c r="Y378" s="10" t="n">
        <f aca="false">IF(A378="","",IF(W378&gt;0,IF(X378&gt;0,W378/X378,0),0))</f>
        <v>0</v>
      </c>
      <c r="Z378" s="10" t="n">
        <f aca="false">IF(A378="","",N378+Y378)</f>
        <v>0</v>
      </c>
      <c r="AA378" s="10" t="n">
        <f aca="false">IF(A378="","",IFERROR(Z378*INDEX(PUA_TABLE!$I$4:$I$105,MATCH(E378,PUA_TABLE!$C$4:$C$105,1))/1000,0))</f>
        <v>0</v>
      </c>
      <c r="AB378" s="10" t="n">
        <f aca="false">IF(A378="","",IFERROR(L378+AA378,0))</f>
        <v>28778.5635950838</v>
      </c>
      <c r="AC378" s="10" t="n">
        <f aca="false">IF(A378="","",IF(Inputs!$B$22="Premium Offset",MIN(Inputs!$B$25,Q378+T378),0))</f>
        <v>0</v>
      </c>
    </row>
    <row r="379" customFormat="false" ht="15" hidden="false" customHeight="false" outlineLevel="0" collapsed="false">
      <c r="A379" s="1" t="n">
        <f aca="false">IF(A378="","",IF(INT((C378+1)/12)+Inputs!$B$7&gt;MAX(MORTALITY!$A:$A),"",Inputs!$B$4))</f>
        <v>34</v>
      </c>
      <c r="B379" s="3" t="n">
        <f aca="false">IF(A379="","",EOMONTH(B378,1))</f>
        <v>33207</v>
      </c>
      <c r="C379" s="1" t="n">
        <f aca="false">IF(A379="","",C378+1)</f>
        <v>377</v>
      </c>
      <c r="D379" s="1" t="n">
        <f aca="false">IF(A379="","",INT(C379/12))</f>
        <v>31</v>
      </c>
      <c r="E379" s="1" t="n">
        <f aca="false">IF(A379="","",D379+Inputs!$B$7)</f>
        <v>47</v>
      </c>
      <c r="F379" s="3" t="n">
        <f aca="false">IF(A379="","",DATE(YEAR(B$2)+D379,MONTH(B$2),DAY(B$2)))</f>
        <v>33029</v>
      </c>
      <c r="G379" s="3" t="n">
        <f aca="false">IF(A379="","",DATE(YEAR(F379)+1,MONTH(F379),DAY(F379)))</f>
        <v>33394</v>
      </c>
      <c r="H379" s="10" t="n">
        <f aca="false">IF(A379="","",IF(G379&gt;F379,(B379-F379)/(G379-F379),0))</f>
        <v>0.487671232876712</v>
      </c>
      <c r="I379" s="10" t="n">
        <f aca="false">IF(A379="","",IFERROR(INDEX(CV_RATES!$I:$I,MATCH(D379,CV_RATES!$C:$C,0)),0))</f>
        <v>571.459651354491</v>
      </c>
      <c r="J379" s="10" t="n">
        <f aca="false">IF(A379="","",IFERROR(IF(E379=MAX(MORTALITY!$A:$A),1000,INDEX(CV_RATES!$J:$J,MATCH(D379,CV_RATES!$C:$C,0))),0))</f>
        <v>581.599796622886</v>
      </c>
      <c r="K379" s="10" t="n">
        <f aca="false">IF(A379="","",IFERROR(I379+H379*(J379-I379),0))</f>
        <v>576.404708499078</v>
      </c>
      <c r="L379" s="10" t="n">
        <f aca="false">IF(A379="","",IFERROR(K379*Inputs!$B$9,0))</f>
        <v>28820.2354249539</v>
      </c>
      <c r="M379" s="10" t="n">
        <f aca="false">IF(A379="","",IFERROR(K379*Inputs!$B$10,0))</f>
        <v>92223.0241457271</v>
      </c>
      <c r="N379" s="10" t="n">
        <f aca="false">IF(A379="","",Z378)</f>
        <v>0</v>
      </c>
      <c r="O379" s="6" t="n">
        <f aca="false">IF(A379="","",Inputs!$B$18+N379)</f>
        <v>50000</v>
      </c>
      <c r="P379" s="5" t="n">
        <f aca="false">IF(A379="","",VLOOKUP(D379,DIvidend_Assumption!$A$3:$CX$103,($E$2+2),0)/12)</f>
        <v>0</v>
      </c>
      <c r="Q379" s="10" t="n">
        <f aca="false">IF(A379="","",IFERROR(AB378*P379,""))</f>
        <v>0</v>
      </c>
      <c r="R379" s="10" t="n">
        <f aca="false">IF(A379="","",IFERROR(IF(Inputs!$B$22="Accumulate",T379+Q379,IF(Inputs!$B$22="Premium Offset",MAX(0,T379+Q379-Inputs!$B$25),T379)),""))</f>
        <v>0</v>
      </c>
      <c r="S379" s="10" t="n">
        <f aca="false">IF(A379="","",R378)</f>
        <v>0</v>
      </c>
      <c r="T379" s="10" t="n">
        <f aca="false">IF(A379="","",IFERROR(S379*(1+Inputs!$B$23/12),""))</f>
        <v>0</v>
      </c>
      <c r="U379" s="6" t="n">
        <f aca="false">IF(A379="","",IF(D379&lt;=Inputs!$B$8,IF(Inputs!$B$22="Premium Offset",MAX(0,Inputs!$B$25-(Q379+T379)),Inputs!$B$25),0))</f>
        <v>0</v>
      </c>
      <c r="V379" s="10" t="n">
        <f aca="false">IF(A379="","",IF(Inputs!$B$22="Cash",Q379,0))</f>
        <v>0</v>
      </c>
      <c r="W379" s="10" t="n">
        <f aca="false">IF(A379="","",IF(Inputs!$B$22="PUA",Q379,0))</f>
        <v>0</v>
      </c>
      <c r="X379" s="12" t="n">
        <f aca="false">IF(A379="","",IFERROR(INDEX(PUA_TABLE!$D$4:$D$105,MATCH(E379,PUA_TABLE!$C$4:$C$105,1)),0))</f>
        <v>0.571459651354491</v>
      </c>
      <c r="Y379" s="10" t="n">
        <f aca="false">IF(A379="","",IF(W379&gt;0,IF(X379&gt;0,W379/X379,0),0))</f>
        <v>0</v>
      </c>
      <c r="Z379" s="10" t="n">
        <f aca="false">IF(A379="","",N379+Y379)</f>
        <v>0</v>
      </c>
      <c r="AA379" s="10" t="n">
        <f aca="false">IF(A379="","",IFERROR(Z379*INDEX(PUA_TABLE!$I$4:$I$105,MATCH(E379,PUA_TABLE!$C$4:$C$105,1))/1000,0))</f>
        <v>0</v>
      </c>
      <c r="AB379" s="10" t="n">
        <f aca="false">IF(A379="","",IFERROR(L379+AA379,0))</f>
        <v>28820.2354249539</v>
      </c>
      <c r="AC379" s="10" t="n">
        <f aca="false">IF(A379="","",IF(Inputs!$B$22="Premium Offset",MIN(Inputs!$B$25,Q379+T379),0))</f>
        <v>0</v>
      </c>
    </row>
    <row r="380" customFormat="false" ht="15" hidden="false" customHeight="false" outlineLevel="0" collapsed="false">
      <c r="A380" s="1" t="n">
        <f aca="false">IF(A379="","",IF(INT((C379+1)/12)+Inputs!$B$7&gt;MAX(MORTALITY!$A:$A),"",Inputs!$B$4))</f>
        <v>34</v>
      </c>
      <c r="B380" s="3" t="n">
        <f aca="false">IF(A380="","",EOMONTH(B379,1))</f>
        <v>33238</v>
      </c>
      <c r="C380" s="1" t="n">
        <f aca="false">IF(A380="","",C379+1)</f>
        <v>378</v>
      </c>
      <c r="D380" s="1" t="n">
        <f aca="false">IF(A380="","",INT(C380/12))</f>
        <v>31</v>
      </c>
      <c r="E380" s="1" t="n">
        <f aca="false">IF(A380="","",D380+Inputs!$B$7)</f>
        <v>47</v>
      </c>
      <c r="F380" s="3" t="n">
        <f aca="false">IF(A380="","",DATE(YEAR(B$2)+D380,MONTH(B$2),DAY(B$2)))</f>
        <v>33029</v>
      </c>
      <c r="G380" s="3" t="n">
        <f aca="false">IF(A380="","",DATE(YEAR(F380)+1,MONTH(F380),DAY(F380)))</f>
        <v>33394</v>
      </c>
      <c r="H380" s="10" t="n">
        <f aca="false">IF(A380="","",IF(G380&gt;F380,(B380-F380)/(G380-F380),0))</f>
        <v>0.572602739726027</v>
      </c>
      <c r="I380" s="10" t="n">
        <f aca="false">IF(A380="","",IFERROR(INDEX(CV_RATES!$I:$I,MATCH(D380,CV_RATES!$C:$C,0)),0))</f>
        <v>571.459651354491</v>
      </c>
      <c r="J380" s="10" t="n">
        <f aca="false">IF(A380="","",IFERROR(IF(E380=MAX(MORTALITY!$A:$A),1000,INDEX(CV_RATES!$J:$J,MATCH(D380,CV_RATES!$C:$C,0))),0))</f>
        <v>581.599796622886</v>
      </c>
      <c r="K380" s="10" t="n">
        <f aca="false">IF(A380="","",IFERROR(I380+H380*(J380-I380),0))</f>
        <v>577.265926316394</v>
      </c>
      <c r="L380" s="10" t="n">
        <f aca="false">IF(A380="","",IFERROR(K380*Inputs!$B$9,0))</f>
        <v>28863.2963158197</v>
      </c>
      <c r="M380" s="10" t="n">
        <f aca="false">IF(A380="","",IFERROR(K380*Inputs!$B$10,0))</f>
        <v>92360.8164128441</v>
      </c>
      <c r="N380" s="10" t="n">
        <f aca="false">IF(A380="","",Z379)</f>
        <v>0</v>
      </c>
      <c r="O380" s="6" t="n">
        <f aca="false">IF(A380="","",Inputs!$B$18+N380)</f>
        <v>50000</v>
      </c>
      <c r="P380" s="5" t="n">
        <f aca="false">IF(A380="","",VLOOKUP(D380,DIvidend_Assumption!$A$3:$CX$103,($E$2+2),0)/12)</f>
        <v>0</v>
      </c>
      <c r="Q380" s="10" t="n">
        <f aca="false">IF(A380="","",IFERROR(AB379*P380,""))</f>
        <v>0</v>
      </c>
      <c r="R380" s="10" t="n">
        <f aca="false">IF(A380="","",IFERROR(IF(Inputs!$B$22="Accumulate",T380+Q380,IF(Inputs!$B$22="Premium Offset",MAX(0,T380+Q380-Inputs!$B$25),T380)),""))</f>
        <v>0</v>
      </c>
      <c r="S380" s="10" t="n">
        <f aca="false">IF(A380="","",R379)</f>
        <v>0</v>
      </c>
      <c r="T380" s="10" t="n">
        <f aca="false">IF(A380="","",IFERROR(S380*(1+Inputs!$B$23/12),""))</f>
        <v>0</v>
      </c>
      <c r="U380" s="6" t="n">
        <f aca="false">IF(A380="","",IF(D380&lt;=Inputs!$B$8,IF(Inputs!$B$22="Premium Offset",MAX(0,Inputs!$B$25-(Q380+T380)),Inputs!$B$25),0))</f>
        <v>0</v>
      </c>
      <c r="V380" s="10" t="n">
        <f aca="false">IF(A380="","",IF(Inputs!$B$22="Cash",Q380,0))</f>
        <v>0</v>
      </c>
      <c r="W380" s="10" t="n">
        <f aca="false">IF(A380="","",IF(Inputs!$B$22="PUA",Q380,0))</f>
        <v>0</v>
      </c>
      <c r="X380" s="12" t="n">
        <f aca="false">IF(A380="","",IFERROR(INDEX(PUA_TABLE!$D$4:$D$105,MATCH(E380,PUA_TABLE!$C$4:$C$105,1)),0))</f>
        <v>0.571459651354491</v>
      </c>
      <c r="Y380" s="10" t="n">
        <f aca="false">IF(A380="","",IF(W380&gt;0,IF(X380&gt;0,W380/X380,0),0))</f>
        <v>0</v>
      </c>
      <c r="Z380" s="10" t="n">
        <f aca="false">IF(A380="","",N380+Y380)</f>
        <v>0</v>
      </c>
      <c r="AA380" s="10" t="n">
        <f aca="false">IF(A380="","",IFERROR(Z380*INDEX(PUA_TABLE!$I$4:$I$105,MATCH(E380,PUA_TABLE!$C$4:$C$105,1))/1000,0))</f>
        <v>0</v>
      </c>
      <c r="AB380" s="10" t="n">
        <f aca="false">IF(A380="","",IFERROR(L380+AA380,0))</f>
        <v>28863.2963158197</v>
      </c>
      <c r="AC380" s="10" t="n">
        <f aca="false">IF(A380="","",IF(Inputs!$B$22="Premium Offset",MIN(Inputs!$B$25,Q380+T380),0))</f>
        <v>0</v>
      </c>
    </row>
    <row r="381" customFormat="false" ht="15" hidden="false" customHeight="false" outlineLevel="0" collapsed="false">
      <c r="A381" s="1" t="n">
        <f aca="false">IF(A380="","",IF(INT((C380+1)/12)+Inputs!$B$7&gt;MAX(MORTALITY!$A:$A),"",Inputs!$B$4))</f>
        <v>34</v>
      </c>
      <c r="B381" s="3" t="n">
        <f aca="false">IF(A381="","",EOMONTH(B380,1))</f>
        <v>33269</v>
      </c>
      <c r="C381" s="1" t="n">
        <f aca="false">IF(A381="","",C380+1)</f>
        <v>379</v>
      </c>
      <c r="D381" s="1" t="n">
        <f aca="false">IF(A381="","",INT(C381/12))</f>
        <v>31</v>
      </c>
      <c r="E381" s="1" t="n">
        <f aca="false">IF(A381="","",D381+Inputs!$B$7)</f>
        <v>47</v>
      </c>
      <c r="F381" s="3" t="n">
        <f aca="false">IF(A381="","",DATE(YEAR(B$2)+D381,MONTH(B$2),DAY(B$2)))</f>
        <v>33029</v>
      </c>
      <c r="G381" s="3" t="n">
        <f aca="false">IF(A381="","",DATE(YEAR(F381)+1,MONTH(F381),DAY(F381)))</f>
        <v>33394</v>
      </c>
      <c r="H381" s="10" t="n">
        <f aca="false">IF(A381="","",IF(G381&gt;F381,(B381-F381)/(G381-F381),0))</f>
        <v>0.657534246575342</v>
      </c>
      <c r="I381" s="10" t="n">
        <f aca="false">IF(A381="","",IFERROR(INDEX(CV_RATES!$I:$I,MATCH(D381,CV_RATES!$C:$C,0)),0))</f>
        <v>571.459651354491</v>
      </c>
      <c r="J381" s="10" t="n">
        <f aca="false">IF(A381="","",IFERROR(IF(E381=MAX(MORTALITY!$A:$A),1000,INDEX(CV_RATES!$J:$J,MATCH(D381,CV_RATES!$C:$C,0))),0))</f>
        <v>581.599796622886</v>
      </c>
      <c r="K381" s="10" t="n">
        <f aca="false">IF(A381="","",IFERROR(I381+H381*(J381-I381),0))</f>
        <v>578.12714413371</v>
      </c>
      <c r="L381" s="10" t="n">
        <f aca="false">IF(A381="","",IFERROR(K381*Inputs!$B$9,0))</f>
        <v>28906.3572066855</v>
      </c>
      <c r="M381" s="10" t="n">
        <f aca="false">IF(A381="","",IFERROR(K381*Inputs!$B$10,0))</f>
        <v>92498.6086799612</v>
      </c>
      <c r="N381" s="10" t="n">
        <f aca="false">IF(A381="","",Z380)</f>
        <v>0</v>
      </c>
      <c r="O381" s="6" t="n">
        <f aca="false">IF(A381="","",Inputs!$B$18+N381)</f>
        <v>50000</v>
      </c>
      <c r="P381" s="5" t="n">
        <f aca="false">IF(A381="","",VLOOKUP(D381,DIvidend_Assumption!$A$3:$CX$103,($E$2+2),0)/12)</f>
        <v>0</v>
      </c>
      <c r="Q381" s="10" t="n">
        <f aca="false">IF(A381="","",IFERROR(AB380*P381,""))</f>
        <v>0</v>
      </c>
      <c r="R381" s="10" t="n">
        <f aca="false">IF(A381="","",IFERROR(IF(Inputs!$B$22="Accumulate",T381+Q381,IF(Inputs!$B$22="Premium Offset",MAX(0,T381+Q381-Inputs!$B$25),T381)),""))</f>
        <v>0</v>
      </c>
      <c r="S381" s="10" t="n">
        <f aca="false">IF(A381="","",R380)</f>
        <v>0</v>
      </c>
      <c r="T381" s="10" t="n">
        <f aca="false">IF(A381="","",IFERROR(S381*(1+Inputs!$B$23/12),""))</f>
        <v>0</v>
      </c>
      <c r="U381" s="6" t="n">
        <f aca="false">IF(A381="","",IF(D381&lt;=Inputs!$B$8,IF(Inputs!$B$22="Premium Offset",MAX(0,Inputs!$B$25-(Q381+T381)),Inputs!$B$25),0))</f>
        <v>0</v>
      </c>
      <c r="V381" s="10" t="n">
        <f aca="false">IF(A381="","",IF(Inputs!$B$22="Cash",Q381,0))</f>
        <v>0</v>
      </c>
      <c r="W381" s="10" t="n">
        <f aca="false">IF(A381="","",IF(Inputs!$B$22="PUA",Q381,0))</f>
        <v>0</v>
      </c>
      <c r="X381" s="12" t="n">
        <f aca="false">IF(A381="","",IFERROR(INDEX(PUA_TABLE!$D$4:$D$105,MATCH(E381,PUA_TABLE!$C$4:$C$105,1)),0))</f>
        <v>0.571459651354491</v>
      </c>
      <c r="Y381" s="10" t="n">
        <f aca="false">IF(A381="","",IF(W381&gt;0,IF(X381&gt;0,W381/X381,0),0))</f>
        <v>0</v>
      </c>
      <c r="Z381" s="10" t="n">
        <f aca="false">IF(A381="","",N381+Y381)</f>
        <v>0</v>
      </c>
      <c r="AA381" s="10" t="n">
        <f aca="false">IF(A381="","",IFERROR(Z381*INDEX(PUA_TABLE!$I$4:$I$105,MATCH(E381,PUA_TABLE!$C$4:$C$105,1))/1000,0))</f>
        <v>0</v>
      </c>
      <c r="AB381" s="10" t="n">
        <f aca="false">IF(A381="","",IFERROR(L381+AA381,0))</f>
        <v>28906.3572066855</v>
      </c>
      <c r="AC381" s="10" t="n">
        <f aca="false">IF(A381="","",IF(Inputs!$B$22="Premium Offset",MIN(Inputs!$B$25,Q381+T381),0))</f>
        <v>0</v>
      </c>
    </row>
    <row r="382" customFormat="false" ht="15" hidden="false" customHeight="false" outlineLevel="0" collapsed="false">
      <c r="A382" s="1" t="n">
        <f aca="false">IF(A381="","",IF(INT((C381+1)/12)+Inputs!$B$7&gt;MAX(MORTALITY!$A:$A),"",Inputs!$B$4))</f>
        <v>34</v>
      </c>
      <c r="B382" s="3" t="n">
        <f aca="false">IF(A382="","",EOMONTH(B381,1))</f>
        <v>33297</v>
      </c>
      <c r="C382" s="1" t="n">
        <f aca="false">IF(A382="","",C381+1)</f>
        <v>380</v>
      </c>
      <c r="D382" s="1" t="n">
        <f aca="false">IF(A382="","",INT(C382/12))</f>
        <v>31</v>
      </c>
      <c r="E382" s="1" t="n">
        <f aca="false">IF(A382="","",D382+Inputs!$B$7)</f>
        <v>47</v>
      </c>
      <c r="F382" s="3" t="n">
        <f aca="false">IF(A382="","",DATE(YEAR(B$2)+D382,MONTH(B$2),DAY(B$2)))</f>
        <v>33029</v>
      </c>
      <c r="G382" s="3" t="n">
        <f aca="false">IF(A382="","",DATE(YEAR(F382)+1,MONTH(F382),DAY(F382)))</f>
        <v>33394</v>
      </c>
      <c r="H382" s="10" t="n">
        <f aca="false">IF(A382="","",IF(G382&gt;F382,(B382-F382)/(G382-F382),0))</f>
        <v>0.734246575342466</v>
      </c>
      <c r="I382" s="10" t="n">
        <f aca="false">IF(A382="","",IFERROR(INDEX(CV_RATES!$I:$I,MATCH(D382,CV_RATES!$C:$C,0)),0))</f>
        <v>571.459651354491</v>
      </c>
      <c r="J382" s="10" t="n">
        <f aca="false">IF(A382="","",IFERROR(IF(E382=MAX(MORTALITY!$A:$A),1000,INDEX(CV_RATES!$J:$J,MATCH(D382,CV_RATES!$C:$C,0))),0))</f>
        <v>581.599796622886</v>
      </c>
      <c r="K382" s="10" t="n">
        <f aca="false">IF(A382="","",IFERROR(I382+H382*(J382-I382),0))</f>
        <v>578.905018291285</v>
      </c>
      <c r="L382" s="10" t="n">
        <f aca="false">IF(A382="","",IFERROR(K382*Inputs!$B$9,0))</f>
        <v>28945.2509145643</v>
      </c>
      <c r="M382" s="10" t="n">
        <f aca="false">IF(A382="","",IFERROR(K382*Inputs!$B$10,0))</f>
        <v>92623.0662115508</v>
      </c>
      <c r="N382" s="10" t="n">
        <f aca="false">IF(A382="","",Z381)</f>
        <v>0</v>
      </c>
      <c r="O382" s="6" t="n">
        <f aca="false">IF(A382="","",Inputs!$B$18+N382)</f>
        <v>50000</v>
      </c>
      <c r="P382" s="5" t="n">
        <f aca="false">IF(A382="","",VLOOKUP(D382,DIvidend_Assumption!$A$3:$CX$103,($E$2+2),0)/12)</f>
        <v>0</v>
      </c>
      <c r="Q382" s="10" t="n">
        <f aca="false">IF(A382="","",IFERROR(AB381*P382,""))</f>
        <v>0</v>
      </c>
      <c r="R382" s="10" t="n">
        <f aca="false">IF(A382="","",IFERROR(IF(Inputs!$B$22="Accumulate",T382+Q382,IF(Inputs!$B$22="Premium Offset",MAX(0,T382+Q382-Inputs!$B$25),T382)),""))</f>
        <v>0</v>
      </c>
      <c r="S382" s="10" t="n">
        <f aca="false">IF(A382="","",R381)</f>
        <v>0</v>
      </c>
      <c r="T382" s="10" t="n">
        <f aca="false">IF(A382="","",IFERROR(S382*(1+Inputs!$B$23/12),""))</f>
        <v>0</v>
      </c>
      <c r="U382" s="6" t="n">
        <f aca="false">IF(A382="","",IF(D382&lt;=Inputs!$B$8,IF(Inputs!$B$22="Premium Offset",MAX(0,Inputs!$B$25-(Q382+T382)),Inputs!$B$25),0))</f>
        <v>0</v>
      </c>
      <c r="V382" s="10" t="n">
        <f aca="false">IF(A382="","",IF(Inputs!$B$22="Cash",Q382,0))</f>
        <v>0</v>
      </c>
      <c r="W382" s="10" t="n">
        <f aca="false">IF(A382="","",IF(Inputs!$B$22="PUA",Q382,0))</f>
        <v>0</v>
      </c>
      <c r="X382" s="12" t="n">
        <f aca="false">IF(A382="","",IFERROR(INDEX(PUA_TABLE!$D$4:$D$105,MATCH(E382,PUA_TABLE!$C$4:$C$105,1)),0))</f>
        <v>0.571459651354491</v>
      </c>
      <c r="Y382" s="10" t="n">
        <f aca="false">IF(A382="","",IF(W382&gt;0,IF(X382&gt;0,W382/X382,0),0))</f>
        <v>0</v>
      </c>
      <c r="Z382" s="10" t="n">
        <f aca="false">IF(A382="","",N382+Y382)</f>
        <v>0</v>
      </c>
      <c r="AA382" s="10" t="n">
        <f aca="false">IF(A382="","",IFERROR(Z382*INDEX(PUA_TABLE!$I$4:$I$105,MATCH(E382,PUA_TABLE!$C$4:$C$105,1))/1000,0))</f>
        <v>0</v>
      </c>
      <c r="AB382" s="10" t="n">
        <f aca="false">IF(A382="","",IFERROR(L382+AA382,0))</f>
        <v>28945.2509145643</v>
      </c>
      <c r="AC382" s="10" t="n">
        <f aca="false">IF(A382="","",IF(Inputs!$B$22="Premium Offset",MIN(Inputs!$B$25,Q382+T382),0))</f>
        <v>0</v>
      </c>
    </row>
    <row r="383" customFormat="false" ht="15" hidden="false" customHeight="false" outlineLevel="0" collapsed="false">
      <c r="A383" s="1" t="n">
        <f aca="false">IF(A382="","",IF(INT((C382+1)/12)+Inputs!$B$7&gt;MAX(MORTALITY!$A:$A),"",Inputs!$B$4))</f>
        <v>34</v>
      </c>
      <c r="B383" s="3" t="n">
        <f aca="false">IF(A383="","",EOMONTH(B382,1))</f>
        <v>33328</v>
      </c>
      <c r="C383" s="1" t="n">
        <f aca="false">IF(A383="","",C382+1)</f>
        <v>381</v>
      </c>
      <c r="D383" s="1" t="n">
        <f aca="false">IF(A383="","",INT(C383/12))</f>
        <v>31</v>
      </c>
      <c r="E383" s="1" t="n">
        <f aca="false">IF(A383="","",D383+Inputs!$B$7)</f>
        <v>47</v>
      </c>
      <c r="F383" s="3" t="n">
        <f aca="false">IF(A383="","",DATE(YEAR(B$2)+D383,MONTH(B$2),DAY(B$2)))</f>
        <v>33029</v>
      </c>
      <c r="G383" s="3" t="n">
        <f aca="false">IF(A383="","",DATE(YEAR(F383)+1,MONTH(F383),DAY(F383)))</f>
        <v>33394</v>
      </c>
      <c r="H383" s="10" t="n">
        <f aca="false">IF(A383="","",IF(G383&gt;F383,(B383-F383)/(G383-F383),0))</f>
        <v>0.819178082191781</v>
      </c>
      <c r="I383" s="10" t="n">
        <f aca="false">IF(A383="","",IFERROR(INDEX(CV_RATES!$I:$I,MATCH(D383,CV_RATES!$C:$C,0)),0))</f>
        <v>571.459651354491</v>
      </c>
      <c r="J383" s="10" t="n">
        <f aca="false">IF(A383="","",IFERROR(IF(E383=MAX(MORTALITY!$A:$A),1000,INDEX(CV_RATES!$J:$J,MATCH(D383,CV_RATES!$C:$C,0))),0))</f>
        <v>581.599796622886</v>
      </c>
      <c r="K383" s="10" t="n">
        <f aca="false">IF(A383="","",IFERROR(I383+H383*(J383-I383),0))</f>
        <v>579.766236108601</v>
      </c>
      <c r="L383" s="10" t="n">
        <f aca="false">IF(A383="","",IFERROR(K383*Inputs!$B$9,0))</f>
        <v>28988.3118054301</v>
      </c>
      <c r="M383" s="10" t="n">
        <f aca="false">IF(A383="","",IFERROR(K383*Inputs!$B$10,0))</f>
        <v>92760.8584786679</v>
      </c>
      <c r="N383" s="10" t="n">
        <f aca="false">IF(A383="","",Z382)</f>
        <v>0</v>
      </c>
      <c r="O383" s="6" t="n">
        <f aca="false">IF(A383="","",Inputs!$B$18+N383)</f>
        <v>50000</v>
      </c>
      <c r="P383" s="5" t="n">
        <f aca="false">IF(A383="","",VLOOKUP(D383,DIvidend_Assumption!$A$3:$CX$103,($E$2+2),0)/12)</f>
        <v>0</v>
      </c>
      <c r="Q383" s="10" t="n">
        <f aca="false">IF(A383="","",IFERROR(AB382*P383,""))</f>
        <v>0</v>
      </c>
      <c r="R383" s="10" t="n">
        <f aca="false">IF(A383="","",IFERROR(IF(Inputs!$B$22="Accumulate",T383+Q383,IF(Inputs!$B$22="Premium Offset",MAX(0,T383+Q383-Inputs!$B$25),T383)),""))</f>
        <v>0</v>
      </c>
      <c r="S383" s="10" t="n">
        <f aca="false">IF(A383="","",R382)</f>
        <v>0</v>
      </c>
      <c r="T383" s="10" t="n">
        <f aca="false">IF(A383="","",IFERROR(S383*(1+Inputs!$B$23/12),""))</f>
        <v>0</v>
      </c>
      <c r="U383" s="6" t="n">
        <f aca="false">IF(A383="","",IF(D383&lt;=Inputs!$B$8,IF(Inputs!$B$22="Premium Offset",MAX(0,Inputs!$B$25-(Q383+T383)),Inputs!$B$25),0))</f>
        <v>0</v>
      </c>
      <c r="V383" s="10" t="n">
        <f aca="false">IF(A383="","",IF(Inputs!$B$22="Cash",Q383,0))</f>
        <v>0</v>
      </c>
      <c r="W383" s="10" t="n">
        <f aca="false">IF(A383="","",IF(Inputs!$B$22="PUA",Q383,0))</f>
        <v>0</v>
      </c>
      <c r="X383" s="12" t="n">
        <f aca="false">IF(A383="","",IFERROR(INDEX(PUA_TABLE!$D$4:$D$105,MATCH(E383,PUA_TABLE!$C$4:$C$105,1)),0))</f>
        <v>0.571459651354491</v>
      </c>
      <c r="Y383" s="10" t="n">
        <f aca="false">IF(A383="","",IF(W383&gt;0,IF(X383&gt;0,W383/X383,0),0))</f>
        <v>0</v>
      </c>
      <c r="Z383" s="10" t="n">
        <f aca="false">IF(A383="","",N383+Y383)</f>
        <v>0</v>
      </c>
      <c r="AA383" s="10" t="n">
        <f aca="false">IF(A383="","",IFERROR(Z383*INDEX(PUA_TABLE!$I$4:$I$105,MATCH(E383,PUA_TABLE!$C$4:$C$105,1))/1000,0))</f>
        <v>0</v>
      </c>
      <c r="AB383" s="10" t="n">
        <f aca="false">IF(A383="","",IFERROR(L383+AA383,0))</f>
        <v>28988.3118054301</v>
      </c>
      <c r="AC383" s="10" t="n">
        <f aca="false">IF(A383="","",IF(Inputs!$B$22="Premium Offset",MIN(Inputs!$B$25,Q383+T383),0))</f>
        <v>0</v>
      </c>
    </row>
    <row r="384" customFormat="false" ht="15" hidden="false" customHeight="false" outlineLevel="0" collapsed="false">
      <c r="A384" s="1" t="n">
        <f aca="false">IF(A383="","",IF(INT((C383+1)/12)+Inputs!$B$7&gt;MAX(MORTALITY!$A:$A),"",Inputs!$B$4))</f>
        <v>34</v>
      </c>
      <c r="B384" s="3" t="n">
        <f aca="false">IF(A384="","",EOMONTH(B383,1))</f>
        <v>33358</v>
      </c>
      <c r="C384" s="1" t="n">
        <f aca="false">IF(A384="","",C383+1)</f>
        <v>382</v>
      </c>
      <c r="D384" s="1" t="n">
        <f aca="false">IF(A384="","",INT(C384/12))</f>
        <v>31</v>
      </c>
      <c r="E384" s="1" t="n">
        <f aca="false">IF(A384="","",D384+Inputs!$B$7)</f>
        <v>47</v>
      </c>
      <c r="F384" s="3" t="n">
        <f aca="false">IF(A384="","",DATE(YEAR(B$2)+D384,MONTH(B$2),DAY(B$2)))</f>
        <v>33029</v>
      </c>
      <c r="G384" s="3" t="n">
        <f aca="false">IF(A384="","",DATE(YEAR(F384)+1,MONTH(F384),DAY(F384)))</f>
        <v>33394</v>
      </c>
      <c r="H384" s="10" t="n">
        <f aca="false">IF(A384="","",IF(G384&gt;F384,(B384-F384)/(G384-F384),0))</f>
        <v>0.901369863013699</v>
      </c>
      <c r="I384" s="10" t="n">
        <f aca="false">IF(A384="","",IFERROR(INDEX(CV_RATES!$I:$I,MATCH(D384,CV_RATES!$C:$C,0)),0))</f>
        <v>571.459651354491</v>
      </c>
      <c r="J384" s="10" t="n">
        <f aca="false">IF(A384="","",IFERROR(IF(E384=MAX(MORTALITY!$A:$A),1000,INDEX(CV_RATES!$J:$J,MATCH(D384,CV_RATES!$C:$C,0))),0))</f>
        <v>581.599796622886</v>
      </c>
      <c r="K384" s="10" t="n">
        <f aca="false">IF(A384="","",IFERROR(I384+H384*(J384-I384),0))</f>
        <v>580.599672706004</v>
      </c>
      <c r="L384" s="10" t="n">
        <f aca="false">IF(A384="","",IFERROR(K384*Inputs!$B$9,0))</f>
        <v>29029.9836353002</v>
      </c>
      <c r="M384" s="10" t="n">
        <f aca="false">IF(A384="","",IFERROR(K384*Inputs!$B$10,0))</f>
        <v>92894.2058339425</v>
      </c>
      <c r="N384" s="10" t="n">
        <f aca="false">IF(A384="","",Z383)</f>
        <v>0</v>
      </c>
      <c r="O384" s="6" t="n">
        <f aca="false">IF(A384="","",Inputs!$B$18+N384)</f>
        <v>50000</v>
      </c>
      <c r="P384" s="5" t="n">
        <f aca="false">IF(A384="","",VLOOKUP(D384,DIvidend_Assumption!$A$3:$CX$103,($E$2+2),0)/12)</f>
        <v>0</v>
      </c>
      <c r="Q384" s="10" t="n">
        <f aca="false">IF(A384="","",IFERROR(AB383*P384,""))</f>
        <v>0</v>
      </c>
      <c r="R384" s="10" t="n">
        <f aca="false">IF(A384="","",IFERROR(IF(Inputs!$B$22="Accumulate",T384+Q384,IF(Inputs!$B$22="Premium Offset",MAX(0,T384+Q384-Inputs!$B$25),T384)),""))</f>
        <v>0</v>
      </c>
      <c r="S384" s="10" t="n">
        <f aca="false">IF(A384="","",R383)</f>
        <v>0</v>
      </c>
      <c r="T384" s="10" t="n">
        <f aca="false">IF(A384="","",IFERROR(S384*(1+Inputs!$B$23/12),""))</f>
        <v>0</v>
      </c>
      <c r="U384" s="6" t="n">
        <f aca="false">IF(A384="","",IF(D384&lt;=Inputs!$B$8,IF(Inputs!$B$22="Premium Offset",MAX(0,Inputs!$B$25-(Q384+T384)),Inputs!$B$25),0))</f>
        <v>0</v>
      </c>
      <c r="V384" s="10" t="n">
        <f aca="false">IF(A384="","",IF(Inputs!$B$22="Cash",Q384,0))</f>
        <v>0</v>
      </c>
      <c r="W384" s="10" t="n">
        <f aca="false">IF(A384="","",IF(Inputs!$B$22="PUA",Q384,0))</f>
        <v>0</v>
      </c>
      <c r="X384" s="12" t="n">
        <f aca="false">IF(A384="","",IFERROR(INDEX(PUA_TABLE!$D$4:$D$105,MATCH(E384,PUA_TABLE!$C$4:$C$105,1)),0))</f>
        <v>0.571459651354491</v>
      </c>
      <c r="Y384" s="10" t="n">
        <f aca="false">IF(A384="","",IF(W384&gt;0,IF(X384&gt;0,W384/X384,0),0))</f>
        <v>0</v>
      </c>
      <c r="Z384" s="10" t="n">
        <f aca="false">IF(A384="","",N384+Y384)</f>
        <v>0</v>
      </c>
      <c r="AA384" s="10" t="n">
        <f aca="false">IF(A384="","",IFERROR(Z384*INDEX(PUA_TABLE!$I$4:$I$105,MATCH(E384,PUA_TABLE!$C$4:$C$105,1))/1000,0))</f>
        <v>0</v>
      </c>
      <c r="AB384" s="10" t="n">
        <f aca="false">IF(A384="","",IFERROR(L384+AA384,0))</f>
        <v>29029.9836353002</v>
      </c>
      <c r="AC384" s="10" t="n">
        <f aca="false">IF(A384="","",IF(Inputs!$B$22="Premium Offset",MIN(Inputs!$B$25,Q384+T384),0))</f>
        <v>0</v>
      </c>
    </row>
    <row r="385" customFormat="false" ht="15" hidden="false" customHeight="false" outlineLevel="0" collapsed="false">
      <c r="A385" s="1" t="n">
        <f aca="false">IF(A384="","",IF(INT((C384+1)/12)+Inputs!$B$7&gt;MAX(MORTALITY!$A:$A),"",Inputs!$B$4))</f>
        <v>34</v>
      </c>
      <c r="B385" s="3" t="n">
        <f aca="false">IF(A385="","",EOMONTH(B384,1))</f>
        <v>33389</v>
      </c>
      <c r="C385" s="1" t="n">
        <f aca="false">IF(A385="","",C384+1)</f>
        <v>383</v>
      </c>
      <c r="D385" s="1" t="n">
        <f aca="false">IF(A385="","",INT(C385/12))</f>
        <v>31</v>
      </c>
      <c r="E385" s="1" t="n">
        <f aca="false">IF(A385="","",D385+Inputs!$B$7)</f>
        <v>47</v>
      </c>
      <c r="F385" s="3" t="n">
        <f aca="false">IF(A385="","",DATE(YEAR(B$2)+D385,MONTH(B$2),DAY(B$2)))</f>
        <v>33029</v>
      </c>
      <c r="G385" s="3" t="n">
        <f aca="false">IF(A385="","",DATE(YEAR(F385)+1,MONTH(F385),DAY(F385)))</f>
        <v>33394</v>
      </c>
      <c r="H385" s="10" t="n">
        <f aca="false">IF(A385="","",IF(G385&gt;F385,(B385-F385)/(G385-F385),0))</f>
        <v>0.986301369863014</v>
      </c>
      <c r="I385" s="10" t="n">
        <f aca="false">IF(A385="","",IFERROR(INDEX(CV_RATES!$I:$I,MATCH(D385,CV_RATES!$C:$C,0)),0))</f>
        <v>571.459651354491</v>
      </c>
      <c r="J385" s="10" t="n">
        <f aca="false">IF(A385="","",IFERROR(IF(E385=MAX(MORTALITY!$A:$A),1000,INDEX(CV_RATES!$J:$J,MATCH(D385,CV_RATES!$C:$C,0))),0))</f>
        <v>581.599796622886</v>
      </c>
      <c r="K385" s="10" t="n">
        <f aca="false">IF(A385="","",IFERROR(I385+H385*(J385-I385),0))</f>
        <v>581.460890523319</v>
      </c>
      <c r="L385" s="10" t="n">
        <f aca="false">IF(A385="","",IFERROR(K385*Inputs!$B$9,0))</f>
        <v>29073.044526166</v>
      </c>
      <c r="M385" s="10" t="n">
        <f aca="false">IF(A385="","",IFERROR(K385*Inputs!$B$10,0))</f>
        <v>93031.9981010595</v>
      </c>
      <c r="N385" s="10" t="n">
        <f aca="false">IF(A385="","",Z384)</f>
        <v>0</v>
      </c>
      <c r="O385" s="6" t="n">
        <f aca="false">IF(A385="","",Inputs!$B$18+N385)</f>
        <v>50000</v>
      </c>
      <c r="P385" s="5" t="n">
        <f aca="false">IF(A385="","",VLOOKUP(D385,DIvidend_Assumption!$A$3:$CX$103,($E$2+2),0)/12)</f>
        <v>0</v>
      </c>
      <c r="Q385" s="10" t="n">
        <f aca="false">IF(A385="","",IFERROR(AB384*P385,""))</f>
        <v>0</v>
      </c>
      <c r="R385" s="10" t="n">
        <f aca="false">IF(A385="","",IFERROR(IF(Inputs!$B$22="Accumulate",T385+Q385,IF(Inputs!$B$22="Premium Offset",MAX(0,T385+Q385-Inputs!$B$25),T385)),""))</f>
        <v>0</v>
      </c>
      <c r="S385" s="10" t="n">
        <f aca="false">IF(A385="","",R384)</f>
        <v>0</v>
      </c>
      <c r="T385" s="10" t="n">
        <f aca="false">IF(A385="","",IFERROR(S385*(1+Inputs!$B$23/12),""))</f>
        <v>0</v>
      </c>
      <c r="U385" s="6" t="n">
        <f aca="false">IF(A385="","",IF(D385&lt;=Inputs!$B$8,IF(Inputs!$B$22="Premium Offset",MAX(0,Inputs!$B$25-(Q385+T385)),Inputs!$B$25),0))</f>
        <v>0</v>
      </c>
      <c r="V385" s="10" t="n">
        <f aca="false">IF(A385="","",IF(Inputs!$B$22="Cash",Q385,0))</f>
        <v>0</v>
      </c>
      <c r="W385" s="10" t="n">
        <f aca="false">IF(A385="","",IF(Inputs!$B$22="PUA",Q385,0))</f>
        <v>0</v>
      </c>
      <c r="X385" s="12" t="n">
        <f aca="false">IF(A385="","",IFERROR(INDEX(PUA_TABLE!$D$4:$D$105,MATCH(E385,PUA_TABLE!$C$4:$C$105,1)),0))</f>
        <v>0.571459651354491</v>
      </c>
      <c r="Y385" s="10" t="n">
        <f aca="false">IF(A385="","",IF(W385&gt;0,IF(X385&gt;0,W385/X385,0),0))</f>
        <v>0</v>
      </c>
      <c r="Z385" s="10" t="n">
        <f aca="false">IF(A385="","",N385+Y385)</f>
        <v>0</v>
      </c>
      <c r="AA385" s="10" t="n">
        <f aca="false">IF(A385="","",IFERROR(Z385*INDEX(PUA_TABLE!$I$4:$I$105,MATCH(E385,PUA_TABLE!$C$4:$C$105,1))/1000,0))</f>
        <v>0</v>
      </c>
      <c r="AB385" s="10" t="n">
        <f aca="false">IF(A385="","",IFERROR(L385+AA385,0))</f>
        <v>29073.044526166</v>
      </c>
      <c r="AC385" s="10" t="n">
        <f aca="false">IF(A385="","",IF(Inputs!$B$22="Premium Offset",MIN(Inputs!$B$25,Q385+T385),0))</f>
        <v>0</v>
      </c>
    </row>
    <row r="386" customFormat="false" ht="15" hidden="false" customHeight="false" outlineLevel="0" collapsed="false">
      <c r="A386" s="1" t="n">
        <f aca="false">IF(A385="","",IF(INT((C385+1)/12)+Inputs!$B$7&gt;MAX(MORTALITY!$A:$A),"",Inputs!$B$4))</f>
        <v>34</v>
      </c>
      <c r="B386" s="3" t="n">
        <f aca="false">IF(A386="","",EOMONTH(B385,1))</f>
        <v>33419</v>
      </c>
      <c r="C386" s="1" t="n">
        <f aca="false">IF(A386="","",C385+1)</f>
        <v>384</v>
      </c>
      <c r="D386" s="1" t="n">
        <f aca="false">IF(A386="","",INT(C386/12))</f>
        <v>32</v>
      </c>
      <c r="E386" s="1" t="n">
        <f aca="false">IF(A386="","",D386+Inputs!$B$7)</f>
        <v>48</v>
      </c>
      <c r="F386" s="3" t="n">
        <f aca="false">IF(A386="","",DATE(YEAR(B$2)+D386,MONTH(B$2),DAY(B$2)))</f>
        <v>33394</v>
      </c>
      <c r="G386" s="3" t="n">
        <f aca="false">IF(A386="","",DATE(YEAR(F386)+1,MONTH(F386),DAY(F386)))</f>
        <v>33760</v>
      </c>
      <c r="H386" s="10" t="n">
        <f aca="false">IF(A386="","",IF(G386&gt;F386,(B386-F386)/(G386-F386),0))</f>
        <v>0.0683060109289618</v>
      </c>
      <c r="I386" s="10" t="n">
        <f aca="false">IF(A386="","",IFERROR(INDEX(CV_RATES!$I:$I,MATCH(D386,CV_RATES!$C:$C,0)),0))</f>
        <v>581.599796622886</v>
      </c>
      <c r="J386" s="10" t="n">
        <f aca="false">IF(A386="","",IFERROR(IF(E386=MAX(MORTALITY!$A:$A),1000,INDEX(CV_RATES!$J:$J,MATCH(D386,CV_RATES!$C:$C,0))),0))</f>
        <v>591.796506366195</v>
      </c>
      <c r="K386" s="10" t="n">
        <f aca="false">IF(A386="","",IFERROR(I386+H386*(J386-I386),0))</f>
        <v>582.296293190052</v>
      </c>
      <c r="L386" s="10" t="n">
        <f aca="false">IF(A386="","",IFERROR(K386*Inputs!$B$9,0))</f>
        <v>29114.8146595026</v>
      </c>
      <c r="M386" s="10" t="n">
        <f aca="false">IF(A386="","",IFERROR(K386*Inputs!$B$10,0))</f>
        <v>93165.6600215288</v>
      </c>
      <c r="N386" s="10" t="n">
        <f aca="false">IF(A386="","",Z385)</f>
        <v>0</v>
      </c>
      <c r="O386" s="6" t="n">
        <f aca="false">IF(A386="","",Inputs!$B$18+N386)</f>
        <v>50000</v>
      </c>
      <c r="P386" s="5" t="n">
        <f aca="false">IF(A386="","",VLOOKUP(D386,DIvidend_Assumption!$A$3:$CX$103,($E$2+2),0)/12)</f>
        <v>0</v>
      </c>
      <c r="Q386" s="10" t="n">
        <f aca="false">IF(A386="","",IFERROR(AB385*P386,""))</f>
        <v>0</v>
      </c>
      <c r="R386" s="10" t="n">
        <f aca="false">IF(A386="","",IFERROR(IF(Inputs!$B$22="Accumulate",T386+Q386,IF(Inputs!$B$22="Premium Offset",MAX(0,T386+Q386-Inputs!$B$25),T386)),""))</f>
        <v>0</v>
      </c>
      <c r="S386" s="10" t="n">
        <f aca="false">IF(A386="","",R385)</f>
        <v>0</v>
      </c>
      <c r="T386" s="10" t="n">
        <f aca="false">IF(A386="","",IFERROR(S386*(1+Inputs!$B$23/12),""))</f>
        <v>0</v>
      </c>
      <c r="U386" s="6" t="n">
        <f aca="false">IF(A386="","",IF(D386&lt;=Inputs!$B$8,IF(Inputs!$B$22="Premium Offset",MAX(0,Inputs!$B$25-(Q386+T386)),Inputs!$B$25),0))</f>
        <v>0</v>
      </c>
      <c r="V386" s="10" t="n">
        <f aca="false">IF(A386="","",IF(Inputs!$B$22="Cash",Q386,0))</f>
        <v>0</v>
      </c>
      <c r="W386" s="10" t="n">
        <f aca="false">IF(A386="","",IF(Inputs!$B$22="PUA",Q386,0))</f>
        <v>0</v>
      </c>
      <c r="X386" s="12" t="n">
        <f aca="false">IF(A386="","",IFERROR(INDEX(PUA_TABLE!$D$4:$D$105,MATCH(E386,PUA_TABLE!$C$4:$C$105,1)),0))</f>
        <v>0.581599796622886</v>
      </c>
      <c r="Y386" s="10" t="n">
        <f aca="false">IF(A386="","",IF(W386&gt;0,IF(X386&gt;0,W386/X386,0),0))</f>
        <v>0</v>
      </c>
      <c r="Z386" s="10" t="n">
        <f aca="false">IF(A386="","",N386+Y386)</f>
        <v>0</v>
      </c>
      <c r="AA386" s="10" t="n">
        <f aca="false">IF(A386="","",IFERROR(Z386*INDEX(PUA_TABLE!$I$4:$I$105,MATCH(E386,PUA_TABLE!$C$4:$C$105,1))/1000,0))</f>
        <v>0</v>
      </c>
      <c r="AB386" s="10" t="n">
        <f aca="false">IF(A386="","",IFERROR(L386+AA386,0))</f>
        <v>29114.8146595026</v>
      </c>
      <c r="AC386" s="10" t="n">
        <f aca="false">IF(A386="","",IF(Inputs!$B$22="Premium Offset",MIN(Inputs!$B$25,Q386+T386),0))</f>
        <v>0</v>
      </c>
    </row>
    <row r="387" customFormat="false" ht="15" hidden="false" customHeight="false" outlineLevel="0" collapsed="false">
      <c r="A387" s="1" t="n">
        <f aca="false">IF(A386="","",IF(INT((C386+1)/12)+Inputs!$B$7&gt;MAX(MORTALITY!$A:$A),"",Inputs!$B$4))</f>
        <v>34</v>
      </c>
      <c r="B387" s="3" t="n">
        <f aca="false">IF(A387="","",EOMONTH(B386,1))</f>
        <v>33450</v>
      </c>
      <c r="C387" s="1" t="n">
        <f aca="false">IF(A387="","",C386+1)</f>
        <v>385</v>
      </c>
      <c r="D387" s="1" t="n">
        <f aca="false">IF(A387="","",INT(C387/12))</f>
        <v>32</v>
      </c>
      <c r="E387" s="1" t="n">
        <f aca="false">IF(A387="","",D387+Inputs!$B$7)</f>
        <v>48</v>
      </c>
      <c r="F387" s="3" t="n">
        <f aca="false">IF(A387="","",DATE(YEAR(B$2)+D387,MONTH(B$2),DAY(B$2)))</f>
        <v>33394</v>
      </c>
      <c r="G387" s="3" t="n">
        <f aca="false">IF(A387="","",DATE(YEAR(F387)+1,MONTH(F387),DAY(F387)))</f>
        <v>33760</v>
      </c>
      <c r="H387" s="10" t="n">
        <f aca="false">IF(A387="","",IF(G387&gt;F387,(B387-F387)/(G387-F387),0))</f>
        <v>0.153005464480874</v>
      </c>
      <c r="I387" s="10" t="n">
        <f aca="false">IF(A387="","",IFERROR(INDEX(CV_RATES!$I:$I,MATCH(D387,CV_RATES!$C:$C,0)),0))</f>
        <v>581.599796622886</v>
      </c>
      <c r="J387" s="10" t="n">
        <f aca="false">IF(A387="","",IFERROR(IF(E387=MAX(MORTALITY!$A:$A),1000,INDEX(CV_RATES!$J:$J,MATCH(D387,CV_RATES!$C:$C,0))),0))</f>
        <v>591.796506366195</v>
      </c>
      <c r="K387" s="10" t="n">
        <f aca="false">IF(A387="","",IFERROR(I387+H387*(J387-I387),0))</f>
        <v>583.159948933338</v>
      </c>
      <c r="L387" s="10" t="n">
        <f aca="false">IF(A387="","",IFERROR(K387*Inputs!$B$9,0))</f>
        <v>29157.9974466669</v>
      </c>
      <c r="M387" s="10" t="n">
        <f aca="false">IF(A387="","",IFERROR(K387*Inputs!$B$10,0))</f>
        <v>93303.8423494873</v>
      </c>
      <c r="N387" s="10" t="n">
        <f aca="false">IF(A387="","",Z386)</f>
        <v>0</v>
      </c>
      <c r="O387" s="6" t="n">
        <f aca="false">IF(A387="","",Inputs!$B$18+N387)</f>
        <v>50000</v>
      </c>
      <c r="P387" s="5" t="n">
        <f aca="false">IF(A387="","",VLOOKUP(D387,DIvidend_Assumption!$A$3:$CX$103,($E$2+2),0)/12)</f>
        <v>0</v>
      </c>
      <c r="Q387" s="10" t="n">
        <f aca="false">IF(A387="","",IFERROR(AB386*P387,""))</f>
        <v>0</v>
      </c>
      <c r="R387" s="10" t="n">
        <f aca="false">IF(A387="","",IFERROR(IF(Inputs!$B$22="Accumulate",T387+Q387,IF(Inputs!$B$22="Premium Offset",MAX(0,T387+Q387-Inputs!$B$25),T387)),""))</f>
        <v>0</v>
      </c>
      <c r="S387" s="10" t="n">
        <f aca="false">IF(A387="","",R386)</f>
        <v>0</v>
      </c>
      <c r="T387" s="10" t="n">
        <f aca="false">IF(A387="","",IFERROR(S387*(1+Inputs!$B$23/12),""))</f>
        <v>0</v>
      </c>
      <c r="U387" s="6" t="n">
        <f aca="false">IF(A387="","",IF(D387&lt;=Inputs!$B$8,IF(Inputs!$B$22="Premium Offset",MAX(0,Inputs!$B$25-(Q387+T387)),Inputs!$B$25),0))</f>
        <v>0</v>
      </c>
      <c r="V387" s="10" t="n">
        <f aca="false">IF(A387="","",IF(Inputs!$B$22="Cash",Q387,0))</f>
        <v>0</v>
      </c>
      <c r="W387" s="10" t="n">
        <f aca="false">IF(A387="","",IF(Inputs!$B$22="PUA",Q387,0))</f>
        <v>0</v>
      </c>
      <c r="X387" s="12" t="n">
        <f aca="false">IF(A387="","",IFERROR(INDEX(PUA_TABLE!$D$4:$D$105,MATCH(E387,PUA_TABLE!$C$4:$C$105,1)),0))</f>
        <v>0.581599796622886</v>
      </c>
      <c r="Y387" s="10" t="n">
        <f aca="false">IF(A387="","",IF(W387&gt;0,IF(X387&gt;0,W387/X387,0),0))</f>
        <v>0</v>
      </c>
      <c r="Z387" s="10" t="n">
        <f aca="false">IF(A387="","",N387+Y387)</f>
        <v>0</v>
      </c>
      <c r="AA387" s="10" t="n">
        <f aca="false">IF(A387="","",IFERROR(Z387*INDEX(PUA_TABLE!$I$4:$I$105,MATCH(E387,PUA_TABLE!$C$4:$C$105,1))/1000,0))</f>
        <v>0</v>
      </c>
      <c r="AB387" s="10" t="n">
        <f aca="false">IF(A387="","",IFERROR(L387+AA387,0))</f>
        <v>29157.9974466669</v>
      </c>
      <c r="AC387" s="10" t="n">
        <f aca="false">IF(A387="","",IF(Inputs!$B$22="Premium Offset",MIN(Inputs!$B$25,Q387+T387),0))</f>
        <v>0</v>
      </c>
    </row>
    <row r="388" customFormat="false" ht="15" hidden="false" customHeight="false" outlineLevel="0" collapsed="false">
      <c r="A388" s="1" t="n">
        <f aca="false">IF(A387="","",IF(INT((C387+1)/12)+Inputs!$B$7&gt;MAX(MORTALITY!$A:$A),"",Inputs!$B$4))</f>
        <v>34</v>
      </c>
      <c r="B388" s="3" t="n">
        <f aca="false">IF(A388="","",EOMONTH(B387,1))</f>
        <v>33481</v>
      </c>
      <c r="C388" s="1" t="n">
        <f aca="false">IF(A388="","",C387+1)</f>
        <v>386</v>
      </c>
      <c r="D388" s="1" t="n">
        <f aca="false">IF(A388="","",INT(C388/12))</f>
        <v>32</v>
      </c>
      <c r="E388" s="1" t="n">
        <f aca="false">IF(A388="","",D388+Inputs!$B$7)</f>
        <v>48</v>
      </c>
      <c r="F388" s="3" t="n">
        <f aca="false">IF(A388="","",DATE(YEAR(B$2)+D388,MONTH(B$2),DAY(B$2)))</f>
        <v>33394</v>
      </c>
      <c r="G388" s="3" t="n">
        <f aca="false">IF(A388="","",DATE(YEAR(F388)+1,MONTH(F388),DAY(F388)))</f>
        <v>33760</v>
      </c>
      <c r="H388" s="10" t="n">
        <f aca="false">IF(A388="","",IF(G388&gt;F388,(B388-F388)/(G388-F388),0))</f>
        <v>0.237704918032787</v>
      </c>
      <c r="I388" s="10" t="n">
        <f aca="false">IF(A388="","",IFERROR(INDEX(CV_RATES!$I:$I,MATCH(D388,CV_RATES!$C:$C,0)),0))</f>
        <v>581.599796622886</v>
      </c>
      <c r="J388" s="10" t="n">
        <f aca="false">IF(A388="","",IFERROR(IF(E388=MAX(MORTALITY!$A:$A),1000,INDEX(CV_RATES!$J:$J,MATCH(D388,CV_RATES!$C:$C,0))),0))</f>
        <v>591.796506366195</v>
      </c>
      <c r="K388" s="10" t="n">
        <f aca="false">IF(A388="","",IFERROR(I388+H388*(J388-I388),0))</f>
        <v>584.023604676624</v>
      </c>
      <c r="L388" s="10" t="n">
        <f aca="false">IF(A388="","",IFERROR(K388*Inputs!$B$9,0))</f>
        <v>29201.1802338312</v>
      </c>
      <c r="M388" s="10" t="n">
        <f aca="false">IF(A388="","",IFERROR(K388*Inputs!$B$10,0))</f>
        <v>93442.0246774458</v>
      </c>
      <c r="N388" s="10" t="n">
        <f aca="false">IF(A388="","",Z387)</f>
        <v>0</v>
      </c>
      <c r="O388" s="6" t="n">
        <f aca="false">IF(A388="","",Inputs!$B$18+N388)</f>
        <v>50000</v>
      </c>
      <c r="P388" s="5" t="n">
        <f aca="false">IF(A388="","",VLOOKUP(D388,DIvidend_Assumption!$A$3:$CX$103,($E$2+2),0)/12)</f>
        <v>0</v>
      </c>
      <c r="Q388" s="10" t="n">
        <f aca="false">IF(A388="","",IFERROR(AB387*P388,""))</f>
        <v>0</v>
      </c>
      <c r="R388" s="10" t="n">
        <f aca="false">IF(A388="","",IFERROR(IF(Inputs!$B$22="Accumulate",T388+Q388,IF(Inputs!$B$22="Premium Offset",MAX(0,T388+Q388-Inputs!$B$25),T388)),""))</f>
        <v>0</v>
      </c>
      <c r="S388" s="10" t="n">
        <f aca="false">IF(A388="","",R387)</f>
        <v>0</v>
      </c>
      <c r="T388" s="10" t="n">
        <f aca="false">IF(A388="","",IFERROR(S388*(1+Inputs!$B$23/12),""))</f>
        <v>0</v>
      </c>
      <c r="U388" s="6" t="n">
        <f aca="false">IF(A388="","",IF(D388&lt;=Inputs!$B$8,IF(Inputs!$B$22="Premium Offset",MAX(0,Inputs!$B$25-(Q388+T388)),Inputs!$B$25),0))</f>
        <v>0</v>
      </c>
      <c r="V388" s="10" t="n">
        <f aca="false">IF(A388="","",IF(Inputs!$B$22="Cash",Q388,0))</f>
        <v>0</v>
      </c>
      <c r="W388" s="10" t="n">
        <f aca="false">IF(A388="","",IF(Inputs!$B$22="PUA",Q388,0))</f>
        <v>0</v>
      </c>
      <c r="X388" s="12" t="n">
        <f aca="false">IF(A388="","",IFERROR(INDEX(PUA_TABLE!$D$4:$D$105,MATCH(E388,PUA_TABLE!$C$4:$C$105,1)),0))</f>
        <v>0.581599796622886</v>
      </c>
      <c r="Y388" s="10" t="n">
        <f aca="false">IF(A388="","",IF(W388&gt;0,IF(X388&gt;0,W388/X388,0),0))</f>
        <v>0</v>
      </c>
      <c r="Z388" s="10" t="n">
        <f aca="false">IF(A388="","",N388+Y388)</f>
        <v>0</v>
      </c>
      <c r="AA388" s="10" t="n">
        <f aca="false">IF(A388="","",IFERROR(Z388*INDEX(PUA_TABLE!$I$4:$I$105,MATCH(E388,PUA_TABLE!$C$4:$C$105,1))/1000,0))</f>
        <v>0</v>
      </c>
      <c r="AB388" s="10" t="n">
        <f aca="false">IF(A388="","",IFERROR(L388+AA388,0))</f>
        <v>29201.1802338312</v>
      </c>
      <c r="AC388" s="10" t="n">
        <f aca="false">IF(A388="","",IF(Inputs!$B$22="Premium Offset",MIN(Inputs!$B$25,Q388+T388),0))</f>
        <v>0</v>
      </c>
    </row>
    <row r="389" customFormat="false" ht="15" hidden="false" customHeight="false" outlineLevel="0" collapsed="false">
      <c r="A389" s="1" t="n">
        <f aca="false">IF(A388="","",IF(INT((C388+1)/12)+Inputs!$B$7&gt;MAX(MORTALITY!$A:$A),"",Inputs!$B$4))</f>
        <v>34</v>
      </c>
      <c r="B389" s="3" t="n">
        <f aca="false">IF(A389="","",EOMONTH(B388,1))</f>
        <v>33511</v>
      </c>
      <c r="C389" s="1" t="n">
        <f aca="false">IF(A389="","",C388+1)</f>
        <v>387</v>
      </c>
      <c r="D389" s="1" t="n">
        <f aca="false">IF(A389="","",INT(C389/12))</f>
        <v>32</v>
      </c>
      <c r="E389" s="1" t="n">
        <f aca="false">IF(A389="","",D389+Inputs!$B$7)</f>
        <v>48</v>
      </c>
      <c r="F389" s="3" t="n">
        <f aca="false">IF(A389="","",DATE(YEAR(B$2)+D389,MONTH(B$2),DAY(B$2)))</f>
        <v>33394</v>
      </c>
      <c r="G389" s="3" t="n">
        <f aca="false">IF(A389="","",DATE(YEAR(F389)+1,MONTH(F389),DAY(F389)))</f>
        <v>33760</v>
      </c>
      <c r="H389" s="10" t="n">
        <f aca="false">IF(A389="","",IF(G389&gt;F389,(B389-F389)/(G389-F389),0))</f>
        <v>0.319672131147541</v>
      </c>
      <c r="I389" s="10" t="n">
        <f aca="false">IF(A389="","",IFERROR(INDEX(CV_RATES!$I:$I,MATCH(D389,CV_RATES!$C:$C,0)),0))</f>
        <v>581.599796622886</v>
      </c>
      <c r="J389" s="10" t="n">
        <f aca="false">IF(A389="","",IFERROR(IF(E389=MAX(MORTALITY!$A:$A),1000,INDEX(CV_RATES!$J:$J,MATCH(D389,CV_RATES!$C:$C,0))),0))</f>
        <v>591.796506366195</v>
      </c>
      <c r="K389" s="10" t="n">
        <f aca="false">IF(A389="","",IFERROR(I389+H389*(J389-I389),0))</f>
        <v>584.859400557223</v>
      </c>
      <c r="L389" s="10" t="n">
        <f aca="false">IF(A389="","",IFERROR(K389*Inputs!$B$9,0))</f>
        <v>29242.9700278611</v>
      </c>
      <c r="M389" s="10" t="n">
        <f aca="false">IF(A389="","",IFERROR(K389*Inputs!$B$10,0))</f>
        <v>93575.7495109539</v>
      </c>
      <c r="N389" s="10" t="n">
        <f aca="false">IF(A389="","",Z388)</f>
        <v>0</v>
      </c>
      <c r="O389" s="6" t="n">
        <f aca="false">IF(A389="","",Inputs!$B$18+N389)</f>
        <v>50000</v>
      </c>
      <c r="P389" s="5" t="n">
        <f aca="false">IF(A389="","",VLOOKUP(D389,DIvidend_Assumption!$A$3:$CX$103,($E$2+2),0)/12)</f>
        <v>0</v>
      </c>
      <c r="Q389" s="10" t="n">
        <f aca="false">IF(A389="","",IFERROR(AB388*P389,""))</f>
        <v>0</v>
      </c>
      <c r="R389" s="10" t="n">
        <f aca="false">IF(A389="","",IFERROR(IF(Inputs!$B$22="Accumulate",T389+Q389,IF(Inputs!$B$22="Premium Offset",MAX(0,T389+Q389-Inputs!$B$25),T389)),""))</f>
        <v>0</v>
      </c>
      <c r="S389" s="10" t="n">
        <f aca="false">IF(A389="","",R388)</f>
        <v>0</v>
      </c>
      <c r="T389" s="10" t="n">
        <f aca="false">IF(A389="","",IFERROR(S389*(1+Inputs!$B$23/12),""))</f>
        <v>0</v>
      </c>
      <c r="U389" s="6" t="n">
        <f aca="false">IF(A389="","",IF(D389&lt;=Inputs!$B$8,IF(Inputs!$B$22="Premium Offset",MAX(0,Inputs!$B$25-(Q389+T389)),Inputs!$B$25),0))</f>
        <v>0</v>
      </c>
      <c r="V389" s="10" t="n">
        <f aca="false">IF(A389="","",IF(Inputs!$B$22="Cash",Q389,0))</f>
        <v>0</v>
      </c>
      <c r="W389" s="10" t="n">
        <f aca="false">IF(A389="","",IF(Inputs!$B$22="PUA",Q389,0))</f>
        <v>0</v>
      </c>
      <c r="X389" s="12" t="n">
        <f aca="false">IF(A389="","",IFERROR(INDEX(PUA_TABLE!$D$4:$D$105,MATCH(E389,PUA_TABLE!$C$4:$C$105,1)),0))</f>
        <v>0.581599796622886</v>
      </c>
      <c r="Y389" s="10" t="n">
        <f aca="false">IF(A389="","",IF(W389&gt;0,IF(X389&gt;0,W389/X389,0),0))</f>
        <v>0</v>
      </c>
      <c r="Z389" s="10" t="n">
        <f aca="false">IF(A389="","",N389+Y389)</f>
        <v>0</v>
      </c>
      <c r="AA389" s="10" t="n">
        <f aca="false">IF(A389="","",IFERROR(Z389*INDEX(PUA_TABLE!$I$4:$I$105,MATCH(E389,PUA_TABLE!$C$4:$C$105,1))/1000,0))</f>
        <v>0</v>
      </c>
      <c r="AB389" s="10" t="n">
        <f aca="false">IF(A389="","",IFERROR(L389+AA389,0))</f>
        <v>29242.9700278611</v>
      </c>
      <c r="AC389" s="10" t="n">
        <f aca="false">IF(A389="","",IF(Inputs!$B$22="Premium Offset",MIN(Inputs!$B$25,Q389+T389),0))</f>
        <v>0</v>
      </c>
    </row>
    <row r="390" customFormat="false" ht="15" hidden="false" customHeight="false" outlineLevel="0" collapsed="false">
      <c r="A390" s="1" t="n">
        <f aca="false">IF(A389="","",IF(INT((C389+1)/12)+Inputs!$B$7&gt;MAX(MORTALITY!$A:$A),"",Inputs!$B$4))</f>
        <v>34</v>
      </c>
      <c r="B390" s="3" t="n">
        <f aca="false">IF(A390="","",EOMONTH(B389,1))</f>
        <v>33542</v>
      </c>
      <c r="C390" s="1" t="n">
        <f aca="false">IF(A390="","",C389+1)</f>
        <v>388</v>
      </c>
      <c r="D390" s="1" t="n">
        <f aca="false">IF(A390="","",INT(C390/12))</f>
        <v>32</v>
      </c>
      <c r="E390" s="1" t="n">
        <f aca="false">IF(A390="","",D390+Inputs!$B$7)</f>
        <v>48</v>
      </c>
      <c r="F390" s="3" t="n">
        <f aca="false">IF(A390="","",DATE(YEAR(B$2)+D390,MONTH(B$2),DAY(B$2)))</f>
        <v>33394</v>
      </c>
      <c r="G390" s="3" t="n">
        <f aca="false">IF(A390="","",DATE(YEAR(F390)+1,MONTH(F390),DAY(F390)))</f>
        <v>33760</v>
      </c>
      <c r="H390" s="10" t="n">
        <f aca="false">IF(A390="","",IF(G390&gt;F390,(B390-F390)/(G390-F390),0))</f>
        <v>0.404371584699454</v>
      </c>
      <c r="I390" s="10" t="n">
        <f aca="false">IF(A390="","",IFERROR(INDEX(CV_RATES!$I:$I,MATCH(D390,CV_RATES!$C:$C,0)),0))</f>
        <v>581.599796622886</v>
      </c>
      <c r="J390" s="10" t="n">
        <f aca="false">IF(A390="","",IFERROR(IF(E390=MAX(MORTALITY!$A:$A),1000,INDEX(CV_RATES!$J:$J,MATCH(D390,CV_RATES!$C:$C,0))),0))</f>
        <v>591.796506366195</v>
      </c>
      <c r="K390" s="10" t="n">
        <f aca="false">IF(A390="","",IFERROR(I390+H390*(J390-I390),0))</f>
        <v>585.723056300508</v>
      </c>
      <c r="L390" s="10" t="n">
        <f aca="false">IF(A390="","",IFERROR(K390*Inputs!$B$9,0))</f>
        <v>29286.1528150254</v>
      </c>
      <c r="M390" s="10" t="n">
        <f aca="false">IF(A390="","",IFERROR(K390*Inputs!$B$10,0))</f>
        <v>93713.9318389124</v>
      </c>
      <c r="N390" s="10" t="n">
        <f aca="false">IF(A390="","",Z389)</f>
        <v>0</v>
      </c>
      <c r="O390" s="6" t="n">
        <f aca="false">IF(A390="","",Inputs!$B$18+N390)</f>
        <v>50000</v>
      </c>
      <c r="P390" s="5" t="n">
        <f aca="false">IF(A390="","",VLOOKUP(D390,DIvidend_Assumption!$A$3:$CX$103,($E$2+2),0)/12)</f>
        <v>0</v>
      </c>
      <c r="Q390" s="10" t="n">
        <f aca="false">IF(A390="","",IFERROR(AB389*P390,""))</f>
        <v>0</v>
      </c>
      <c r="R390" s="10" t="n">
        <f aca="false">IF(A390="","",IFERROR(IF(Inputs!$B$22="Accumulate",T390+Q390,IF(Inputs!$B$22="Premium Offset",MAX(0,T390+Q390-Inputs!$B$25),T390)),""))</f>
        <v>0</v>
      </c>
      <c r="S390" s="10" t="n">
        <f aca="false">IF(A390="","",R389)</f>
        <v>0</v>
      </c>
      <c r="T390" s="10" t="n">
        <f aca="false">IF(A390="","",IFERROR(S390*(1+Inputs!$B$23/12),""))</f>
        <v>0</v>
      </c>
      <c r="U390" s="6" t="n">
        <f aca="false">IF(A390="","",IF(D390&lt;=Inputs!$B$8,IF(Inputs!$B$22="Premium Offset",MAX(0,Inputs!$B$25-(Q390+T390)),Inputs!$B$25),0))</f>
        <v>0</v>
      </c>
      <c r="V390" s="10" t="n">
        <f aca="false">IF(A390="","",IF(Inputs!$B$22="Cash",Q390,0))</f>
        <v>0</v>
      </c>
      <c r="W390" s="10" t="n">
        <f aca="false">IF(A390="","",IF(Inputs!$B$22="PUA",Q390,0))</f>
        <v>0</v>
      </c>
      <c r="X390" s="12" t="n">
        <f aca="false">IF(A390="","",IFERROR(INDEX(PUA_TABLE!$D$4:$D$105,MATCH(E390,PUA_TABLE!$C$4:$C$105,1)),0))</f>
        <v>0.581599796622886</v>
      </c>
      <c r="Y390" s="10" t="n">
        <f aca="false">IF(A390="","",IF(W390&gt;0,IF(X390&gt;0,W390/X390,0),0))</f>
        <v>0</v>
      </c>
      <c r="Z390" s="10" t="n">
        <f aca="false">IF(A390="","",N390+Y390)</f>
        <v>0</v>
      </c>
      <c r="AA390" s="10" t="n">
        <f aca="false">IF(A390="","",IFERROR(Z390*INDEX(PUA_TABLE!$I$4:$I$105,MATCH(E390,PUA_TABLE!$C$4:$C$105,1))/1000,0))</f>
        <v>0</v>
      </c>
      <c r="AB390" s="10" t="n">
        <f aca="false">IF(A390="","",IFERROR(L390+AA390,0))</f>
        <v>29286.1528150254</v>
      </c>
      <c r="AC390" s="10" t="n">
        <f aca="false">IF(A390="","",IF(Inputs!$B$22="Premium Offset",MIN(Inputs!$B$25,Q390+T390),0))</f>
        <v>0</v>
      </c>
    </row>
    <row r="391" customFormat="false" ht="15" hidden="false" customHeight="false" outlineLevel="0" collapsed="false">
      <c r="A391" s="1" t="n">
        <f aca="false">IF(A390="","",IF(INT((C390+1)/12)+Inputs!$B$7&gt;MAX(MORTALITY!$A:$A),"",Inputs!$B$4))</f>
        <v>34</v>
      </c>
      <c r="B391" s="3" t="n">
        <f aca="false">IF(A391="","",EOMONTH(B390,1))</f>
        <v>33572</v>
      </c>
      <c r="C391" s="1" t="n">
        <f aca="false">IF(A391="","",C390+1)</f>
        <v>389</v>
      </c>
      <c r="D391" s="1" t="n">
        <f aca="false">IF(A391="","",INT(C391/12))</f>
        <v>32</v>
      </c>
      <c r="E391" s="1" t="n">
        <f aca="false">IF(A391="","",D391+Inputs!$B$7)</f>
        <v>48</v>
      </c>
      <c r="F391" s="3" t="n">
        <f aca="false">IF(A391="","",DATE(YEAR(B$2)+D391,MONTH(B$2),DAY(B$2)))</f>
        <v>33394</v>
      </c>
      <c r="G391" s="3" t="n">
        <f aca="false">IF(A391="","",DATE(YEAR(F391)+1,MONTH(F391),DAY(F391)))</f>
        <v>33760</v>
      </c>
      <c r="H391" s="10" t="n">
        <f aca="false">IF(A391="","",IF(G391&gt;F391,(B391-F391)/(G391-F391),0))</f>
        <v>0.486338797814208</v>
      </c>
      <c r="I391" s="10" t="n">
        <f aca="false">IF(A391="","",IFERROR(INDEX(CV_RATES!$I:$I,MATCH(D391,CV_RATES!$C:$C,0)),0))</f>
        <v>581.599796622886</v>
      </c>
      <c r="J391" s="10" t="n">
        <f aca="false">IF(A391="","",IFERROR(IF(E391=MAX(MORTALITY!$A:$A),1000,INDEX(CV_RATES!$J:$J,MATCH(D391,CV_RATES!$C:$C,0))),0))</f>
        <v>591.796506366195</v>
      </c>
      <c r="K391" s="10" t="n">
        <f aca="false">IF(A391="","",IFERROR(I391+H391*(J391-I391),0))</f>
        <v>586.558852181107</v>
      </c>
      <c r="L391" s="10" t="n">
        <f aca="false">IF(A391="","",IFERROR(K391*Inputs!$B$9,0))</f>
        <v>29327.9426090554</v>
      </c>
      <c r="M391" s="10" t="n">
        <f aca="false">IF(A391="","",IFERROR(K391*Inputs!$B$10,0))</f>
        <v>93847.6566724206</v>
      </c>
      <c r="N391" s="10" t="n">
        <f aca="false">IF(A391="","",Z390)</f>
        <v>0</v>
      </c>
      <c r="O391" s="6" t="n">
        <f aca="false">IF(A391="","",Inputs!$B$18+N391)</f>
        <v>50000</v>
      </c>
      <c r="P391" s="5" t="n">
        <f aca="false">IF(A391="","",VLOOKUP(D391,DIvidend_Assumption!$A$3:$CX$103,($E$2+2),0)/12)</f>
        <v>0</v>
      </c>
      <c r="Q391" s="10" t="n">
        <f aca="false">IF(A391="","",IFERROR(AB390*P391,""))</f>
        <v>0</v>
      </c>
      <c r="R391" s="10" t="n">
        <f aca="false">IF(A391="","",IFERROR(IF(Inputs!$B$22="Accumulate",T391+Q391,IF(Inputs!$B$22="Premium Offset",MAX(0,T391+Q391-Inputs!$B$25),T391)),""))</f>
        <v>0</v>
      </c>
      <c r="S391" s="10" t="n">
        <f aca="false">IF(A391="","",R390)</f>
        <v>0</v>
      </c>
      <c r="T391" s="10" t="n">
        <f aca="false">IF(A391="","",IFERROR(S391*(1+Inputs!$B$23/12),""))</f>
        <v>0</v>
      </c>
      <c r="U391" s="6" t="n">
        <f aca="false">IF(A391="","",IF(D391&lt;=Inputs!$B$8,IF(Inputs!$B$22="Premium Offset",MAX(0,Inputs!$B$25-(Q391+T391)),Inputs!$B$25),0))</f>
        <v>0</v>
      </c>
      <c r="V391" s="10" t="n">
        <f aca="false">IF(A391="","",IF(Inputs!$B$22="Cash",Q391,0))</f>
        <v>0</v>
      </c>
      <c r="W391" s="10" t="n">
        <f aca="false">IF(A391="","",IF(Inputs!$B$22="PUA",Q391,0))</f>
        <v>0</v>
      </c>
      <c r="X391" s="12" t="n">
        <f aca="false">IF(A391="","",IFERROR(INDEX(PUA_TABLE!$D$4:$D$105,MATCH(E391,PUA_TABLE!$C$4:$C$105,1)),0))</f>
        <v>0.581599796622886</v>
      </c>
      <c r="Y391" s="10" t="n">
        <f aca="false">IF(A391="","",IF(W391&gt;0,IF(X391&gt;0,W391/X391,0),0))</f>
        <v>0</v>
      </c>
      <c r="Z391" s="10" t="n">
        <f aca="false">IF(A391="","",N391+Y391)</f>
        <v>0</v>
      </c>
      <c r="AA391" s="10" t="n">
        <f aca="false">IF(A391="","",IFERROR(Z391*INDEX(PUA_TABLE!$I$4:$I$105,MATCH(E391,PUA_TABLE!$C$4:$C$105,1))/1000,0))</f>
        <v>0</v>
      </c>
      <c r="AB391" s="10" t="n">
        <f aca="false">IF(A391="","",IFERROR(L391+AA391,0))</f>
        <v>29327.9426090554</v>
      </c>
      <c r="AC391" s="10" t="n">
        <f aca="false">IF(A391="","",IF(Inputs!$B$22="Premium Offset",MIN(Inputs!$B$25,Q391+T391),0))</f>
        <v>0</v>
      </c>
    </row>
    <row r="392" customFormat="false" ht="15" hidden="false" customHeight="false" outlineLevel="0" collapsed="false">
      <c r="A392" s="1" t="n">
        <f aca="false">IF(A391="","",IF(INT((C391+1)/12)+Inputs!$B$7&gt;MAX(MORTALITY!$A:$A),"",Inputs!$B$4))</f>
        <v>34</v>
      </c>
      <c r="B392" s="3" t="n">
        <f aca="false">IF(A392="","",EOMONTH(B391,1))</f>
        <v>33603</v>
      </c>
      <c r="C392" s="1" t="n">
        <f aca="false">IF(A392="","",C391+1)</f>
        <v>390</v>
      </c>
      <c r="D392" s="1" t="n">
        <f aca="false">IF(A392="","",INT(C392/12))</f>
        <v>32</v>
      </c>
      <c r="E392" s="1" t="n">
        <f aca="false">IF(A392="","",D392+Inputs!$B$7)</f>
        <v>48</v>
      </c>
      <c r="F392" s="3" t="n">
        <f aca="false">IF(A392="","",DATE(YEAR(B$2)+D392,MONTH(B$2),DAY(B$2)))</f>
        <v>33394</v>
      </c>
      <c r="G392" s="3" t="n">
        <f aca="false">IF(A392="","",DATE(YEAR(F392)+1,MONTH(F392),DAY(F392)))</f>
        <v>33760</v>
      </c>
      <c r="H392" s="10" t="n">
        <f aca="false">IF(A392="","",IF(G392&gt;F392,(B392-F392)/(G392-F392),0))</f>
        <v>0.57103825136612</v>
      </c>
      <c r="I392" s="10" t="n">
        <f aca="false">IF(A392="","",IFERROR(INDEX(CV_RATES!$I:$I,MATCH(D392,CV_RATES!$C:$C,0)),0))</f>
        <v>581.599796622886</v>
      </c>
      <c r="J392" s="10" t="n">
        <f aca="false">IF(A392="","",IFERROR(IF(E392=MAX(MORTALITY!$A:$A),1000,INDEX(CV_RATES!$J:$J,MATCH(D392,CV_RATES!$C:$C,0))),0))</f>
        <v>591.796506366195</v>
      </c>
      <c r="K392" s="10" t="n">
        <f aca="false">IF(A392="","",IFERROR(I392+H392*(J392-I392),0))</f>
        <v>587.422507924393</v>
      </c>
      <c r="L392" s="10" t="n">
        <f aca="false">IF(A392="","",IFERROR(K392*Inputs!$B$9,0))</f>
        <v>29371.1253962197</v>
      </c>
      <c r="M392" s="10" t="n">
        <f aca="false">IF(A392="","",IFERROR(K392*Inputs!$B$10,0))</f>
        <v>93985.8390003791</v>
      </c>
      <c r="N392" s="10" t="n">
        <f aca="false">IF(A392="","",Z391)</f>
        <v>0</v>
      </c>
      <c r="O392" s="6" t="n">
        <f aca="false">IF(A392="","",Inputs!$B$18+N392)</f>
        <v>50000</v>
      </c>
      <c r="P392" s="5" t="n">
        <f aca="false">IF(A392="","",VLOOKUP(D392,DIvidend_Assumption!$A$3:$CX$103,($E$2+2),0)/12)</f>
        <v>0</v>
      </c>
      <c r="Q392" s="10" t="n">
        <f aca="false">IF(A392="","",IFERROR(AB391*P392,""))</f>
        <v>0</v>
      </c>
      <c r="R392" s="10" t="n">
        <f aca="false">IF(A392="","",IFERROR(IF(Inputs!$B$22="Accumulate",T392+Q392,IF(Inputs!$B$22="Premium Offset",MAX(0,T392+Q392-Inputs!$B$25),T392)),""))</f>
        <v>0</v>
      </c>
      <c r="S392" s="10" t="n">
        <f aca="false">IF(A392="","",R391)</f>
        <v>0</v>
      </c>
      <c r="T392" s="10" t="n">
        <f aca="false">IF(A392="","",IFERROR(S392*(1+Inputs!$B$23/12),""))</f>
        <v>0</v>
      </c>
      <c r="U392" s="6" t="n">
        <f aca="false">IF(A392="","",IF(D392&lt;=Inputs!$B$8,IF(Inputs!$B$22="Premium Offset",MAX(0,Inputs!$B$25-(Q392+T392)),Inputs!$B$25),0))</f>
        <v>0</v>
      </c>
      <c r="V392" s="10" t="n">
        <f aca="false">IF(A392="","",IF(Inputs!$B$22="Cash",Q392,0))</f>
        <v>0</v>
      </c>
      <c r="W392" s="10" t="n">
        <f aca="false">IF(A392="","",IF(Inputs!$B$22="PUA",Q392,0))</f>
        <v>0</v>
      </c>
      <c r="X392" s="12" t="n">
        <f aca="false">IF(A392="","",IFERROR(INDEX(PUA_TABLE!$D$4:$D$105,MATCH(E392,PUA_TABLE!$C$4:$C$105,1)),0))</f>
        <v>0.581599796622886</v>
      </c>
      <c r="Y392" s="10" t="n">
        <f aca="false">IF(A392="","",IF(W392&gt;0,IF(X392&gt;0,W392/X392,0),0))</f>
        <v>0</v>
      </c>
      <c r="Z392" s="10" t="n">
        <f aca="false">IF(A392="","",N392+Y392)</f>
        <v>0</v>
      </c>
      <c r="AA392" s="10" t="n">
        <f aca="false">IF(A392="","",IFERROR(Z392*INDEX(PUA_TABLE!$I$4:$I$105,MATCH(E392,PUA_TABLE!$C$4:$C$105,1))/1000,0))</f>
        <v>0</v>
      </c>
      <c r="AB392" s="10" t="n">
        <f aca="false">IF(A392="","",IFERROR(L392+AA392,0))</f>
        <v>29371.1253962197</v>
      </c>
      <c r="AC392" s="10" t="n">
        <f aca="false">IF(A392="","",IF(Inputs!$B$22="Premium Offset",MIN(Inputs!$B$25,Q392+T392),0))</f>
        <v>0</v>
      </c>
    </row>
    <row r="393" customFormat="false" ht="15" hidden="false" customHeight="false" outlineLevel="0" collapsed="false">
      <c r="A393" s="1" t="n">
        <f aca="false">IF(A392="","",IF(INT((C392+1)/12)+Inputs!$B$7&gt;MAX(MORTALITY!$A:$A),"",Inputs!$B$4))</f>
        <v>34</v>
      </c>
      <c r="B393" s="3" t="n">
        <f aca="false">IF(A393="","",EOMONTH(B392,1))</f>
        <v>33634</v>
      </c>
      <c r="C393" s="1" t="n">
        <f aca="false">IF(A393="","",C392+1)</f>
        <v>391</v>
      </c>
      <c r="D393" s="1" t="n">
        <f aca="false">IF(A393="","",INT(C393/12))</f>
        <v>32</v>
      </c>
      <c r="E393" s="1" t="n">
        <f aca="false">IF(A393="","",D393+Inputs!$B$7)</f>
        <v>48</v>
      </c>
      <c r="F393" s="3" t="n">
        <f aca="false">IF(A393="","",DATE(YEAR(B$2)+D393,MONTH(B$2),DAY(B$2)))</f>
        <v>33394</v>
      </c>
      <c r="G393" s="3" t="n">
        <f aca="false">IF(A393="","",DATE(YEAR(F393)+1,MONTH(F393),DAY(F393)))</f>
        <v>33760</v>
      </c>
      <c r="H393" s="10" t="n">
        <f aca="false">IF(A393="","",IF(G393&gt;F393,(B393-F393)/(G393-F393),0))</f>
        <v>0.655737704918033</v>
      </c>
      <c r="I393" s="10" t="n">
        <f aca="false">IF(A393="","",IFERROR(INDEX(CV_RATES!$I:$I,MATCH(D393,CV_RATES!$C:$C,0)),0))</f>
        <v>581.599796622886</v>
      </c>
      <c r="J393" s="10" t="n">
        <f aca="false">IF(A393="","",IFERROR(IF(E393=MAX(MORTALITY!$A:$A),1000,INDEX(CV_RATES!$J:$J,MATCH(D393,CV_RATES!$C:$C,0))),0))</f>
        <v>591.796506366195</v>
      </c>
      <c r="K393" s="10" t="n">
        <f aca="false">IF(A393="","",IFERROR(I393+H393*(J393-I393),0))</f>
        <v>588.286163667679</v>
      </c>
      <c r="L393" s="10" t="n">
        <f aca="false">IF(A393="","",IFERROR(K393*Inputs!$B$9,0))</f>
        <v>29414.3081833839</v>
      </c>
      <c r="M393" s="10" t="n">
        <f aca="false">IF(A393="","",IFERROR(K393*Inputs!$B$10,0))</f>
        <v>94124.0213283376</v>
      </c>
      <c r="N393" s="10" t="n">
        <f aca="false">IF(A393="","",Z392)</f>
        <v>0</v>
      </c>
      <c r="O393" s="6" t="n">
        <f aca="false">IF(A393="","",Inputs!$B$18+N393)</f>
        <v>50000</v>
      </c>
      <c r="P393" s="5" t="n">
        <f aca="false">IF(A393="","",VLOOKUP(D393,DIvidend_Assumption!$A$3:$CX$103,($E$2+2),0)/12)</f>
        <v>0</v>
      </c>
      <c r="Q393" s="10" t="n">
        <f aca="false">IF(A393="","",IFERROR(AB392*P393,""))</f>
        <v>0</v>
      </c>
      <c r="R393" s="10" t="n">
        <f aca="false">IF(A393="","",IFERROR(IF(Inputs!$B$22="Accumulate",T393+Q393,IF(Inputs!$B$22="Premium Offset",MAX(0,T393+Q393-Inputs!$B$25),T393)),""))</f>
        <v>0</v>
      </c>
      <c r="S393" s="10" t="n">
        <f aca="false">IF(A393="","",R392)</f>
        <v>0</v>
      </c>
      <c r="T393" s="10" t="n">
        <f aca="false">IF(A393="","",IFERROR(S393*(1+Inputs!$B$23/12),""))</f>
        <v>0</v>
      </c>
      <c r="U393" s="6" t="n">
        <f aca="false">IF(A393="","",IF(D393&lt;=Inputs!$B$8,IF(Inputs!$B$22="Premium Offset",MAX(0,Inputs!$B$25-(Q393+T393)),Inputs!$B$25),0))</f>
        <v>0</v>
      </c>
      <c r="V393" s="10" t="n">
        <f aca="false">IF(A393="","",IF(Inputs!$B$22="Cash",Q393,0))</f>
        <v>0</v>
      </c>
      <c r="W393" s="10" t="n">
        <f aca="false">IF(A393="","",IF(Inputs!$B$22="PUA",Q393,0))</f>
        <v>0</v>
      </c>
      <c r="X393" s="12" t="n">
        <f aca="false">IF(A393="","",IFERROR(INDEX(PUA_TABLE!$D$4:$D$105,MATCH(E393,PUA_TABLE!$C$4:$C$105,1)),0))</f>
        <v>0.581599796622886</v>
      </c>
      <c r="Y393" s="10" t="n">
        <f aca="false">IF(A393="","",IF(W393&gt;0,IF(X393&gt;0,W393/X393,0),0))</f>
        <v>0</v>
      </c>
      <c r="Z393" s="10" t="n">
        <f aca="false">IF(A393="","",N393+Y393)</f>
        <v>0</v>
      </c>
      <c r="AA393" s="10" t="n">
        <f aca="false">IF(A393="","",IFERROR(Z393*INDEX(PUA_TABLE!$I$4:$I$105,MATCH(E393,PUA_TABLE!$C$4:$C$105,1))/1000,0))</f>
        <v>0</v>
      </c>
      <c r="AB393" s="10" t="n">
        <f aca="false">IF(A393="","",IFERROR(L393+AA393,0))</f>
        <v>29414.3081833839</v>
      </c>
      <c r="AC393" s="10" t="n">
        <f aca="false">IF(A393="","",IF(Inputs!$B$22="Premium Offset",MIN(Inputs!$B$25,Q393+T393),0))</f>
        <v>0</v>
      </c>
    </row>
    <row r="394" customFormat="false" ht="15" hidden="false" customHeight="false" outlineLevel="0" collapsed="false">
      <c r="A394" s="1" t="n">
        <f aca="false">IF(A393="","",IF(INT((C393+1)/12)+Inputs!$B$7&gt;MAX(MORTALITY!$A:$A),"",Inputs!$B$4))</f>
        <v>34</v>
      </c>
      <c r="B394" s="3" t="n">
        <f aca="false">IF(A394="","",EOMONTH(B393,1))</f>
        <v>33663</v>
      </c>
      <c r="C394" s="1" t="n">
        <f aca="false">IF(A394="","",C393+1)</f>
        <v>392</v>
      </c>
      <c r="D394" s="1" t="n">
        <f aca="false">IF(A394="","",INT(C394/12))</f>
        <v>32</v>
      </c>
      <c r="E394" s="1" t="n">
        <f aca="false">IF(A394="","",D394+Inputs!$B$7)</f>
        <v>48</v>
      </c>
      <c r="F394" s="3" t="n">
        <f aca="false">IF(A394="","",DATE(YEAR(B$2)+D394,MONTH(B$2),DAY(B$2)))</f>
        <v>33394</v>
      </c>
      <c r="G394" s="3" t="n">
        <f aca="false">IF(A394="","",DATE(YEAR(F394)+1,MONTH(F394),DAY(F394)))</f>
        <v>33760</v>
      </c>
      <c r="H394" s="10" t="n">
        <f aca="false">IF(A394="","",IF(G394&gt;F394,(B394-F394)/(G394-F394),0))</f>
        <v>0.734972677595629</v>
      </c>
      <c r="I394" s="10" t="n">
        <f aca="false">IF(A394="","",IFERROR(INDEX(CV_RATES!$I:$I,MATCH(D394,CV_RATES!$C:$C,0)),0))</f>
        <v>581.599796622886</v>
      </c>
      <c r="J394" s="10" t="n">
        <f aca="false">IF(A394="","",IFERROR(IF(E394=MAX(MORTALITY!$A:$A),1000,INDEX(CV_RATES!$J:$J,MATCH(D394,CV_RATES!$C:$C,0))),0))</f>
        <v>591.796506366195</v>
      </c>
      <c r="K394" s="10" t="n">
        <f aca="false">IF(A394="","",IFERROR(I394+H394*(J394-I394),0))</f>
        <v>589.094099685591</v>
      </c>
      <c r="L394" s="10" t="n">
        <f aca="false">IF(A394="","",IFERROR(K394*Inputs!$B$9,0))</f>
        <v>29454.7049842796</v>
      </c>
      <c r="M394" s="10" t="n">
        <f aca="false">IF(A394="","",IFERROR(K394*Inputs!$B$10,0))</f>
        <v>94253.2886673955</v>
      </c>
      <c r="N394" s="10" t="n">
        <f aca="false">IF(A394="","",Z393)</f>
        <v>0</v>
      </c>
      <c r="O394" s="6" t="n">
        <f aca="false">IF(A394="","",Inputs!$B$18+N394)</f>
        <v>50000</v>
      </c>
      <c r="P394" s="5" t="n">
        <f aca="false">IF(A394="","",VLOOKUP(D394,DIvidend_Assumption!$A$3:$CX$103,($E$2+2),0)/12)</f>
        <v>0</v>
      </c>
      <c r="Q394" s="10" t="n">
        <f aca="false">IF(A394="","",IFERROR(AB393*P394,""))</f>
        <v>0</v>
      </c>
      <c r="R394" s="10" t="n">
        <f aca="false">IF(A394="","",IFERROR(IF(Inputs!$B$22="Accumulate",T394+Q394,IF(Inputs!$B$22="Premium Offset",MAX(0,T394+Q394-Inputs!$B$25),T394)),""))</f>
        <v>0</v>
      </c>
      <c r="S394" s="10" t="n">
        <f aca="false">IF(A394="","",R393)</f>
        <v>0</v>
      </c>
      <c r="T394" s="10" t="n">
        <f aca="false">IF(A394="","",IFERROR(S394*(1+Inputs!$B$23/12),""))</f>
        <v>0</v>
      </c>
      <c r="U394" s="6" t="n">
        <f aca="false">IF(A394="","",IF(D394&lt;=Inputs!$B$8,IF(Inputs!$B$22="Premium Offset",MAX(0,Inputs!$B$25-(Q394+T394)),Inputs!$B$25),0))</f>
        <v>0</v>
      </c>
      <c r="V394" s="10" t="n">
        <f aca="false">IF(A394="","",IF(Inputs!$B$22="Cash",Q394,0))</f>
        <v>0</v>
      </c>
      <c r="W394" s="10" t="n">
        <f aca="false">IF(A394="","",IF(Inputs!$B$22="PUA",Q394,0))</f>
        <v>0</v>
      </c>
      <c r="X394" s="12" t="n">
        <f aca="false">IF(A394="","",IFERROR(INDEX(PUA_TABLE!$D$4:$D$105,MATCH(E394,PUA_TABLE!$C$4:$C$105,1)),0))</f>
        <v>0.581599796622886</v>
      </c>
      <c r="Y394" s="10" t="n">
        <f aca="false">IF(A394="","",IF(W394&gt;0,IF(X394&gt;0,W394/X394,0),0))</f>
        <v>0</v>
      </c>
      <c r="Z394" s="10" t="n">
        <f aca="false">IF(A394="","",N394+Y394)</f>
        <v>0</v>
      </c>
      <c r="AA394" s="10" t="n">
        <f aca="false">IF(A394="","",IFERROR(Z394*INDEX(PUA_TABLE!$I$4:$I$105,MATCH(E394,PUA_TABLE!$C$4:$C$105,1))/1000,0))</f>
        <v>0</v>
      </c>
      <c r="AB394" s="10" t="n">
        <f aca="false">IF(A394="","",IFERROR(L394+AA394,0))</f>
        <v>29454.7049842796</v>
      </c>
      <c r="AC394" s="10" t="n">
        <f aca="false">IF(A394="","",IF(Inputs!$B$22="Premium Offset",MIN(Inputs!$B$25,Q394+T394),0))</f>
        <v>0</v>
      </c>
    </row>
    <row r="395" customFormat="false" ht="15" hidden="false" customHeight="false" outlineLevel="0" collapsed="false">
      <c r="A395" s="1" t="n">
        <f aca="false">IF(A394="","",IF(INT((C394+1)/12)+Inputs!$B$7&gt;MAX(MORTALITY!$A:$A),"",Inputs!$B$4))</f>
        <v>34</v>
      </c>
      <c r="B395" s="3" t="n">
        <f aca="false">IF(A395="","",EOMONTH(B394,1))</f>
        <v>33694</v>
      </c>
      <c r="C395" s="1" t="n">
        <f aca="false">IF(A395="","",C394+1)</f>
        <v>393</v>
      </c>
      <c r="D395" s="1" t="n">
        <f aca="false">IF(A395="","",INT(C395/12))</f>
        <v>32</v>
      </c>
      <c r="E395" s="1" t="n">
        <f aca="false">IF(A395="","",D395+Inputs!$B$7)</f>
        <v>48</v>
      </c>
      <c r="F395" s="3" t="n">
        <f aca="false">IF(A395="","",DATE(YEAR(B$2)+D395,MONTH(B$2),DAY(B$2)))</f>
        <v>33394</v>
      </c>
      <c r="G395" s="3" t="n">
        <f aca="false">IF(A395="","",DATE(YEAR(F395)+1,MONTH(F395),DAY(F395)))</f>
        <v>33760</v>
      </c>
      <c r="H395" s="10" t="n">
        <f aca="false">IF(A395="","",IF(G395&gt;F395,(B395-F395)/(G395-F395),0))</f>
        <v>0.819672131147541</v>
      </c>
      <c r="I395" s="10" t="n">
        <f aca="false">IF(A395="","",IFERROR(INDEX(CV_RATES!$I:$I,MATCH(D395,CV_RATES!$C:$C,0)),0))</f>
        <v>581.599796622886</v>
      </c>
      <c r="J395" s="10" t="n">
        <f aca="false">IF(A395="","",IFERROR(IF(E395=MAX(MORTALITY!$A:$A),1000,INDEX(CV_RATES!$J:$J,MATCH(D395,CV_RATES!$C:$C,0))),0))</f>
        <v>591.796506366195</v>
      </c>
      <c r="K395" s="10" t="n">
        <f aca="false">IF(A395="","",IFERROR(I395+H395*(J395-I395),0))</f>
        <v>589.957755428877</v>
      </c>
      <c r="L395" s="10" t="n">
        <f aca="false">IF(A395="","",IFERROR(K395*Inputs!$B$9,0))</f>
        <v>29497.8877714438</v>
      </c>
      <c r="M395" s="10" t="n">
        <f aca="false">IF(A395="","",IFERROR(K395*Inputs!$B$10,0))</f>
        <v>94391.470995354</v>
      </c>
      <c r="N395" s="10" t="n">
        <f aca="false">IF(A395="","",Z394)</f>
        <v>0</v>
      </c>
      <c r="O395" s="6" t="n">
        <f aca="false">IF(A395="","",Inputs!$B$18+N395)</f>
        <v>50000</v>
      </c>
      <c r="P395" s="5" t="n">
        <f aca="false">IF(A395="","",VLOOKUP(D395,DIvidend_Assumption!$A$3:$CX$103,($E$2+2),0)/12)</f>
        <v>0</v>
      </c>
      <c r="Q395" s="10" t="n">
        <f aca="false">IF(A395="","",IFERROR(AB394*P395,""))</f>
        <v>0</v>
      </c>
      <c r="R395" s="10" t="n">
        <f aca="false">IF(A395="","",IFERROR(IF(Inputs!$B$22="Accumulate",T395+Q395,IF(Inputs!$B$22="Premium Offset",MAX(0,T395+Q395-Inputs!$B$25),T395)),""))</f>
        <v>0</v>
      </c>
      <c r="S395" s="10" t="n">
        <f aca="false">IF(A395="","",R394)</f>
        <v>0</v>
      </c>
      <c r="T395" s="10" t="n">
        <f aca="false">IF(A395="","",IFERROR(S395*(1+Inputs!$B$23/12),""))</f>
        <v>0</v>
      </c>
      <c r="U395" s="6" t="n">
        <f aca="false">IF(A395="","",IF(D395&lt;=Inputs!$B$8,IF(Inputs!$B$22="Premium Offset",MAX(0,Inputs!$B$25-(Q395+T395)),Inputs!$B$25),0))</f>
        <v>0</v>
      </c>
      <c r="V395" s="10" t="n">
        <f aca="false">IF(A395="","",IF(Inputs!$B$22="Cash",Q395,0))</f>
        <v>0</v>
      </c>
      <c r="W395" s="10" t="n">
        <f aca="false">IF(A395="","",IF(Inputs!$B$22="PUA",Q395,0))</f>
        <v>0</v>
      </c>
      <c r="X395" s="12" t="n">
        <f aca="false">IF(A395="","",IFERROR(INDEX(PUA_TABLE!$D$4:$D$105,MATCH(E395,PUA_TABLE!$C$4:$C$105,1)),0))</f>
        <v>0.581599796622886</v>
      </c>
      <c r="Y395" s="10" t="n">
        <f aca="false">IF(A395="","",IF(W395&gt;0,IF(X395&gt;0,W395/X395,0),0))</f>
        <v>0</v>
      </c>
      <c r="Z395" s="10" t="n">
        <f aca="false">IF(A395="","",N395+Y395)</f>
        <v>0</v>
      </c>
      <c r="AA395" s="10" t="n">
        <f aca="false">IF(A395="","",IFERROR(Z395*INDEX(PUA_TABLE!$I$4:$I$105,MATCH(E395,PUA_TABLE!$C$4:$C$105,1))/1000,0))</f>
        <v>0</v>
      </c>
      <c r="AB395" s="10" t="n">
        <f aca="false">IF(A395="","",IFERROR(L395+AA395,0))</f>
        <v>29497.8877714438</v>
      </c>
      <c r="AC395" s="10" t="n">
        <f aca="false">IF(A395="","",IF(Inputs!$B$22="Premium Offset",MIN(Inputs!$B$25,Q395+T395),0))</f>
        <v>0</v>
      </c>
    </row>
    <row r="396" customFormat="false" ht="15" hidden="false" customHeight="false" outlineLevel="0" collapsed="false">
      <c r="A396" s="1" t="n">
        <f aca="false">IF(A395="","",IF(INT((C395+1)/12)+Inputs!$B$7&gt;MAX(MORTALITY!$A:$A),"",Inputs!$B$4))</f>
        <v>34</v>
      </c>
      <c r="B396" s="3" t="n">
        <f aca="false">IF(A396="","",EOMONTH(B395,1))</f>
        <v>33724</v>
      </c>
      <c r="C396" s="1" t="n">
        <f aca="false">IF(A396="","",C395+1)</f>
        <v>394</v>
      </c>
      <c r="D396" s="1" t="n">
        <f aca="false">IF(A396="","",INT(C396/12))</f>
        <v>32</v>
      </c>
      <c r="E396" s="1" t="n">
        <f aca="false">IF(A396="","",D396+Inputs!$B$7)</f>
        <v>48</v>
      </c>
      <c r="F396" s="3" t="n">
        <f aca="false">IF(A396="","",DATE(YEAR(B$2)+D396,MONTH(B$2),DAY(B$2)))</f>
        <v>33394</v>
      </c>
      <c r="G396" s="3" t="n">
        <f aca="false">IF(A396="","",DATE(YEAR(F396)+1,MONTH(F396),DAY(F396)))</f>
        <v>33760</v>
      </c>
      <c r="H396" s="10" t="n">
        <f aca="false">IF(A396="","",IF(G396&gt;F396,(B396-F396)/(G396-F396),0))</f>
        <v>0.901639344262295</v>
      </c>
      <c r="I396" s="10" t="n">
        <f aca="false">IF(A396="","",IFERROR(INDEX(CV_RATES!$I:$I,MATCH(D396,CV_RATES!$C:$C,0)),0))</f>
        <v>581.599796622886</v>
      </c>
      <c r="J396" s="10" t="n">
        <f aca="false">IF(A396="","",IFERROR(IF(E396=MAX(MORTALITY!$A:$A),1000,INDEX(CV_RATES!$J:$J,MATCH(D396,CV_RATES!$C:$C,0))),0))</f>
        <v>591.796506366195</v>
      </c>
      <c r="K396" s="10" t="n">
        <f aca="false">IF(A396="","",IFERROR(I396+H396*(J396-I396),0))</f>
        <v>590.793551309476</v>
      </c>
      <c r="L396" s="10" t="n">
        <f aca="false">IF(A396="","",IFERROR(K396*Inputs!$B$9,0))</f>
        <v>29539.6775654738</v>
      </c>
      <c r="M396" s="10" t="n">
        <f aca="false">IF(A396="","",IFERROR(K396*Inputs!$B$10,0))</f>
        <v>94525.1958288622</v>
      </c>
      <c r="N396" s="10" t="n">
        <f aca="false">IF(A396="","",Z395)</f>
        <v>0</v>
      </c>
      <c r="O396" s="6" t="n">
        <f aca="false">IF(A396="","",Inputs!$B$18+N396)</f>
        <v>50000</v>
      </c>
      <c r="P396" s="5" t="n">
        <f aca="false">IF(A396="","",VLOOKUP(D396,DIvidend_Assumption!$A$3:$CX$103,($E$2+2),0)/12)</f>
        <v>0</v>
      </c>
      <c r="Q396" s="10" t="n">
        <f aca="false">IF(A396="","",IFERROR(AB395*P396,""))</f>
        <v>0</v>
      </c>
      <c r="R396" s="10" t="n">
        <f aca="false">IF(A396="","",IFERROR(IF(Inputs!$B$22="Accumulate",T396+Q396,IF(Inputs!$B$22="Premium Offset",MAX(0,T396+Q396-Inputs!$B$25),T396)),""))</f>
        <v>0</v>
      </c>
      <c r="S396" s="10" t="n">
        <f aca="false">IF(A396="","",R395)</f>
        <v>0</v>
      </c>
      <c r="T396" s="10" t="n">
        <f aca="false">IF(A396="","",IFERROR(S396*(1+Inputs!$B$23/12),""))</f>
        <v>0</v>
      </c>
      <c r="U396" s="6" t="n">
        <f aca="false">IF(A396="","",IF(D396&lt;=Inputs!$B$8,IF(Inputs!$B$22="Premium Offset",MAX(0,Inputs!$B$25-(Q396+T396)),Inputs!$B$25),0))</f>
        <v>0</v>
      </c>
      <c r="V396" s="10" t="n">
        <f aca="false">IF(A396="","",IF(Inputs!$B$22="Cash",Q396,0))</f>
        <v>0</v>
      </c>
      <c r="W396" s="10" t="n">
        <f aca="false">IF(A396="","",IF(Inputs!$B$22="PUA",Q396,0))</f>
        <v>0</v>
      </c>
      <c r="X396" s="12" t="n">
        <f aca="false">IF(A396="","",IFERROR(INDEX(PUA_TABLE!$D$4:$D$105,MATCH(E396,PUA_TABLE!$C$4:$C$105,1)),0))</f>
        <v>0.581599796622886</v>
      </c>
      <c r="Y396" s="10" t="n">
        <f aca="false">IF(A396="","",IF(W396&gt;0,IF(X396&gt;0,W396/X396,0),0))</f>
        <v>0</v>
      </c>
      <c r="Z396" s="10" t="n">
        <f aca="false">IF(A396="","",N396+Y396)</f>
        <v>0</v>
      </c>
      <c r="AA396" s="10" t="n">
        <f aca="false">IF(A396="","",IFERROR(Z396*INDEX(PUA_TABLE!$I$4:$I$105,MATCH(E396,PUA_TABLE!$C$4:$C$105,1))/1000,0))</f>
        <v>0</v>
      </c>
      <c r="AB396" s="10" t="n">
        <f aca="false">IF(A396="","",IFERROR(L396+AA396,0))</f>
        <v>29539.6775654738</v>
      </c>
      <c r="AC396" s="10" t="n">
        <f aca="false">IF(A396="","",IF(Inputs!$B$22="Premium Offset",MIN(Inputs!$B$25,Q396+T396),0))</f>
        <v>0</v>
      </c>
    </row>
    <row r="397" customFormat="false" ht="15" hidden="false" customHeight="false" outlineLevel="0" collapsed="false">
      <c r="A397" s="1" t="n">
        <f aca="false">IF(A396="","",IF(INT((C396+1)/12)+Inputs!$B$7&gt;MAX(MORTALITY!$A:$A),"",Inputs!$B$4))</f>
        <v>34</v>
      </c>
      <c r="B397" s="3" t="n">
        <f aca="false">IF(A397="","",EOMONTH(B396,1))</f>
        <v>33755</v>
      </c>
      <c r="C397" s="1" t="n">
        <f aca="false">IF(A397="","",C396+1)</f>
        <v>395</v>
      </c>
      <c r="D397" s="1" t="n">
        <f aca="false">IF(A397="","",INT(C397/12))</f>
        <v>32</v>
      </c>
      <c r="E397" s="1" t="n">
        <f aca="false">IF(A397="","",D397+Inputs!$B$7)</f>
        <v>48</v>
      </c>
      <c r="F397" s="3" t="n">
        <f aca="false">IF(A397="","",DATE(YEAR(B$2)+D397,MONTH(B$2),DAY(B$2)))</f>
        <v>33394</v>
      </c>
      <c r="G397" s="3" t="n">
        <f aca="false">IF(A397="","",DATE(YEAR(F397)+1,MONTH(F397),DAY(F397)))</f>
        <v>33760</v>
      </c>
      <c r="H397" s="10" t="n">
        <f aca="false">IF(A397="","",IF(G397&gt;F397,(B397-F397)/(G397-F397),0))</f>
        <v>0.986338797814208</v>
      </c>
      <c r="I397" s="10" t="n">
        <f aca="false">IF(A397="","",IFERROR(INDEX(CV_RATES!$I:$I,MATCH(D397,CV_RATES!$C:$C,0)),0))</f>
        <v>581.599796622886</v>
      </c>
      <c r="J397" s="10" t="n">
        <f aca="false">IF(A397="","",IFERROR(IF(E397=MAX(MORTALITY!$A:$A),1000,INDEX(CV_RATES!$J:$J,MATCH(D397,CV_RATES!$C:$C,0))),0))</f>
        <v>591.796506366195</v>
      </c>
      <c r="K397" s="10" t="n">
        <f aca="false">IF(A397="","",IFERROR(I397+H397*(J397-I397),0))</f>
        <v>591.657207052762</v>
      </c>
      <c r="L397" s="10" t="n">
        <f aca="false">IF(A397="","",IFERROR(K397*Inputs!$B$9,0))</f>
        <v>29582.8603526381</v>
      </c>
      <c r="M397" s="10" t="n">
        <f aca="false">IF(A397="","",IFERROR(K397*Inputs!$B$10,0))</f>
        <v>94663.3781568207</v>
      </c>
      <c r="N397" s="10" t="n">
        <f aca="false">IF(A397="","",Z396)</f>
        <v>0</v>
      </c>
      <c r="O397" s="6" t="n">
        <f aca="false">IF(A397="","",Inputs!$B$18+N397)</f>
        <v>50000</v>
      </c>
      <c r="P397" s="5" t="n">
        <f aca="false">IF(A397="","",VLOOKUP(D397,DIvidend_Assumption!$A$3:$CX$103,($E$2+2),0)/12)</f>
        <v>0</v>
      </c>
      <c r="Q397" s="10" t="n">
        <f aca="false">IF(A397="","",IFERROR(AB396*P397,""))</f>
        <v>0</v>
      </c>
      <c r="R397" s="10" t="n">
        <f aca="false">IF(A397="","",IFERROR(IF(Inputs!$B$22="Accumulate",T397+Q397,IF(Inputs!$B$22="Premium Offset",MAX(0,T397+Q397-Inputs!$B$25),T397)),""))</f>
        <v>0</v>
      </c>
      <c r="S397" s="10" t="n">
        <f aca="false">IF(A397="","",R396)</f>
        <v>0</v>
      </c>
      <c r="T397" s="10" t="n">
        <f aca="false">IF(A397="","",IFERROR(S397*(1+Inputs!$B$23/12),""))</f>
        <v>0</v>
      </c>
      <c r="U397" s="6" t="n">
        <f aca="false">IF(A397="","",IF(D397&lt;=Inputs!$B$8,IF(Inputs!$B$22="Premium Offset",MAX(0,Inputs!$B$25-(Q397+T397)),Inputs!$B$25),0))</f>
        <v>0</v>
      </c>
      <c r="V397" s="10" t="n">
        <f aca="false">IF(A397="","",IF(Inputs!$B$22="Cash",Q397,0))</f>
        <v>0</v>
      </c>
      <c r="W397" s="10" t="n">
        <f aca="false">IF(A397="","",IF(Inputs!$B$22="PUA",Q397,0))</f>
        <v>0</v>
      </c>
      <c r="X397" s="12" t="n">
        <f aca="false">IF(A397="","",IFERROR(INDEX(PUA_TABLE!$D$4:$D$105,MATCH(E397,PUA_TABLE!$C$4:$C$105,1)),0))</f>
        <v>0.581599796622886</v>
      </c>
      <c r="Y397" s="10" t="n">
        <f aca="false">IF(A397="","",IF(W397&gt;0,IF(X397&gt;0,W397/X397,0),0))</f>
        <v>0</v>
      </c>
      <c r="Z397" s="10" t="n">
        <f aca="false">IF(A397="","",N397+Y397)</f>
        <v>0</v>
      </c>
      <c r="AA397" s="10" t="n">
        <f aca="false">IF(A397="","",IFERROR(Z397*INDEX(PUA_TABLE!$I$4:$I$105,MATCH(E397,PUA_TABLE!$C$4:$C$105,1))/1000,0))</f>
        <v>0</v>
      </c>
      <c r="AB397" s="10" t="n">
        <f aca="false">IF(A397="","",IFERROR(L397+AA397,0))</f>
        <v>29582.8603526381</v>
      </c>
      <c r="AC397" s="10" t="n">
        <f aca="false">IF(A397="","",IF(Inputs!$B$22="Premium Offset",MIN(Inputs!$B$25,Q397+T397),0))</f>
        <v>0</v>
      </c>
    </row>
    <row r="398" customFormat="false" ht="15" hidden="false" customHeight="false" outlineLevel="0" collapsed="false">
      <c r="A398" s="1" t="n">
        <f aca="false">IF(A397="","",IF(INT((C397+1)/12)+Inputs!$B$7&gt;MAX(MORTALITY!$A:$A),"",Inputs!$B$4))</f>
        <v>34</v>
      </c>
      <c r="B398" s="3" t="n">
        <f aca="false">IF(A398="","",EOMONTH(B397,1))</f>
        <v>33785</v>
      </c>
      <c r="C398" s="1" t="n">
        <f aca="false">IF(A398="","",C397+1)</f>
        <v>396</v>
      </c>
      <c r="D398" s="1" t="n">
        <f aca="false">IF(A398="","",INT(C398/12))</f>
        <v>33</v>
      </c>
      <c r="E398" s="1" t="n">
        <f aca="false">IF(A398="","",D398+Inputs!$B$7)</f>
        <v>49</v>
      </c>
      <c r="F398" s="3" t="n">
        <f aca="false">IF(A398="","",DATE(YEAR(B$2)+D398,MONTH(B$2),DAY(B$2)))</f>
        <v>33760</v>
      </c>
      <c r="G398" s="3" t="n">
        <f aca="false">IF(A398="","",DATE(YEAR(F398)+1,MONTH(F398),DAY(F398)))</f>
        <v>34125</v>
      </c>
      <c r="H398" s="10" t="n">
        <f aca="false">IF(A398="","",IF(G398&gt;F398,(B398-F398)/(G398-F398),0))</f>
        <v>0.0684931506849315</v>
      </c>
      <c r="I398" s="10" t="n">
        <f aca="false">IF(A398="","",IFERROR(INDEX(CV_RATES!$I:$I,MATCH(D398,CV_RATES!$C:$C,0)),0))</f>
        <v>591.796506366195</v>
      </c>
      <c r="J398" s="10" t="n">
        <f aca="false">IF(A398="","",IFERROR(IF(E398=MAX(MORTALITY!$A:$A),1000,INDEX(CV_RATES!$J:$J,MATCH(D398,CV_RATES!$C:$C,0))),0))</f>
        <v>602.034716529614</v>
      </c>
      <c r="K398" s="10" t="n">
        <f aca="false">IF(A398="","",IFERROR(I398+H398*(J398-I398),0))</f>
        <v>592.497753637662</v>
      </c>
      <c r="L398" s="10" t="n">
        <f aca="false">IF(A398="","",IFERROR(K398*Inputs!$B$9,0))</f>
        <v>29624.8876818831</v>
      </c>
      <c r="M398" s="10" t="n">
        <f aca="false">IF(A398="","",IFERROR(K398*Inputs!$B$10,0))</f>
        <v>94797.863088765</v>
      </c>
      <c r="N398" s="10" t="n">
        <f aca="false">IF(A398="","",Z397)</f>
        <v>0</v>
      </c>
      <c r="O398" s="6" t="n">
        <f aca="false">IF(A398="","",Inputs!$B$18+N398)</f>
        <v>50000</v>
      </c>
      <c r="P398" s="5" t="n">
        <f aca="false">IF(A398="","",VLOOKUP(D398,DIvidend_Assumption!$A$3:$CX$103,($E$2+2),0)/12)</f>
        <v>0</v>
      </c>
      <c r="Q398" s="10" t="n">
        <f aca="false">IF(A398="","",IFERROR(AB397*P398,""))</f>
        <v>0</v>
      </c>
      <c r="R398" s="10" t="n">
        <f aca="false">IF(A398="","",IFERROR(IF(Inputs!$B$22="Accumulate",T398+Q398,IF(Inputs!$B$22="Premium Offset",MAX(0,T398+Q398-Inputs!$B$25),T398)),""))</f>
        <v>0</v>
      </c>
      <c r="S398" s="10" t="n">
        <f aca="false">IF(A398="","",R397)</f>
        <v>0</v>
      </c>
      <c r="T398" s="10" t="n">
        <f aca="false">IF(A398="","",IFERROR(S398*(1+Inputs!$B$23/12),""))</f>
        <v>0</v>
      </c>
      <c r="U398" s="6" t="n">
        <f aca="false">IF(A398="","",IF(D398&lt;=Inputs!$B$8,IF(Inputs!$B$22="Premium Offset",MAX(0,Inputs!$B$25-(Q398+T398)),Inputs!$B$25),0))</f>
        <v>0</v>
      </c>
      <c r="V398" s="10" t="n">
        <f aca="false">IF(A398="","",IF(Inputs!$B$22="Cash",Q398,0))</f>
        <v>0</v>
      </c>
      <c r="W398" s="10" t="n">
        <f aca="false">IF(A398="","",IF(Inputs!$B$22="PUA",Q398,0))</f>
        <v>0</v>
      </c>
      <c r="X398" s="12" t="n">
        <f aca="false">IF(A398="","",IFERROR(INDEX(PUA_TABLE!$D$4:$D$105,MATCH(E398,PUA_TABLE!$C$4:$C$105,1)),0))</f>
        <v>0.591796506366195</v>
      </c>
      <c r="Y398" s="10" t="n">
        <f aca="false">IF(A398="","",IF(W398&gt;0,IF(X398&gt;0,W398/X398,0),0))</f>
        <v>0</v>
      </c>
      <c r="Z398" s="10" t="n">
        <f aca="false">IF(A398="","",N398+Y398)</f>
        <v>0</v>
      </c>
      <c r="AA398" s="10" t="n">
        <f aca="false">IF(A398="","",IFERROR(Z398*INDEX(PUA_TABLE!$I$4:$I$105,MATCH(E398,PUA_TABLE!$C$4:$C$105,1))/1000,0))</f>
        <v>0</v>
      </c>
      <c r="AB398" s="10" t="n">
        <f aca="false">IF(A398="","",IFERROR(L398+AA398,0))</f>
        <v>29624.8876818831</v>
      </c>
      <c r="AC398" s="10" t="n">
        <f aca="false">IF(A398="","",IF(Inputs!$B$22="Premium Offset",MIN(Inputs!$B$25,Q398+T398),0))</f>
        <v>0</v>
      </c>
    </row>
    <row r="399" customFormat="false" ht="15" hidden="false" customHeight="false" outlineLevel="0" collapsed="false">
      <c r="A399" s="1" t="n">
        <f aca="false">IF(A398="","",IF(INT((C398+1)/12)+Inputs!$B$7&gt;MAX(MORTALITY!$A:$A),"",Inputs!$B$4))</f>
        <v>34</v>
      </c>
      <c r="B399" s="3" t="n">
        <f aca="false">IF(A399="","",EOMONTH(B398,1))</f>
        <v>33816</v>
      </c>
      <c r="C399" s="1" t="n">
        <f aca="false">IF(A399="","",C398+1)</f>
        <v>397</v>
      </c>
      <c r="D399" s="1" t="n">
        <f aca="false">IF(A399="","",INT(C399/12))</f>
        <v>33</v>
      </c>
      <c r="E399" s="1" t="n">
        <f aca="false">IF(A399="","",D399+Inputs!$B$7)</f>
        <v>49</v>
      </c>
      <c r="F399" s="3" t="n">
        <f aca="false">IF(A399="","",DATE(YEAR(B$2)+D399,MONTH(B$2),DAY(B$2)))</f>
        <v>33760</v>
      </c>
      <c r="G399" s="3" t="n">
        <f aca="false">IF(A399="","",DATE(YEAR(F399)+1,MONTH(F399),DAY(F399)))</f>
        <v>34125</v>
      </c>
      <c r="H399" s="10" t="n">
        <f aca="false">IF(A399="","",IF(G399&gt;F399,(B399-F399)/(G399-F399),0))</f>
        <v>0.153424657534247</v>
      </c>
      <c r="I399" s="10" t="n">
        <f aca="false">IF(A399="","",IFERROR(INDEX(CV_RATES!$I:$I,MATCH(D399,CV_RATES!$C:$C,0)),0))</f>
        <v>591.796506366195</v>
      </c>
      <c r="J399" s="10" t="n">
        <f aca="false">IF(A399="","",IFERROR(IF(E399=MAX(MORTALITY!$A:$A),1000,INDEX(CV_RATES!$J:$J,MATCH(D399,CV_RATES!$C:$C,0))),0))</f>
        <v>602.034716529614</v>
      </c>
      <c r="K399" s="10" t="n">
        <f aca="false">IF(A399="","",IFERROR(I399+H399*(J399-I399),0))</f>
        <v>593.367300254281</v>
      </c>
      <c r="L399" s="10" t="n">
        <f aca="false">IF(A399="","",IFERROR(K399*Inputs!$B$9,0))</f>
        <v>29668.3650127141</v>
      </c>
      <c r="M399" s="10" t="n">
        <f aca="false">IF(A399="","",IFERROR(K399*Inputs!$B$10,0))</f>
        <v>94936.9879387842</v>
      </c>
      <c r="N399" s="10" t="n">
        <f aca="false">IF(A399="","",Z398)</f>
        <v>0</v>
      </c>
      <c r="O399" s="6" t="n">
        <f aca="false">IF(A399="","",Inputs!$B$18+N399)</f>
        <v>50000</v>
      </c>
      <c r="P399" s="5" t="n">
        <f aca="false">IF(A399="","",VLOOKUP(D399,DIvidend_Assumption!$A$3:$CX$103,($E$2+2),0)/12)</f>
        <v>0</v>
      </c>
      <c r="Q399" s="10" t="n">
        <f aca="false">IF(A399="","",IFERROR(AB398*P399,""))</f>
        <v>0</v>
      </c>
      <c r="R399" s="10" t="n">
        <f aca="false">IF(A399="","",IFERROR(IF(Inputs!$B$22="Accumulate",T399+Q399,IF(Inputs!$B$22="Premium Offset",MAX(0,T399+Q399-Inputs!$B$25),T399)),""))</f>
        <v>0</v>
      </c>
      <c r="S399" s="10" t="n">
        <f aca="false">IF(A399="","",R398)</f>
        <v>0</v>
      </c>
      <c r="T399" s="10" t="n">
        <f aca="false">IF(A399="","",IFERROR(S399*(1+Inputs!$B$23/12),""))</f>
        <v>0</v>
      </c>
      <c r="U399" s="6" t="n">
        <f aca="false">IF(A399="","",IF(D399&lt;=Inputs!$B$8,IF(Inputs!$B$22="Premium Offset",MAX(0,Inputs!$B$25-(Q399+T399)),Inputs!$B$25),0))</f>
        <v>0</v>
      </c>
      <c r="V399" s="10" t="n">
        <f aca="false">IF(A399="","",IF(Inputs!$B$22="Cash",Q399,0))</f>
        <v>0</v>
      </c>
      <c r="W399" s="10" t="n">
        <f aca="false">IF(A399="","",IF(Inputs!$B$22="PUA",Q399,0))</f>
        <v>0</v>
      </c>
      <c r="X399" s="12" t="n">
        <f aca="false">IF(A399="","",IFERROR(INDEX(PUA_TABLE!$D$4:$D$105,MATCH(E399,PUA_TABLE!$C$4:$C$105,1)),0))</f>
        <v>0.591796506366195</v>
      </c>
      <c r="Y399" s="10" t="n">
        <f aca="false">IF(A399="","",IF(W399&gt;0,IF(X399&gt;0,W399/X399,0),0))</f>
        <v>0</v>
      </c>
      <c r="Z399" s="10" t="n">
        <f aca="false">IF(A399="","",N399+Y399)</f>
        <v>0</v>
      </c>
      <c r="AA399" s="10" t="n">
        <f aca="false">IF(A399="","",IFERROR(Z399*INDEX(PUA_TABLE!$I$4:$I$105,MATCH(E399,PUA_TABLE!$C$4:$C$105,1))/1000,0))</f>
        <v>0</v>
      </c>
      <c r="AB399" s="10" t="n">
        <f aca="false">IF(A399="","",IFERROR(L399+AA399,0))</f>
        <v>29668.3650127141</v>
      </c>
      <c r="AC399" s="10" t="n">
        <f aca="false">IF(A399="","",IF(Inputs!$B$22="Premium Offset",MIN(Inputs!$B$25,Q399+T399),0))</f>
        <v>0</v>
      </c>
    </row>
    <row r="400" customFormat="false" ht="15" hidden="false" customHeight="false" outlineLevel="0" collapsed="false">
      <c r="A400" s="1" t="n">
        <f aca="false">IF(A399="","",IF(INT((C399+1)/12)+Inputs!$B$7&gt;MAX(MORTALITY!$A:$A),"",Inputs!$B$4))</f>
        <v>34</v>
      </c>
      <c r="B400" s="3" t="n">
        <f aca="false">IF(A400="","",EOMONTH(B399,1))</f>
        <v>33847</v>
      </c>
      <c r="C400" s="1" t="n">
        <f aca="false">IF(A400="","",C399+1)</f>
        <v>398</v>
      </c>
      <c r="D400" s="1" t="n">
        <f aca="false">IF(A400="","",INT(C400/12))</f>
        <v>33</v>
      </c>
      <c r="E400" s="1" t="n">
        <f aca="false">IF(A400="","",D400+Inputs!$B$7)</f>
        <v>49</v>
      </c>
      <c r="F400" s="3" t="n">
        <f aca="false">IF(A400="","",DATE(YEAR(B$2)+D400,MONTH(B$2),DAY(B$2)))</f>
        <v>33760</v>
      </c>
      <c r="G400" s="3" t="n">
        <f aca="false">IF(A400="","",DATE(YEAR(F400)+1,MONTH(F400),DAY(F400)))</f>
        <v>34125</v>
      </c>
      <c r="H400" s="10" t="n">
        <f aca="false">IF(A400="","",IF(G400&gt;F400,(B400-F400)/(G400-F400),0))</f>
        <v>0.238356164383562</v>
      </c>
      <c r="I400" s="10" t="n">
        <f aca="false">IF(A400="","",IFERROR(INDEX(CV_RATES!$I:$I,MATCH(D400,CV_RATES!$C:$C,0)),0))</f>
        <v>591.796506366195</v>
      </c>
      <c r="J400" s="10" t="n">
        <f aca="false">IF(A400="","",IFERROR(IF(E400=MAX(MORTALITY!$A:$A),1000,INDEX(CV_RATES!$J:$J,MATCH(D400,CV_RATES!$C:$C,0))),0))</f>
        <v>602.034716529614</v>
      </c>
      <c r="K400" s="10" t="n">
        <f aca="false">IF(A400="","",IFERROR(I400+H400*(J400-I400),0))</f>
        <v>594.2368468709</v>
      </c>
      <c r="L400" s="10" t="n">
        <f aca="false">IF(A400="","",IFERROR(K400*Inputs!$B$9,0))</f>
        <v>29711.842343545</v>
      </c>
      <c r="M400" s="10" t="n">
        <f aca="false">IF(A400="","",IFERROR(K400*Inputs!$B$10,0))</f>
        <v>95076.1127888034</v>
      </c>
      <c r="N400" s="10" t="n">
        <f aca="false">IF(A400="","",Z399)</f>
        <v>0</v>
      </c>
      <c r="O400" s="6" t="n">
        <f aca="false">IF(A400="","",Inputs!$B$18+N400)</f>
        <v>50000</v>
      </c>
      <c r="P400" s="5" t="n">
        <f aca="false">IF(A400="","",VLOOKUP(D400,DIvidend_Assumption!$A$3:$CX$103,($E$2+2),0)/12)</f>
        <v>0</v>
      </c>
      <c r="Q400" s="10" t="n">
        <f aca="false">IF(A400="","",IFERROR(AB399*P400,""))</f>
        <v>0</v>
      </c>
      <c r="R400" s="10" t="n">
        <f aca="false">IF(A400="","",IFERROR(IF(Inputs!$B$22="Accumulate",T400+Q400,IF(Inputs!$B$22="Premium Offset",MAX(0,T400+Q400-Inputs!$B$25),T400)),""))</f>
        <v>0</v>
      </c>
      <c r="S400" s="10" t="n">
        <f aca="false">IF(A400="","",R399)</f>
        <v>0</v>
      </c>
      <c r="T400" s="10" t="n">
        <f aca="false">IF(A400="","",IFERROR(S400*(1+Inputs!$B$23/12),""))</f>
        <v>0</v>
      </c>
      <c r="U400" s="6" t="n">
        <f aca="false">IF(A400="","",IF(D400&lt;=Inputs!$B$8,IF(Inputs!$B$22="Premium Offset",MAX(0,Inputs!$B$25-(Q400+T400)),Inputs!$B$25),0))</f>
        <v>0</v>
      </c>
      <c r="V400" s="10" t="n">
        <f aca="false">IF(A400="","",IF(Inputs!$B$22="Cash",Q400,0))</f>
        <v>0</v>
      </c>
      <c r="W400" s="10" t="n">
        <f aca="false">IF(A400="","",IF(Inputs!$B$22="PUA",Q400,0))</f>
        <v>0</v>
      </c>
      <c r="X400" s="12" t="n">
        <f aca="false">IF(A400="","",IFERROR(INDEX(PUA_TABLE!$D$4:$D$105,MATCH(E400,PUA_TABLE!$C$4:$C$105,1)),0))</f>
        <v>0.591796506366195</v>
      </c>
      <c r="Y400" s="10" t="n">
        <f aca="false">IF(A400="","",IF(W400&gt;0,IF(X400&gt;0,W400/X400,0),0))</f>
        <v>0</v>
      </c>
      <c r="Z400" s="10" t="n">
        <f aca="false">IF(A400="","",N400+Y400)</f>
        <v>0</v>
      </c>
      <c r="AA400" s="10" t="n">
        <f aca="false">IF(A400="","",IFERROR(Z400*INDEX(PUA_TABLE!$I$4:$I$105,MATCH(E400,PUA_TABLE!$C$4:$C$105,1))/1000,0))</f>
        <v>0</v>
      </c>
      <c r="AB400" s="10" t="n">
        <f aca="false">IF(A400="","",IFERROR(L400+AA400,0))</f>
        <v>29711.842343545</v>
      </c>
      <c r="AC400" s="10" t="n">
        <f aca="false">IF(A400="","",IF(Inputs!$B$22="Premium Offset",MIN(Inputs!$B$25,Q400+T400),0))</f>
        <v>0</v>
      </c>
    </row>
    <row r="401" customFormat="false" ht="15" hidden="false" customHeight="false" outlineLevel="0" collapsed="false">
      <c r="A401" s="1" t="n">
        <f aca="false">IF(A400="","",IF(INT((C400+1)/12)+Inputs!$B$7&gt;MAX(MORTALITY!$A:$A),"",Inputs!$B$4))</f>
        <v>34</v>
      </c>
      <c r="B401" s="3" t="n">
        <f aca="false">IF(A401="","",EOMONTH(B400,1))</f>
        <v>33877</v>
      </c>
      <c r="C401" s="1" t="n">
        <f aca="false">IF(A401="","",C400+1)</f>
        <v>399</v>
      </c>
      <c r="D401" s="1" t="n">
        <f aca="false">IF(A401="","",INT(C401/12))</f>
        <v>33</v>
      </c>
      <c r="E401" s="1" t="n">
        <f aca="false">IF(A401="","",D401+Inputs!$B$7)</f>
        <v>49</v>
      </c>
      <c r="F401" s="3" t="n">
        <f aca="false">IF(A401="","",DATE(YEAR(B$2)+D401,MONTH(B$2),DAY(B$2)))</f>
        <v>33760</v>
      </c>
      <c r="G401" s="3" t="n">
        <f aca="false">IF(A401="","",DATE(YEAR(F401)+1,MONTH(F401),DAY(F401)))</f>
        <v>34125</v>
      </c>
      <c r="H401" s="10" t="n">
        <f aca="false">IF(A401="","",IF(G401&gt;F401,(B401-F401)/(G401-F401),0))</f>
        <v>0.320547945205479</v>
      </c>
      <c r="I401" s="10" t="n">
        <f aca="false">IF(A401="","",IFERROR(INDEX(CV_RATES!$I:$I,MATCH(D401,CV_RATES!$C:$C,0)),0))</f>
        <v>591.796506366195</v>
      </c>
      <c r="J401" s="10" t="n">
        <f aca="false">IF(A401="","",IFERROR(IF(E401=MAX(MORTALITY!$A:$A),1000,INDEX(CV_RATES!$J:$J,MATCH(D401,CV_RATES!$C:$C,0))),0))</f>
        <v>602.034716529614</v>
      </c>
      <c r="K401" s="10" t="n">
        <f aca="false">IF(A401="","",IFERROR(I401+H401*(J401-I401),0))</f>
        <v>595.078343596661</v>
      </c>
      <c r="L401" s="10" t="n">
        <f aca="false">IF(A401="","",IFERROR(K401*Inputs!$B$9,0))</f>
        <v>29753.917179833</v>
      </c>
      <c r="M401" s="10" t="n">
        <f aca="false">IF(A401="","",IFERROR(K401*Inputs!$B$10,0))</f>
        <v>95210.7497404349</v>
      </c>
      <c r="N401" s="10" t="n">
        <f aca="false">IF(A401="","",Z400)</f>
        <v>0</v>
      </c>
      <c r="O401" s="6" t="n">
        <f aca="false">IF(A401="","",Inputs!$B$18+N401)</f>
        <v>50000</v>
      </c>
      <c r="P401" s="5" t="n">
        <f aca="false">IF(A401="","",VLOOKUP(D401,DIvidend_Assumption!$A$3:$CX$103,($E$2+2),0)/12)</f>
        <v>0</v>
      </c>
      <c r="Q401" s="10" t="n">
        <f aca="false">IF(A401="","",IFERROR(AB400*P401,""))</f>
        <v>0</v>
      </c>
      <c r="R401" s="10" t="n">
        <f aca="false">IF(A401="","",IFERROR(IF(Inputs!$B$22="Accumulate",T401+Q401,IF(Inputs!$B$22="Premium Offset",MAX(0,T401+Q401-Inputs!$B$25),T401)),""))</f>
        <v>0</v>
      </c>
      <c r="S401" s="10" t="n">
        <f aca="false">IF(A401="","",R400)</f>
        <v>0</v>
      </c>
      <c r="T401" s="10" t="n">
        <f aca="false">IF(A401="","",IFERROR(S401*(1+Inputs!$B$23/12),""))</f>
        <v>0</v>
      </c>
      <c r="U401" s="6" t="n">
        <f aca="false">IF(A401="","",IF(D401&lt;=Inputs!$B$8,IF(Inputs!$B$22="Premium Offset",MAX(0,Inputs!$B$25-(Q401+T401)),Inputs!$B$25),0))</f>
        <v>0</v>
      </c>
      <c r="V401" s="10" t="n">
        <f aca="false">IF(A401="","",IF(Inputs!$B$22="Cash",Q401,0))</f>
        <v>0</v>
      </c>
      <c r="W401" s="10" t="n">
        <f aca="false">IF(A401="","",IF(Inputs!$B$22="PUA",Q401,0))</f>
        <v>0</v>
      </c>
      <c r="X401" s="12" t="n">
        <f aca="false">IF(A401="","",IFERROR(INDEX(PUA_TABLE!$D$4:$D$105,MATCH(E401,PUA_TABLE!$C$4:$C$105,1)),0))</f>
        <v>0.591796506366195</v>
      </c>
      <c r="Y401" s="10" t="n">
        <f aca="false">IF(A401="","",IF(W401&gt;0,IF(X401&gt;0,W401/X401,0),0))</f>
        <v>0</v>
      </c>
      <c r="Z401" s="10" t="n">
        <f aca="false">IF(A401="","",N401+Y401)</f>
        <v>0</v>
      </c>
      <c r="AA401" s="10" t="n">
        <f aca="false">IF(A401="","",IFERROR(Z401*INDEX(PUA_TABLE!$I$4:$I$105,MATCH(E401,PUA_TABLE!$C$4:$C$105,1))/1000,0))</f>
        <v>0</v>
      </c>
      <c r="AB401" s="10" t="n">
        <f aca="false">IF(A401="","",IFERROR(L401+AA401,0))</f>
        <v>29753.917179833</v>
      </c>
      <c r="AC401" s="10" t="n">
        <f aca="false">IF(A401="","",IF(Inputs!$B$22="Premium Offset",MIN(Inputs!$B$25,Q401+T401),0))</f>
        <v>0</v>
      </c>
    </row>
    <row r="402" customFormat="false" ht="15" hidden="false" customHeight="false" outlineLevel="0" collapsed="false">
      <c r="A402" s="1" t="n">
        <f aca="false">IF(A401="","",IF(INT((C401+1)/12)+Inputs!$B$7&gt;MAX(MORTALITY!$A:$A),"",Inputs!$B$4))</f>
        <v>34</v>
      </c>
      <c r="B402" s="3" t="n">
        <f aca="false">IF(A402="","",EOMONTH(B401,1))</f>
        <v>33908</v>
      </c>
      <c r="C402" s="1" t="n">
        <f aca="false">IF(A402="","",C401+1)</f>
        <v>400</v>
      </c>
      <c r="D402" s="1" t="n">
        <f aca="false">IF(A402="","",INT(C402/12))</f>
        <v>33</v>
      </c>
      <c r="E402" s="1" t="n">
        <f aca="false">IF(A402="","",D402+Inputs!$B$7)</f>
        <v>49</v>
      </c>
      <c r="F402" s="3" t="n">
        <f aca="false">IF(A402="","",DATE(YEAR(B$2)+D402,MONTH(B$2),DAY(B$2)))</f>
        <v>33760</v>
      </c>
      <c r="G402" s="3" t="n">
        <f aca="false">IF(A402="","",DATE(YEAR(F402)+1,MONTH(F402),DAY(F402)))</f>
        <v>34125</v>
      </c>
      <c r="H402" s="10" t="n">
        <f aca="false">IF(A402="","",IF(G402&gt;F402,(B402-F402)/(G402-F402),0))</f>
        <v>0.405479452054795</v>
      </c>
      <c r="I402" s="10" t="n">
        <f aca="false">IF(A402="","",IFERROR(INDEX(CV_RATES!$I:$I,MATCH(D402,CV_RATES!$C:$C,0)),0))</f>
        <v>591.796506366195</v>
      </c>
      <c r="J402" s="10" t="n">
        <f aca="false">IF(A402="","",IFERROR(IF(E402=MAX(MORTALITY!$A:$A),1000,INDEX(CV_RATES!$J:$J,MATCH(D402,CV_RATES!$C:$C,0))),0))</f>
        <v>602.034716529614</v>
      </c>
      <c r="K402" s="10" t="n">
        <f aca="false">IF(A402="","",IFERROR(I402+H402*(J402-I402),0))</f>
        <v>595.94789021328</v>
      </c>
      <c r="L402" s="10" t="n">
        <f aca="false">IF(A402="","",IFERROR(K402*Inputs!$B$9,0))</f>
        <v>29797.394510664</v>
      </c>
      <c r="M402" s="10" t="n">
        <f aca="false">IF(A402="","",IFERROR(K402*Inputs!$B$10,0))</f>
        <v>95349.8745904541</v>
      </c>
      <c r="N402" s="10" t="n">
        <f aca="false">IF(A402="","",Z401)</f>
        <v>0</v>
      </c>
      <c r="O402" s="6" t="n">
        <f aca="false">IF(A402="","",Inputs!$B$18+N402)</f>
        <v>50000</v>
      </c>
      <c r="P402" s="5" t="n">
        <f aca="false">IF(A402="","",VLOOKUP(D402,DIvidend_Assumption!$A$3:$CX$103,($E$2+2),0)/12)</f>
        <v>0</v>
      </c>
      <c r="Q402" s="10" t="n">
        <f aca="false">IF(A402="","",IFERROR(AB401*P402,""))</f>
        <v>0</v>
      </c>
      <c r="R402" s="10" t="n">
        <f aca="false">IF(A402="","",IFERROR(IF(Inputs!$B$22="Accumulate",T402+Q402,IF(Inputs!$B$22="Premium Offset",MAX(0,T402+Q402-Inputs!$B$25),T402)),""))</f>
        <v>0</v>
      </c>
      <c r="S402" s="10" t="n">
        <f aca="false">IF(A402="","",R401)</f>
        <v>0</v>
      </c>
      <c r="T402" s="10" t="n">
        <f aca="false">IF(A402="","",IFERROR(S402*(1+Inputs!$B$23/12),""))</f>
        <v>0</v>
      </c>
      <c r="U402" s="6" t="n">
        <f aca="false">IF(A402="","",IF(D402&lt;=Inputs!$B$8,IF(Inputs!$B$22="Premium Offset",MAX(0,Inputs!$B$25-(Q402+T402)),Inputs!$B$25),0))</f>
        <v>0</v>
      </c>
      <c r="V402" s="10" t="n">
        <f aca="false">IF(A402="","",IF(Inputs!$B$22="Cash",Q402,0))</f>
        <v>0</v>
      </c>
      <c r="W402" s="10" t="n">
        <f aca="false">IF(A402="","",IF(Inputs!$B$22="PUA",Q402,0))</f>
        <v>0</v>
      </c>
      <c r="X402" s="12" t="n">
        <f aca="false">IF(A402="","",IFERROR(INDEX(PUA_TABLE!$D$4:$D$105,MATCH(E402,PUA_TABLE!$C$4:$C$105,1)),0))</f>
        <v>0.591796506366195</v>
      </c>
      <c r="Y402" s="10" t="n">
        <f aca="false">IF(A402="","",IF(W402&gt;0,IF(X402&gt;0,W402/X402,0),0))</f>
        <v>0</v>
      </c>
      <c r="Z402" s="10" t="n">
        <f aca="false">IF(A402="","",N402+Y402)</f>
        <v>0</v>
      </c>
      <c r="AA402" s="10" t="n">
        <f aca="false">IF(A402="","",IFERROR(Z402*INDEX(PUA_TABLE!$I$4:$I$105,MATCH(E402,PUA_TABLE!$C$4:$C$105,1))/1000,0))</f>
        <v>0</v>
      </c>
      <c r="AB402" s="10" t="n">
        <f aca="false">IF(A402="","",IFERROR(L402+AA402,0))</f>
        <v>29797.394510664</v>
      </c>
      <c r="AC402" s="10" t="n">
        <f aca="false">IF(A402="","",IF(Inputs!$B$22="Premium Offset",MIN(Inputs!$B$25,Q402+T402),0))</f>
        <v>0</v>
      </c>
    </row>
    <row r="403" customFormat="false" ht="15" hidden="false" customHeight="false" outlineLevel="0" collapsed="false">
      <c r="A403" s="1" t="n">
        <f aca="false">IF(A402="","",IF(INT((C402+1)/12)+Inputs!$B$7&gt;MAX(MORTALITY!$A:$A),"",Inputs!$B$4))</f>
        <v>34</v>
      </c>
      <c r="B403" s="3" t="n">
        <f aca="false">IF(A403="","",EOMONTH(B402,1))</f>
        <v>33938</v>
      </c>
      <c r="C403" s="1" t="n">
        <f aca="false">IF(A403="","",C402+1)</f>
        <v>401</v>
      </c>
      <c r="D403" s="1" t="n">
        <f aca="false">IF(A403="","",INT(C403/12))</f>
        <v>33</v>
      </c>
      <c r="E403" s="1" t="n">
        <f aca="false">IF(A403="","",D403+Inputs!$B$7)</f>
        <v>49</v>
      </c>
      <c r="F403" s="3" t="n">
        <f aca="false">IF(A403="","",DATE(YEAR(B$2)+D403,MONTH(B$2),DAY(B$2)))</f>
        <v>33760</v>
      </c>
      <c r="G403" s="3" t="n">
        <f aca="false">IF(A403="","",DATE(YEAR(F403)+1,MONTH(F403),DAY(F403)))</f>
        <v>34125</v>
      </c>
      <c r="H403" s="10" t="n">
        <f aca="false">IF(A403="","",IF(G403&gt;F403,(B403-F403)/(G403-F403),0))</f>
        <v>0.487671232876712</v>
      </c>
      <c r="I403" s="10" t="n">
        <f aca="false">IF(A403="","",IFERROR(INDEX(CV_RATES!$I:$I,MATCH(D403,CV_RATES!$C:$C,0)),0))</f>
        <v>591.796506366195</v>
      </c>
      <c r="J403" s="10" t="n">
        <f aca="false">IF(A403="","",IFERROR(IF(E403=MAX(MORTALITY!$A:$A),1000,INDEX(CV_RATES!$J:$J,MATCH(D403,CV_RATES!$C:$C,0))),0))</f>
        <v>602.034716529614</v>
      </c>
      <c r="K403" s="10" t="n">
        <f aca="false">IF(A403="","",IFERROR(I403+H403*(J403-I403),0))</f>
        <v>596.78938693904</v>
      </c>
      <c r="L403" s="10" t="n">
        <f aca="false">IF(A403="","",IFERROR(K403*Inputs!$B$9,0))</f>
        <v>29839.469346952</v>
      </c>
      <c r="M403" s="10" t="n">
        <f aca="false">IF(A403="","",IFERROR(K403*Inputs!$B$10,0))</f>
        <v>95484.5115420856</v>
      </c>
      <c r="N403" s="10" t="n">
        <f aca="false">IF(A403="","",Z402)</f>
        <v>0</v>
      </c>
      <c r="O403" s="6" t="n">
        <f aca="false">IF(A403="","",Inputs!$B$18+N403)</f>
        <v>50000</v>
      </c>
      <c r="P403" s="5" t="n">
        <f aca="false">IF(A403="","",VLOOKUP(D403,DIvidend_Assumption!$A$3:$CX$103,($E$2+2),0)/12)</f>
        <v>0</v>
      </c>
      <c r="Q403" s="10" t="n">
        <f aca="false">IF(A403="","",IFERROR(AB402*P403,""))</f>
        <v>0</v>
      </c>
      <c r="R403" s="10" t="n">
        <f aca="false">IF(A403="","",IFERROR(IF(Inputs!$B$22="Accumulate",T403+Q403,IF(Inputs!$B$22="Premium Offset",MAX(0,T403+Q403-Inputs!$B$25),T403)),""))</f>
        <v>0</v>
      </c>
      <c r="S403" s="10" t="n">
        <f aca="false">IF(A403="","",R402)</f>
        <v>0</v>
      </c>
      <c r="T403" s="10" t="n">
        <f aca="false">IF(A403="","",IFERROR(S403*(1+Inputs!$B$23/12),""))</f>
        <v>0</v>
      </c>
      <c r="U403" s="6" t="n">
        <f aca="false">IF(A403="","",IF(D403&lt;=Inputs!$B$8,IF(Inputs!$B$22="Premium Offset",MAX(0,Inputs!$B$25-(Q403+T403)),Inputs!$B$25),0))</f>
        <v>0</v>
      </c>
      <c r="V403" s="10" t="n">
        <f aca="false">IF(A403="","",IF(Inputs!$B$22="Cash",Q403,0))</f>
        <v>0</v>
      </c>
      <c r="W403" s="10" t="n">
        <f aca="false">IF(A403="","",IF(Inputs!$B$22="PUA",Q403,0))</f>
        <v>0</v>
      </c>
      <c r="X403" s="12" t="n">
        <f aca="false">IF(A403="","",IFERROR(INDEX(PUA_TABLE!$D$4:$D$105,MATCH(E403,PUA_TABLE!$C$4:$C$105,1)),0))</f>
        <v>0.591796506366195</v>
      </c>
      <c r="Y403" s="10" t="n">
        <f aca="false">IF(A403="","",IF(W403&gt;0,IF(X403&gt;0,W403/X403,0),0))</f>
        <v>0</v>
      </c>
      <c r="Z403" s="10" t="n">
        <f aca="false">IF(A403="","",N403+Y403)</f>
        <v>0</v>
      </c>
      <c r="AA403" s="10" t="n">
        <f aca="false">IF(A403="","",IFERROR(Z403*INDEX(PUA_TABLE!$I$4:$I$105,MATCH(E403,PUA_TABLE!$C$4:$C$105,1))/1000,0))</f>
        <v>0</v>
      </c>
      <c r="AB403" s="10" t="n">
        <f aca="false">IF(A403="","",IFERROR(L403+AA403,0))</f>
        <v>29839.469346952</v>
      </c>
      <c r="AC403" s="10" t="n">
        <f aca="false">IF(A403="","",IF(Inputs!$B$22="Premium Offset",MIN(Inputs!$B$25,Q403+T403),0))</f>
        <v>0</v>
      </c>
    </row>
    <row r="404" customFormat="false" ht="15" hidden="false" customHeight="false" outlineLevel="0" collapsed="false">
      <c r="A404" s="1" t="n">
        <f aca="false">IF(A403="","",IF(INT((C403+1)/12)+Inputs!$B$7&gt;MAX(MORTALITY!$A:$A),"",Inputs!$B$4))</f>
        <v>34</v>
      </c>
      <c r="B404" s="3" t="n">
        <f aca="false">IF(A404="","",EOMONTH(B403,1))</f>
        <v>33969</v>
      </c>
      <c r="C404" s="1" t="n">
        <f aca="false">IF(A404="","",C403+1)</f>
        <v>402</v>
      </c>
      <c r="D404" s="1" t="n">
        <f aca="false">IF(A404="","",INT(C404/12))</f>
        <v>33</v>
      </c>
      <c r="E404" s="1" t="n">
        <f aca="false">IF(A404="","",D404+Inputs!$B$7)</f>
        <v>49</v>
      </c>
      <c r="F404" s="3" t="n">
        <f aca="false">IF(A404="","",DATE(YEAR(B$2)+D404,MONTH(B$2),DAY(B$2)))</f>
        <v>33760</v>
      </c>
      <c r="G404" s="3" t="n">
        <f aca="false">IF(A404="","",DATE(YEAR(F404)+1,MONTH(F404),DAY(F404)))</f>
        <v>34125</v>
      </c>
      <c r="H404" s="10" t="n">
        <f aca="false">IF(A404="","",IF(G404&gt;F404,(B404-F404)/(G404-F404),0))</f>
        <v>0.572602739726027</v>
      </c>
      <c r="I404" s="10" t="n">
        <f aca="false">IF(A404="","",IFERROR(INDEX(CV_RATES!$I:$I,MATCH(D404,CV_RATES!$C:$C,0)),0))</f>
        <v>591.796506366195</v>
      </c>
      <c r="J404" s="10" t="n">
        <f aca="false">IF(A404="","",IFERROR(IF(E404=MAX(MORTALITY!$A:$A),1000,INDEX(CV_RATES!$J:$J,MATCH(D404,CV_RATES!$C:$C,0))),0))</f>
        <v>602.034716529614</v>
      </c>
      <c r="K404" s="10" t="n">
        <f aca="false">IF(A404="","",IFERROR(I404+H404*(J404-I404),0))</f>
        <v>597.658933555659</v>
      </c>
      <c r="L404" s="10" t="n">
        <f aca="false">IF(A404="","",IFERROR(K404*Inputs!$B$9,0))</f>
        <v>29882.946677783</v>
      </c>
      <c r="M404" s="10" t="n">
        <f aca="false">IF(A404="","",IFERROR(K404*Inputs!$B$10,0))</f>
        <v>95623.6363921048</v>
      </c>
      <c r="N404" s="10" t="n">
        <f aca="false">IF(A404="","",Z403)</f>
        <v>0</v>
      </c>
      <c r="O404" s="6" t="n">
        <f aca="false">IF(A404="","",Inputs!$B$18+N404)</f>
        <v>50000</v>
      </c>
      <c r="P404" s="5" t="n">
        <f aca="false">IF(A404="","",VLOOKUP(D404,DIvidend_Assumption!$A$3:$CX$103,($E$2+2),0)/12)</f>
        <v>0</v>
      </c>
      <c r="Q404" s="10" t="n">
        <f aca="false">IF(A404="","",IFERROR(AB403*P404,""))</f>
        <v>0</v>
      </c>
      <c r="R404" s="10" t="n">
        <f aca="false">IF(A404="","",IFERROR(IF(Inputs!$B$22="Accumulate",T404+Q404,IF(Inputs!$B$22="Premium Offset",MAX(0,T404+Q404-Inputs!$B$25),T404)),""))</f>
        <v>0</v>
      </c>
      <c r="S404" s="10" t="n">
        <f aca="false">IF(A404="","",R403)</f>
        <v>0</v>
      </c>
      <c r="T404" s="10" t="n">
        <f aca="false">IF(A404="","",IFERROR(S404*(1+Inputs!$B$23/12),""))</f>
        <v>0</v>
      </c>
      <c r="U404" s="6" t="n">
        <f aca="false">IF(A404="","",IF(D404&lt;=Inputs!$B$8,IF(Inputs!$B$22="Premium Offset",MAX(0,Inputs!$B$25-(Q404+T404)),Inputs!$B$25),0))</f>
        <v>0</v>
      </c>
      <c r="V404" s="10" t="n">
        <f aca="false">IF(A404="","",IF(Inputs!$B$22="Cash",Q404,0))</f>
        <v>0</v>
      </c>
      <c r="W404" s="10" t="n">
        <f aca="false">IF(A404="","",IF(Inputs!$B$22="PUA",Q404,0))</f>
        <v>0</v>
      </c>
      <c r="X404" s="12" t="n">
        <f aca="false">IF(A404="","",IFERROR(INDEX(PUA_TABLE!$D$4:$D$105,MATCH(E404,PUA_TABLE!$C$4:$C$105,1)),0))</f>
        <v>0.591796506366195</v>
      </c>
      <c r="Y404" s="10" t="n">
        <f aca="false">IF(A404="","",IF(W404&gt;0,IF(X404&gt;0,W404/X404,0),0))</f>
        <v>0</v>
      </c>
      <c r="Z404" s="10" t="n">
        <f aca="false">IF(A404="","",N404+Y404)</f>
        <v>0</v>
      </c>
      <c r="AA404" s="10" t="n">
        <f aca="false">IF(A404="","",IFERROR(Z404*INDEX(PUA_TABLE!$I$4:$I$105,MATCH(E404,PUA_TABLE!$C$4:$C$105,1))/1000,0))</f>
        <v>0</v>
      </c>
      <c r="AB404" s="10" t="n">
        <f aca="false">IF(A404="","",IFERROR(L404+AA404,0))</f>
        <v>29882.946677783</v>
      </c>
      <c r="AC404" s="10" t="n">
        <f aca="false">IF(A404="","",IF(Inputs!$B$22="Premium Offset",MIN(Inputs!$B$25,Q404+T404),0))</f>
        <v>0</v>
      </c>
    </row>
    <row r="405" customFormat="false" ht="15" hidden="false" customHeight="false" outlineLevel="0" collapsed="false">
      <c r="A405" s="1" t="n">
        <f aca="false">IF(A404="","",IF(INT((C404+1)/12)+Inputs!$B$7&gt;MAX(MORTALITY!$A:$A),"",Inputs!$B$4))</f>
        <v>34</v>
      </c>
      <c r="B405" s="3" t="n">
        <f aca="false">IF(A405="","",EOMONTH(B404,1))</f>
        <v>34000</v>
      </c>
      <c r="C405" s="1" t="n">
        <f aca="false">IF(A405="","",C404+1)</f>
        <v>403</v>
      </c>
      <c r="D405" s="1" t="n">
        <f aca="false">IF(A405="","",INT(C405/12))</f>
        <v>33</v>
      </c>
      <c r="E405" s="1" t="n">
        <f aca="false">IF(A405="","",D405+Inputs!$B$7)</f>
        <v>49</v>
      </c>
      <c r="F405" s="3" t="n">
        <f aca="false">IF(A405="","",DATE(YEAR(B$2)+D405,MONTH(B$2),DAY(B$2)))</f>
        <v>33760</v>
      </c>
      <c r="G405" s="3" t="n">
        <f aca="false">IF(A405="","",DATE(YEAR(F405)+1,MONTH(F405),DAY(F405)))</f>
        <v>34125</v>
      </c>
      <c r="H405" s="10" t="n">
        <f aca="false">IF(A405="","",IF(G405&gt;F405,(B405-F405)/(G405-F405),0))</f>
        <v>0.657534246575342</v>
      </c>
      <c r="I405" s="10" t="n">
        <f aca="false">IF(A405="","",IFERROR(INDEX(CV_RATES!$I:$I,MATCH(D405,CV_RATES!$C:$C,0)),0))</f>
        <v>591.796506366195</v>
      </c>
      <c r="J405" s="10" t="n">
        <f aca="false">IF(A405="","",IFERROR(IF(E405=MAX(MORTALITY!$A:$A),1000,INDEX(CV_RATES!$J:$J,MATCH(D405,CV_RATES!$C:$C,0))),0))</f>
        <v>602.034716529614</v>
      </c>
      <c r="K405" s="10" t="n">
        <f aca="false">IF(A405="","",IFERROR(I405+H405*(J405-I405),0))</f>
        <v>598.528480172278</v>
      </c>
      <c r="L405" s="10" t="n">
        <f aca="false">IF(A405="","",IFERROR(K405*Inputs!$B$9,0))</f>
        <v>29926.4240086139</v>
      </c>
      <c r="M405" s="10" t="n">
        <f aca="false">IF(A405="","",IFERROR(K405*Inputs!$B$10,0))</f>
        <v>95762.761242124</v>
      </c>
      <c r="N405" s="10" t="n">
        <f aca="false">IF(A405="","",Z404)</f>
        <v>0</v>
      </c>
      <c r="O405" s="6" t="n">
        <f aca="false">IF(A405="","",Inputs!$B$18+N405)</f>
        <v>50000</v>
      </c>
      <c r="P405" s="5" t="n">
        <f aca="false">IF(A405="","",VLOOKUP(D405,DIvidend_Assumption!$A$3:$CX$103,($E$2+2),0)/12)</f>
        <v>0</v>
      </c>
      <c r="Q405" s="10" t="n">
        <f aca="false">IF(A405="","",IFERROR(AB404*P405,""))</f>
        <v>0</v>
      </c>
      <c r="R405" s="10" t="n">
        <f aca="false">IF(A405="","",IFERROR(IF(Inputs!$B$22="Accumulate",T405+Q405,IF(Inputs!$B$22="Premium Offset",MAX(0,T405+Q405-Inputs!$B$25),T405)),""))</f>
        <v>0</v>
      </c>
      <c r="S405" s="10" t="n">
        <f aca="false">IF(A405="","",R404)</f>
        <v>0</v>
      </c>
      <c r="T405" s="10" t="n">
        <f aca="false">IF(A405="","",IFERROR(S405*(1+Inputs!$B$23/12),""))</f>
        <v>0</v>
      </c>
      <c r="U405" s="6" t="n">
        <f aca="false">IF(A405="","",IF(D405&lt;=Inputs!$B$8,IF(Inputs!$B$22="Premium Offset",MAX(0,Inputs!$B$25-(Q405+T405)),Inputs!$B$25),0))</f>
        <v>0</v>
      </c>
      <c r="V405" s="10" t="n">
        <f aca="false">IF(A405="","",IF(Inputs!$B$22="Cash",Q405,0))</f>
        <v>0</v>
      </c>
      <c r="W405" s="10" t="n">
        <f aca="false">IF(A405="","",IF(Inputs!$B$22="PUA",Q405,0))</f>
        <v>0</v>
      </c>
      <c r="X405" s="12" t="n">
        <f aca="false">IF(A405="","",IFERROR(INDEX(PUA_TABLE!$D$4:$D$105,MATCH(E405,PUA_TABLE!$C$4:$C$105,1)),0))</f>
        <v>0.591796506366195</v>
      </c>
      <c r="Y405" s="10" t="n">
        <f aca="false">IF(A405="","",IF(W405&gt;0,IF(X405&gt;0,W405/X405,0),0))</f>
        <v>0</v>
      </c>
      <c r="Z405" s="10" t="n">
        <f aca="false">IF(A405="","",N405+Y405)</f>
        <v>0</v>
      </c>
      <c r="AA405" s="10" t="n">
        <f aca="false">IF(A405="","",IFERROR(Z405*INDEX(PUA_TABLE!$I$4:$I$105,MATCH(E405,PUA_TABLE!$C$4:$C$105,1))/1000,0))</f>
        <v>0</v>
      </c>
      <c r="AB405" s="10" t="n">
        <f aca="false">IF(A405="","",IFERROR(L405+AA405,0))</f>
        <v>29926.4240086139</v>
      </c>
      <c r="AC405" s="10" t="n">
        <f aca="false">IF(A405="","",IF(Inputs!$B$22="Premium Offset",MIN(Inputs!$B$25,Q405+T405),0))</f>
        <v>0</v>
      </c>
    </row>
    <row r="406" customFormat="false" ht="15" hidden="false" customHeight="false" outlineLevel="0" collapsed="false">
      <c r="A406" s="1" t="n">
        <f aca="false">IF(A405="","",IF(INT((C405+1)/12)+Inputs!$B$7&gt;MAX(MORTALITY!$A:$A),"",Inputs!$B$4))</f>
        <v>34</v>
      </c>
      <c r="B406" s="3" t="n">
        <f aca="false">IF(A406="","",EOMONTH(B405,1))</f>
        <v>34028</v>
      </c>
      <c r="C406" s="1" t="n">
        <f aca="false">IF(A406="","",C405+1)</f>
        <v>404</v>
      </c>
      <c r="D406" s="1" t="n">
        <f aca="false">IF(A406="","",INT(C406/12))</f>
        <v>33</v>
      </c>
      <c r="E406" s="1" t="n">
        <f aca="false">IF(A406="","",D406+Inputs!$B$7)</f>
        <v>49</v>
      </c>
      <c r="F406" s="3" t="n">
        <f aca="false">IF(A406="","",DATE(YEAR(B$2)+D406,MONTH(B$2),DAY(B$2)))</f>
        <v>33760</v>
      </c>
      <c r="G406" s="3" t="n">
        <f aca="false">IF(A406="","",DATE(YEAR(F406)+1,MONTH(F406),DAY(F406)))</f>
        <v>34125</v>
      </c>
      <c r="H406" s="10" t="n">
        <f aca="false">IF(A406="","",IF(G406&gt;F406,(B406-F406)/(G406-F406),0))</f>
        <v>0.734246575342466</v>
      </c>
      <c r="I406" s="10" t="n">
        <f aca="false">IF(A406="","",IFERROR(INDEX(CV_RATES!$I:$I,MATCH(D406,CV_RATES!$C:$C,0)),0))</f>
        <v>591.796506366195</v>
      </c>
      <c r="J406" s="10" t="n">
        <f aca="false">IF(A406="","",IFERROR(IF(E406=MAX(MORTALITY!$A:$A),1000,INDEX(CV_RATES!$J:$J,MATCH(D406,CV_RATES!$C:$C,0))),0))</f>
        <v>602.034716529614</v>
      </c>
      <c r="K406" s="10" t="n">
        <f aca="false">IF(A406="","",IFERROR(I406+H406*(J406-I406),0))</f>
        <v>599.313877116322</v>
      </c>
      <c r="L406" s="10" t="n">
        <f aca="false">IF(A406="","",IFERROR(K406*Inputs!$B$9,0))</f>
        <v>29965.6938558161</v>
      </c>
      <c r="M406" s="10" t="n">
        <f aca="false">IF(A406="","",IFERROR(K406*Inputs!$B$10,0))</f>
        <v>95888.4223969801</v>
      </c>
      <c r="N406" s="10" t="n">
        <f aca="false">IF(A406="","",Z405)</f>
        <v>0</v>
      </c>
      <c r="O406" s="6" t="n">
        <f aca="false">IF(A406="","",Inputs!$B$18+N406)</f>
        <v>50000</v>
      </c>
      <c r="P406" s="5" t="n">
        <f aca="false">IF(A406="","",VLOOKUP(D406,DIvidend_Assumption!$A$3:$CX$103,($E$2+2),0)/12)</f>
        <v>0</v>
      </c>
      <c r="Q406" s="10" t="n">
        <f aca="false">IF(A406="","",IFERROR(AB405*P406,""))</f>
        <v>0</v>
      </c>
      <c r="R406" s="10" t="n">
        <f aca="false">IF(A406="","",IFERROR(IF(Inputs!$B$22="Accumulate",T406+Q406,IF(Inputs!$B$22="Premium Offset",MAX(0,T406+Q406-Inputs!$B$25),T406)),""))</f>
        <v>0</v>
      </c>
      <c r="S406" s="10" t="n">
        <f aca="false">IF(A406="","",R405)</f>
        <v>0</v>
      </c>
      <c r="T406" s="10" t="n">
        <f aca="false">IF(A406="","",IFERROR(S406*(1+Inputs!$B$23/12),""))</f>
        <v>0</v>
      </c>
      <c r="U406" s="6" t="n">
        <f aca="false">IF(A406="","",IF(D406&lt;=Inputs!$B$8,IF(Inputs!$B$22="Premium Offset",MAX(0,Inputs!$B$25-(Q406+T406)),Inputs!$B$25),0))</f>
        <v>0</v>
      </c>
      <c r="V406" s="10" t="n">
        <f aca="false">IF(A406="","",IF(Inputs!$B$22="Cash",Q406,0))</f>
        <v>0</v>
      </c>
      <c r="W406" s="10" t="n">
        <f aca="false">IF(A406="","",IF(Inputs!$B$22="PUA",Q406,0))</f>
        <v>0</v>
      </c>
      <c r="X406" s="12" t="n">
        <f aca="false">IF(A406="","",IFERROR(INDEX(PUA_TABLE!$D$4:$D$105,MATCH(E406,PUA_TABLE!$C$4:$C$105,1)),0))</f>
        <v>0.591796506366195</v>
      </c>
      <c r="Y406" s="10" t="n">
        <f aca="false">IF(A406="","",IF(W406&gt;0,IF(X406&gt;0,W406/X406,0),0))</f>
        <v>0</v>
      </c>
      <c r="Z406" s="10" t="n">
        <f aca="false">IF(A406="","",N406+Y406)</f>
        <v>0</v>
      </c>
      <c r="AA406" s="10" t="n">
        <f aca="false">IF(A406="","",IFERROR(Z406*INDEX(PUA_TABLE!$I$4:$I$105,MATCH(E406,PUA_TABLE!$C$4:$C$105,1))/1000,0))</f>
        <v>0</v>
      </c>
      <c r="AB406" s="10" t="n">
        <f aca="false">IF(A406="","",IFERROR(L406+AA406,0))</f>
        <v>29965.6938558161</v>
      </c>
      <c r="AC406" s="10" t="n">
        <f aca="false">IF(A406="","",IF(Inputs!$B$22="Premium Offset",MIN(Inputs!$B$25,Q406+T406),0))</f>
        <v>0</v>
      </c>
    </row>
    <row r="407" customFormat="false" ht="15" hidden="false" customHeight="false" outlineLevel="0" collapsed="false">
      <c r="A407" s="1" t="n">
        <f aca="false">IF(A406="","",IF(INT((C406+1)/12)+Inputs!$B$7&gt;MAX(MORTALITY!$A:$A),"",Inputs!$B$4))</f>
        <v>34</v>
      </c>
      <c r="B407" s="3" t="n">
        <f aca="false">IF(A407="","",EOMONTH(B406,1))</f>
        <v>34059</v>
      </c>
      <c r="C407" s="1" t="n">
        <f aca="false">IF(A407="","",C406+1)</f>
        <v>405</v>
      </c>
      <c r="D407" s="1" t="n">
        <f aca="false">IF(A407="","",INT(C407/12))</f>
        <v>33</v>
      </c>
      <c r="E407" s="1" t="n">
        <f aca="false">IF(A407="","",D407+Inputs!$B$7)</f>
        <v>49</v>
      </c>
      <c r="F407" s="3" t="n">
        <f aca="false">IF(A407="","",DATE(YEAR(B$2)+D407,MONTH(B$2),DAY(B$2)))</f>
        <v>33760</v>
      </c>
      <c r="G407" s="3" t="n">
        <f aca="false">IF(A407="","",DATE(YEAR(F407)+1,MONTH(F407),DAY(F407)))</f>
        <v>34125</v>
      </c>
      <c r="H407" s="10" t="n">
        <f aca="false">IF(A407="","",IF(G407&gt;F407,(B407-F407)/(G407-F407),0))</f>
        <v>0.819178082191781</v>
      </c>
      <c r="I407" s="10" t="n">
        <f aca="false">IF(A407="","",IFERROR(INDEX(CV_RATES!$I:$I,MATCH(D407,CV_RATES!$C:$C,0)),0))</f>
        <v>591.796506366195</v>
      </c>
      <c r="J407" s="10" t="n">
        <f aca="false">IF(A407="","",IFERROR(IF(E407=MAX(MORTALITY!$A:$A),1000,INDEX(CV_RATES!$J:$J,MATCH(D407,CV_RATES!$C:$C,0))),0))</f>
        <v>602.034716529614</v>
      </c>
      <c r="K407" s="10" t="n">
        <f aca="false">IF(A407="","",IFERROR(I407+H407*(J407-I407),0))</f>
        <v>600.183423732941</v>
      </c>
      <c r="L407" s="10" t="n">
        <f aca="false">IF(A407="","",IFERROR(K407*Inputs!$B$9,0))</f>
        <v>30009.171186647</v>
      </c>
      <c r="M407" s="10" t="n">
        <f aca="false">IF(A407="","",IFERROR(K407*Inputs!$B$10,0))</f>
        <v>96027.5472469993</v>
      </c>
      <c r="N407" s="10" t="n">
        <f aca="false">IF(A407="","",Z406)</f>
        <v>0</v>
      </c>
      <c r="O407" s="6" t="n">
        <f aca="false">IF(A407="","",Inputs!$B$18+N407)</f>
        <v>50000</v>
      </c>
      <c r="P407" s="5" t="n">
        <f aca="false">IF(A407="","",VLOOKUP(D407,DIvidend_Assumption!$A$3:$CX$103,($E$2+2),0)/12)</f>
        <v>0</v>
      </c>
      <c r="Q407" s="10" t="n">
        <f aca="false">IF(A407="","",IFERROR(AB406*P407,""))</f>
        <v>0</v>
      </c>
      <c r="R407" s="10" t="n">
        <f aca="false">IF(A407="","",IFERROR(IF(Inputs!$B$22="Accumulate",T407+Q407,IF(Inputs!$B$22="Premium Offset",MAX(0,T407+Q407-Inputs!$B$25),T407)),""))</f>
        <v>0</v>
      </c>
      <c r="S407" s="10" t="n">
        <f aca="false">IF(A407="","",R406)</f>
        <v>0</v>
      </c>
      <c r="T407" s="10" t="n">
        <f aca="false">IF(A407="","",IFERROR(S407*(1+Inputs!$B$23/12),""))</f>
        <v>0</v>
      </c>
      <c r="U407" s="6" t="n">
        <f aca="false">IF(A407="","",IF(D407&lt;=Inputs!$B$8,IF(Inputs!$B$22="Premium Offset",MAX(0,Inputs!$B$25-(Q407+T407)),Inputs!$B$25),0))</f>
        <v>0</v>
      </c>
      <c r="V407" s="10" t="n">
        <f aca="false">IF(A407="","",IF(Inputs!$B$22="Cash",Q407,0))</f>
        <v>0</v>
      </c>
      <c r="W407" s="10" t="n">
        <f aca="false">IF(A407="","",IF(Inputs!$B$22="PUA",Q407,0))</f>
        <v>0</v>
      </c>
      <c r="X407" s="12" t="n">
        <f aca="false">IF(A407="","",IFERROR(INDEX(PUA_TABLE!$D$4:$D$105,MATCH(E407,PUA_TABLE!$C$4:$C$105,1)),0))</f>
        <v>0.591796506366195</v>
      </c>
      <c r="Y407" s="10" t="n">
        <f aca="false">IF(A407="","",IF(W407&gt;0,IF(X407&gt;0,W407/X407,0),0))</f>
        <v>0</v>
      </c>
      <c r="Z407" s="10" t="n">
        <f aca="false">IF(A407="","",N407+Y407)</f>
        <v>0</v>
      </c>
      <c r="AA407" s="10" t="n">
        <f aca="false">IF(A407="","",IFERROR(Z407*INDEX(PUA_TABLE!$I$4:$I$105,MATCH(E407,PUA_TABLE!$C$4:$C$105,1))/1000,0))</f>
        <v>0</v>
      </c>
      <c r="AB407" s="10" t="n">
        <f aca="false">IF(A407="","",IFERROR(L407+AA407,0))</f>
        <v>30009.171186647</v>
      </c>
      <c r="AC407" s="10" t="n">
        <f aca="false">IF(A407="","",IF(Inputs!$B$22="Premium Offset",MIN(Inputs!$B$25,Q407+T407),0))</f>
        <v>0</v>
      </c>
    </row>
    <row r="408" customFormat="false" ht="15" hidden="false" customHeight="false" outlineLevel="0" collapsed="false">
      <c r="A408" s="1" t="n">
        <f aca="false">IF(A407="","",IF(INT((C407+1)/12)+Inputs!$B$7&gt;MAX(MORTALITY!$A:$A),"",Inputs!$B$4))</f>
        <v>34</v>
      </c>
      <c r="B408" s="3" t="n">
        <f aca="false">IF(A408="","",EOMONTH(B407,1))</f>
        <v>34089</v>
      </c>
      <c r="C408" s="1" t="n">
        <f aca="false">IF(A408="","",C407+1)</f>
        <v>406</v>
      </c>
      <c r="D408" s="1" t="n">
        <f aca="false">IF(A408="","",INT(C408/12))</f>
        <v>33</v>
      </c>
      <c r="E408" s="1" t="n">
        <f aca="false">IF(A408="","",D408+Inputs!$B$7)</f>
        <v>49</v>
      </c>
      <c r="F408" s="3" t="n">
        <f aca="false">IF(A408="","",DATE(YEAR(B$2)+D408,MONTH(B$2),DAY(B$2)))</f>
        <v>33760</v>
      </c>
      <c r="G408" s="3" t="n">
        <f aca="false">IF(A408="","",DATE(YEAR(F408)+1,MONTH(F408),DAY(F408)))</f>
        <v>34125</v>
      </c>
      <c r="H408" s="10" t="n">
        <f aca="false">IF(A408="","",IF(G408&gt;F408,(B408-F408)/(G408-F408),0))</f>
        <v>0.901369863013699</v>
      </c>
      <c r="I408" s="10" t="n">
        <f aca="false">IF(A408="","",IFERROR(INDEX(CV_RATES!$I:$I,MATCH(D408,CV_RATES!$C:$C,0)),0))</f>
        <v>591.796506366195</v>
      </c>
      <c r="J408" s="10" t="n">
        <f aca="false">IF(A408="","",IFERROR(IF(E408=MAX(MORTALITY!$A:$A),1000,INDEX(CV_RATES!$J:$J,MATCH(D408,CV_RATES!$C:$C,0))),0))</f>
        <v>602.034716529614</v>
      </c>
      <c r="K408" s="10" t="n">
        <f aca="false">IF(A408="","",IFERROR(I408+H408*(J408-I408),0))</f>
        <v>601.024920458701</v>
      </c>
      <c r="L408" s="10" t="n">
        <f aca="false">IF(A408="","",IFERROR(K408*Inputs!$B$9,0))</f>
        <v>30051.2460229351</v>
      </c>
      <c r="M408" s="10" t="n">
        <f aca="false">IF(A408="","",IFERROR(K408*Inputs!$B$10,0))</f>
        <v>96162.1841986308</v>
      </c>
      <c r="N408" s="10" t="n">
        <f aca="false">IF(A408="","",Z407)</f>
        <v>0</v>
      </c>
      <c r="O408" s="6" t="n">
        <f aca="false">IF(A408="","",Inputs!$B$18+N408)</f>
        <v>50000</v>
      </c>
      <c r="P408" s="5" t="n">
        <f aca="false">IF(A408="","",VLOOKUP(D408,DIvidend_Assumption!$A$3:$CX$103,($E$2+2),0)/12)</f>
        <v>0</v>
      </c>
      <c r="Q408" s="10" t="n">
        <f aca="false">IF(A408="","",IFERROR(AB407*P408,""))</f>
        <v>0</v>
      </c>
      <c r="R408" s="10" t="n">
        <f aca="false">IF(A408="","",IFERROR(IF(Inputs!$B$22="Accumulate",T408+Q408,IF(Inputs!$B$22="Premium Offset",MAX(0,T408+Q408-Inputs!$B$25),T408)),""))</f>
        <v>0</v>
      </c>
      <c r="S408" s="10" t="n">
        <f aca="false">IF(A408="","",R407)</f>
        <v>0</v>
      </c>
      <c r="T408" s="10" t="n">
        <f aca="false">IF(A408="","",IFERROR(S408*(1+Inputs!$B$23/12),""))</f>
        <v>0</v>
      </c>
      <c r="U408" s="6" t="n">
        <f aca="false">IF(A408="","",IF(D408&lt;=Inputs!$B$8,IF(Inputs!$B$22="Premium Offset",MAX(0,Inputs!$B$25-(Q408+T408)),Inputs!$B$25),0))</f>
        <v>0</v>
      </c>
      <c r="V408" s="10" t="n">
        <f aca="false">IF(A408="","",IF(Inputs!$B$22="Cash",Q408,0))</f>
        <v>0</v>
      </c>
      <c r="W408" s="10" t="n">
        <f aca="false">IF(A408="","",IF(Inputs!$B$22="PUA",Q408,0))</f>
        <v>0</v>
      </c>
      <c r="X408" s="12" t="n">
        <f aca="false">IF(A408="","",IFERROR(INDEX(PUA_TABLE!$D$4:$D$105,MATCH(E408,PUA_TABLE!$C$4:$C$105,1)),0))</f>
        <v>0.591796506366195</v>
      </c>
      <c r="Y408" s="10" t="n">
        <f aca="false">IF(A408="","",IF(W408&gt;0,IF(X408&gt;0,W408/X408,0),0))</f>
        <v>0</v>
      </c>
      <c r="Z408" s="10" t="n">
        <f aca="false">IF(A408="","",N408+Y408)</f>
        <v>0</v>
      </c>
      <c r="AA408" s="10" t="n">
        <f aca="false">IF(A408="","",IFERROR(Z408*INDEX(PUA_TABLE!$I$4:$I$105,MATCH(E408,PUA_TABLE!$C$4:$C$105,1))/1000,0))</f>
        <v>0</v>
      </c>
      <c r="AB408" s="10" t="n">
        <f aca="false">IF(A408="","",IFERROR(L408+AA408,0))</f>
        <v>30051.2460229351</v>
      </c>
      <c r="AC408" s="10" t="n">
        <f aca="false">IF(A408="","",IF(Inputs!$B$22="Premium Offset",MIN(Inputs!$B$25,Q408+T408),0))</f>
        <v>0</v>
      </c>
    </row>
    <row r="409" customFormat="false" ht="15" hidden="false" customHeight="false" outlineLevel="0" collapsed="false">
      <c r="A409" s="1" t="n">
        <f aca="false">IF(A408="","",IF(INT((C408+1)/12)+Inputs!$B$7&gt;MAX(MORTALITY!$A:$A),"",Inputs!$B$4))</f>
        <v>34</v>
      </c>
      <c r="B409" s="3" t="n">
        <f aca="false">IF(A409="","",EOMONTH(B408,1))</f>
        <v>34120</v>
      </c>
      <c r="C409" s="1" t="n">
        <f aca="false">IF(A409="","",C408+1)</f>
        <v>407</v>
      </c>
      <c r="D409" s="1" t="n">
        <f aca="false">IF(A409="","",INT(C409/12))</f>
        <v>33</v>
      </c>
      <c r="E409" s="1" t="n">
        <f aca="false">IF(A409="","",D409+Inputs!$B$7)</f>
        <v>49</v>
      </c>
      <c r="F409" s="3" t="n">
        <f aca="false">IF(A409="","",DATE(YEAR(B$2)+D409,MONTH(B$2),DAY(B$2)))</f>
        <v>33760</v>
      </c>
      <c r="G409" s="3" t="n">
        <f aca="false">IF(A409="","",DATE(YEAR(F409)+1,MONTH(F409),DAY(F409)))</f>
        <v>34125</v>
      </c>
      <c r="H409" s="10" t="n">
        <f aca="false">IF(A409="","",IF(G409&gt;F409,(B409-F409)/(G409-F409),0))</f>
        <v>0.986301369863014</v>
      </c>
      <c r="I409" s="10" t="n">
        <f aca="false">IF(A409="","",IFERROR(INDEX(CV_RATES!$I:$I,MATCH(D409,CV_RATES!$C:$C,0)),0))</f>
        <v>591.796506366195</v>
      </c>
      <c r="J409" s="10" t="n">
        <f aca="false">IF(A409="","",IFERROR(IF(E409=MAX(MORTALITY!$A:$A),1000,INDEX(CV_RATES!$J:$J,MATCH(D409,CV_RATES!$C:$C,0))),0))</f>
        <v>602.034716529614</v>
      </c>
      <c r="K409" s="10" t="n">
        <f aca="false">IF(A409="","",IFERROR(I409+H409*(J409-I409),0))</f>
        <v>601.89446707532</v>
      </c>
      <c r="L409" s="10" t="n">
        <f aca="false">IF(A409="","",IFERROR(K409*Inputs!$B$9,0))</f>
        <v>30094.723353766</v>
      </c>
      <c r="M409" s="10" t="n">
        <f aca="false">IF(A409="","",IFERROR(K409*Inputs!$B$10,0))</f>
        <v>96301.30904865</v>
      </c>
      <c r="N409" s="10" t="n">
        <f aca="false">IF(A409="","",Z408)</f>
        <v>0</v>
      </c>
      <c r="O409" s="6" t="n">
        <f aca="false">IF(A409="","",Inputs!$B$18+N409)</f>
        <v>50000</v>
      </c>
      <c r="P409" s="5" t="n">
        <f aca="false">IF(A409="","",VLOOKUP(D409,DIvidend_Assumption!$A$3:$CX$103,($E$2+2),0)/12)</f>
        <v>0</v>
      </c>
      <c r="Q409" s="10" t="n">
        <f aca="false">IF(A409="","",IFERROR(AB408*P409,""))</f>
        <v>0</v>
      </c>
      <c r="R409" s="10" t="n">
        <f aca="false">IF(A409="","",IFERROR(IF(Inputs!$B$22="Accumulate",T409+Q409,IF(Inputs!$B$22="Premium Offset",MAX(0,T409+Q409-Inputs!$B$25),T409)),""))</f>
        <v>0</v>
      </c>
      <c r="S409" s="10" t="n">
        <f aca="false">IF(A409="","",R408)</f>
        <v>0</v>
      </c>
      <c r="T409" s="10" t="n">
        <f aca="false">IF(A409="","",IFERROR(S409*(1+Inputs!$B$23/12),""))</f>
        <v>0</v>
      </c>
      <c r="U409" s="6" t="n">
        <f aca="false">IF(A409="","",IF(D409&lt;=Inputs!$B$8,IF(Inputs!$B$22="Premium Offset",MAX(0,Inputs!$B$25-(Q409+T409)),Inputs!$B$25),0))</f>
        <v>0</v>
      </c>
      <c r="V409" s="10" t="n">
        <f aca="false">IF(A409="","",IF(Inputs!$B$22="Cash",Q409,0))</f>
        <v>0</v>
      </c>
      <c r="W409" s="10" t="n">
        <f aca="false">IF(A409="","",IF(Inputs!$B$22="PUA",Q409,0))</f>
        <v>0</v>
      </c>
      <c r="X409" s="12" t="n">
        <f aca="false">IF(A409="","",IFERROR(INDEX(PUA_TABLE!$D$4:$D$105,MATCH(E409,PUA_TABLE!$C$4:$C$105,1)),0))</f>
        <v>0.591796506366195</v>
      </c>
      <c r="Y409" s="10" t="n">
        <f aca="false">IF(A409="","",IF(W409&gt;0,IF(X409&gt;0,W409/X409,0),0))</f>
        <v>0</v>
      </c>
      <c r="Z409" s="10" t="n">
        <f aca="false">IF(A409="","",N409+Y409)</f>
        <v>0</v>
      </c>
      <c r="AA409" s="10" t="n">
        <f aca="false">IF(A409="","",IFERROR(Z409*INDEX(PUA_TABLE!$I$4:$I$105,MATCH(E409,PUA_TABLE!$C$4:$C$105,1))/1000,0))</f>
        <v>0</v>
      </c>
      <c r="AB409" s="10" t="n">
        <f aca="false">IF(A409="","",IFERROR(L409+AA409,0))</f>
        <v>30094.723353766</v>
      </c>
      <c r="AC409" s="10" t="n">
        <f aca="false">IF(A409="","",IF(Inputs!$B$22="Premium Offset",MIN(Inputs!$B$25,Q409+T409),0))</f>
        <v>0</v>
      </c>
    </row>
    <row r="410" customFormat="false" ht="15" hidden="false" customHeight="false" outlineLevel="0" collapsed="false">
      <c r="A410" s="1" t="n">
        <f aca="false">IF(A409="","",IF(INT((C409+1)/12)+Inputs!$B$7&gt;MAX(MORTALITY!$A:$A),"",Inputs!$B$4))</f>
        <v>34</v>
      </c>
      <c r="B410" s="3" t="n">
        <f aca="false">IF(A410="","",EOMONTH(B409,1))</f>
        <v>34150</v>
      </c>
      <c r="C410" s="1" t="n">
        <f aca="false">IF(A410="","",C409+1)</f>
        <v>408</v>
      </c>
      <c r="D410" s="1" t="n">
        <f aca="false">IF(A410="","",INT(C410/12))</f>
        <v>34</v>
      </c>
      <c r="E410" s="1" t="n">
        <f aca="false">IF(A410="","",D410+Inputs!$B$7)</f>
        <v>50</v>
      </c>
      <c r="F410" s="3" t="n">
        <f aca="false">IF(A410="","",DATE(YEAR(B$2)+D410,MONTH(B$2),DAY(B$2)))</f>
        <v>34125</v>
      </c>
      <c r="G410" s="3" t="n">
        <f aca="false">IF(A410="","",DATE(YEAR(F410)+1,MONTH(F410),DAY(F410)))</f>
        <v>34490</v>
      </c>
      <c r="H410" s="10" t="n">
        <f aca="false">IF(A410="","",IF(G410&gt;F410,(B410-F410)/(G410-F410),0))</f>
        <v>0.0684931506849315</v>
      </c>
      <c r="I410" s="10" t="n">
        <f aca="false">IF(A410="","",IFERROR(INDEX(CV_RATES!$I:$I,MATCH(D410,CV_RATES!$C:$C,0)),0))</f>
        <v>602.034716529614</v>
      </c>
      <c r="J410" s="10" t="n">
        <f aca="false">IF(A410="","",IFERROR(IF(E410=MAX(MORTALITY!$A:$A),1000,INDEX(CV_RATES!$J:$J,MATCH(D410,CV_RATES!$C:$C,0))),0))</f>
        <v>612.3092342083</v>
      </c>
      <c r="K410" s="10" t="n">
        <f aca="false">IF(A410="","",IFERROR(I410+H410*(J410-I410),0))</f>
        <v>602.738450617195</v>
      </c>
      <c r="L410" s="10" t="n">
        <f aca="false">IF(A410="","",IFERROR(K410*Inputs!$B$9,0))</f>
        <v>30136.9225308597</v>
      </c>
      <c r="M410" s="10" t="n">
        <f aca="false">IF(A410="","",IFERROR(K410*Inputs!$B$10,0))</f>
        <v>96436.3438833993</v>
      </c>
      <c r="N410" s="10" t="n">
        <f aca="false">IF(A410="","",Z409)</f>
        <v>0</v>
      </c>
      <c r="O410" s="6" t="n">
        <f aca="false">IF(A410="","",Inputs!$B$18+N410)</f>
        <v>50000</v>
      </c>
      <c r="P410" s="5" t="n">
        <f aca="false">IF(A410="","",VLOOKUP(D410,DIvidend_Assumption!$A$3:$CX$103,($E$2+2),0)/12)</f>
        <v>0</v>
      </c>
      <c r="Q410" s="10" t="n">
        <f aca="false">IF(A410="","",IFERROR(AB409*P410,""))</f>
        <v>0</v>
      </c>
      <c r="R410" s="10" t="n">
        <f aca="false">IF(A410="","",IFERROR(IF(Inputs!$B$22="Accumulate",T410+Q410,IF(Inputs!$B$22="Premium Offset",MAX(0,T410+Q410-Inputs!$B$25),T410)),""))</f>
        <v>0</v>
      </c>
      <c r="S410" s="10" t="n">
        <f aca="false">IF(A410="","",R409)</f>
        <v>0</v>
      </c>
      <c r="T410" s="10" t="n">
        <f aca="false">IF(A410="","",IFERROR(S410*(1+Inputs!$B$23/12),""))</f>
        <v>0</v>
      </c>
      <c r="U410" s="6" t="n">
        <f aca="false">IF(A410="","",IF(D410&lt;=Inputs!$B$8,IF(Inputs!$B$22="Premium Offset",MAX(0,Inputs!$B$25-(Q410+T410)),Inputs!$B$25),0))</f>
        <v>0</v>
      </c>
      <c r="V410" s="10" t="n">
        <f aca="false">IF(A410="","",IF(Inputs!$B$22="Cash",Q410,0))</f>
        <v>0</v>
      </c>
      <c r="W410" s="10" t="n">
        <f aca="false">IF(A410="","",IF(Inputs!$B$22="PUA",Q410,0))</f>
        <v>0</v>
      </c>
      <c r="X410" s="12" t="n">
        <f aca="false">IF(A410="","",IFERROR(INDEX(PUA_TABLE!$D$4:$D$105,MATCH(E410,PUA_TABLE!$C$4:$C$105,1)),0))</f>
        <v>0.602034716529614</v>
      </c>
      <c r="Y410" s="10" t="n">
        <f aca="false">IF(A410="","",IF(W410&gt;0,IF(X410&gt;0,W410/X410,0),0))</f>
        <v>0</v>
      </c>
      <c r="Z410" s="10" t="n">
        <f aca="false">IF(A410="","",N410+Y410)</f>
        <v>0</v>
      </c>
      <c r="AA410" s="10" t="n">
        <f aca="false">IF(A410="","",IFERROR(Z410*INDEX(PUA_TABLE!$I$4:$I$105,MATCH(E410,PUA_TABLE!$C$4:$C$105,1))/1000,0))</f>
        <v>0</v>
      </c>
      <c r="AB410" s="10" t="n">
        <f aca="false">IF(A410="","",IFERROR(L410+AA410,0))</f>
        <v>30136.9225308597</v>
      </c>
      <c r="AC410" s="10" t="n">
        <f aca="false">IF(A410="","",IF(Inputs!$B$22="Premium Offset",MIN(Inputs!$B$25,Q410+T410),0))</f>
        <v>0</v>
      </c>
    </row>
    <row r="411" customFormat="false" ht="15" hidden="false" customHeight="false" outlineLevel="0" collapsed="false">
      <c r="A411" s="1" t="n">
        <f aca="false">IF(A410="","",IF(INT((C410+1)/12)+Inputs!$B$7&gt;MAX(MORTALITY!$A:$A),"",Inputs!$B$4))</f>
        <v>34</v>
      </c>
      <c r="B411" s="3" t="n">
        <f aca="false">IF(A411="","",EOMONTH(B410,1))</f>
        <v>34181</v>
      </c>
      <c r="C411" s="1" t="n">
        <f aca="false">IF(A411="","",C410+1)</f>
        <v>409</v>
      </c>
      <c r="D411" s="1" t="n">
        <f aca="false">IF(A411="","",INT(C411/12))</f>
        <v>34</v>
      </c>
      <c r="E411" s="1" t="n">
        <f aca="false">IF(A411="","",D411+Inputs!$B$7)</f>
        <v>50</v>
      </c>
      <c r="F411" s="3" t="n">
        <f aca="false">IF(A411="","",DATE(YEAR(B$2)+D411,MONTH(B$2),DAY(B$2)))</f>
        <v>34125</v>
      </c>
      <c r="G411" s="3" t="n">
        <f aca="false">IF(A411="","",DATE(YEAR(F411)+1,MONTH(F411),DAY(F411)))</f>
        <v>34490</v>
      </c>
      <c r="H411" s="10" t="n">
        <f aca="false">IF(A411="","",IF(G411&gt;F411,(B411-F411)/(G411-F411),0))</f>
        <v>0.153424657534247</v>
      </c>
      <c r="I411" s="10" t="n">
        <f aca="false">IF(A411="","",IFERROR(INDEX(CV_RATES!$I:$I,MATCH(D411,CV_RATES!$C:$C,0)),0))</f>
        <v>602.034716529614</v>
      </c>
      <c r="J411" s="10" t="n">
        <f aca="false">IF(A411="","",IFERROR(IF(E411=MAX(MORTALITY!$A:$A),1000,INDEX(CV_RATES!$J:$J,MATCH(D411,CV_RATES!$C:$C,0))),0))</f>
        <v>612.3092342083</v>
      </c>
      <c r="K411" s="10" t="n">
        <f aca="false">IF(A411="","",IFERROR(I411+H411*(J411-I411),0))</f>
        <v>603.611080885796</v>
      </c>
      <c r="L411" s="10" t="n">
        <f aca="false">IF(A411="","",IFERROR(K411*Inputs!$B$9,0))</f>
        <v>30180.5540442898</v>
      </c>
      <c r="M411" s="10" t="n">
        <f aca="false">IF(A411="","",IFERROR(K411*Inputs!$B$10,0))</f>
        <v>96575.9621084846</v>
      </c>
      <c r="N411" s="10" t="n">
        <f aca="false">IF(A411="","",Z410)</f>
        <v>0</v>
      </c>
      <c r="O411" s="6" t="n">
        <f aca="false">IF(A411="","",Inputs!$B$18+N411)</f>
        <v>50000</v>
      </c>
      <c r="P411" s="5" t="n">
        <f aca="false">IF(A411="","",VLOOKUP(D411,DIvidend_Assumption!$A$3:$CX$103,($E$2+2),0)/12)</f>
        <v>0</v>
      </c>
      <c r="Q411" s="10" t="n">
        <f aca="false">IF(A411="","",IFERROR(AB410*P411,""))</f>
        <v>0</v>
      </c>
      <c r="R411" s="10" t="n">
        <f aca="false">IF(A411="","",IFERROR(IF(Inputs!$B$22="Accumulate",T411+Q411,IF(Inputs!$B$22="Premium Offset",MAX(0,T411+Q411-Inputs!$B$25),T411)),""))</f>
        <v>0</v>
      </c>
      <c r="S411" s="10" t="n">
        <f aca="false">IF(A411="","",R410)</f>
        <v>0</v>
      </c>
      <c r="T411" s="10" t="n">
        <f aca="false">IF(A411="","",IFERROR(S411*(1+Inputs!$B$23/12),""))</f>
        <v>0</v>
      </c>
      <c r="U411" s="6" t="n">
        <f aca="false">IF(A411="","",IF(D411&lt;=Inputs!$B$8,IF(Inputs!$B$22="Premium Offset",MAX(0,Inputs!$B$25-(Q411+T411)),Inputs!$B$25),0))</f>
        <v>0</v>
      </c>
      <c r="V411" s="10" t="n">
        <f aca="false">IF(A411="","",IF(Inputs!$B$22="Cash",Q411,0))</f>
        <v>0</v>
      </c>
      <c r="W411" s="10" t="n">
        <f aca="false">IF(A411="","",IF(Inputs!$B$22="PUA",Q411,0))</f>
        <v>0</v>
      </c>
      <c r="X411" s="12" t="n">
        <f aca="false">IF(A411="","",IFERROR(INDEX(PUA_TABLE!$D$4:$D$105,MATCH(E411,PUA_TABLE!$C$4:$C$105,1)),0))</f>
        <v>0.602034716529614</v>
      </c>
      <c r="Y411" s="10" t="n">
        <f aca="false">IF(A411="","",IF(W411&gt;0,IF(X411&gt;0,W411/X411,0),0))</f>
        <v>0</v>
      </c>
      <c r="Z411" s="10" t="n">
        <f aca="false">IF(A411="","",N411+Y411)</f>
        <v>0</v>
      </c>
      <c r="AA411" s="10" t="n">
        <f aca="false">IF(A411="","",IFERROR(Z411*INDEX(PUA_TABLE!$I$4:$I$105,MATCH(E411,PUA_TABLE!$C$4:$C$105,1))/1000,0))</f>
        <v>0</v>
      </c>
      <c r="AB411" s="10" t="n">
        <f aca="false">IF(A411="","",IFERROR(L411+AA411,0))</f>
        <v>30180.5540442898</v>
      </c>
      <c r="AC411" s="10" t="n">
        <f aca="false">IF(A411="","",IF(Inputs!$B$22="Premium Offset",MIN(Inputs!$B$25,Q411+T411),0))</f>
        <v>0</v>
      </c>
    </row>
    <row r="412" customFormat="false" ht="15" hidden="false" customHeight="false" outlineLevel="0" collapsed="false">
      <c r="A412" s="1" t="n">
        <f aca="false">IF(A411="","",IF(INT((C411+1)/12)+Inputs!$B$7&gt;MAX(MORTALITY!$A:$A),"",Inputs!$B$4))</f>
        <v>34</v>
      </c>
      <c r="B412" s="3" t="n">
        <f aca="false">IF(A412="","",EOMONTH(B411,1))</f>
        <v>34212</v>
      </c>
      <c r="C412" s="1" t="n">
        <f aca="false">IF(A412="","",C411+1)</f>
        <v>410</v>
      </c>
      <c r="D412" s="1" t="n">
        <f aca="false">IF(A412="","",INT(C412/12))</f>
        <v>34</v>
      </c>
      <c r="E412" s="1" t="n">
        <f aca="false">IF(A412="","",D412+Inputs!$B$7)</f>
        <v>50</v>
      </c>
      <c r="F412" s="3" t="n">
        <f aca="false">IF(A412="","",DATE(YEAR(B$2)+D412,MONTH(B$2),DAY(B$2)))</f>
        <v>34125</v>
      </c>
      <c r="G412" s="3" t="n">
        <f aca="false">IF(A412="","",DATE(YEAR(F412)+1,MONTH(F412),DAY(F412)))</f>
        <v>34490</v>
      </c>
      <c r="H412" s="10" t="n">
        <f aca="false">IF(A412="","",IF(G412&gt;F412,(B412-F412)/(G412-F412),0))</f>
        <v>0.238356164383562</v>
      </c>
      <c r="I412" s="10" t="n">
        <f aca="false">IF(A412="","",IFERROR(INDEX(CV_RATES!$I:$I,MATCH(D412,CV_RATES!$C:$C,0)),0))</f>
        <v>602.034716529614</v>
      </c>
      <c r="J412" s="10" t="n">
        <f aca="false">IF(A412="","",IFERROR(IF(E412=MAX(MORTALITY!$A:$A),1000,INDEX(CV_RATES!$J:$J,MATCH(D412,CV_RATES!$C:$C,0))),0))</f>
        <v>612.3092342083</v>
      </c>
      <c r="K412" s="10" t="n">
        <f aca="false">IF(A412="","",IFERROR(I412+H412*(J412-I412),0))</f>
        <v>604.483711154396</v>
      </c>
      <c r="L412" s="10" t="n">
        <f aca="false">IF(A412="","",IFERROR(K412*Inputs!$B$9,0))</f>
        <v>30224.1855577198</v>
      </c>
      <c r="M412" s="10" t="n">
        <f aca="false">IF(A412="","",IFERROR(K412*Inputs!$B$10,0))</f>
        <v>96715.58033357</v>
      </c>
      <c r="N412" s="10" t="n">
        <f aca="false">IF(A412="","",Z411)</f>
        <v>0</v>
      </c>
      <c r="O412" s="6" t="n">
        <f aca="false">IF(A412="","",Inputs!$B$18+N412)</f>
        <v>50000</v>
      </c>
      <c r="P412" s="5" t="n">
        <f aca="false">IF(A412="","",VLOOKUP(D412,DIvidend_Assumption!$A$3:$CX$103,($E$2+2),0)/12)</f>
        <v>0</v>
      </c>
      <c r="Q412" s="10" t="n">
        <f aca="false">IF(A412="","",IFERROR(AB411*P412,""))</f>
        <v>0</v>
      </c>
      <c r="R412" s="10" t="n">
        <f aca="false">IF(A412="","",IFERROR(IF(Inputs!$B$22="Accumulate",T412+Q412,IF(Inputs!$B$22="Premium Offset",MAX(0,T412+Q412-Inputs!$B$25),T412)),""))</f>
        <v>0</v>
      </c>
      <c r="S412" s="10" t="n">
        <f aca="false">IF(A412="","",R411)</f>
        <v>0</v>
      </c>
      <c r="T412" s="10" t="n">
        <f aca="false">IF(A412="","",IFERROR(S412*(1+Inputs!$B$23/12),""))</f>
        <v>0</v>
      </c>
      <c r="U412" s="6" t="n">
        <f aca="false">IF(A412="","",IF(D412&lt;=Inputs!$B$8,IF(Inputs!$B$22="Premium Offset",MAX(0,Inputs!$B$25-(Q412+T412)),Inputs!$B$25),0))</f>
        <v>0</v>
      </c>
      <c r="V412" s="10" t="n">
        <f aca="false">IF(A412="","",IF(Inputs!$B$22="Cash",Q412,0))</f>
        <v>0</v>
      </c>
      <c r="W412" s="10" t="n">
        <f aca="false">IF(A412="","",IF(Inputs!$B$22="PUA",Q412,0))</f>
        <v>0</v>
      </c>
      <c r="X412" s="12" t="n">
        <f aca="false">IF(A412="","",IFERROR(INDEX(PUA_TABLE!$D$4:$D$105,MATCH(E412,PUA_TABLE!$C$4:$C$105,1)),0))</f>
        <v>0.602034716529614</v>
      </c>
      <c r="Y412" s="10" t="n">
        <f aca="false">IF(A412="","",IF(W412&gt;0,IF(X412&gt;0,W412/X412,0),0))</f>
        <v>0</v>
      </c>
      <c r="Z412" s="10" t="n">
        <f aca="false">IF(A412="","",N412+Y412)</f>
        <v>0</v>
      </c>
      <c r="AA412" s="10" t="n">
        <f aca="false">IF(A412="","",IFERROR(Z412*INDEX(PUA_TABLE!$I$4:$I$105,MATCH(E412,PUA_TABLE!$C$4:$C$105,1))/1000,0))</f>
        <v>0</v>
      </c>
      <c r="AB412" s="10" t="n">
        <f aca="false">IF(A412="","",IFERROR(L412+AA412,0))</f>
        <v>30224.1855577198</v>
      </c>
      <c r="AC412" s="10" t="n">
        <f aca="false">IF(A412="","",IF(Inputs!$B$22="Premium Offset",MIN(Inputs!$B$25,Q412+T412),0))</f>
        <v>0</v>
      </c>
    </row>
    <row r="413" customFormat="false" ht="15" hidden="false" customHeight="false" outlineLevel="0" collapsed="false">
      <c r="A413" s="1" t="n">
        <f aca="false">IF(A412="","",IF(INT((C412+1)/12)+Inputs!$B$7&gt;MAX(MORTALITY!$A:$A),"",Inputs!$B$4))</f>
        <v>34</v>
      </c>
      <c r="B413" s="3" t="n">
        <f aca="false">IF(A413="","",EOMONTH(B412,1))</f>
        <v>34242</v>
      </c>
      <c r="C413" s="1" t="n">
        <f aca="false">IF(A413="","",C412+1)</f>
        <v>411</v>
      </c>
      <c r="D413" s="1" t="n">
        <f aca="false">IF(A413="","",INT(C413/12))</f>
        <v>34</v>
      </c>
      <c r="E413" s="1" t="n">
        <f aca="false">IF(A413="","",D413+Inputs!$B$7)</f>
        <v>50</v>
      </c>
      <c r="F413" s="3" t="n">
        <f aca="false">IF(A413="","",DATE(YEAR(B$2)+D413,MONTH(B$2),DAY(B$2)))</f>
        <v>34125</v>
      </c>
      <c r="G413" s="3" t="n">
        <f aca="false">IF(A413="","",DATE(YEAR(F413)+1,MONTH(F413),DAY(F413)))</f>
        <v>34490</v>
      </c>
      <c r="H413" s="10" t="n">
        <f aca="false">IF(A413="","",IF(G413&gt;F413,(B413-F413)/(G413-F413),0))</f>
        <v>0.320547945205479</v>
      </c>
      <c r="I413" s="10" t="n">
        <f aca="false">IF(A413="","",IFERROR(INDEX(CV_RATES!$I:$I,MATCH(D413,CV_RATES!$C:$C,0)),0))</f>
        <v>602.034716529614</v>
      </c>
      <c r="J413" s="10" t="n">
        <f aca="false">IF(A413="","",IFERROR(IF(E413=MAX(MORTALITY!$A:$A),1000,INDEX(CV_RATES!$J:$J,MATCH(D413,CV_RATES!$C:$C,0))),0))</f>
        <v>612.3092342083</v>
      </c>
      <c r="K413" s="10" t="n">
        <f aca="false">IF(A413="","",IFERROR(I413+H413*(J413-I413),0))</f>
        <v>605.328192059494</v>
      </c>
      <c r="L413" s="10" t="n">
        <f aca="false">IF(A413="","",IFERROR(K413*Inputs!$B$9,0))</f>
        <v>30266.4096029747</v>
      </c>
      <c r="M413" s="10" t="n">
        <f aca="false">IF(A413="","",IFERROR(K413*Inputs!$B$10,0))</f>
        <v>96850.6947449428</v>
      </c>
      <c r="N413" s="10" t="n">
        <f aca="false">IF(A413="","",Z412)</f>
        <v>0</v>
      </c>
      <c r="O413" s="6" t="n">
        <f aca="false">IF(A413="","",Inputs!$B$18+N413)</f>
        <v>50000</v>
      </c>
      <c r="P413" s="5" t="n">
        <f aca="false">IF(A413="","",VLOOKUP(D413,DIvidend_Assumption!$A$3:$CX$103,($E$2+2),0)/12)</f>
        <v>0</v>
      </c>
      <c r="Q413" s="10" t="n">
        <f aca="false">IF(A413="","",IFERROR(AB412*P413,""))</f>
        <v>0</v>
      </c>
      <c r="R413" s="10" t="n">
        <f aca="false">IF(A413="","",IFERROR(IF(Inputs!$B$22="Accumulate",T413+Q413,IF(Inputs!$B$22="Premium Offset",MAX(0,T413+Q413-Inputs!$B$25),T413)),""))</f>
        <v>0</v>
      </c>
      <c r="S413" s="10" t="n">
        <f aca="false">IF(A413="","",R412)</f>
        <v>0</v>
      </c>
      <c r="T413" s="10" t="n">
        <f aca="false">IF(A413="","",IFERROR(S413*(1+Inputs!$B$23/12),""))</f>
        <v>0</v>
      </c>
      <c r="U413" s="6" t="n">
        <f aca="false">IF(A413="","",IF(D413&lt;=Inputs!$B$8,IF(Inputs!$B$22="Premium Offset",MAX(0,Inputs!$B$25-(Q413+T413)),Inputs!$B$25),0))</f>
        <v>0</v>
      </c>
      <c r="V413" s="10" t="n">
        <f aca="false">IF(A413="","",IF(Inputs!$B$22="Cash",Q413,0))</f>
        <v>0</v>
      </c>
      <c r="W413" s="10" t="n">
        <f aca="false">IF(A413="","",IF(Inputs!$B$22="PUA",Q413,0))</f>
        <v>0</v>
      </c>
      <c r="X413" s="12" t="n">
        <f aca="false">IF(A413="","",IFERROR(INDEX(PUA_TABLE!$D$4:$D$105,MATCH(E413,PUA_TABLE!$C$4:$C$105,1)),0))</f>
        <v>0.602034716529614</v>
      </c>
      <c r="Y413" s="10" t="n">
        <f aca="false">IF(A413="","",IF(W413&gt;0,IF(X413&gt;0,W413/X413,0),0))</f>
        <v>0</v>
      </c>
      <c r="Z413" s="10" t="n">
        <f aca="false">IF(A413="","",N413+Y413)</f>
        <v>0</v>
      </c>
      <c r="AA413" s="10" t="n">
        <f aca="false">IF(A413="","",IFERROR(Z413*INDEX(PUA_TABLE!$I$4:$I$105,MATCH(E413,PUA_TABLE!$C$4:$C$105,1))/1000,0))</f>
        <v>0</v>
      </c>
      <c r="AB413" s="10" t="n">
        <f aca="false">IF(A413="","",IFERROR(L413+AA413,0))</f>
        <v>30266.4096029747</v>
      </c>
      <c r="AC413" s="10" t="n">
        <f aca="false">IF(A413="","",IF(Inputs!$B$22="Premium Offset",MIN(Inputs!$B$25,Q413+T413),0))</f>
        <v>0</v>
      </c>
    </row>
    <row r="414" customFormat="false" ht="15" hidden="false" customHeight="false" outlineLevel="0" collapsed="false">
      <c r="A414" s="1" t="n">
        <f aca="false">IF(A413="","",IF(INT((C413+1)/12)+Inputs!$B$7&gt;MAX(MORTALITY!$A:$A),"",Inputs!$B$4))</f>
        <v>34</v>
      </c>
      <c r="B414" s="3" t="n">
        <f aca="false">IF(A414="","",EOMONTH(B413,1))</f>
        <v>34273</v>
      </c>
      <c r="C414" s="1" t="n">
        <f aca="false">IF(A414="","",C413+1)</f>
        <v>412</v>
      </c>
      <c r="D414" s="1" t="n">
        <f aca="false">IF(A414="","",INT(C414/12))</f>
        <v>34</v>
      </c>
      <c r="E414" s="1" t="n">
        <f aca="false">IF(A414="","",D414+Inputs!$B$7)</f>
        <v>50</v>
      </c>
      <c r="F414" s="3" t="n">
        <f aca="false">IF(A414="","",DATE(YEAR(B$2)+D414,MONTH(B$2),DAY(B$2)))</f>
        <v>34125</v>
      </c>
      <c r="G414" s="3" t="n">
        <f aca="false">IF(A414="","",DATE(YEAR(F414)+1,MONTH(F414),DAY(F414)))</f>
        <v>34490</v>
      </c>
      <c r="H414" s="10" t="n">
        <f aca="false">IF(A414="","",IF(G414&gt;F414,(B414-F414)/(G414-F414),0))</f>
        <v>0.405479452054795</v>
      </c>
      <c r="I414" s="10" t="n">
        <f aca="false">IF(A414="","",IFERROR(INDEX(CV_RATES!$I:$I,MATCH(D414,CV_RATES!$C:$C,0)),0))</f>
        <v>602.034716529614</v>
      </c>
      <c r="J414" s="10" t="n">
        <f aca="false">IF(A414="","",IFERROR(IF(E414=MAX(MORTALITY!$A:$A),1000,INDEX(CV_RATES!$J:$J,MATCH(D414,CV_RATES!$C:$C,0))),0))</f>
        <v>612.3092342083</v>
      </c>
      <c r="K414" s="10" t="n">
        <f aca="false">IF(A414="","",IFERROR(I414+H414*(J414-I414),0))</f>
        <v>606.200822328095</v>
      </c>
      <c r="L414" s="10" t="n">
        <f aca="false">IF(A414="","",IFERROR(K414*Inputs!$B$9,0))</f>
        <v>30310.0411164047</v>
      </c>
      <c r="M414" s="10" t="n">
        <f aca="false">IF(A414="","",IFERROR(K414*Inputs!$B$10,0))</f>
        <v>96990.3129700282</v>
      </c>
      <c r="N414" s="10" t="n">
        <f aca="false">IF(A414="","",Z413)</f>
        <v>0</v>
      </c>
      <c r="O414" s="6" t="n">
        <f aca="false">IF(A414="","",Inputs!$B$18+N414)</f>
        <v>50000</v>
      </c>
      <c r="P414" s="5" t="n">
        <f aca="false">IF(A414="","",VLOOKUP(D414,DIvidend_Assumption!$A$3:$CX$103,($E$2+2),0)/12)</f>
        <v>0</v>
      </c>
      <c r="Q414" s="10" t="n">
        <f aca="false">IF(A414="","",IFERROR(AB413*P414,""))</f>
        <v>0</v>
      </c>
      <c r="R414" s="10" t="n">
        <f aca="false">IF(A414="","",IFERROR(IF(Inputs!$B$22="Accumulate",T414+Q414,IF(Inputs!$B$22="Premium Offset",MAX(0,T414+Q414-Inputs!$B$25),T414)),""))</f>
        <v>0</v>
      </c>
      <c r="S414" s="10" t="n">
        <f aca="false">IF(A414="","",R413)</f>
        <v>0</v>
      </c>
      <c r="T414" s="10" t="n">
        <f aca="false">IF(A414="","",IFERROR(S414*(1+Inputs!$B$23/12),""))</f>
        <v>0</v>
      </c>
      <c r="U414" s="6" t="n">
        <f aca="false">IF(A414="","",IF(D414&lt;=Inputs!$B$8,IF(Inputs!$B$22="Premium Offset",MAX(0,Inputs!$B$25-(Q414+T414)),Inputs!$B$25),0))</f>
        <v>0</v>
      </c>
      <c r="V414" s="10" t="n">
        <f aca="false">IF(A414="","",IF(Inputs!$B$22="Cash",Q414,0))</f>
        <v>0</v>
      </c>
      <c r="W414" s="10" t="n">
        <f aca="false">IF(A414="","",IF(Inputs!$B$22="PUA",Q414,0))</f>
        <v>0</v>
      </c>
      <c r="X414" s="12" t="n">
        <f aca="false">IF(A414="","",IFERROR(INDEX(PUA_TABLE!$D$4:$D$105,MATCH(E414,PUA_TABLE!$C$4:$C$105,1)),0))</f>
        <v>0.602034716529614</v>
      </c>
      <c r="Y414" s="10" t="n">
        <f aca="false">IF(A414="","",IF(W414&gt;0,IF(X414&gt;0,W414/X414,0),0))</f>
        <v>0</v>
      </c>
      <c r="Z414" s="10" t="n">
        <f aca="false">IF(A414="","",N414+Y414)</f>
        <v>0</v>
      </c>
      <c r="AA414" s="10" t="n">
        <f aca="false">IF(A414="","",IFERROR(Z414*INDEX(PUA_TABLE!$I$4:$I$105,MATCH(E414,PUA_TABLE!$C$4:$C$105,1))/1000,0))</f>
        <v>0</v>
      </c>
      <c r="AB414" s="10" t="n">
        <f aca="false">IF(A414="","",IFERROR(L414+AA414,0))</f>
        <v>30310.0411164047</v>
      </c>
      <c r="AC414" s="10" t="n">
        <f aca="false">IF(A414="","",IF(Inputs!$B$22="Premium Offset",MIN(Inputs!$B$25,Q414+T414),0))</f>
        <v>0</v>
      </c>
    </row>
    <row r="415" customFormat="false" ht="15" hidden="false" customHeight="false" outlineLevel="0" collapsed="false">
      <c r="A415" s="1" t="n">
        <f aca="false">IF(A414="","",IF(INT((C414+1)/12)+Inputs!$B$7&gt;MAX(MORTALITY!$A:$A),"",Inputs!$B$4))</f>
        <v>34</v>
      </c>
      <c r="B415" s="3" t="n">
        <f aca="false">IF(A415="","",EOMONTH(B414,1))</f>
        <v>34303</v>
      </c>
      <c r="C415" s="1" t="n">
        <f aca="false">IF(A415="","",C414+1)</f>
        <v>413</v>
      </c>
      <c r="D415" s="1" t="n">
        <f aca="false">IF(A415="","",INT(C415/12))</f>
        <v>34</v>
      </c>
      <c r="E415" s="1" t="n">
        <f aca="false">IF(A415="","",D415+Inputs!$B$7)</f>
        <v>50</v>
      </c>
      <c r="F415" s="3" t="n">
        <f aca="false">IF(A415="","",DATE(YEAR(B$2)+D415,MONTH(B$2),DAY(B$2)))</f>
        <v>34125</v>
      </c>
      <c r="G415" s="3" t="n">
        <f aca="false">IF(A415="","",DATE(YEAR(F415)+1,MONTH(F415),DAY(F415)))</f>
        <v>34490</v>
      </c>
      <c r="H415" s="10" t="n">
        <f aca="false">IF(A415="","",IF(G415&gt;F415,(B415-F415)/(G415-F415),0))</f>
        <v>0.487671232876712</v>
      </c>
      <c r="I415" s="10" t="n">
        <f aca="false">IF(A415="","",IFERROR(INDEX(CV_RATES!$I:$I,MATCH(D415,CV_RATES!$C:$C,0)),0))</f>
        <v>602.034716529614</v>
      </c>
      <c r="J415" s="10" t="n">
        <f aca="false">IF(A415="","",IFERROR(IF(E415=MAX(MORTALITY!$A:$A),1000,INDEX(CV_RATES!$J:$J,MATCH(D415,CV_RATES!$C:$C,0))),0))</f>
        <v>612.3092342083</v>
      </c>
      <c r="K415" s="10" t="n">
        <f aca="false">IF(A415="","",IFERROR(I415+H415*(J415-I415),0))</f>
        <v>607.045303233192</v>
      </c>
      <c r="L415" s="10" t="n">
        <f aca="false">IF(A415="","",IFERROR(K415*Inputs!$B$9,0))</f>
        <v>30352.2651616596</v>
      </c>
      <c r="M415" s="10" t="n">
        <f aca="false">IF(A415="","",IFERROR(K415*Inputs!$B$10,0))</f>
        <v>97125.4273814011</v>
      </c>
      <c r="N415" s="10" t="n">
        <f aca="false">IF(A415="","",Z414)</f>
        <v>0</v>
      </c>
      <c r="O415" s="6" t="n">
        <f aca="false">IF(A415="","",Inputs!$B$18+N415)</f>
        <v>50000</v>
      </c>
      <c r="P415" s="5" t="n">
        <f aca="false">IF(A415="","",VLOOKUP(D415,DIvidend_Assumption!$A$3:$CX$103,($E$2+2),0)/12)</f>
        <v>0</v>
      </c>
      <c r="Q415" s="10" t="n">
        <f aca="false">IF(A415="","",IFERROR(AB414*P415,""))</f>
        <v>0</v>
      </c>
      <c r="R415" s="10" t="n">
        <f aca="false">IF(A415="","",IFERROR(IF(Inputs!$B$22="Accumulate",T415+Q415,IF(Inputs!$B$22="Premium Offset",MAX(0,T415+Q415-Inputs!$B$25),T415)),""))</f>
        <v>0</v>
      </c>
      <c r="S415" s="10" t="n">
        <f aca="false">IF(A415="","",R414)</f>
        <v>0</v>
      </c>
      <c r="T415" s="10" t="n">
        <f aca="false">IF(A415="","",IFERROR(S415*(1+Inputs!$B$23/12),""))</f>
        <v>0</v>
      </c>
      <c r="U415" s="6" t="n">
        <f aca="false">IF(A415="","",IF(D415&lt;=Inputs!$B$8,IF(Inputs!$B$22="Premium Offset",MAX(0,Inputs!$B$25-(Q415+T415)),Inputs!$B$25),0))</f>
        <v>0</v>
      </c>
      <c r="V415" s="10" t="n">
        <f aca="false">IF(A415="","",IF(Inputs!$B$22="Cash",Q415,0))</f>
        <v>0</v>
      </c>
      <c r="W415" s="10" t="n">
        <f aca="false">IF(A415="","",IF(Inputs!$B$22="PUA",Q415,0))</f>
        <v>0</v>
      </c>
      <c r="X415" s="12" t="n">
        <f aca="false">IF(A415="","",IFERROR(INDEX(PUA_TABLE!$D$4:$D$105,MATCH(E415,PUA_TABLE!$C$4:$C$105,1)),0))</f>
        <v>0.602034716529614</v>
      </c>
      <c r="Y415" s="10" t="n">
        <f aca="false">IF(A415="","",IF(W415&gt;0,IF(X415&gt;0,W415/X415,0),0))</f>
        <v>0</v>
      </c>
      <c r="Z415" s="10" t="n">
        <f aca="false">IF(A415="","",N415+Y415)</f>
        <v>0</v>
      </c>
      <c r="AA415" s="10" t="n">
        <f aca="false">IF(A415="","",IFERROR(Z415*INDEX(PUA_TABLE!$I$4:$I$105,MATCH(E415,PUA_TABLE!$C$4:$C$105,1))/1000,0))</f>
        <v>0</v>
      </c>
      <c r="AB415" s="10" t="n">
        <f aca="false">IF(A415="","",IFERROR(L415+AA415,0))</f>
        <v>30352.2651616596</v>
      </c>
      <c r="AC415" s="10" t="n">
        <f aca="false">IF(A415="","",IF(Inputs!$B$22="Premium Offset",MIN(Inputs!$B$25,Q415+T415),0))</f>
        <v>0</v>
      </c>
    </row>
    <row r="416" customFormat="false" ht="15" hidden="false" customHeight="false" outlineLevel="0" collapsed="false">
      <c r="A416" s="1" t="n">
        <f aca="false">IF(A415="","",IF(INT((C415+1)/12)+Inputs!$B$7&gt;MAX(MORTALITY!$A:$A),"",Inputs!$B$4))</f>
        <v>34</v>
      </c>
      <c r="B416" s="3" t="n">
        <f aca="false">IF(A416="","",EOMONTH(B415,1))</f>
        <v>34334</v>
      </c>
      <c r="C416" s="1" t="n">
        <f aca="false">IF(A416="","",C415+1)</f>
        <v>414</v>
      </c>
      <c r="D416" s="1" t="n">
        <f aca="false">IF(A416="","",INT(C416/12))</f>
        <v>34</v>
      </c>
      <c r="E416" s="1" t="n">
        <f aca="false">IF(A416="","",D416+Inputs!$B$7)</f>
        <v>50</v>
      </c>
      <c r="F416" s="3" t="n">
        <f aca="false">IF(A416="","",DATE(YEAR(B$2)+D416,MONTH(B$2),DAY(B$2)))</f>
        <v>34125</v>
      </c>
      <c r="G416" s="3" t="n">
        <f aca="false">IF(A416="","",DATE(YEAR(F416)+1,MONTH(F416),DAY(F416)))</f>
        <v>34490</v>
      </c>
      <c r="H416" s="10" t="n">
        <f aca="false">IF(A416="","",IF(G416&gt;F416,(B416-F416)/(G416-F416),0))</f>
        <v>0.572602739726027</v>
      </c>
      <c r="I416" s="10" t="n">
        <f aca="false">IF(A416="","",IFERROR(INDEX(CV_RATES!$I:$I,MATCH(D416,CV_RATES!$C:$C,0)),0))</f>
        <v>602.034716529614</v>
      </c>
      <c r="J416" s="10" t="n">
        <f aca="false">IF(A416="","",IFERROR(IF(E416=MAX(MORTALITY!$A:$A),1000,INDEX(CV_RATES!$J:$J,MATCH(D416,CV_RATES!$C:$C,0))),0))</f>
        <v>612.3092342083</v>
      </c>
      <c r="K416" s="10" t="n">
        <f aca="false">IF(A416="","",IFERROR(I416+H416*(J416-I416),0))</f>
        <v>607.917933501793</v>
      </c>
      <c r="L416" s="10" t="n">
        <f aca="false">IF(A416="","",IFERROR(K416*Inputs!$B$9,0))</f>
        <v>30395.8966750896</v>
      </c>
      <c r="M416" s="10" t="n">
        <f aca="false">IF(A416="","",IFERROR(K416*Inputs!$B$10,0))</f>
        <v>97265.0456064864</v>
      </c>
      <c r="N416" s="10" t="n">
        <f aca="false">IF(A416="","",Z415)</f>
        <v>0</v>
      </c>
      <c r="O416" s="6" t="n">
        <f aca="false">IF(A416="","",Inputs!$B$18+N416)</f>
        <v>50000</v>
      </c>
      <c r="P416" s="5" t="n">
        <f aca="false">IF(A416="","",VLOOKUP(D416,DIvidend_Assumption!$A$3:$CX$103,($E$2+2),0)/12)</f>
        <v>0</v>
      </c>
      <c r="Q416" s="10" t="n">
        <f aca="false">IF(A416="","",IFERROR(AB415*P416,""))</f>
        <v>0</v>
      </c>
      <c r="R416" s="10" t="n">
        <f aca="false">IF(A416="","",IFERROR(IF(Inputs!$B$22="Accumulate",T416+Q416,IF(Inputs!$B$22="Premium Offset",MAX(0,T416+Q416-Inputs!$B$25),T416)),""))</f>
        <v>0</v>
      </c>
      <c r="S416" s="10" t="n">
        <f aca="false">IF(A416="","",R415)</f>
        <v>0</v>
      </c>
      <c r="T416" s="10" t="n">
        <f aca="false">IF(A416="","",IFERROR(S416*(1+Inputs!$B$23/12),""))</f>
        <v>0</v>
      </c>
      <c r="U416" s="6" t="n">
        <f aca="false">IF(A416="","",IF(D416&lt;=Inputs!$B$8,IF(Inputs!$B$22="Premium Offset",MAX(0,Inputs!$B$25-(Q416+T416)),Inputs!$B$25),0))</f>
        <v>0</v>
      </c>
      <c r="V416" s="10" t="n">
        <f aca="false">IF(A416="","",IF(Inputs!$B$22="Cash",Q416,0))</f>
        <v>0</v>
      </c>
      <c r="W416" s="10" t="n">
        <f aca="false">IF(A416="","",IF(Inputs!$B$22="PUA",Q416,0))</f>
        <v>0</v>
      </c>
      <c r="X416" s="12" t="n">
        <f aca="false">IF(A416="","",IFERROR(INDEX(PUA_TABLE!$D$4:$D$105,MATCH(E416,PUA_TABLE!$C$4:$C$105,1)),0))</f>
        <v>0.602034716529614</v>
      </c>
      <c r="Y416" s="10" t="n">
        <f aca="false">IF(A416="","",IF(W416&gt;0,IF(X416&gt;0,W416/X416,0),0))</f>
        <v>0</v>
      </c>
      <c r="Z416" s="10" t="n">
        <f aca="false">IF(A416="","",N416+Y416)</f>
        <v>0</v>
      </c>
      <c r="AA416" s="10" t="n">
        <f aca="false">IF(A416="","",IFERROR(Z416*INDEX(PUA_TABLE!$I$4:$I$105,MATCH(E416,PUA_TABLE!$C$4:$C$105,1))/1000,0))</f>
        <v>0</v>
      </c>
      <c r="AB416" s="10" t="n">
        <f aca="false">IF(A416="","",IFERROR(L416+AA416,0))</f>
        <v>30395.8966750896</v>
      </c>
      <c r="AC416" s="10" t="n">
        <f aca="false">IF(A416="","",IF(Inputs!$B$22="Premium Offset",MIN(Inputs!$B$25,Q416+T416),0))</f>
        <v>0</v>
      </c>
    </row>
    <row r="417" customFormat="false" ht="15" hidden="false" customHeight="false" outlineLevel="0" collapsed="false">
      <c r="A417" s="1" t="n">
        <f aca="false">IF(A416="","",IF(INT((C416+1)/12)+Inputs!$B$7&gt;MAX(MORTALITY!$A:$A),"",Inputs!$B$4))</f>
        <v>34</v>
      </c>
      <c r="B417" s="3" t="n">
        <f aca="false">IF(A417="","",EOMONTH(B416,1))</f>
        <v>34365</v>
      </c>
      <c r="C417" s="1" t="n">
        <f aca="false">IF(A417="","",C416+1)</f>
        <v>415</v>
      </c>
      <c r="D417" s="1" t="n">
        <f aca="false">IF(A417="","",INT(C417/12))</f>
        <v>34</v>
      </c>
      <c r="E417" s="1" t="n">
        <f aca="false">IF(A417="","",D417+Inputs!$B$7)</f>
        <v>50</v>
      </c>
      <c r="F417" s="3" t="n">
        <f aca="false">IF(A417="","",DATE(YEAR(B$2)+D417,MONTH(B$2),DAY(B$2)))</f>
        <v>34125</v>
      </c>
      <c r="G417" s="3" t="n">
        <f aca="false">IF(A417="","",DATE(YEAR(F417)+1,MONTH(F417),DAY(F417)))</f>
        <v>34490</v>
      </c>
      <c r="H417" s="10" t="n">
        <f aca="false">IF(A417="","",IF(G417&gt;F417,(B417-F417)/(G417-F417),0))</f>
        <v>0.657534246575342</v>
      </c>
      <c r="I417" s="10" t="n">
        <f aca="false">IF(A417="","",IFERROR(INDEX(CV_RATES!$I:$I,MATCH(D417,CV_RATES!$C:$C,0)),0))</f>
        <v>602.034716529614</v>
      </c>
      <c r="J417" s="10" t="n">
        <f aca="false">IF(A417="","",IFERROR(IF(E417=MAX(MORTALITY!$A:$A),1000,INDEX(CV_RATES!$J:$J,MATCH(D417,CV_RATES!$C:$C,0))),0))</f>
        <v>612.3092342083</v>
      </c>
      <c r="K417" s="10" t="n">
        <f aca="false">IF(A417="","",IFERROR(I417+H417*(J417-I417),0))</f>
        <v>608.790563770394</v>
      </c>
      <c r="L417" s="10" t="n">
        <f aca="false">IF(A417="","",IFERROR(K417*Inputs!$B$9,0))</f>
        <v>30439.5281885197</v>
      </c>
      <c r="M417" s="10" t="n">
        <f aca="false">IF(A417="","",IFERROR(K417*Inputs!$B$10,0))</f>
        <v>97404.6638315717</v>
      </c>
      <c r="N417" s="10" t="n">
        <f aca="false">IF(A417="","",Z416)</f>
        <v>0</v>
      </c>
      <c r="O417" s="6" t="n">
        <f aca="false">IF(A417="","",Inputs!$B$18+N417)</f>
        <v>50000</v>
      </c>
      <c r="P417" s="5" t="n">
        <f aca="false">IF(A417="","",VLOOKUP(D417,DIvidend_Assumption!$A$3:$CX$103,($E$2+2),0)/12)</f>
        <v>0</v>
      </c>
      <c r="Q417" s="10" t="n">
        <f aca="false">IF(A417="","",IFERROR(AB416*P417,""))</f>
        <v>0</v>
      </c>
      <c r="R417" s="10" t="n">
        <f aca="false">IF(A417="","",IFERROR(IF(Inputs!$B$22="Accumulate",T417+Q417,IF(Inputs!$B$22="Premium Offset",MAX(0,T417+Q417-Inputs!$B$25),T417)),""))</f>
        <v>0</v>
      </c>
      <c r="S417" s="10" t="n">
        <f aca="false">IF(A417="","",R416)</f>
        <v>0</v>
      </c>
      <c r="T417" s="10" t="n">
        <f aca="false">IF(A417="","",IFERROR(S417*(1+Inputs!$B$23/12),""))</f>
        <v>0</v>
      </c>
      <c r="U417" s="6" t="n">
        <f aca="false">IF(A417="","",IF(D417&lt;=Inputs!$B$8,IF(Inputs!$B$22="Premium Offset",MAX(0,Inputs!$B$25-(Q417+T417)),Inputs!$B$25),0))</f>
        <v>0</v>
      </c>
      <c r="V417" s="10" t="n">
        <f aca="false">IF(A417="","",IF(Inputs!$B$22="Cash",Q417,0))</f>
        <v>0</v>
      </c>
      <c r="W417" s="10" t="n">
        <f aca="false">IF(A417="","",IF(Inputs!$B$22="PUA",Q417,0))</f>
        <v>0</v>
      </c>
      <c r="X417" s="12" t="n">
        <f aca="false">IF(A417="","",IFERROR(INDEX(PUA_TABLE!$D$4:$D$105,MATCH(E417,PUA_TABLE!$C$4:$C$105,1)),0))</f>
        <v>0.602034716529614</v>
      </c>
      <c r="Y417" s="10" t="n">
        <f aca="false">IF(A417="","",IF(W417&gt;0,IF(X417&gt;0,W417/X417,0),0))</f>
        <v>0</v>
      </c>
      <c r="Z417" s="10" t="n">
        <f aca="false">IF(A417="","",N417+Y417)</f>
        <v>0</v>
      </c>
      <c r="AA417" s="10" t="n">
        <f aca="false">IF(A417="","",IFERROR(Z417*INDEX(PUA_TABLE!$I$4:$I$105,MATCH(E417,PUA_TABLE!$C$4:$C$105,1))/1000,0))</f>
        <v>0</v>
      </c>
      <c r="AB417" s="10" t="n">
        <f aca="false">IF(A417="","",IFERROR(L417+AA417,0))</f>
        <v>30439.5281885197</v>
      </c>
      <c r="AC417" s="10" t="n">
        <f aca="false">IF(A417="","",IF(Inputs!$B$22="Premium Offset",MIN(Inputs!$B$25,Q417+T417),0))</f>
        <v>0</v>
      </c>
    </row>
    <row r="418" customFormat="false" ht="15" hidden="false" customHeight="false" outlineLevel="0" collapsed="false">
      <c r="A418" s="1" t="n">
        <f aca="false">IF(A417="","",IF(INT((C417+1)/12)+Inputs!$B$7&gt;MAX(MORTALITY!$A:$A),"",Inputs!$B$4))</f>
        <v>34</v>
      </c>
      <c r="B418" s="3" t="n">
        <f aca="false">IF(A418="","",EOMONTH(B417,1))</f>
        <v>34393</v>
      </c>
      <c r="C418" s="1" t="n">
        <f aca="false">IF(A418="","",C417+1)</f>
        <v>416</v>
      </c>
      <c r="D418" s="1" t="n">
        <f aca="false">IF(A418="","",INT(C418/12))</f>
        <v>34</v>
      </c>
      <c r="E418" s="1" t="n">
        <f aca="false">IF(A418="","",D418+Inputs!$B$7)</f>
        <v>50</v>
      </c>
      <c r="F418" s="3" t="n">
        <f aca="false">IF(A418="","",DATE(YEAR(B$2)+D418,MONTH(B$2),DAY(B$2)))</f>
        <v>34125</v>
      </c>
      <c r="G418" s="3" t="n">
        <f aca="false">IF(A418="","",DATE(YEAR(F418)+1,MONTH(F418),DAY(F418)))</f>
        <v>34490</v>
      </c>
      <c r="H418" s="10" t="n">
        <f aca="false">IF(A418="","",IF(G418&gt;F418,(B418-F418)/(G418-F418),0))</f>
        <v>0.734246575342466</v>
      </c>
      <c r="I418" s="10" t="n">
        <f aca="false">IF(A418="","",IFERROR(INDEX(CV_RATES!$I:$I,MATCH(D418,CV_RATES!$C:$C,0)),0))</f>
        <v>602.034716529614</v>
      </c>
      <c r="J418" s="10" t="n">
        <f aca="false">IF(A418="","",IFERROR(IF(E418=MAX(MORTALITY!$A:$A),1000,INDEX(CV_RATES!$J:$J,MATCH(D418,CV_RATES!$C:$C,0))),0))</f>
        <v>612.3092342083</v>
      </c>
      <c r="K418" s="10" t="n">
        <f aca="false">IF(A418="","",IFERROR(I418+H418*(J418-I418),0))</f>
        <v>609.578745948485</v>
      </c>
      <c r="L418" s="10" t="n">
        <f aca="false">IF(A418="","",IFERROR(K418*Inputs!$B$9,0))</f>
        <v>30478.9372974242</v>
      </c>
      <c r="M418" s="10" t="n">
        <f aca="false">IF(A418="","",IFERROR(K418*Inputs!$B$10,0))</f>
        <v>97530.7706155197</v>
      </c>
      <c r="N418" s="10" t="n">
        <f aca="false">IF(A418="","",Z417)</f>
        <v>0</v>
      </c>
      <c r="O418" s="6" t="n">
        <f aca="false">IF(A418="","",Inputs!$B$18+N418)</f>
        <v>50000</v>
      </c>
      <c r="P418" s="5" t="n">
        <f aca="false">IF(A418="","",VLOOKUP(D418,DIvidend_Assumption!$A$3:$CX$103,($E$2+2),0)/12)</f>
        <v>0</v>
      </c>
      <c r="Q418" s="10" t="n">
        <f aca="false">IF(A418="","",IFERROR(AB417*P418,""))</f>
        <v>0</v>
      </c>
      <c r="R418" s="10" t="n">
        <f aca="false">IF(A418="","",IFERROR(IF(Inputs!$B$22="Accumulate",T418+Q418,IF(Inputs!$B$22="Premium Offset",MAX(0,T418+Q418-Inputs!$B$25),T418)),""))</f>
        <v>0</v>
      </c>
      <c r="S418" s="10" t="n">
        <f aca="false">IF(A418="","",R417)</f>
        <v>0</v>
      </c>
      <c r="T418" s="10" t="n">
        <f aca="false">IF(A418="","",IFERROR(S418*(1+Inputs!$B$23/12),""))</f>
        <v>0</v>
      </c>
      <c r="U418" s="6" t="n">
        <f aca="false">IF(A418="","",IF(D418&lt;=Inputs!$B$8,IF(Inputs!$B$22="Premium Offset",MAX(0,Inputs!$B$25-(Q418+T418)),Inputs!$B$25),0))</f>
        <v>0</v>
      </c>
      <c r="V418" s="10" t="n">
        <f aca="false">IF(A418="","",IF(Inputs!$B$22="Cash",Q418,0))</f>
        <v>0</v>
      </c>
      <c r="W418" s="10" t="n">
        <f aca="false">IF(A418="","",IF(Inputs!$B$22="PUA",Q418,0))</f>
        <v>0</v>
      </c>
      <c r="X418" s="12" t="n">
        <f aca="false">IF(A418="","",IFERROR(INDEX(PUA_TABLE!$D$4:$D$105,MATCH(E418,PUA_TABLE!$C$4:$C$105,1)),0))</f>
        <v>0.602034716529614</v>
      </c>
      <c r="Y418" s="10" t="n">
        <f aca="false">IF(A418="","",IF(W418&gt;0,IF(X418&gt;0,W418/X418,0),0))</f>
        <v>0</v>
      </c>
      <c r="Z418" s="10" t="n">
        <f aca="false">IF(A418="","",N418+Y418)</f>
        <v>0</v>
      </c>
      <c r="AA418" s="10" t="n">
        <f aca="false">IF(A418="","",IFERROR(Z418*INDEX(PUA_TABLE!$I$4:$I$105,MATCH(E418,PUA_TABLE!$C$4:$C$105,1))/1000,0))</f>
        <v>0</v>
      </c>
      <c r="AB418" s="10" t="n">
        <f aca="false">IF(A418="","",IFERROR(L418+AA418,0))</f>
        <v>30478.9372974242</v>
      </c>
      <c r="AC418" s="10" t="n">
        <f aca="false">IF(A418="","",IF(Inputs!$B$22="Premium Offset",MIN(Inputs!$B$25,Q418+T418),0))</f>
        <v>0</v>
      </c>
    </row>
    <row r="419" customFormat="false" ht="15" hidden="false" customHeight="false" outlineLevel="0" collapsed="false">
      <c r="A419" s="1" t="n">
        <f aca="false">IF(A418="","",IF(INT((C418+1)/12)+Inputs!$B$7&gt;MAX(MORTALITY!$A:$A),"",Inputs!$B$4))</f>
        <v>34</v>
      </c>
      <c r="B419" s="3" t="n">
        <f aca="false">IF(A419="","",EOMONTH(B418,1))</f>
        <v>34424</v>
      </c>
      <c r="C419" s="1" t="n">
        <f aca="false">IF(A419="","",C418+1)</f>
        <v>417</v>
      </c>
      <c r="D419" s="1" t="n">
        <f aca="false">IF(A419="","",INT(C419/12))</f>
        <v>34</v>
      </c>
      <c r="E419" s="1" t="n">
        <f aca="false">IF(A419="","",D419+Inputs!$B$7)</f>
        <v>50</v>
      </c>
      <c r="F419" s="3" t="n">
        <f aca="false">IF(A419="","",DATE(YEAR(B$2)+D419,MONTH(B$2),DAY(B$2)))</f>
        <v>34125</v>
      </c>
      <c r="G419" s="3" t="n">
        <f aca="false">IF(A419="","",DATE(YEAR(F419)+1,MONTH(F419),DAY(F419)))</f>
        <v>34490</v>
      </c>
      <c r="H419" s="10" t="n">
        <f aca="false">IF(A419="","",IF(G419&gt;F419,(B419-F419)/(G419-F419),0))</f>
        <v>0.819178082191781</v>
      </c>
      <c r="I419" s="10" t="n">
        <f aca="false">IF(A419="","",IFERROR(INDEX(CV_RATES!$I:$I,MATCH(D419,CV_RATES!$C:$C,0)),0))</f>
        <v>602.034716529614</v>
      </c>
      <c r="J419" s="10" t="n">
        <f aca="false">IF(A419="","",IFERROR(IF(E419=MAX(MORTALITY!$A:$A),1000,INDEX(CV_RATES!$J:$J,MATCH(D419,CV_RATES!$C:$C,0))),0))</f>
        <v>612.3092342083</v>
      </c>
      <c r="K419" s="10" t="n">
        <f aca="false">IF(A419="","",IFERROR(I419+H419*(J419-I419),0))</f>
        <v>610.451376217086</v>
      </c>
      <c r="L419" s="10" t="n">
        <f aca="false">IF(A419="","",IFERROR(K419*Inputs!$B$9,0))</f>
        <v>30522.5688108543</v>
      </c>
      <c r="M419" s="10" t="n">
        <f aca="false">IF(A419="","",IFERROR(K419*Inputs!$B$10,0))</f>
        <v>97670.388840605</v>
      </c>
      <c r="N419" s="10" t="n">
        <f aca="false">IF(A419="","",Z418)</f>
        <v>0</v>
      </c>
      <c r="O419" s="6" t="n">
        <f aca="false">IF(A419="","",Inputs!$B$18+N419)</f>
        <v>50000</v>
      </c>
      <c r="P419" s="5" t="n">
        <f aca="false">IF(A419="","",VLOOKUP(D419,DIvidend_Assumption!$A$3:$CX$103,($E$2+2),0)/12)</f>
        <v>0</v>
      </c>
      <c r="Q419" s="10" t="n">
        <f aca="false">IF(A419="","",IFERROR(AB418*P419,""))</f>
        <v>0</v>
      </c>
      <c r="R419" s="10" t="n">
        <f aca="false">IF(A419="","",IFERROR(IF(Inputs!$B$22="Accumulate",T419+Q419,IF(Inputs!$B$22="Premium Offset",MAX(0,T419+Q419-Inputs!$B$25),T419)),""))</f>
        <v>0</v>
      </c>
      <c r="S419" s="10" t="n">
        <f aca="false">IF(A419="","",R418)</f>
        <v>0</v>
      </c>
      <c r="T419" s="10" t="n">
        <f aca="false">IF(A419="","",IFERROR(S419*(1+Inputs!$B$23/12),""))</f>
        <v>0</v>
      </c>
      <c r="U419" s="6" t="n">
        <f aca="false">IF(A419="","",IF(D419&lt;=Inputs!$B$8,IF(Inputs!$B$22="Premium Offset",MAX(0,Inputs!$B$25-(Q419+T419)),Inputs!$B$25),0))</f>
        <v>0</v>
      </c>
      <c r="V419" s="10" t="n">
        <f aca="false">IF(A419="","",IF(Inputs!$B$22="Cash",Q419,0))</f>
        <v>0</v>
      </c>
      <c r="W419" s="10" t="n">
        <f aca="false">IF(A419="","",IF(Inputs!$B$22="PUA",Q419,0))</f>
        <v>0</v>
      </c>
      <c r="X419" s="12" t="n">
        <f aca="false">IF(A419="","",IFERROR(INDEX(PUA_TABLE!$D$4:$D$105,MATCH(E419,PUA_TABLE!$C$4:$C$105,1)),0))</f>
        <v>0.602034716529614</v>
      </c>
      <c r="Y419" s="10" t="n">
        <f aca="false">IF(A419="","",IF(W419&gt;0,IF(X419&gt;0,W419/X419,0),0))</f>
        <v>0</v>
      </c>
      <c r="Z419" s="10" t="n">
        <f aca="false">IF(A419="","",N419+Y419)</f>
        <v>0</v>
      </c>
      <c r="AA419" s="10" t="n">
        <f aca="false">IF(A419="","",IFERROR(Z419*INDEX(PUA_TABLE!$I$4:$I$105,MATCH(E419,PUA_TABLE!$C$4:$C$105,1))/1000,0))</f>
        <v>0</v>
      </c>
      <c r="AB419" s="10" t="n">
        <f aca="false">IF(A419="","",IFERROR(L419+AA419,0))</f>
        <v>30522.5688108543</v>
      </c>
      <c r="AC419" s="10" t="n">
        <f aca="false">IF(A419="","",IF(Inputs!$B$22="Premium Offset",MIN(Inputs!$B$25,Q419+T419),0))</f>
        <v>0</v>
      </c>
    </row>
    <row r="420" customFormat="false" ht="15" hidden="false" customHeight="false" outlineLevel="0" collapsed="false">
      <c r="A420" s="1" t="n">
        <f aca="false">IF(A419="","",IF(INT((C419+1)/12)+Inputs!$B$7&gt;MAX(MORTALITY!$A:$A),"",Inputs!$B$4))</f>
        <v>34</v>
      </c>
      <c r="B420" s="3" t="n">
        <f aca="false">IF(A420="","",EOMONTH(B419,1))</f>
        <v>34454</v>
      </c>
      <c r="C420" s="1" t="n">
        <f aca="false">IF(A420="","",C419+1)</f>
        <v>418</v>
      </c>
      <c r="D420" s="1" t="n">
        <f aca="false">IF(A420="","",INT(C420/12))</f>
        <v>34</v>
      </c>
      <c r="E420" s="1" t="n">
        <f aca="false">IF(A420="","",D420+Inputs!$B$7)</f>
        <v>50</v>
      </c>
      <c r="F420" s="3" t="n">
        <f aca="false">IF(A420="","",DATE(YEAR(B$2)+D420,MONTH(B$2),DAY(B$2)))</f>
        <v>34125</v>
      </c>
      <c r="G420" s="3" t="n">
        <f aca="false">IF(A420="","",DATE(YEAR(F420)+1,MONTH(F420),DAY(F420)))</f>
        <v>34490</v>
      </c>
      <c r="H420" s="10" t="n">
        <f aca="false">IF(A420="","",IF(G420&gt;F420,(B420-F420)/(G420-F420),0))</f>
        <v>0.901369863013699</v>
      </c>
      <c r="I420" s="10" t="n">
        <f aca="false">IF(A420="","",IFERROR(INDEX(CV_RATES!$I:$I,MATCH(D420,CV_RATES!$C:$C,0)),0))</f>
        <v>602.034716529614</v>
      </c>
      <c r="J420" s="10" t="n">
        <f aca="false">IF(A420="","",IFERROR(IF(E420=MAX(MORTALITY!$A:$A),1000,INDEX(CV_RATES!$J:$J,MATCH(D420,CV_RATES!$C:$C,0))),0))</f>
        <v>612.3092342083</v>
      </c>
      <c r="K420" s="10" t="n">
        <f aca="false">IF(A420="","",IFERROR(I420+H420*(J420-I420),0))</f>
        <v>611.295857122183</v>
      </c>
      <c r="L420" s="10" t="n">
        <f aca="false">IF(A420="","",IFERROR(K420*Inputs!$B$9,0))</f>
        <v>30564.7928561091</v>
      </c>
      <c r="M420" s="10" t="n">
        <f aca="false">IF(A420="","",IFERROR(K420*Inputs!$B$10,0))</f>
        <v>97805.5032519779</v>
      </c>
      <c r="N420" s="10" t="n">
        <f aca="false">IF(A420="","",Z419)</f>
        <v>0</v>
      </c>
      <c r="O420" s="6" t="n">
        <f aca="false">IF(A420="","",Inputs!$B$18+N420)</f>
        <v>50000</v>
      </c>
      <c r="P420" s="5" t="n">
        <f aca="false">IF(A420="","",VLOOKUP(D420,DIvidend_Assumption!$A$3:$CX$103,($E$2+2),0)/12)</f>
        <v>0</v>
      </c>
      <c r="Q420" s="10" t="n">
        <f aca="false">IF(A420="","",IFERROR(AB419*P420,""))</f>
        <v>0</v>
      </c>
      <c r="R420" s="10" t="n">
        <f aca="false">IF(A420="","",IFERROR(IF(Inputs!$B$22="Accumulate",T420+Q420,IF(Inputs!$B$22="Premium Offset",MAX(0,T420+Q420-Inputs!$B$25),T420)),""))</f>
        <v>0</v>
      </c>
      <c r="S420" s="10" t="n">
        <f aca="false">IF(A420="","",R419)</f>
        <v>0</v>
      </c>
      <c r="T420" s="10" t="n">
        <f aca="false">IF(A420="","",IFERROR(S420*(1+Inputs!$B$23/12),""))</f>
        <v>0</v>
      </c>
      <c r="U420" s="6" t="n">
        <f aca="false">IF(A420="","",IF(D420&lt;=Inputs!$B$8,IF(Inputs!$B$22="Premium Offset",MAX(0,Inputs!$B$25-(Q420+T420)),Inputs!$B$25),0))</f>
        <v>0</v>
      </c>
      <c r="V420" s="10" t="n">
        <f aca="false">IF(A420="","",IF(Inputs!$B$22="Cash",Q420,0))</f>
        <v>0</v>
      </c>
      <c r="W420" s="10" t="n">
        <f aca="false">IF(A420="","",IF(Inputs!$B$22="PUA",Q420,0))</f>
        <v>0</v>
      </c>
      <c r="X420" s="12" t="n">
        <f aca="false">IF(A420="","",IFERROR(INDEX(PUA_TABLE!$D$4:$D$105,MATCH(E420,PUA_TABLE!$C$4:$C$105,1)),0))</f>
        <v>0.602034716529614</v>
      </c>
      <c r="Y420" s="10" t="n">
        <f aca="false">IF(A420="","",IF(W420&gt;0,IF(X420&gt;0,W420/X420,0),0))</f>
        <v>0</v>
      </c>
      <c r="Z420" s="10" t="n">
        <f aca="false">IF(A420="","",N420+Y420)</f>
        <v>0</v>
      </c>
      <c r="AA420" s="10" t="n">
        <f aca="false">IF(A420="","",IFERROR(Z420*INDEX(PUA_TABLE!$I$4:$I$105,MATCH(E420,PUA_TABLE!$C$4:$C$105,1))/1000,0))</f>
        <v>0</v>
      </c>
      <c r="AB420" s="10" t="n">
        <f aca="false">IF(A420="","",IFERROR(L420+AA420,0))</f>
        <v>30564.7928561091</v>
      </c>
      <c r="AC420" s="10" t="n">
        <f aca="false">IF(A420="","",IF(Inputs!$B$22="Premium Offset",MIN(Inputs!$B$25,Q420+T420),0))</f>
        <v>0</v>
      </c>
    </row>
    <row r="421" customFormat="false" ht="15" hidden="false" customHeight="false" outlineLevel="0" collapsed="false">
      <c r="A421" s="1" t="n">
        <f aca="false">IF(A420="","",IF(INT((C420+1)/12)+Inputs!$B$7&gt;MAX(MORTALITY!$A:$A),"",Inputs!$B$4))</f>
        <v>34</v>
      </c>
      <c r="B421" s="3" t="n">
        <f aca="false">IF(A421="","",EOMONTH(B420,1))</f>
        <v>34485</v>
      </c>
      <c r="C421" s="1" t="n">
        <f aca="false">IF(A421="","",C420+1)</f>
        <v>419</v>
      </c>
      <c r="D421" s="1" t="n">
        <f aca="false">IF(A421="","",INT(C421/12))</f>
        <v>34</v>
      </c>
      <c r="E421" s="1" t="n">
        <f aca="false">IF(A421="","",D421+Inputs!$B$7)</f>
        <v>50</v>
      </c>
      <c r="F421" s="3" t="n">
        <f aca="false">IF(A421="","",DATE(YEAR(B$2)+D421,MONTH(B$2),DAY(B$2)))</f>
        <v>34125</v>
      </c>
      <c r="G421" s="3" t="n">
        <f aca="false">IF(A421="","",DATE(YEAR(F421)+1,MONTH(F421),DAY(F421)))</f>
        <v>34490</v>
      </c>
      <c r="H421" s="10" t="n">
        <f aca="false">IF(A421="","",IF(G421&gt;F421,(B421-F421)/(G421-F421),0))</f>
        <v>0.986301369863014</v>
      </c>
      <c r="I421" s="10" t="n">
        <f aca="false">IF(A421="","",IFERROR(INDEX(CV_RATES!$I:$I,MATCH(D421,CV_RATES!$C:$C,0)),0))</f>
        <v>602.034716529614</v>
      </c>
      <c r="J421" s="10" t="n">
        <f aca="false">IF(A421="","",IFERROR(IF(E421=MAX(MORTALITY!$A:$A),1000,INDEX(CV_RATES!$J:$J,MATCH(D421,CV_RATES!$C:$C,0))),0))</f>
        <v>612.3092342083</v>
      </c>
      <c r="K421" s="10" t="n">
        <f aca="false">IF(A421="","",IFERROR(I421+H421*(J421-I421),0))</f>
        <v>612.168487390784</v>
      </c>
      <c r="L421" s="10" t="n">
        <f aca="false">IF(A421="","",IFERROR(K421*Inputs!$B$9,0))</f>
        <v>30608.4243695392</v>
      </c>
      <c r="M421" s="10" t="n">
        <f aca="false">IF(A421="","",IFERROR(K421*Inputs!$B$10,0))</f>
        <v>97945.1214770632</v>
      </c>
      <c r="N421" s="10" t="n">
        <f aca="false">IF(A421="","",Z420)</f>
        <v>0</v>
      </c>
      <c r="O421" s="6" t="n">
        <f aca="false">IF(A421="","",Inputs!$B$18+N421)</f>
        <v>50000</v>
      </c>
      <c r="P421" s="5" t="n">
        <f aca="false">IF(A421="","",VLOOKUP(D421,DIvidend_Assumption!$A$3:$CX$103,($E$2+2),0)/12)</f>
        <v>0</v>
      </c>
      <c r="Q421" s="10" t="n">
        <f aca="false">IF(A421="","",IFERROR(AB420*P421,""))</f>
        <v>0</v>
      </c>
      <c r="R421" s="10" t="n">
        <f aca="false">IF(A421="","",IFERROR(IF(Inputs!$B$22="Accumulate",T421+Q421,IF(Inputs!$B$22="Premium Offset",MAX(0,T421+Q421-Inputs!$B$25),T421)),""))</f>
        <v>0</v>
      </c>
      <c r="S421" s="10" t="n">
        <f aca="false">IF(A421="","",R420)</f>
        <v>0</v>
      </c>
      <c r="T421" s="10" t="n">
        <f aca="false">IF(A421="","",IFERROR(S421*(1+Inputs!$B$23/12),""))</f>
        <v>0</v>
      </c>
      <c r="U421" s="6" t="n">
        <f aca="false">IF(A421="","",IF(D421&lt;=Inputs!$B$8,IF(Inputs!$B$22="Premium Offset",MAX(0,Inputs!$B$25-(Q421+T421)),Inputs!$B$25),0))</f>
        <v>0</v>
      </c>
      <c r="V421" s="10" t="n">
        <f aca="false">IF(A421="","",IF(Inputs!$B$22="Cash",Q421,0))</f>
        <v>0</v>
      </c>
      <c r="W421" s="10" t="n">
        <f aca="false">IF(A421="","",IF(Inputs!$B$22="PUA",Q421,0))</f>
        <v>0</v>
      </c>
      <c r="X421" s="12" t="n">
        <f aca="false">IF(A421="","",IFERROR(INDEX(PUA_TABLE!$D$4:$D$105,MATCH(E421,PUA_TABLE!$C$4:$C$105,1)),0))</f>
        <v>0.602034716529614</v>
      </c>
      <c r="Y421" s="10" t="n">
        <f aca="false">IF(A421="","",IF(W421&gt;0,IF(X421&gt;0,W421/X421,0),0))</f>
        <v>0</v>
      </c>
      <c r="Z421" s="10" t="n">
        <f aca="false">IF(A421="","",N421+Y421)</f>
        <v>0</v>
      </c>
      <c r="AA421" s="10" t="n">
        <f aca="false">IF(A421="","",IFERROR(Z421*INDEX(PUA_TABLE!$I$4:$I$105,MATCH(E421,PUA_TABLE!$C$4:$C$105,1))/1000,0))</f>
        <v>0</v>
      </c>
      <c r="AB421" s="10" t="n">
        <f aca="false">IF(A421="","",IFERROR(L421+AA421,0))</f>
        <v>30608.4243695392</v>
      </c>
      <c r="AC421" s="10" t="n">
        <f aca="false">IF(A421="","",IF(Inputs!$B$22="Premium Offset",MIN(Inputs!$B$25,Q421+T421),0))</f>
        <v>0</v>
      </c>
    </row>
    <row r="422" customFormat="false" ht="15" hidden="false" customHeight="false" outlineLevel="0" collapsed="false">
      <c r="A422" s="1" t="n">
        <f aca="false">IF(A421="","",IF(INT((C421+1)/12)+Inputs!$B$7&gt;MAX(MORTALITY!$A:$A),"",Inputs!$B$4))</f>
        <v>34</v>
      </c>
      <c r="B422" s="3" t="n">
        <f aca="false">IF(A422="","",EOMONTH(B421,1))</f>
        <v>34515</v>
      </c>
      <c r="C422" s="1" t="n">
        <f aca="false">IF(A422="","",C421+1)</f>
        <v>420</v>
      </c>
      <c r="D422" s="1" t="n">
        <f aca="false">IF(A422="","",INT(C422/12))</f>
        <v>35</v>
      </c>
      <c r="E422" s="1" t="n">
        <f aca="false">IF(A422="","",D422+Inputs!$B$7)</f>
        <v>51</v>
      </c>
      <c r="F422" s="3" t="n">
        <f aca="false">IF(A422="","",DATE(YEAR(B$2)+D422,MONTH(B$2),DAY(B$2)))</f>
        <v>34490</v>
      </c>
      <c r="G422" s="3" t="n">
        <f aca="false">IF(A422="","",DATE(YEAR(F422)+1,MONTH(F422),DAY(F422)))</f>
        <v>34855</v>
      </c>
      <c r="H422" s="10" t="n">
        <f aca="false">IF(A422="","",IF(G422&gt;F422,(B422-F422)/(G422-F422),0))</f>
        <v>0.0684931506849315</v>
      </c>
      <c r="I422" s="10" t="n">
        <f aca="false">IF(A422="","",IFERROR(INDEX(CV_RATES!$I:$I,MATCH(D422,CV_RATES!$C:$C,0)),0))</f>
        <v>612.3092342083</v>
      </c>
      <c r="J422" s="10" t="n">
        <f aca="false">IF(A422="","",IFERROR(IF(E422=MAX(MORTALITY!$A:$A),1000,INDEX(CV_RATES!$J:$J,MATCH(D422,CV_RATES!$C:$C,0))),0))</f>
        <v>622.608986311866</v>
      </c>
      <c r="K422" s="10" t="n">
        <f aca="false">IF(A422="","",IFERROR(I422+H422*(J422-I422),0))</f>
        <v>613.014696681147</v>
      </c>
      <c r="L422" s="10" t="n">
        <f aca="false">IF(A422="","",IFERROR(K422*Inputs!$B$9,0))</f>
        <v>30650.7348340573</v>
      </c>
      <c r="M422" s="10" t="n">
        <f aca="false">IF(A422="","",IFERROR(K422*Inputs!$B$10,0))</f>
        <v>98080.5124248935</v>
      </c>
      <c r="N422" s="10" t="n">
        <f aca="false">IF(A422="","",Z421)</f>
        <v>0</v>
      </c>
      <c r="O422" s="6" t="n">
        <f aca="false">IF(A422="","",Inputs!$B$18+N422)</f>
        <v>50000</v>
      </c>
      <c r="P422" s="5" t="n">
        <f aca="false">IF(A422="","",VLOOKUP(D422,DIvidend_Assumption!$A$3:$CX$103,($E$2+2),0)/12)</f>
        <v>0</v>
      </c>
      <c r="Q422" s="10" t="n">
        <f aca="false">IF(A422="","",IFERROR(AB421*P422,""))</f>
        <v>0</v>
      </c>
      <c r="R422" s="10" t="n">
        <f aca="false">IF(A422="","",IFERROR(IF(Inputs!$B$22="Accumulate",T422+Q422,IF(Inputs!$B$22="Premium Offset",MAX(0,T422+Q422-Inputs!$B$25),T422)),""))</f>
        <v>0</v>
      </c>
      <c r="S422" s="10" t="n">
        <f aca="false">IF(A422="","",R421)</f>
        <v>0</v>
      </c>
      <c r="T422" s="10" t="n">
        <f aca="false">IF(A422="","",IFERROR(S422*(1+Inputs!$B$23/12),""))</f>
        <v>0</v>
      </c>
      <c r="U422" s="6" t="n">
        <f aca="false">IF(A422="","",IF(D422&lt;=Inputs!$B$8,IF(Inputs!$B$22="Premium Offset",MAX(0,Inputs!$B$25-(Q422+T422)),Inputs!$B$25),0))</f>
        <v>0</v>
      </c>
      <c r="V422" s="10" t="n">
        <f aca="false">IF(A422="","",IF(Inputs!$B$22="Cash",Q422,0))</f>
        <v>0</v>
      </c>
      <c r="W422" s="10" t="n">
        <f aca="false">IF(A422="","",IF(Inputs!$B$22="PUA",Q422,0))</f>
        <v>0</v>
      </c>
      <c r="X422" s="12" t="n">
        <f aca="false">IF(A422="","",IFERROR(INDEX(PUA_TABLE!$D$4:$D$105,MATCH(E422,PUA_TABLE!$C$4:$C$105,1)),0))</f>
        <v>0.6123092342083</v>
      </c>
      <c r="Y422" s="10" t="n">
        <f aca="false">IF(A422="","",IF(W422&gt;0,IF(X422&gt;0,W422/X422,0),0))</f>
        <v>0</v>
      </c>
      <c r="Z422" s="10" t="n">
        <f aca="false">IF(A422="","",N422+Y422)</f>
        <v>0</v>
      </c>
      <c r="AA422" s="10" t="n">
        <f aca="false">IF(A422="","",IFERROR(Z422*INDEX(PUA_TABLE!$I$4:$I$105,MATCH(E422,PUA_TABLE!$C$4:$C$105,1))/1000,0))</f>
        <v>0</v>
      </c>
      <c r="AB422" s="10" t="n">
        <f aca="false">IF(A422="","",IFERROR(L422+AA422,0))</f>
        <v>30650.7348340573</v>
      </c>
      <c r="AC422" s="10" t="n">
        <f aca="false">IF(A422="","",IF(Inputs!$B$22="Premium Offset",MIN(Inputs!$B$25,Q422+T422),0))</f>
        <v>0</v>
      </c>
    </row>
    <row r="423" customFormat="false" ht="15" hidden="false" customHeight="false" outlineLevel="0" collapsed="false">
      <c r="A423" s="1" t="n">
        <f aca="false">IF(A422="","",IF(INT((C422+1)/12)+Inputs!$B$7&gt;MAX(MORTALITY!$A:$A),"",Inputs!$B$4))</f>
        <v>34</v>
      </c>
      <c r="B423" s="3" t="n">
        <f aca="false">IF(A423="","",EOMONTH(B422,1))</f>
        <v>34546</v>
      </c>
      <c r="C423" s="1" t="n">
        <f aca="false">IF(A423="","",C422+1)</f>
        <v>421</v>
      </c>
      <c r="D423" s="1" t="n">
        <f aca="false">IF(A423="","",INT(C423/12))</f>
        <v>35</v>
      </c>
      <c r="E423" s="1" t="n">
        <f aca="false">IF(A423="","",D423+Inputs!$B$7)</f>
        <v>51</v>
      </c>
      <c r="F423" s="3" t="n">
        <f aca="false">IF(A423="","",DATE(YEAR(B$2)+D423,MONTH(B$2),DAY(B$2)))</f>
        <v>34490</v>
      </c>
      <c r="G423" s="3" t="n">
        <f aca="false">IF(A423="","",DATE(YEAR(F423)+1,MONTH(F423),DAY(F423)))</f>
        <v>34855</v>
      </c>
      <c r="H423" s="10" t="n">
        <f aca="false">IF(A423="","",IF(G423&gt;F423,(B423-F423)/(G423-F423),0))</f>
        <v>0.153424657534247</v>
      </c>
      <c r="I423" s="10" t="n">
        <f aca="false">IF(A423="","",IFERROR(INDEX(CV_RATES!$I:$I,MATCH(D423,CV_RATES!$C:$C,0)),0))</f>
        <v>612.3092342083</v>
      </c>
      <c r="J423" s="10" t="n">
        <f aca="false">IF(A423="","",IFERROR(IF(E423=MAX(MORTALITY!$A:$A),1000,INDEX(CV_RATES!$J:$J,MATCH(D423,CV_RATES!$C:$C,0))),0))</f>
        <v>622.608986311866</v>
      </c>
      <c r="K423" s="10" t="n">
        <f aca="false">IF(A423="","",IFERROR(I423+H423*(J423-I423),0))</f>
        <v>613.889470147477</v>
      </c>
      <c r="L423" s="10" t="n">
        <f aca="false">IF(A423="","",IFERROR(K423*Inputs!$B$9,0))</f>
        <v>30694.4735073739</v>
      </c>
      <c r="M423" s="10" t="n">
        <f aca="false">IF(A423="","",IFERROR(K423*Inputs!$B$10,0))</f>
        <v>98220.4735551859</v>
      </c>
      <c r="N423" s="10" t="n">
        <f aca="false">IF(A423="","",Z422)</f>
        <v>0</v>
      </c>
      <c r="O423" s="6" t="n">
        <f aca="false">IF(A423="","",Inputs!$B$18+N423)</f>
        <v>50000</v>
      </c>
      <c r="P423" s="5" t="n">
        <f aca="false">IF(A423="","",VLOOKUP(D423,DIvidend_Assumption!$A$3:$CX$103,($E$2+2),0)/12)</f>
        <v>0</v>
      </c>
      <c r="Q423" s="10" t="n">
        <f aca="false">IF(A423="","",IFERROR(AB422*P423,""))</f>
        <v>0</v>
      </c>
      <c r="R423" s="10" t="n">
        <f aca="false">IF(A423="","",IFERROR(IF(Inputs!$B$22="Accumulate",T423+Q423,IF(Inputs!$B$22="Premium Offset",MAX(0,T423+Q423-Inputs!$B$25),T423)),""))</f>
        <v>0</v>
      </c>
      <c r="S423" s="10" t="n">
        <f aca="false">IF(A423="","",R422)</f>
        <v>0</v>
      </c>
      <c r="T423" s="10" t="n">
        <f aca="false">IF(A423="","",IFERROR(S423*(1+Inputs!$B$23/12),""))</f>
        <v>0</v>
      </c>
      <c r="U423" s="6" t="n">
        <f aca="false">IF(A423="","",IF(D423&lt;=Inputs!$B$8,IF(Inputs!$B$22="Premium Offset",MAX(0,Inputs!$B$25-(Q423+T423)),Inputs!$B$25),0))</f>
        <v>0</v>
      </c>
      <c r="V423" s="10" t="n">
        <f aca="false">IF(A423="","",IF(Inputs!$B$22="Cash",Q423,0))</f>
        <v>0</v>
      </c>
      <c r="W423" s="10" t="n">
        <f aca="false">IF(A423="","",IF(Inputs!$B$22="PUA",Q423,0))</f>
        <v>0</v>
      </c>
      <c r="X423" s="12" t="n">
        <f aca="false">IF(A423="","",IFERROR(INDEX(PUA_TABLE!$D$4:$D$105,MATCH(E423,PUA_TABLE!$C$4:$C$105,1)),0))</f>
        <v>0.6123092342083</v>
      </c>
      <c r="Y423" s="10" t="n">
        <f aca="false">IF(A423="","",IF(W423&gt;0,IF(X423&gt;0,W423/X423,0),0))</f>
        <v>0</v>
      </c>
      <c r="Z423" s="10" t="n">
        <f aca="false">IF(A423="","",N423+Y423)</f>
        <v>0</v>
      </c>
      <c r="AA423" s="10" t="n">
        <f aca="false">IF(A423="","",IFERROR(Z423*INDEX(PUA_TABLE!$I$4:$I$105,MATCH(E423,PUA_TABLE!$C$4:$C$105,1))/1000,0))</f>
        <v>0</v>
      </c>
      <c r="AB423" s="10" t="n">
        <f aca="false">IF(A423="","",IFERROR(L423+AA423,0))</f>
        <v>30694.4735073739</v>
      </c>
      <c r="AC423" s="10" t="n">
        <f aca="false">IF(A423="","",IF(Inputs!$B$22="Premium Offset",MIN(Inputs!$B$25,Q423+T423),0))</f>
        <v>0</v>
      </c>
    </row>
    <row r="424" customFormat="false" ht="15" hidden="false" customHeight="false" outlineLevel="0" collapsed="false">
      <c r="A424" s="1" t="n">
        <f aca="false">IF(A423="","",IF(INT((C423+1)/12)+Inputs!$B$7&gt;MAX(MORTALITY!$A:$A),"",Inputs!$B$4))</f>
        <v>34</v>
      </c>
      <c r="B424" s="3" t="n">
        <f aca="false">IF(A424="","",EOMONTH(B423,1))</f>
        <v>34577</v>
      </c>
      <c r="C424" s="1" t="n">
        <f aca="false">IF(A424="","",C423+1)</f>
        <v>422</v>
      </c>
      <c r="D424" s="1" t="n">
        <f aca="false">IF(A424="","",INT(C424/12))</f>
        <v>35</v>
      </c>
      <c r="E424" s="1" t="n">
        <f aca="false">IF(A424="","",D424+Inputs!$B$7)</f>
        <v>51</v>
      </c>
      <c r="F424" s="3" t="n">
        <f aca="false">IF(A424="","",DATE(YEAR(B$2)+D424,MONTH(B$2),DAY(B$2)))</f>
        <v>34490</v>
      </c>
      <c r="G424" s="3" t="n">
        <f aca="false">IF(A424="","",DATE(YEAR(F424)+1,MONTH(F424),DAY(F424)))</f>
        <v>34855</v>
      </c>
      <c r="H424" s="10" t="n">
        <f aca="false">IF(A424="","",IF(G424&gt;F424,(B424-F424)/(G424-F424),0))</f>
        <v>0.238356164383562</v>
      </c>
      <c r="I424" s="10" t="n">
        <f aca="false">IF(A424="","",IFERROR(INDEX(CV_RATES!$I:$I,MATCH(D424,CV_RATES!$C:$C,0)),0))</f>
        <v>612.3092342083</v>
      </c>
      <c r="J424" s="10" t="n">
        <f aca="false">IF(A424="","",IFERROR(IF(E424=MAX(MORTALITY!$A:$A),1000,INDEX(CV_RATES!$J:$J,MATCH(D424,CV_RATES!$C:$C,0))),0))</f>
        <v>622.608986311866</v>
      </c>
      <c r="K424" s="10" t="n">
        <f aca="false">IF(A424="","",IFERROR(I424+H424*(J424-I424),0))</f>
        <v>614.764243613808</v>
      </c>
      <c r="L424" s="10" t="n">
        <f aca="false">IF(A424="","",IFERROR(K424*Inputs!$B$9,0))</f>
        <v>30738.2121806904</v>
      </c>
      <c r="M424" s="10" t="n">
        <f aca="false">IF(A424="","",IFERROR(K424*Inputs!$B$10,0))</f>
        <v>98360.4346854784</v>
      </c>
      <c r="N424" s="10" t="n">
        <f aca="false">IF(A424="","",Z423)</f>
        <v>0</v>
      </c>
      <c r="O424" s="6" t="n">
        <f aca="false">IF(A424="","",Inputs!$B$18+N424)</f>
        <v>50000</v>
      </c>
      <c r="P424" s="5" t="n">
        <f aca="false">IF(A424="","",VLOOKUP(D424,DIvidend_Assumption!$A$3:$CX$103,($E$2+2),0)/12)</f>
        <v>0</v>
      </c>
      <c r="Q424" s="10" t="n">
        <f aca="false">IF(A424="","",IFERROR(AB423*P424,""))</f>
        <v>0</v>
      </c>
      <c r="R424" s="10" t="n">
        <f aca="false">IF(A424="","",IFERROR(IF(Inputs!$B$22="Accumulate",T424+Q424,IF(Inputs!$B$22="Premium Offset",MAX(0,T424+Q424-Inputs!$B$25),T424)),""))</f>
        <v>0</v>
      </c>
      <c r="S424" s="10" t="n">
        <f aca="false">IF(A424="","",R423)</f>
        <v>0</v>
      </c>
      <c r="T424" s="10" t="n">
        <f aca="false">IF(A424="","",IFERROR(S424*(1+Inputs!$B$23/12),""))</f>
        <v>0</v>
      </c>
      <c r="U424" s="6" t="n">
        <f aca="false">IF(A424="","",IF(D424&lt;=Inputs!$B$8,IF(Inputs!$B$22="Premium Offset",MAX(0,Inputs!$B$25-(Q424+T424)),Inputs!$B$25),0))</f>
        <v>0</v>
      </c>
      <c r="V424" s="10" t="n">
        <f aca="false">IF(A424="","",IF(Inputs!$B$22="Cash",Q424,0))</f>
        <v>0</v>
      </c>
      <c r="W424" s="10" t="n">
        <f aca="false">IF(A424="","",IF(Inputs!$B$22="PUA",Q424,0))</f>
        <v>0</v>
      </c>
      <c r="X424" s="12" t="n">
        <f aca="false">IF(A424="","",IFERROR(INDEX(PUA_TABLE!$D$4:$D$105,MATCH(E424,PUA_TABLE!$C$4:$C$105,1)),0))</f>
        <v>0.6123092342083</v>
      </c>
      <c r="Y424" s="10" t="n">
        <f aca="false">IF(A424="","",IF(W424&gt;0,IF(X424&gt;0,W424/X424,0),0))</f>
        <v>0</v>
      </c>
      <c r="Z424" s="10" t="n">
        <f aca="false">IF(A424="","",N424+Y424)</f>
        <v>0</v>
      </c>
      <c r="AA424" s="10" t="n">
        <f aca="false">IF(A424="","",IFERROR(Z424*INDEX(PUA_TABLE!$I$4:$I$105,MATCH(E424,PUA_TABLE!$C$4:$C$105,1))/1000,0))</f>
        <v>0</v>
      </c>
      <c r="AB424" s="10" t="n">
        <f aca="false">IF(A424="","",IFERROR(L424+AA424,0))</f>
        <v>30738.2121806904</v>
      </c>
      <c r="AC424" s="10" t="n">
        <f aca="false">IF(A424="","",IF(Inputs!$B$22="Premium Offset",MIN(Inputs!$B$25,Q424+T424),0))</f>
        <v>0</v>
      </c>
    </row>
    <row r="425" customFormat="false" ht="15" hidden="false" customHeight="false" outlineLevel="0" collapsed="false">
      <c r="A425" s="1" t="n">
        <f aca="false">IF(A424="","",IF(INT((C424+1)/12)+Inputs!$B$7&gt;MAX(MORTALITY!$A:$A),"",Inputs!$B$4))</f>
        <v>34</v>
      </c>
      <c r="B425" s="3" t="n">
        <f aca="false">IF(A425="","",EOMONTH(B424,1))</f>
        <v>34607</v>
      </c>
      <c r="C425" s="1" t="n">
        <f aca="false">IF(A425="","",C424+1)</f>
        <v>423</v>
      </c>
      <c r="D425" s="1" t="n">
        <f aca="false">IF(A425="","",INT(C425/12))</f>
        <v>35</v>
      </c>
      <c r="E425" s="1" t="n">
        <f aca="false">IF(A425="","",D425+Inputs!$B$7)</f>
        <v>51</v>
      </c>
      <c r="F425" s="3" t="n">
        <f aca="false">IF(A425="","",DATE(YEAR(B$2)+D425,MONTH(B$2),DAY(B$2)))</f>
        <v>34490</v>
      </c>
      <c r="G425" s="3" t="n">
        <f aca="false">IF(A425="","",DATE(YEAR(F425)+1,MONTH(F425),DAY(F425)))</f>
        <v>34855</v>
      </c>
      <c r="H425" s="10" t="n">
        <f aca="false">IF(A425="","",IF(G425&gt;F425,(B425-F425)/(G425-F425),0))</f>
        <v>0.320547945205479</v>
      </c>
      <c r="I425" s="10" t="n">
        <f aca="false">IF(A425="","",IFERROR(INDEX(CV_RATES!$I:$I,MATCH(D425,CV_RATES!$C:$C,0)),0))</f>
        <v>612.3092342083</v>
      </c>
      <c r="J425" s="10" t="n">
        <f aca="false">IF(A425="","",IFERROR(IF(E425=MAX(MORTALITY!$A:$A),1000,INDEX(CV_RATES!$J:$J,MATCH(D425,CV_RATES!$C:$C,0))),0))</f>
        <v>622.608986311866</v>
      </c>
      <c r="K425" s="10" t="n">
        <f aca="false">IF(A425="","",IFERROR(I425+H425*(J425-I425),0))</f>
        <v>615.610798581224</v>
      </c>
      <c r="L425" s="10" t="n">
        <f aca="false">IF(A425="","",IFERROR(K425*Inputs!$B$9,0))</f>
        <v>30780.5399290612</v>
      </c>
      <c r="M425" s="10" t="n">
        <f aca="false">IF(A425="","",IFERROR(K425*Inputs!$B$10,0))</f>
        <v>98495.8809406001</v>
      </c>
      <c r="N425" s="10" t="n">
        <f aca="false">IF(A425="","",Z424)</f>
        <v>0</v>
      </c>
      <c r="O425" s="6" t="n">
        <f aca="false">IF(A425="","",Inputs!$B$18+N425)</f>
        <v>50000</v>
      </c>
      <c r="P425" s="5" t="n">
        <f aca="false">IF(A425="","",VLOOKUP(D425,DIvidend_Assumption!$A$3:$CX$103,($E$2+2),0)/12)</f>
        <v>0</v>
      </c>
      <c r="Q425" s="10" t="n">
        <f aca="false">IF(A425="","",IFERROR(AB424*P425,""))</f>
        <v>0</v>
      </c>
      <c r="R425" s="10" t="n">
        <f aca="false">IF(A425="","",IFERROR(IF(Inputs!$B$22="Accumulate",T425+Q425,IF(Inputs!$B$22="Premium Offset",MAX(0,T425+Q425-Inputs!$B$25),T425)),""))</f>
        <v>0</v>
      </c>
      <c r="S425" s="10" t="n">
        <f aca="false">IF(A425="","",R424)</f>
        <v>0</v>
      </c>
      <c r="T425" s="10" t="n">
        <f aca="false">IF(A425="","",IFERROR(S425*(1+Inputs!$B$23/12),""))</f>
        <v>0</v>
      </c>
      <c r="U425" s="6" t="n">
        <f aca="false">IF(A425="","",IF(D425&lt;=Inputs!$B$8,IF(Inputs!$B$22="Premium Offset",MAX(0,Inputs!$B$25-(Q425+T425)),Inputs!$B$25),0))</f>
        <v>0</v>
      </c>
      <c r="V425" s="10" t="n">
        <f aca="false">IF(A425="","",IF(Inputs!$B$22="Cash",Q425,0))</f>
        <v>0</v>
      </c>
      <c r="W425" s="10" t="n">
        <f aca="false">IF(A425="","",IF(Inputs!$B$22="PUA",Q425,0))</f>
        <v>0</v>
      </c>
      <c r="X425" s="12" t="n">
        <f aca="false">IF(A425="","",IFERROR(INDEX(PUA_TABLE!$D$4:$D$105,MATCH(E425,PUA_TABLE!$C$4:$C$105,1)),0))</f>
        <v>0.6123092342083</v>
      </c>
      <c r="Y425" s="10" t="n">
        <f aca="false">IF(A425="","",IF(W425&gt;0,IF(X425&gt;0,W425/X425,0),0))</f>
        <v>0</v>
      </c>
      <c r="Z425" s="10" t="n">
        <f aca="false">IF(A425="","",N425+Y425)</f>
        <v>0</v>
      </c>
      <c r="AA425" s="10" t="n">
        <f aca="false">IF(A425="","",IFERROR(Z425*INDEX(PUA_TABLE!$I$4:$I$105,MATCH(E425,PUA_TABLE!$C$4:$C$105,1))/1000,0))</f>
        <v>0</v>
      </c>
      <c r="AB425" s="10" t="n">
        <f aca="false">IF(A425="","",IFERROR(L425+AA425,0))</f>
        <v>30780.5399290612</v>
      </c>
      <c r="AC425" s="10" t="n">
        <f aca="false">IF(A425="","",IF(Inputs!$B$22="Premium Offset",MIN(Inputs!$B$25,Q425+T425),0))</f>
        <v>0</v>
      </c>
    </row>
    <row r="426" customFormat="false" ht="15" hidden="false" customHeight="false" outlineLevel="0" collapsed="false">
      <c r="A426" s="1" t="n">
        <f aca="false">IF(A425="","",IF(INT((C425+1)/12)+Inputs!$B$7&gt;MAX(MORTALITY!$A:$A),"",Inputs!$B$4))</f>
        <v>34</v>
      </c>
      <c r="B426" s="3" t="n">
        <f aca="false">IF(A426="","",EOMONTH(B425,1))</f>
        <v>34638</v>
      </c>
      <c r="C426" s="1" t="n">
        <f aca="false">IF(A426="","",C425+1)</f>
        <v>424</v>
      </c>
      <c r="D426" s="1" t="n">
        <f aca="false">IF(A426="","",INT(C426/12))</f>
        <v>35</v>
      </c>
      <c r="E426" s="1" t="n">
        <f aca="false">IF(A426="","",D426+Inputs!$B$7)</f>
        <v>51</v>
      </c>
      <c r="F426" s="3" t="n">
        <f aca="false">IF(A426="","",DATE(YEAR(B$2)+D426,MONTH(B$2),DAY(B$2)))</f>
        <v>34490</v>
      </c>
      <c r="G426" s="3" t="n">
        <f aca="false">IF(A426="","",DATE(YEAR(F426)+1,MONTH(F426),DAY(F426)))</f>
        <v>34855</v>
      </c>
      <c r="H426" s="10" t="n">
        <f aca="false">IF(A426="","",IF(G426&gt;F426,(B426-F426)/(G426-F426),0))</f>
        <v>0.405479452054795</v>
      </c>
      <c r="I426" s="10" t="n">
        <f aca="false">IF(A426="","",IFERROR(INDEX(CV_RATES!$I:$I,MATCH(D426,CV_RATES!$C:$C,0)),0))</f>
        <v>612.3092342083</v>
      </c>
      <c r="J426" s="10" t="n">
        <f aca="false">IF(A426="","",IFERROR(IF(E426=MAX(MORTALITY!$A:$A),1000,INDEX(CV_RATES!$J:$J,MATCH(D426,CV_RATES!$C:$C,0))),0))</f>
        <v>622.608986311866</v>
      </c>
      <c r="K426" s="10" t="n">
        <f aca="false">IF(A426="","",IFERROR(I426+H426*(J426-I426),0))</f>
        <v>616.485572047554</v>
      </c>
      <c r="L426" s="10" t="n">
        <f aca="false">IF(A426="","",IFERROR(K426*Inputs!$B$9,0))</f>
        <v>30824.2786023777</v>
      </c>
      <c r="M426" s="10" t="n">
        <f aca="false">IF(A426="","",IFERROR(K426*Inputs!$B$10,0))</f>
        <v>98635.8420708925</v>
      </c>
      <c r="N426" s="10" t="n">
        <f aca="false">IF(A426="","",Z425)</f>
        <v>0</v>
      </c>
      <c r="O426" s="6" t="n">
        <f aca="false">IF(A426="","",Inputs!$B$18+N426)</f>
        <v>50000</v>
      </c>
      <c r="P426" s="5" t="n">
        <f aca="false">IF(A426="","",VLOOKUP(D426,DIvidend_Assumption!$A$3:$CX$103,($E$2+2),0)/12)</f>
        <v>0</v>
      </c>
      <c r="Q426" s="10" t="n">
        <f aca="false">IF(A426="","",IFERROR(AB425*P426,""))</f>
        <v>0</v>
      </c>
      <c r="R426" s="10" t="n">
        <f aca="false">IF(A426="","",IFERROR(IF(Inputs!$B$22="Accumulate",T426+Q426,IF(Inputs!$B$22="Premium Offset",MAX(0,T426+Q426-Inputs!$B$25),T426)),""))</f>
        <v>0</v>
      </c>
      <c r="S426" s="10" t="n">
        <f aca="false">IF(A426="","",R425)</f>
        <v>0</v>
      </c>
      <c r="T426" s="10" t="n">
        <f aca="false">IF(A426="","",IFERROR(S426*(1+Inputs!$B$23/12),""))</f>
        <v>0</v>
      </c>
      <c r="U426" s="6" t="n">
        <f aca="false">IF(A426="","",IF(D426&lt;=Inputs!$B$8,IF(Inputs!$B$22="Premium Offset",MAX(0,Inputs!$B$25-(Q426+T426)),Inputs!$B$25),0))</f>
        <v>0</v>
      </c>
      <c r="V426" s="10" t="n">
        <f aca="false">IF(A426="","",IF(Inputs!$B$22="Cash",Q426,0))</f>
        <v>0</v>
      </c>
      <c r="W426" s="10" t="n">
        <f aca="false">IF(A426="","",IF(Inputs!$B$22="PUA",Q426,0))</f>
        <v>0</v>
      </c>
      <c r="X426" s="12" t="n">
        <f aca="false">IF(A426="","",IFERROR(INDEX(PUA_TABLE!$D$4:$D$105,MATCH(E426,PUA_TABLE!$C$4:$C$105,1)),0))</f>
        <v>0.6123092342083</v>
      </c>
      <c r="Y426" s="10" t="n">
        <f aca="false">IF(A426="","",IF(W426&gt;0,IF(X426&gt;0,W426/X426,0),0))</f>
        <v>0</v>
      </c>
      <c r="Z426" s="10" t="n">
        <f aca="false">IF(A426="","",N426+Y426)</f>
        <v>0</v>
      </c>
      <c r="AA426" s="10" t="n">
        <f aca="false">IF(A426="","",IFERROR(Z426*INDEX(PUA_TABLE!$I$4:$I$105,MATCH(E426,PUA_TABLE!$C$4:$C$105,1))/1000,0))</f>
        <v>0</v>
      </c>
      <c r="AB426" s="10" t="n">
        <f aca="false">IF(A426="","",IFERROR(L426+AA426,0))</f>
        <v>30824.2786023777</v>
      </c>
      <c r="AC426" s="10" t="n">
        <f aca="false">IF(A426="","",IF(Inputs!$B$22="Premium Offset",MIN(Inputs!$B$25,Q426+T426),0))</f>
        <v>0</v>
      </c>
    </row>
    <row r="427" customFormat="false" ht="15" hidden="false" customHeight="false" outlineLevel="0" collapsed="false">
      <c r="A427" s="1" t="n">
        <f aca="false">IF(A426="","",IF(INT((C426+1)/12)+Inputs!$B$7&gt;MAX(MORTALITY!$A:$A),"",Inputs!$B$4))</f>
        <v>34</v>
      </c>
      <c r="B427" s="3" t="n">
        <f aca="false">IF(A427="","",EOMONTH(B426,1))</f>
        <v>34668</v>
      </c>
      <c r="C427" s="1" t="n">
        <f aca="false">IF(A427="","",C426+1)</f>
        <v>425</v>
      </c>
      <c r="D427" s="1" t="n">
        <f aca="false">IF(A427="","",INT(C427/12))</f>
        <v>35</v>
      </c>
      <c r="E427" s="1" t="n">
        <f aca="false">IF(A427="","",D427+Inputs!$B$7)</f>
        <v>51</v>
      </c>
      <c r="F427" s="3" t="n">
        <f aca="false">IF(A427="","",DATE(YEAR(B$2)+D427,MONTH(B$2),DAY(B$2)))</f>
        <v>34490</v>
      </c>
      <c r="G427" s="3" t="n">
        <f aca="false">IF(A427="","",DATE(YEAR(F427)+1,MONTH(F427),DAY(F427)))</f>
        <v>34855</v>
      </c>
      <c r="H427" s="10" t="n">
        <f aca="false">IF(A427="","",IF(G427&gt;F427,(B427-F427)/(G427-F427),0))</f>
        <v>0.487671232876712</v>
      </c>
      <c r="I427" s="10" t="n">
        <f aca="false">IF(A427="","",IFERROR(INDEX(CV_RATES!$I:$I,MATCH(D427,CV_RATES!$C:$C,0)),0))</f>
        <v>612.3092342083</v>
      </c>
      <c r="J427" s="10" t="n">
        <f aca="false">IF(A427="","",IFERROR(IF(E427=MAX(MORTALITY!$A:$A),1000,INDEX(CV_RATES!$J:$J,MATCH(D427,CV_RATES!$C:$C,0))),0))</f>
        <v>622.608986311866</v>
      </c>
      <c r="K427" s="10" t="n">
        <f aca="false">IF(A427="","",IFERROR(I427+H427*(J427-I427),0))</f>
        <v>617.332127014971</v>
      </c>
      <c r="L427" s="10" t="n">
        <f aca="false">IF(A427="","",IFERROR(K427*Inputs!$B$9,0))</f>
        <v>30866.6063507485</v>
      </c>
      <c r="M427" s="10" t="n">
        <f aca="false">IF(A427="","",IFERROR(K427*Inputs!$B$10,0))</f>
        <v>98771.2883260142</v>
      </c>
      <c r="N427" s="10" t="n">
        <f aca="false">IF(A427="","",Z426)</f>
        <v>0</v>
      </c>
      <c r="O427" s="6" t="n">
        <f aca="false">IF(A427="","",Inputs!$B$18+N427)</f>
        <v>50000</v>
      </c>
      <c r="P427" s="5" t="n">
        <f aca="false">IF(A427="","",VLOOKUP(D427,DIvidend_Assumption!$A$3:$CX$103,($E$2+2),0)/12)</f>
        <v>0</v>
      </c>
      <c r="Q427" s="10" t="n">
        <f aca="false">IF(A427="","",IFERROR(AB426*P427,""))</f>
        <v>0</v>
      </c>
      <c r="R427" s="10" t="n">
        <f aca="false">IF(A427="","",IFERROR(IF(Inputs!$B$22="Accumulate",T427+Q427,IF(Inputs!$B$22="Premium Offset",MAX(0,T427+Q427-Inputs!$B$25),T427)),""))</f>
        <v>0</v>
      </c>
      <c r="S427" s="10" t="n">
        <f aca="false">IF(A427="","",R426)</f>
        <v>0</v>
      </c>
      <c r="T427" s="10" t="n">
        <f aca="false">IF(A427="","",IFERROR(S427*(1+Inputs!$B$23/12),""))</f>
        <v>0</v>
      </c>
      <c r="U427" s="6" t="n">
        <f aca="false">IF(A427="","",IF(D427&lt;=Inputs!$B$8,IF(Inputs!$B$22="Premium Offset",MAX(0,Inputs!$B$25-(Q427+T427)),Inputs!$B$25),0))</f>
        <v>0</v>
      </c>
      <c r="V427" s="10" t="n">
        <f aca="false">IF(A427="","",IF(Inputs!$B$22="Cash",Q427,0))</f>
        <v>0</v>
      </c>
      <c r="W427" s="10" t="n">
        <f aca="false">IF(A427="","",IF(Inputs!$B$22="PUA",Q427,0))</f>
        <v>0</v>
      </c>
      <c r="X427" s="12" t="n">
        <f aca="false">IF(A427="","",IFERROR(INDEX(PUA_TABLE!$D$4:$D$105,MATCH(E427,PUA_TABLE!$C$4:$C$105,1)),0))</f>
        <v>0.6123092342083</v>
      </c>
      <c r="Y427" s="10" t="n">
        <f aca="false">IF(A427="","",IF(W427&gt;0,IF(X427&gt;0,W427/X427,0),0))</f>
        <v>0</v>
      </c>
      <c r="Z427" s="10" t="n">
        <f aca="false">IF(A427="","",N427+Y427)</f>
        <v>0</v>
      </c>
      <c r="AA427" s="10" t="n">
        <f aca="false">IF(A427="","",IFERROR(Z427*INDEX(PUA_TABLE!$I$4:$I$105,MATCH(E427,PUA_TABLE!$C$4:$C$105,1))/1000,0))</f>
        <v>0</v>
      </c>
      <c r="AB427" s="10" t="n">
        <f aca="false">IF(A427="","",IFERROR(L427+AA427,0))</f>
        <v>30866.6063507485</v>
      </c>
      <c r="AC427" s="10" t="n">
        <f aca="false">IF(A427="","",IF(Inputs!$B$22="Premium Offset",MIN(Inputs!$B$25,Q427+T427),0))</f>
        <v>0</v>
      </c>
    </row>
    <row r="428" customFormat="false" ht="15" hidden="false" customHeight="false" outlineLevel="0" collapsed="false">
      <c r="A428" s="1" t="n">
        <f aca="false">IF(A427="","",IF(INT((C427+1)/12)+Inputs!$B$7&gt;MAX(MORTALITY!$A:$A),"",Inputs!$B$4))</f>
        <v>34</v>
      </c>
      <c r="B428" s="3" t="n">
        <f aca="false">IF(A428="","",EOMONTH(B427,1))</f>
        <v>34699</v>
      </c>
      <c r="C428" s="1" t="n">
        <f aca="false">IF(A428="","",C427+1)</f>
        <v>426</v>
      </c>
      <c r="D428" s="1" t="n">
        <f aca="false">IF(A428="","",INT(C428/12))</f>
        <v>35</v>
      </c>
      <c r="E428" s="1" t="n">
        <f aca="false">IF(A428="","",D428+Inputs!$B$7)</f>
        <v>51</v>
      </c>
      <c r="F428" s="3" t="n">
        <f aca="false">IF(A428="","",DATE(YEAR(B$2)+D428,MONTH(B$2),DAY(B$2)))</f>
        <v>34490</v>
      </c>
      <c r="G428" s="3" t="n">
        <f aca="false">IF(A428="","",DATE(YEAR(F428)+1,MONTH(F428),DAY(F428)))</f>
        <v>34855</v>
      </c>
      <c r="H428" s="10" t="n">
        <f aca="false">IF(A428="","",IF(G428&gt;F428,(B428-F428)/(G428-F428),0))</f>
        <v>0.572602739726027</v>
      </c>
      <c r="I428" s="10" t="n">
        <f aca="false">IF(A428="","",IFERROR(INDEX(CV_RATES!$I:$I,MATCH(D428,CV_RATES!$C:$C,0)),0))</f>
        <v>612.3092342083</v>
      </c>
      <c r="J428" s="10" t="n">
        <f aca="false">IF(A428="","",IFERROR(IF(E428=MAX(MORTALITY!$A:$A),1000,INDEX(CV_RATES!$J:$J,MATCH(D428,CV_RATES!$C:$C,0))),0))</f>
        <v>622.608986311866</v>
      </c>
      <c r="K428" s="10" t="n">
        <f aca="false">IF(A428="","",IFERROR(I428+H428*(J428-I428),0))</f>
        <v>618.206900481301</v>
      </c>
      <c r="L428" s="10" t="n">
        <f aca="false">IF(A428="","",IFERROR(K428*Inputs!$B$9,0))</f>
        <v>30910.345024065</v>
      </c>
      <c r="M428" s="10" t="n">
        <f aca="false">IF(A428="","",IFERROR(K428*Inputs!$B$10,0))</f>
        <v>98911.2494563067</v>
      </c>
      <c r="N428" s="10" t="n">
        <f aca="false">IF(A428="","",Z427)</f>
        <v>0</v>
      </c>
      <c r="O428" s="6" t="n">
        <f aca="false">IF(A428="","",Inputs!$B$18+N428)</f>
        <v>50000</v>
      </c>
      <c r="P428" s="5" t="n">
        <f aca="false">IF(A428="","",VLOOKUP(D428,DIvidend_Assumption!$A$3:$CX$103,($E$2+2),0)/12)</f>
        <v>0</v>
      </c>
      <c r="Q428" s="10" t="n">
        <f aca="false">IF(A428="","",IFERROR(AB427*P428,""))</f>
        <v>0</v>
      </c>
      <c r="R428" s="10" t="n">
        <f aca="false">IF(A428="","",IFERROR(IF(Inputs!$B$22="Accumulate",T428+Q428,IF(Inputs!$B$22="Premium Offset",MAX(0,T428+Q428-Inputs!$B$25),T428)),""))</f>
        <v>0</v>
      </c>
      <c r="S428" s="10" t="n">
        <f aca="false">IF(A428="","",R427)</f>
        <v>0</v>
      </c>
      <c r="T428" s="10" t="n">
        <f aca="false">IF(A428="","",IFERROR(S428*(1+Inputs!$B$23/12),""))</f>
        <v>0</v>
      </c>
      <c r="U428" s="6" t="n">
        <f aca="false">IF(A428="","",IF(D428&lt;=Inputs!$B$8,IF(Inputs!$B$22="Premium Offset",MAX(0,Inputs!$B$25-(Q428+T428)),Inputs!$B$25),0))</f>
        <v>0</v>
      </c>
      <c r="V428" s="10" t="n">
        <f aca="false">IF(A428="","",IF(Inputs!$B$22="Cash",Q428,0))</f>
        <v>0</v>
      </c>
      <c r="W428" s="10" t="n">
        <f aca="false">IF(A428="","",IF(Inputs!$B$22="PUA",Q428,0))</f>
        <v>0</v>
      </c>
      <c r="X428" s="12" t="n">
        <f aca="false">IF(A428="","",IFERROR(INDEX(PUA_TABLE!$D$4:$D$105,MATCH(E428,PUA_TABLE!$C$4:$C$105,1)),0))</f>
        <v>0.6123092342083</v>
      </c>
      <c r="Y428" s="10" t="n">
        <f aca="false">IF(A428="","",IF(W428&gt;0,IF(X428&gt;0,W428/X428,0),0))</f>
        <v>0</v>
      </c>
      <c r="Z428" s="10" t="n">
        <f aca="false">IF(A428="","",N428+Y428)</f>
        <v>0</v>
      </c>
      <c r="AA428" s="10" t="n">
        <f aca="false">IF(A428="","",IFERROR(Z428*INDEX(PUA_TABLE!$I$4:$I$105,MATCH(E428,PUA_TABLE!$C$4:$C$105,1))/1000,0))</f>
        <v>0</v>
      </c>
      <c r="AB428" s="10" t="n">
        <f aca="false">IF(A428="","",IFERROR(L428+AA428,0))</f>
        <v>30910.345024065</v>
      </c>
      <c r="AC428" s="10" t="n">
        <f aca="false">IF(A428="","",IF(Inputs!$B$22="Premium Offset",MIN(Inputs!$B$25,Q428+T428),0))</f>
        <v>0</v>
      </c>
    </row>
    <row r="429" customFormat="false" ht="15" hidden="false" customHeight="false" outlineLevel="0" collapsed="false">
      <c r="A429" s="1" t="n">
        <f aca="false">IF(A428="","",IF(INT((C428+1)/12)+Inputs!$B$7&gt;MAX(MORTALITY!$A:$A),"",Inputs!$B$4))</f>
        <v>34</v>
      </c>
      <c r="B429" s="3" t="n">
        <f aca="false">IF(A429="","",EOMONTH(B428,1))</f>
        <v>34730</v>
      </c>
      <c r="C429" s="1" t="n">
        <f aca="false">IF(A429="","",C428+1)</f>
        <v>427</v>
      </c>
      <c r="D429" s="1" t="n">
        <f aca="false">IF(A429="","",INT(C429/12))</f>
        <v>35</v>
      </c>
      <c r="E429" s="1" t="n">
        <f aca="false">IF(A429="","",D429+Inputs!$B$7)</f>
        <v>51</v>
      </c>
      <c r="F429" s="3" t="n">
        <f aca="false">IF(A429="","",DATE(YEAR(B$2)+D429,MONTH(B$2),DAY(B$2)))</f>
        <v>34490</v>
      </c>
      <c r="G429" s="3" t="n">
        <f aca="false">IF(A429="","",DATE(YEAR(F429)+1,MONTH(F429),DAY(F429)))</f>
        <v>34855</v>
      </c>
      <c r="H429" s="10" t="n">
        <f aca="false">IF(A429="","",IF(G429&gt;F429,(B429-F429)/(G429-F429),0))</f>
        <v>0.657534246575342</v>
      </c>
      <c r="I429" s="10" t="n">
        <f aca="false">IF(A429="","",IFERROR(INDEX(CV_RATES!$I:$I,MATCH(D429,CV_RATES!$C:$C,0)),0))</f>
        <v>612.3092342083</v>
      </c>
      <c r="J429" s="10" t="n">
        <f aca="false">IF(A429="","",IFERROR(IF(E429=MAX(MORTALITY!$A:$A),1000,INDEX(CV_RATES!$J:$J,MATCH(D429,CV_RATES!$C:$C,0))),0))</f>
        <v>622.608986311866</v>
      </c>
      <c r="K429" s="10" t="n">
        <f aca="false">IF(A429="","",IFERROR(I429+H429*(J429-I429),0))</f>
        <v>619.081673947631</v>
      </c>
      <c r="L429" s="10" t="n">
        <f aca="false">IF(A429="","",IFERROR(K429*Inputs!$B$9,0))</f>
        <v>30954.0836973816</v>
      </c>
      <c r="M429" s="10" t="n">
        <f aca="false">IF(A429="","",IFERROR(K429*Inputs!$B$10,0))</f>
        <v>99051.2105865992</v>
      </c>
      <c r="N429" s="10" t="n">
        <f aca="false">IF(A429="","",Z428)</f>
        <v>0</v>
      </c>
      <c r="O429" s="6" t="n">
        <f aca="false">IF(A429="","",Inputs!$B$18+N429)</f>
        <v>50000</v>
      </c>
      <c r="P429" s="5" t="n">
        <f aca="false">IF(A429="","",VLOOKUP(D429,DIvidend_Assumption!$A$3:$CX$103,($E$2+2),0)/12)</f>
        <v>0</v>
      </c>
      <c r="Q429" s="10" t="n">
        <f aca="false">IF(A429="","",IFERROR(AB428*P429,""))</f>
        <v>0</v>
      </c>
      <c r="R429" s="10" t="n">
        <f aca="false">IF(A429="","",IFERROR(IF(Inputs!$B$22="Accumulate",T429+Q429,IF(Inputs!$B$22="Premium Offset",MAX(0,T429+Q429-Inputs!$B$25),T429)),""))</f>
        <v>0</v>
      </c>
      <c r="S429" s="10" t="n">
        <f aca="false">IF(A429="","",R428)</f>
        <v>0</v>
      </c>
      <c r="T429" s="10" t="n">
        <f aca="false">IF(A429="","",IFERROR(S429*(1+Inputs!$B$23/12),""))</f>
        <v>0</v>
      </c>
      <c r="U429" s="6" t="n">
        <f aca="false">IF(A429="","",IF(D429&lt;=Inputs!$B$8,IF(Inputs!$B$22="Premium Offset",MAX(0,Inputs!$B$25-(Q429+T429)),Inputs!$B$25),0))</f>
        <v>0</v>
      </c>
      <c r="V429" s="10" t="n">
        <f aca="false">IF(A429="","",IF(Inputs!$B$22="Cash",Q429,0))</f>
        <v>0</v>
      </c>
      <c r="W429" s="10" t="n">
        <f aca="false">IF(A429="","",IF(Inputs!$B$22="PUA",Q429,0))</f>
        <v>0</v>
      </c>
      <c r="X429" s="12" t="n">
        <f aca="false">IF(A429="","",IFERROR(INDEX(PUA_TABLE!$D$4:$D$105,MATCH(E429,PUA_TABLE!$C$4:$C$105,1)),0))</f>
        <v>0.6123092342083</v>
      </c>
      <c r="Y429" s="10" t="n">
        <f aca="false">IF(A429="","",IF(W429&gt;0,IF(X429&gt;0,W429/X429,0),0))</f>
        <v>0</v>
      </c>
      <c r="Z429" s="10" t="n">
        <f aca="false">IF(A429="","",N429+Y429)</f>
        <v>0</v>
      </c>
      <c r="AA429" s="10" t="n">
        <f aca="false">IF(A429="","",IFERROR(Z429*INDEX(PUA_TABLE!$I$4:$I$105,MATCH(E429,PUA_TABLE!$C$4:$C$105,1))/1000,0))</f>
        <v>0</v>
      </c>
      <c r="AB429" s="10" t="n">
        <f aca="false">IF(A429="","",IFERROR(L429+AA429,0))</f>
        <v>30954.0836973816</v>
      </c>
      <c r="AC429" s="10" t="n">
        <f aca="false">IF(A429="","",IF(Inputs!$B$22="Premium Offset",MIN(Inputs!$B$25,Q429+T429),0))</f>
        <v>0</v>
      </c>
    </row>
    <row r="430" customFormat="false" ht="15" hidden="false" customHeight="false" outlineLevel="0" collapsed="false">
      <c r="A430" s="1" t="n">
        <f aca="false">IF(A429="","",IF(INT((C429+1)/12)+Inputs!$B$7&gt;MAX(MORTALITY!$A:$A),"",Inputs!$B$4))</f>
        <v>34</v>
      </c>
      <c r="B430" s="3" t="n">
        <f aca="false">IF(A430="","",EOMONTH(B429,1))</f>
        <v>34758</v>
      </c>
      <c r="C430" s="1" t="n">
        <f aca="false">IF(A430="","",C429+1)</f>
        <v>428</v>
      </c>
      <c r="D430" s="1" t="n">
        <f aca="false">IF(A430="","",INT(C430/12))</f>
        <v>35</v>
      </c>
      <c r="E430" s="1" t="n">
        <f aca="false">IF(A430="","",D430+Inputs!$B$7)</f>
        <v>51</v>
      </c>
      <c r="F430" s="3" t="n">
        <f aca="false">IF(A430="","",DATE(YEAR(B$2)+D430,MONTH(B$2),DAY(B$2)))</f>
        <v>34490</v>
      </c>
      <c r="G430" s="3" t="n">
        <f aca="false">IF(A430="","",DATE(YEAR(F430)+1,MONTH(F430),DAY(F430)))</f>
        <v>34855</v>
      </c>
      <c r="H430" s="10" t="n">
        <f aca="false">IF(A430="","",IF(G430&gt;F430,(B430-F430)/(G430-F430),0))</f>
        <v>0.734246575342466</v>
      </c>
      <c r="I430" s="10" t="n">
        <f aca="false">IF(A430="","",IFERROR(INDEX(CV_RATES!$I:$I,MATCH(D430,CV_RATES!$C:$C,0)),0))</f>
        <v>612.3092342083</v>
      </c>
      <c r="J430" s="10" t="n">
        <f aca="false">IF(A430="","",IFERROR(IF(E430=MAX(MORTALITY!$A:$A),1000,INDEX(CV_RATES!$J:$J,MATCH(D430,CV_RATES!$C:$C,0))),0))</f>
        <v>622.608986311866</v>
      </c>
      <c r="K430" s="10" t="n">
        <f aca="false">IF(A430="","",IFERROR(I430+H430*(J430-I430),0))</f>
        <v>619.87179191722</v>
      </c>
      <c r="L430" s="10" t="n">
        <f aca="false">IF(A430="","",IFERROR(K430*Inputs!$B$9,0))</f>
        <v>30993.589595861</v>
      </c>
      <c r="M430" s="10" t="n">
        <f aca="false">IF(A430="","",IFERROR(K430*Inputs!$B$10,0))</f>
        <v>99177.6270913794</v>
      </c>
      <c r="N430" s="10" t="n">
        <f aca="false">IF(A430="","",Z429)</f>
        <v>0</v>
      </c>
      <c r="O430" s="6" t="n">
        <f aca="false">IF(A430="","",Inputs!$B$18+N430)</f>
        <v>50000</v>
      </c>
      <c r="P430" s="5" t="n">
        <f aca="false">IF(A430="","",VLOOKUP(D430,DIvidend_Assumption!$A$3:$CX$103,($E$2+2),0)/12)</f>
        <v>0</v>
      </c>
      <c r="Q430" s="10" t="n">
        <f aca="false">IF(A430="","",IFERROR(AB429*P430,""))</f>
        <v>0</v>
      </c>
      <c r="R430" s="10" t="n">
        <f aca="false">IF(A430="","",IFERROR(IF(Inputs!$B$22="Accumulate",T430+Q430,IF(Inputs!$B$22="Premium Offset",MAX(0,T430+Q430-Inputs!$B$25),T430)),""))</f>
        <v>0</v>
      </c>
      <c r="S430" s="10" t="n">
        <f aca="false">IF(A430="","",R429)</f>
        <v>0</v>
      </c>
      <c r="T430" s="10" t="n">
        <f aca="false">IF(A430="","",IFERROR(S430*(1+Inputs!$B$23/12),""))</f>
        <v>0</v>
      </c>
      <c r="U430" s="6" t="n">
        <f aca="false">IF(A430="","",IF(D430&lt;=Inputs!$B$8,IF(Inputs!$B$22="Premium Offset",MAX(0,Inputs!$B$25-(Q430+T430)),Inputs!$B$25),0))</f>
        <v>0</v>
      </c>
      <c r="V430" s="10" t="n">
        <f aca="false">IF(A430="","",IF(Inputs!$B$22="Cash",Q430,0))</f>
        <v>0</v>
      </c>
      <c r="W430" s="10" t="n">
        <f aca="false">IF(A430="","",IF(Inputs!$B$22="PUA",Q430,0))</f>
        <v>0</v>
      </c>
      <c r="X430" s="12" t="n">
        <f aca="false">IF(A430="","",IFERROR(INDEX(PUA_TABLE!$D$4:$D$105,MATCH(E430,PUA_TABLE!$C$4:$C$105,1)),0))</f>
        <v>0.6123092342083</v>
      </c>
      <c r="Y430" s="10" t="n">
        <f aca="false">IF(A430="","",IF(W430&gt;0,IF(X430&gt;0,W430/X430,0),0))</f>
        <v>0</v>
      </c>
      <c r="Z430" s="10" t="n">
        <f aca="false">IF(A430="","",N430+Y430)</f>
        <v>0</v>
      </c>
      <c r="AA430" s="10" t="n">
        <f aca="false">IF(A430="","",IFERROR(Z430*INDEX(PUA_TABLE!$I$4:$I$105,MATCH(E430,PUA_TABLE!$C$4:$C$105,1))/1000,0))</f>
        <v>0</v>
      </c>
      <c r="AB430" s="10" t="n">
        <f aca="false">IF(A430="","",IFERROR(L430+AA430,0))</f>
        <v>30993.589595861</v>
      </c>
      <c r="AC430" s="10" t="n">
        <f aca="false">IF(A430="","",IF(Inputs!$B$22="Premium Offset",MIN(Inputs!$B$25,Q430+T430),0))</f>
        <v>0</v>
      </c>
    </row>
    <row r="431" customFormat="false" ht="15" hidden="false" customHeight="false" outlineLevel="0" collapsed="false">
      <c r="A431" s="1" t="n">
        <f aca="false">IF(A430="","",IF(INT((C430+1)/12)+Inputs!$B$7&gt;MAX(MORTALITY!$A:$A),"",Inputs!$B$4))</f>
        <v>34</v>
      </c>
      <c r="B431" s="3" t="n">
        <f aca="false">IF(A431="","",EOMONTH(B430,1))</f>
        <v>34789</v>
      </c>
      <c r="C431" s="1" t="n">
        <f aca="false">IF(A431="","",C430+1)</f>
        <v>429</v>
      </c>
      <c r="D431" s="1" t="n">
        <f aca="false">IF(A431="","",INT(C431/12))</f>
        <v>35</v>
      </c>
      <c r="E431" s="1" t="n">
        <f aca="false">IF(A431="","",D431+Inputs!$B$7)</f>
        <v>51</v>
      </c>
      <c r="F431" s="3" t="n">
        <f aca="false">IF(A431="","",DATE(YEAR(B$2)+D431,MONTH(B$2),DAY(B$2)))</f>
        <v>34490</v>
      </c>
      <c r="G431" s="3" t="n">
        <f aca="false">IF(A431="","",DATE(YEAR(F431)+1,MONTH(F431),DAY(F431)))</f>
        <v>34855</v>
      </c>
      <c r="H431" s="10" t="n">
        <f aca="false">IF(A431="","",IF(G431&gt;F431,(B431-F431)/(G431-F431),0))</f>
        <v>0.819178082191781</v>
      </c>
      <c r="I431" s="10" t="n">
        <f aca="false">IF(A431="","",IFERROR(INDEX(CV_RATES!$I:$I,MATCH(D431,CV_RATES!$C:$C,0)),0))</f>
        <v>612.3092342083</v>
      </c>
      <c r="J431" s="10" t="n">
        <f aca="false">IF(A431="","",IFERROR(IF(E431=MAX(MORTALITY!$A:$A),1000,INDEX(CV_RATES!$J:$J,MATCH(D431,CV_RATES!$C:$C,0))),0))</f>
        <v>622.608986311866</v>
      </c>
      <c r="K431" s="10" t="n">
        <f aca="false">IF(A431="","",IFERROR(I431+H431*(J431-I431),0))</f>
        <v>620.74656538355</v>
      </c>
      <c r="L431" s="10" t="n">
        <f aca="false">IF(A431="","",IFERROR(K431*Inputs!$B$9,0))</f>
        <v>31037.3282691775</v>
      </c>
      <c r="M431" s="10" t="n">
        <f aca="false">IF(A431="","",IFERROR(K431*Inputs!$B$10,0))</f>
        <v>99317.5882216719</v>
      </c>
      <c r="N431" s="10" t="n">
        <f aca="false">IF(A431="","",Z430)</f>
        <v>0</v>
      </c>
      <c r="O431" s="6" t="n">
        <f aca="false">IF(A431="","",Inputs!$B$18+N431)</f>
        <v>50000</v>
      </c>
      <c r="P431" s="5" t="n">
        <f aca="false">IF(A431="","",VLOOKUP(D431,DIvidend_Assumption!$A$3:$CX$103,($E$2+2),0)/12)</f>
        <v>0</v>
      </c>
      <c r="Q431" s="10" t="n">
        <f aca="false">IF(A431="","",IFERROR(AB430*P431,""))</f>
        <v>0</v>
      </c>
      <c r="R431" s="10" t="n">
        <f aca="false">IF(A431="","",IFERROR(IF(Inputs!$B$22="Accumulate",T431+Q431,IF(Inputs!$B$22="Premium Offset",MAX(0,T431+Q431-Inputs!$B$25),T431)),""))</f>
        <v>0</v>
      </c>
      <c r="S431" s="10" t="n">
        <f aca="false">IF(A431="","",R430)</f>
        <v>0</v>
      </c>
      <c r="T431" s="10" t="n">
        <f aca="false">IF(A431="","",IFERROR(S431*(1+Inputs!$B$23/12),""))</f>
        <v>0</v>
      </c>
      <c r="U431" s="6" t="n">
        <f aca="false">IF(A431="","",IF(D431&lt;=Inputs!$B$8,IF(Inputs!$B$22="Premium Offset",MAX(0,Inputs!$B$25-(Q431+T431)),Inputs!$B$25),0))</f>
        <v>0</v>
      </c>
      <c r="V431" s="10" t="n">
        <f aca="false">IF(A431="","",IF(Inputs!$B$22="Cash",Q431,0))</f>
        <v>0</v>
      </c>
      <c r="W431" s="10" t="n">
        <f aca="false">IF(A431="","",IF(Inputs!$B$22="PUA",Q431,0))</f>
        <v>0</v>
      </c>
      <c r="X431" s="12" t="n">
        <f aca="false">IF(A431="","",IFERROR(INDEX(PUA_TABLE!$D$4:$D$105,MATCH(E431,PUA_TABLE!$C$4:$C$105,1)),0))</f>
        <v>0.6123092342083</v>
      </c>
      <c r="Y431" s="10" t="n">
        <f aca="false">IF(A431="","",IF(W431&gt;0,IF(X431&gt;0,W431/X431,0),0))</f>
        <v>0</v>
      </c>
      <c r="Z431" s="10" t="n">
        <f aca="false">IF(A431="","",N431+Y431)</f>
        <v>0</v>
      </c>
      <c r="AA431" s="10" t="n">
        <f aca="false">IF(A431="","",IFERROR(Z431*INDEX(PUA_TABLE!$I$4:$I$105,MATCH(E431,PUA_TABLE!$C$4:$C$105,1))/1000,0))</f>
        <v>0</v>
      </c>
      <c r="AB431" s="10" t="n">
        <f aca="false">IF(A431="","",IFERROR(L431+AA431,0))</f>
        <v>31037.3282691775</v>
      </c>
      <c r="AC431" s="10" t="n">
        <f aca="false">IF(A431="","",IF(Inputs!$B$22="Premium Offset",MIN(Inputs!$B$25,Q431+T431),0))</f>
        <v>0</v>
      </c>
    </row>
    <row r="432" customFormat="false" ht="15" hidden="false" customHeight="false" outlineLevel="0" collapsed="false">
      <c r="A432" s="1" t="n">
        <f aca="false">IF(A431="","",IF(INT((C431+1)/12)+Inputs!$B$7&gt;MAX(MORTALITY!$A:$A),"",Inputs!$B$4))</f>
        <v>34</v>
      </c>
      <c r="B432" s="3" t="n">
        <f aca="false">IF(A432="","",EOMONTH(B431,1))</f>
        <v>34819</v>
      </c>
      <c r="C432" s="1" t="n">
        <f aca="false">IF(A432="","",C431+1)</f>
        <v>430</v>
      </c>
      <c r="D432" s="1" t="n">
        <f aca="false">IF(A432="","",INT(C432/12))</f>
        <v>35</v>
      </c>
      <c r="E432" s="1" t="n">
        <f aca="false">IF(A432="","",D432+Inputs!$B$7)</f>
        <v>51</v>
      </c>
      <c r="F432" s="3" t="n">
        <f aca="false">IF(A432="","",DATE(YEAR(B$2)+D432,MONTH(B$2),DAY(B$2)))</f>
        <v>34490</v>
      </c>
      <c r="G432" s="3" t="n">
        <f aca="false">IF(A432="","",DATE(YEAR(F432)+1,MONTH(F432),DAY(F432)))</f>
        <v>34855</v>
      </c>
      <c r="H432" s="10" t="n">
        <f aca="false">IF(A432="","",IF(G432&gt;F432,(B432-F432)/(G432-F432),0))</f>
        <v>0.901369863013699</v>
      </c>
      <c r="I432" s="10" t="n">
        <f aca="false">IF(A432="","",IFERROR(INDEX(CV_RATES!$I:$I,MATCH(D432,CV_RATES!$C:$C,0)),0))</f>
        <v>612.3092342083</v>
      </c>
      <c r="J432" s="10" t="n">
        <f aca="false">IF(A432="","",IFERROR(IF(E432=MAX(MORTALITY!$A:$A),1000,INDEX(CV_RATES!$J:$J,MATCH(D432,CV_RATES!$C:$C,0))),0))</f>
        <v>622.608986311866</v>
      </c>
      <c r="K432" s="10" t="n">
        <f aca="false">IF(A432="","",IFERROR(I432+H432*(J432-I432),0))</f>
        <v>621.593120350967</v>
      </c>
      <c r="L432" s="10" t="n">
        <f aca="false">IF(A432="","",IFERROR(K432*Inputs!$B$9,0))</f>
        <v>31079.6560175483</v>
      </c>
      <c r="M432" s="10" t="n">
        <f aca="false">IF(A432="","",IFERROR(K432*Inputs!$B$10,0))</f>
        <v>99453.0344767936</v>
      </c>
      <c r="N432" s="10" t="n">
        <f aca="false">IF(A432="","",Z431)</f>
        <v>0</v>
      </c>
      <c r="O432" s="6" t="n">
        <f aca="false">IF(A432="","",Inputs!$B$18+N432)</f>
        <v>50000</v>
      </c>
      <c r="P432" s="5" t="n">
        <f aca="false">IF(A432="","",VLOOKUP(D432,DIvidend_Assumption!$A$3:$CX$103,($E$2+2),0)/12)</f>
        <v>0</v>
      </c>
      <c r="Q432" s="10" t="n">
        <f aca="false">IF(A432="","",IFERROR(AB431*P432,""))</f>
        <v>0</v>
      </c>
      <c r="R432" s="10" t="n">
        <f aca="false">IF(A432="","",IFERROR(IF(Inputs!$B$22="Accumulate",T432+Q432,IF(Inputs!$B$22="Premium Offset",MAX(0,T432+Q432-Inputs!$B$25),T432)),""))</f>
        <v>0</v>
      </c>
      <c r="S432" s="10" t="n">
        <f aca="false">IF(A432="","",R431)</f>
        <v>0</v>
      </c>
      <c r="T432" s="10" t="n">
        <f aca="false">IF(A432="","",IFERROR(S432*(1+Inputs!$B$23/12),""))</f>
        <v>0</v>
      </c>
      <c r="U432" s="6" t="n">
        <f aca="false">IF(A432="","",IF(D432&lt;=Inputs!$B$8,IF(Inputs!$B$22="Premium Offset",MAX(0,Inputs!$B$25-(Q432+T432)),Inputs!$B$25),0))</f>
        <v>0</v>
      </c>
      <c r="V432" s="10" t="n">
        <f aca="false">IF(A432="","",IF(Inputs!$B$22="Cash",Q432,0))</f>
        <v>0</v>
      </c>
      <c r="W432" s="10" t="n">
        <f aca="false">IF(A432="","",IF(Inputs!$B$22="PUA",Q432,0))</f>
        <v>0</v>
      </c>
      <c r="X432" s="12" t="n">
        <f aca="false">IF(A432="","",IFERROR(INDEX(PUA_TABLE!$D$4:$D$105,MATCH(E432,PUA_TABLE!$C$4:$C$105,1)),0))</f>
        <v>0.6123092342083</v>
      </c>
      <c r="Y432" s="10" t="n">
        <f aca="false">IF(A432="","",IF(W432&gt;0,IF(X432&gt;0,W432/X432,0),0))</f>
        <v>0</v>
      </c>
      <c r="Z432" s="10" t="n">
        <f aca="false">IF(A432="","",N432+Y432)</f>
        <v>0</v>
      </c>
      <c r="AA432" s="10" t="n">
        <f aca="false">IF(A432="","",IFERROR(Z432*INDEX(PUA_TABLE!$I$4:$I$105,MATCH(E432,PUA_TABLE!$C$4:$C$105,1))/1000,0))</f>
        <v>0</v>
      </c>
      <c r="AB432" s="10" t="n">
        <f aca="false">IF(A432="","",IFERROR(L432+AA432,0))</f>
        <v>31079.6560175483</v>
      </c>
      <c r="AC432" s="10" t="n">
        <f aca="false">IF(A432="","",IF(Inputs!$B$22="Premium Offset",MIN(Inputs!$B$25,Q432+T432),0))</f>
        <v>0</v>
      </c>
    </row>
    <row r="433" customFormat="false" ht="15" hidden="false" customHeight="false" outlineLevel="0" collapsed="false">
      <c r="A433" s="1" t="n">
        <f aca="false">IF(A432="","",IF(INT((C432+1)/12)+Inputs!$B$7&gt;MAX(MORTALITY!$A:$A),"",Inputs!$B$4))</f>
        <v>34</v>
      </c>
      <c r="B433" s="3" t="n">
        <f aca="false">IF(A433="","",EOMONTH(B432,1))</f>
        <v>34850</v>
      </c>
      <c r="C433" s="1" t="n">
        <f aca="false">IF(A433="","",C432+1)</f>
        <v>431</v>
      </c>
      <c r="D433" s="1" t="n">
        <f aca="false">IF(A433="","",INT(C433/12))</f>
        <v>35</v>
      </c>
      <c r="E433" s="1" t="n">
        <f aca="false">IF(A433="","",D433+Inputs!$B$7)</f>
        <v>51</v>
      </c>
      <c r="F433" s="3" t="n">
        <f aca="false">IF(A433="","",DATE(YEAR(B$2)+D433,MONTH(B$2),DAY(B$2)))</f>
        <v>34490</v>
      </c>
      <c r="G433" s="3" t="n">
        <f aca="false">IF(A433="","",DATE(YEAR(F433)+1,MONTH(F433),DAY(F433)))</f>
        <v>34855</v>
      </c>
      <c r="H433" s="10" t="n">
        <f aca="false">IF(A433="","",IF(G433&gt;F433,(B433-F433)/(G433-F433),0))</f>
        <v>0.986301369863014</v>
      </c>
      <c r="I433" s="10" t="n">
        <f aca="false">IF(A433="","",IFERROR(INDEX(CV_RATES!$I:$I,MATCH(D433,CV_RATES!$C:$C,0)),0))</f>
        <v>612.3092342083</v>
      </c>
      <c r="J433" s="10" t="n">
        <f aca="false">IF(A433="","",IFERROR(IF(E433=MAX(MORTALITY!$A:$A),1000,INDEX(CV_RATES!$J:$J,MATCH(D433,CV_RATES!$C:$C,0))),0))</f>
        <v>622.608986311866</v>
      </c>
      <c r="K433" s="10" t="n">
        <f aca="false">IF(A433="","",IFERROR(I433+H433*(J433-I433),0))</f>
        <v>622.467893817297</v>
      </c>
      <c r="L433" s="10" t="n">
        <f aca="false">IF(A433="","",IFERROR(K433*Inputs!$B$9,0))</f>
        <v>31123.3946908648</v>
      </c>
      <c r="M433" s="10" t="n">
        <f aca="false">IF(A433="","",IFERROR(K433*Inputs!$B$10,0))</f>
        <v>99592.995607086</v>
      </c>
      <c r="N433" s="10" t="n">
        <f aca="false">IF(A433="","",Z432)</f>
        <v>0</v>
      </c>
      <c r="O433" s="6" t="n">
        <f aca="false">IF(A433="","",Inputs!$B$18+N433)</f>
        <v>50000</v>
      </c>
      <c r="P433" s="5" t="n">
        <f aca="false">IF(A433="","",VLOOKUP(D433,DIvidend_Assumption!$A$3:$CX$103,($E$2+2),0)/12)</f>
        <v>0</v>
      </c>
      <c r="Q433" s="10" t="n">
        <f aca="false">IF(A433="","",IFERROR(AB432*P433,""))</f>
        <v>0</v>
      </c>
      <c r="R433" s="10" t="n">
        <f aca="false">IF(A433="","",IFERROR(IF(Inputs!$B$22="Accumulate",T433+Q433,IF(Inputs!$B$22="Premium Offset",MAX(0,T433+Q433-Inputs!$B$25),T433)),""))</f>
        <v>0</v>
      </c>
      <c r="S433" s="10" t="n">
        <f aca="false">IF(A433="","",R432)</f>
        <v>0</v>
      </c>
      <c r="T433" s="10" t="n">
        <f aca="false">IF(A433="","",IFERROR(S433*(1+Inputs!$B$23/12),""))</f>
        <v>0</v>
      </c>
      <c r="U433" s="6" t="n">
        <f aca="false">IF(A433="","",IF(D433&lt;=Inputs!$B$8,IF(Inputs!$B$22="Premium Offset",MAX(0,Inputs!$B$25-(Q433+T433)),Inputs!$B$25),0))</f>
        <v>0</v>
      </c>
      <c r="V433" s="10" t="n">
        <f aca="false">IF(A433="","",IF(Inputs!$B$22="Cash",Q433,0))</f>
        <v>0</v>
      </c>
      <c r="W433" s="10" t="n">
        <f aca="false">IF(A433="","",IF(Inputs!$B$22="PUA",Q433,0))</f>
        <v>0</v>
      </c>
      <c r="X433" s="12" t="n">
        <f aca="false">IF(A433="","",IFERROR(INDEX(PUA_TABLE!$D$4:$D$105,MATCH(E433,PUA_TABLE!$C$4:$C$105,1)),0))</f>
        <v>0.6123092342083</v>
      </c>
      <c r="Y433" s="10" t="n">
        <f aca="false">IF(A433="","",IF(W433&gt;0,IF(X433&gt;0,W433/X433,0),0))</f>
        <v>0</v>
      </c>
      <c r="Z433" s="10" t="n">
        <f aca="false">IF(A433="","",N433+Y433)</f>
        <v>0</v>
      </c>
      <c r="AA433" s="10" t="n">
        <f aca="false">IF(A433="","",IFERROR(Z433*INDEX(PUA_TABLE!$I$4:$I$105,MATCH(E433,PUA_TABLE!$C$4:$C$105,1))/1000,0))</f>
        <v>0</v>
      </c>
      <c r="AB433" s="10" t="n">
        <f aca="false">IF(A433="","",IFERROR(L433+AA433,0))</f>
        <v>31123.3946908648</v>
      </c>
      <c r="AC433" s="10" t="n">
        <f aca="false">IF(A433="","",IF(Inputs!$B$22="Premium Offset",MIN(Inputs!$B$25,Q433+T433),0))</f>
        <v>0</v>
      </c>
    </row>
    <row r="434" customFormat="false" ht="15" hidden="false" customHeight="false" outlineLevel="0" collapsed="false">
      <c r="A434" s="1" t="n">
        <f aca="false">IF(A433="","",IF(INT((C433+1)/12)+Inputs!$B$7&gt;MAX(MORTALITY!$A:$A),"",Inputs!$B$4))</f>
        <v>34</v>
      </c>
      <c r="B434" s="3" t="n">
        <f aca="false">IF(A434="","",EOMONTH(B433,1))</f>
        <v>34880</v>
      </c>
      <c r="C434" s="1" t="n">
        <f aca="false">IF(A434="","",C433+1)</f>
        <v>432</v>
      </c>
      <c r="D434" s="1" t="n">
        <f aca="false">IF(A434="","",INT(C434/12))</f>
        <v>36</v>
      </c>
      <c r="E434" s="1" t="n">
        <f aca="false">IF(A434="","",D434+Inputs!$B$7)</f>
        <v>52</v>
      </c>
      <c r="F434" s="3" t="n">
        <f aca="false">IF(A434="","",DATE(YEAR(B$2)+D434,MONTH(B$2),DAY(B$2)))</f>
        <v>34855</v>
      </c>
      <c r="G434" s="3" t="n">
        <f aca="false">IF(A434="","",DATE(YEAR(F434)+1,MONTH(F434),DAY(F434)))</f>
        <v>35221</v>
      </c>
      <c r="H434" s="10" t="n">
        <f aca="false">IF(A434="","",IF(G434&gt;F434,(B434-F434)/(G434-F434),0))</f>
        <v>0.0683060109289618</v>
      </c>
      <c r="I434" s="10" t="n">
        <f aca="false">IF(A434="","",IFERROR(INDEX(CV_RATES!$I:$I,MATCH(D434,CV_RATES!$C:$C,0)),0))</f>
        <v>622.608986311866</v>
      </c>
      <c r="J434" s="10" t="n">
        <f aca="false">IF(A434="","",IFERROR(IF(E434=MAX(MORTALITY!$A:$A),1000,INDEX(CV_RATES!$J:$J,MATCH(D434,CV_RATES!$C:$C,0))),0))</f>
        <v>632.92503902776</v>
      </c>
      <c r="K434" s="10" t="n">
        <f aca="false">IF(A434="","",IFERROR(I434+H434*(J434-I434),0))</f>
        <v>623.313634721422</v>
      </c>
      <c r="L434" s="10" t="n">
        <f aca="false">IF(A434="","",IFERROR(K434*Inputs!$B$9,0))</f>
        <v>31165.6817360711</v>
      </c>
      <c r="M434" s="10" t="n">
        <f aca="false">IF(A434="","",IFERROR(K434*Inputs!$B$10,0))</f>
        <v>99728.3116145233</v>
      </c>
      <c r="N434" s="10" t="n">
        <f aca="false">IF(A434="","",Z433)</f>
        <v>0</v>
      </c>
      <c r="O434" s="6" t="n">
        <f aca="false">IF(A434="","",Inputs!$B$18+N434)</f>
        <v>50000</v>
      </c>
      <c r="P434" s="5" t="n">
        <f aca="false">IF(A434="","",VLOOKUP(D434,DIvidend_Assumption!$A$3:$CX$103,($E$2+2),0)/12)</f>
        <v>0</v>
      </c>
      <c r="Q434" s="10" t="n">
        <f aca="false">IF(A434="","",IFERROR(AB433*P434,""))</f>
        <v>0</v>
      </c>
      <c r="R434" s="10" t="n">
        <f aca="false">IF(A434="","",IFERROR(IF(Inputs!$B$22="Accumulate",T434+Q434,IF(Inputs!$B$22="Premium Offset",MAX(0,T434+Q434-Inputs!$B$25),T434)),""))</f>
        <v>0</v>
      </c>
      <c r="S434" s="10" t="n">
        <f aca="false">IF(A434="","",R433)</f>
        <v>0</v>
      </c>
      <c r="T434" s="10" t="n">
        <f aca="false">IF(A434="","",IFERROR(S434*(1+Inputs!$B$23/12),""))</f>
        <v>0</v>
      </c>
      <c r="U434" s="6" t="n">
        <f aca="false">IF(A434="","",IF(D434&lt;=Inputs!$B$8,IF(Inputs!$B$22="Premium Offset",MAX(0,Inputs!$B$25-(Q434+T434)),Inputs!$B$25),0))</f>
        <v>0</v>
      </c>
      <c r="V434" s="10" t="n">
        <f aca="false">IF(A434="","",IF(Inputs!$B$22="Cash",Q434,0))</f>
        <v>0</v>
      </c>
      <c r="W434" s="10" t="n">
        <f aca="false">IF(A434="","",IF(Inputs!$B$22="PUA",Q434,0))</f>
        <v>0</v>
      </c>
      <c r="X434" s="12" t="n">
        <f aca="false">IF(A434="","",IFERROR(INDEX(PUA_TABLE!$D$4:$D$105,MATCH(E434,PUA_TABLE!$C$4:$C$105,1)),0))</f>
        <v>0.622608986311866</v>
      </c>
      <c r="Y434" s="10" t="n">
        <f aca="false">IF(A434="","",IF(W434&gt;0,IF(X434&gt;0,W434/X434,0),0))</f>
        <v>0</v>
      </c>
      <c r="Z434" s="10" t="n">
        <f aca="false">IF(A434="","",N434+Y434)</f>
        <v>0</v>
      </c>
      <c r="AA434" s="10" t="n">
        <f aca="false">IF(A434="","",IFERROR(Z434*INDEX(PUA_TABLE!$I$4:$I$105,MATCH(E434,PUA_TABLE!$C$4:$C$105,1))/1000,0))</f>
        <v>0</v>
      </c>
      <c r="AB434" s="10" t="n">
        <f aca="false">IF(A434="","",IFERROR(L434+AA434,0))</f>
        <v>31165.6817360711</v>
      </c>
      <c r="AC434" s="10" t="n">
        <f aca="false">IF(A434="","",IF(Inputs!$B$22="Premium Offset",MIN(Inputs!$B$25,Q434+T434),0))</f>
        <v>0</v>
      </c>
    </row>
    <row r="435" customFormat="false" ht="15" hidden="false" customHeight="false" outlineLevel="0" collapsed="false">
      <c r="A435" s="1" t="n">
        <f aca="false">IF(A434="","",IF(INT((C434+1)/12)+Inputs!$B$7&gt;MAX(MORTALITY!$A:$A),"",Inputs!$B$4))</f>
        <v>34</v>
      </c>
      <c r="B435" s="3" t="n">
        <f aca="false">IF(A435="","",EOMONTH(B434,1))</f>
        <v>34911</v>
      </c>
      <c r="C435" s="1" t="n">
        <f aca="false">IF(A435="","",C434+1)</f>
        <v>433</v>
      </c>
      <c r="D435" s="1" t="n">
        <f aca="false">IF(A435="","",INT(C435/12))</f>
        <v>36</v>
      </c>
      <c r="E435" s="1" t="n">
        <f aca="false">IF(A435="","",D435+Inputs!$B$7)</f>
        <v>52</v>
      </c>
      <c r="F435" s="3" t="n">
        <f aca="false">IF(A435="","",DATE(YEAR(B$2)+D435,MONTH(B$2),DAY(B$2)))</f>
        <v>34855</v>
      </c>
      <c r="G435" s="3" t="n">
        <f aca="false">IF(A435="","",DATE(YEAR(F435)+1,MONTH(F435),DAY(F435)))</f>
        <v>35221</v>
      </c>
      <c r="H435" s="10" t="n">
        <f aca="false">IF(A435="","",IF(G435&gt;F435,(B435-F435)/(G435-F435),0))</f>
        <v>0.153005464480874</v>
      </c>
      <c r="I435" s="10" t="n">
        <f aca="false">IF(A435="","",IFERROR(INDEX(CV_RATES!$I:$I,MATCH(D435,CV_RATES!$C:$C,0)),0))</f>
        <v>622.608986311866</v>
      </c>
      <c r="J435" s="10" t="n">
        <f aca="false">IF(A435="","",IFERROR(IF(E435=MAX(MORTALITY!$A:$A),1000,INDEX(CV_RATES!$J:$J,MATCH(D435,CV_RATES!$C:$C,0))),0))</f>
        <v>632.92503902776</v>
      </c>
      <c r="K435" s="10" t="n">
        <f aca="false">IF(A435="","",IFERROR(I435+H435*(J435-I435),0))</f>
        <v>624.187398749271</v>
      </c>
      <c r="L435" s="10" t="n">
        <f aca="false">IF(A435="","",IFERROR(K435*Inputs!$B$9,0))</f>
        <v>31209.3699374635</v>
      </c>
      <c r="M435" s="10" t="n">
        <f aca="false">IF(A435="","",IFERROR(K435*Inputs!$B$10,0))</f>
        <v>99868.1112376871</v>
      </c>
      <c r="N435" s="10" t="n">
        <f aca="false">IF(A435="","",Z434)</f>
        <v>0</v>
      </c>
      <c r="O435" s="6" t="n">
        <f aca="false">IF(A435="","",Inputs!$B$18+N435)</f>
        <v>50000</v>
      </c>
      <c r="P435" s="5" t="n">
        <f aca="false">IF(A435="","",VLOOKUP(D435,DIvidend_Assumption!$A$3:$CX$103,($E$2+2),0)/12)</f>
        <v>0</v>
      </c>
      <c r="Q435" s="10" t="n">
        <f aca="false">IF(A435="","",IFERROR(AB434*P435,""))</f>
        <v>0</v>
      </c>
      <c r="R435" s="10" t="n">
        <f aca="false">IF(A435="","",IFERROR(IF(Inputs!$B$22="Accumulate",T435+Q435,IF(Inputs!$B$22="Premium Offset",MAX(0,T435+Q435-Inputs!$B$25),T435)),""))</f>
        <v>0</v>
      </c>
      <c r="S435" s="10" t="n">
        <f aca="false">IF(A435="","",R434)</f>
        <v>0</v>
      </c>
      <c r="T435" s="10" t="n">
        <f aca="false">IF(A435="","",IFERROR(S435*(1+Inputs!$B$23/12),""))</f>
        <v>0</v>
      </c>
      <c r="U435" s="6" t="n">
        <f aca="false">IF(A435="","",IF(D435&lt;=Inputs!$B$8,IF(Inputs!$B$22="Premium Offset",MAX(0,Inputs!$B$25-(Q435+T435)),Inputs!$B$25),0))</f>
        <v>0</v>
      </c>
      <c r="V435" s="10" t="n">
        <f aca="false">IF(A435="","",IF(Inputs!$B$22="Cash",Q435,0))</f>
        <v>0</v>
      </c>
      <c r="W435" s="10" t="n">
        <f aca="false">IF(A435="","",IF(Inputs!$B$22="PUA",Q435,0))</f>
        <v>0</v>
      </c>
      <c r="X435" s="12" t="n">
        <f aca="false">IF(A435="","",IFERROR(INDEX(PUA_TABLE!$D$4:$D$105,MATCH(E435,PUA_TABLE!$C$4:$C$105,1)),0))</f>
        <v>0.622608986311866</v>
      </c>
      <c r="Y435" s="10" t="n">
        <f aca="false">IF(A435="","",IF(W435&gt;0,IF(X435&gt;0,W435/X435,0),0))</f>
        <v>0</v>
      </c>
      <c r="Z435" s="10" t="n">
        <f aca="false">IF(A435="","",N435+Y435)</f>
        <v>0</v>
      </c>
      <c r="AA435" s="10" t="n">
        <f aca="false">IF(A435="","",IFERROR(Z435*INDEX(PUA_TABLE!$I$4:$I$105,MATCH(E435,PUA_TABLE!$C$4:$C$105,1))/1000,0))</f>
        <v>0</v>
      </c>
      <c r="AB435" s="10" t="n">
        <f aca="false">IF(A435="","",IFERROR(L435+AA435,0))</f>
        <v>31209.3699374635</v>
      </c>
      <c r="AC435" s="10" t="n">
        <f aca="false">IF(A435="","",IF(Inputs!$B$22="Premium Offset",MIN(Inputs!$B$25,Q435+T435),0))</f>
        <v>0</v>
      </c>
    </row>
    <row r="436" customFormat="false" ht="15" hidden="false" customHeight="false" outlineLevel="0" collapsed="false">
      <c r="A436" s="1" t="n">
        <f aca="false">IF(A435="","",IF(INT((C435+1)/12)+Inputs!$B$7&gt;MAX(MORTALITY!$A:$A),"",Inputs!$B$4))</f>
        <v>34</v>
      </c>
      <c r="B436" s="3" t="n">
        <f aca="false">IF(A436="","",EOMONTH(B435,1))</f>
        <v>34942</v>
      </c>
      <c r="C436" s="1" t="n">
        <f aca="false">IF(A436="","",C435+1)</f>
        <v>434</v>
      </c>
      <c r="D436" s="1" t="n">
        <f aca="false">IF(A436="","",INT(C436/12))</f>
        <v>36</v>
      </c>
      <c r="E436" s="1" t="n">
        <f aca="false">IF(A436="","",D436+Inputs!$B$7)</f>
        <v>52</v>
      </c>
      <c r="F436" s="3" t="n">
        <f aca="false">IF(A436="","",DATE(YEAR(B$2)+D436,MONTH(B$2),DAY(B$2)))</f>
        <v>34855</v>
      </c>
      <c r="G436" s="3" t="n">
        <f aca="false">IF(A436="","",DATE(YEAR(F436)+1,MONTH(F436),DAY(F436)))</f>
        <v>35221</v>
      </c>
      <c r="H436" s="10" t="n">
        <f aca="false">IF(A436="","",IF(G436&gt;F436,(B436-F436)/(G436-F436),0))</f>
        <v>0.237704918032787</v>
      </c>
      <c r="I436" s="10" t="n">
        <f aca="false">IF(A436="","",IFERROR(INDEX(CV_RATES!$I:$I,MATCH(D436,CV_RATES!$C:$C,0)),0))</f>
        <v>622.608986311866</v>
      </c>
      <c r="J436" s="10" t="n">
        <f aca="false">IF(A436="","",IFERROR(IF(E436=MAX(MORTALITY!$A:$A),1000,INDEX(CV_RATES!$J:$J,MATCH(D436,CV_RATES!$C:$C,0))),0))</f>
        <v>632.92503902776</v>
      </c>
      <c r="K436" s="10" t="n">
        <f aca="false">IF(A436="","",IFERROR(I436+H436*(J436-I436),0))</f>
        <v>625.06116277712</v>
      </c>
      <c r="L436" s="10" t="n">
        <f aca="false">IF(A436="","",IFERROR(K436*Inputs!$B$9,0))</f>
        <v>31253.058138856</v>
      </c>
      <c r="M436" s="10" t="n">
        <f aca="false">IF(A436="","",IFERROR(K436*Inputs!$B$10,0))</f>
        <v>100007.910860851</v>
      </c>
      <c r="N436" s="10" t="n">
        <f aca="false">IF(A436="","",Z435)</f>
        <v>0</v>
      </c>
      <c r="O436" s="6" t="n">
        <f aca="false">IF(A436="","",Inputs!$B$18+N436)</f>
        <v>50000</v>
      </c>
      <c r="P436" s="5" t="n">
        <f aca="false">IF(A436="","",VLOOKUP(D436,DIvidend_Assumption!$A$3:$CX$103,($E$2+2),0)/12)</f>
        <v>0</v>
      </c>
      <c r="Q436" s="10" t="n">
        <f aca="false">IF(A436="","",IFERROR(AB435*P436,""))</f>
        <v>0</v>
      </c>
      <c r="R436" s="10" t="n">
        <f aca="false">IF(A436="","",IFERROR(IF(Inputs!$B$22="Accumulate",T436+Q436,IF(Inputs!$B$22="Premium Offset",MAX(0,T436+Q436-Inputs!$B$25),T436)),""))</f>
        <v>0</v>
      </c>
      <c r="S436" s="10" t="n">
        <f aca="false">IF(A436="","",R435)</f>
        <v>0</v>
      </c>
      <c r="T436" s="10" t="n">
        <f aca="false">IF(A436="","",IFERROR(S436*(1+Inputs!$B$23/12),""))</f>
        <v>0</v>
      </c>
      <c r="U436" s="6" t="n">
        <f aca="false">IF(A436="","",IF(D436&lt;=Inputs!$B$8,IF(Inputs!$B$22="Premium Offset",MAX(0,Inputs!$B$25-(Q436+T436)),Inputs!$B$25),0))</f>
        <v>0</v>
      </c>
      <c r="V436" s="10" t="n">
        <f aca="false">IF(A436="","",IF(Inputs!$B$22="Cash",Q436,0))</f>
        <v>0</v>
      </c>
      <c r="W436" s="10" t="n">
        <f aca="false">IF(A436="","",IF(Inputs!$B$22="PUA",Q436,0))</f>
        <v>0</v>
      </c>
      <c r="X436" s="12" t="n">
        <f aca="false">IF(A436="","",IFERROR(INDEX(PUA_TABLE!$D$4:$D$105,MATCH(E436,PUA_TABLE!$C$4:$C$105,1)),0))</f>
        <v>0.622608986311866</v>
      </c>
      <c r="Y436" s="10" t="n">
        <f aca="false">IF(A436="","",IF(W436&gt;0,IF(X436&gt;0,W436/X436,0),0))</f>
        <v>0</v>
      </c>
      <c r="Z436" s="10" t="n">
        <f aca="false">IF(A436="","",N436+Y436)</f>
        <v>0</v>
      </c>
      <c r="AA436" s="10" t="n">
        <f aca="false">IF(A436="","",IFERROR(Z436*INDEX(PUA_TABLE!$I$4:$I$105,MATCH(E436,PUA_TABLE!$C$4:$C$105,1))/1000,0))</f>
        <v>0</v>
      </c>
      <c r="AB436" s="10" t="n">
        <f aca="false">IF(A436="","",IFERROR(L436+AA436,0))</f>
        <v>31253.058138856</v>
      </c>
      <c r="AC436" s="10" t="n">
        <f aca="false">IF(A436="","",IF(Inputs!$B$22="Premium Offset",MIN(Inputs!$B$25,Q436+T436),0))</f>
        <v>0</v>
      </c>
    </row>
    <row r="437" customFormat="false" ht="15" hidden="false" customHeight="false" outlineLevel="0" collapsed="false">
      <c r="A437" s="1" t="n">
        <f aca="false">IF(A436="","",IF(INT((C436+1)/12)+Inputs!$B$7&gt;MAX(MORTALITY!$A:$A),"",Inputs!$B$4))</f>
        <v>34</v>
      </c>
      <c r="B437" s="3" t="n">
        <f aca="false">IF(A437="","",EOMONTH(B436,1))</f>
        <v>34972</v>
      </c>
      <c r="C437" s="1" t="n">
        <f aca="false">IF(A437="","",C436+1)</f>
        <v>435</v>
      </c>
      <c r="D437" s="1" t="n">
        <f aca="false">IF(A437="","",INT(C437/12))</f>
        <v>36</v>
      </c>
      <c r="E437" s="1" t="n">
        <f aca="false">IF(A437="","",D437+Inputs!$B$7)</f>
        <v>52</v>
      </c>
      <c r="F437" s="3" t="n">
        <f aca="false">IF(A437="","",DATE(YEAR(B$2)+D437,MONTH(B$2),DAY(B$2)))</f>
        <v>34855</v>
      </c>
      <c r="G437" s="3" t="n">
        <f aca="false">IF(A437="","",DATE(YEAR(F437)+1,MONTH(F437),DAY(F437)))</f>
        <v>35221</v>
      </c>
      <c r="H437" s="10" t="n">
        <f aca="false">IF(A437="","",IF(G437&gt;F437,(B437-F437)/(G437-F437),0))</f>
        <v>0.319672131147541</v>
      </c>
      <c r="I437" s="10" t="n">
        <f aca="false">IF(A437="","",IFERROR(INDEX(CV_RATES!$I:$I,MATCH(D437,CV_RATES!$C:$C,0)),0))</f>
        <v>622.608986311866</v>
      </c>
      <c r="J437" s="10" t="n">
        <f aca="false">IF(A437="","",IFERROR(IF(E437=MAX(MORTALITY!$A:$A),1000,INDEX(CV_RATES!$J:$J,MATCH(D437,CV_RATES!$C:$C,0))),0))</f>
        <v>632.92503902776</v>
      </c>
      <c r="K437" s="10" t="n">
        <f aca="false">IF(A437="","",IFERROR(I437+H437*(J437-I437),0))</f>
        <v>625.906740868586</v>
      </c>
      <c r="L437" s="10" t="n">
        <f aca="false">IF(A437="","",IFERROR(K437*Inputs!$B$9,0))</f>
        <v>31295.3370434293</v>
      </c>
      <c r="M437" s="10" t="n">
        <f aca="false">IF(A437="","",IFERROR(K437*Inputs!$B$10,0))</f>
        <v>100143.200818751</v>
      </c>
      <c r="N437" s="10" t="n">
        <f aca="false">IF(A437="","",Z436)</f>
        <v>0</v>
      </c>
      <c r="O437" s="6" t="n">
        <f aca="false">IF(A437="","",Inputs!$B$18+N437)</f>
        <v>50000</v>
      </c>
      <c r="P437" s="5" t="n">
        <f aca="false">IF(A437="","",VLOOKUP(D437,DIvidend_Assumption!$A$3:$CX$103,($E$2+2),0)/12)</f>
        <v>0</v>
      </c>
      <c r="Q437" s="10" t="n">
        <f aca="false">IF(A437="","",IFERROR(AB436*P437,""))</f>
        <v>0</v>
      </c>
      <c r="R437" s="10" t="n">
        <f aca="false">IF(A437="","",IFERROR(IF(Inputs!$B$22="Accumulate",T437+Q437,IF(Inputs!$B$22="Premium Offset",MAX(0,T437+Q437-Inputs!$B$25),T437)),""))</f>
        <v>0</v>
      </c>
      <c r="S437" s="10" t="n">
        <f aca="false">IF(A437="","",R436)</f>
        <v>0</v>
      </c>
      <c r="T437" s="10" t="n">
        <f aca="false">IF(A437="","",IFERROR(S437*(1+Inputs!$B$23/12),""))</f>
        <v>0</v>
      </c>
      <c r="U437" s="6" t="n">
        <f aca="false">IF(A437="","",IF(D437&lt;=Inputs!$B$8,IF(Inputs!$B$22="Premium Offset",MAX(0,Inputs!$B$25-(Q437+T437)),Inputs!$B$25),0))</f>
        <v>0</v>
      </c>
      <c r="V437" s="10" t="n">
        <f aca="false">IF(A437="","",IF(Inputs!$B$22="Cash",Q437,0))</f>
        <v>0</v>
      </c>
      <c r="W437" s="10" t="n">
        <f aca="false">IF(A437="","",IF(Inputs!$B$22="PUA",Q437,0))</f>
        <v>0</v>
      </c>
      <c r="X437" s="12" t="n">
        <f aca="false">IF(A437="","",IFERROR(INDEX(PUA_TABLE!$D$4:$D$105,MATCH(E437,PUA_TABLE!$C$4:$C$105,1)),0))</f>
        <v>0.622608986311866</v>
      </c>
      <c r="Y437" s="10" t="n">
        <f aca="false">IF(A437="","",IF(W437&gt;0,IF(X437&gt;0,W437/X437,0),0))</f>
        <v>0</v>
      </c>
      <c r="Z437" s="10" t="n">
        <f aca="false">IF(A437="","",N437+Y437)</f>
        <v>0</v>
      </c>
      <c r="AA437" s="10" t="n">
        <f aca="false">IF(A437="","",IFERROR(Z437*INDEX(PUA_TABLE!$I$4:$I$105,MATCH(E437,PUA_TABLE!$C$4:$C$105,1))/1000,0))</f>
        <v>0</v>
      </c>
      <c r="AB437" s="10" t="n">
        <f aca="false">IF(A437="","",IFERROR(L437+AA437,0))</f>
        <v>31295.3370434293</v>
      </c>
      <c r="AC437" s="10" t="n">
        <f aca="false">IF(A437="","",IF(Inputs!$B$22="Premium Offset",MIN(Inputs!$B$25,Q437+T437),0))</f>
        <v>0</v>
      </c>
    </row>
    <row r="438" customFormat="false" ht="15" hidden="false" customHeight="false" outlineLevel="0" collapsed="false">
      <c r="A438" s="1" t="n">
        <f aca="false">IF(A437="","",IF(INT((C437+1)/12)+Inputs!$B$7&gt;MAX(MORTALITY!$A:$A),"",Inputs!$B$4))</f>
        <v>34</v>
      </c>
      <c r="B438" s="3" t="n">
        <f aca="false">IF(A438="","",EOMONTH(B437,1))</f>
        <v>35003</v>
      </c>
      <c r="C438" s="1" t="n">
        <f aca="false">IF(A438="","",C437+1)</f>
        <v>436</v>
      </c>
      <c r="D438" s="1" t="n">
        <f aca="false">IF(A438="","",INT(C438/12))</f>
        <v>36</v>
      </c>
      <c r="E438" s="1" t="n">
        <f aca="false">IF(A438="","",D438+Inputs!$B$7)</f>
        <v>52</v>
      </c>
      <c r="F438" s="3" t="n">
        <f aca="false">IF(A438="","",DATE(YEAR(B$2)+D438,MONTH(B$2),DAY(B$2)))</f>
        <v>34855</v>
      </c>
      <c r="G438" s="3" t="n">
        <f aca="false">IF(A438="","",DATE(YEAR(F438)+1,MONTH(F438),DAY(F438)))</f>
        <v>35221</v>
      </c>
      <c r="H438" s="10" t="n">
        <f aca="false">IF(A438="","",IF(G438&gt;F438,(B438-F438)/(G438-F438),0))</f>
        <v>0.404371584699454</v>
      </c>
      <c r="I438" s="10" t="n">
        <f aca="false">IF(A438="","",IFERROR(INDEX(CV_RATES!$I:$I,MATCH(D438,CV_RATES!$C:$C,0)),0))</f>
        <v>622.608986311866</v>
      </c>
      <c r="J438" s="10" t="n">
        <f aca="false">IF(A438="","",IFERROR(IF(E438=MAX(MORTALITY!$A:$A),1000,INDEX(CV_RATES!$J:$J,MATCH(D438,CV_RATES!$C:$C,0))),0))</f>
        <v>632.92503902776</v>
      </c>
      <c r="K438" s="10" t="n">
        <f aca="false">IF(A438="","",IFERROR(I438+H438*(J438-I438),0))</f>
        <v>626.780504896435</v>
      </c>
      <c r="L438" s="10" t="n">
        <f aca="false">IF(A438="","",IFERROR(K438*Inputs!$B$9,0))</f>
        <v>31339.0252448218</v>
      </c>
      <c r="M438" s="10" t="n">
        <f aca="false">IF(A438="","",IFERROR(K438*Inputs!$B$10,0))</f>
        <v>100283.000441915</v>
      </c>
      <c r="N438" s="10" t="n">
        <f aca="false">IF(A438="","",Z437)</f>
        <v>0</v>
      </c>
      <c r="O438" s="6" t="n">
        <f aca="false">IF(A438="","",Inputs!$B$18+N438)</f>
        <v>50000</v>
      </c>
      <c r="P438" s="5" t="n">
        <f aca="false">IF(A438="","",VLOOKUP(D438,DIvidend_Assumption!$A$3:$CX$103,($E$2+2),0)/12)</f>
        <v>0</v>
      </c>
      <c r="Q438" s="10" t="n">
        <f aca="false">IF(A438="","",IFERROR(AB437*P438,""))</f>
        <v>0</v>
      </c>
      <c r="R438" s="10" t="n">
        <f aca="false">IF(A438="","",IFERROR(IF(Inputs!$B$22="Accumulate",T438+Q438,IF(Inputs!$B$22="Premium Offset",MAX(0,T438+Q438-Inputs!$B$25),T438)),""))</f>
        <v>0</v>
      </c>
      <c r="S438" s="10" t="n">
        <f aca="false">IF(A438="","",R437)</f>
        <v>0</v>
      </c>
      <c r="T438" s="10" t="n">
        <f aca="false">IF(A438="","",IFERROR(S438*(1+Inputs!$B$23/12),""))</f>
        <v>0</v>
      </c>
      <c r="U438" s="6" t="n">
        <f aca="false">IF(A438="","",IF(D438&lt;=Inputs!$B$8,IF(Inputs!$B$22="Premium Offset",MAX(0,Inputs!$B$25-(Q438+T438)),Inputs!$B$25),0))</f>
        <v>0</v>
      </c>
      <c r="V438" s="10" t="n">
        <f aca="false">IF(A438="","",IF(Inputs!$B$22="Cash",Q438,0))</f>
        <v>0</v>
      </c>
      <c r="W438" s="10" t="n">
        <f aca="false">IF(A438="","",IF(Inputs!$B$22="PUA",Q438,0))</f>
        <v>0</v>
      </c>
      <c r="X438" s="12" t="n">
        <f aca="false">IF(A438="","",IFERROR(INDEX(PUA_TABLE!$D$4:$D$105,MATCH(E438,PUA_TABLE!$C$4:$C$105,1)),0))</f>
        <v>0.622608986311866</v>
      </c>
      <c r="Y438" s="10" t="n">
        <f aca="false">IF(A438="","",IF(W438&gt;0,IF(X438&gt;0,W438/X438,0),0))</f>
        <v>0</v>
      </c>
      <c r="Z438" s="10" t="n">
        <f aca="false">IF(A438="","",N438+Y438)</f>
        <v>0</v>
      </c>
      <c r="AA438" s="10" t="n">
        <f aca="false">IF(A438="","",IFERROR(Z438*INDEX(PUA_TABLE!$I$4:$I$105,MATCH(E438,PUA_TABLE!$C$4:$C$105,1))/1000,0))</f>
        <v>0</v>
      </c>
      <c r="AB438" s="10" t="n">
        <f aca="false">IF(A438="","",IFERROR(L438+AA438,0))</f>
        <v>31339.0252448218</v>
      </c>
      <c r="AC438" s="10" t="n">
        <f aca="false">IF(A438="","",IF(Inputs!$B$22="Premium Offset",MIN(Inputs!$B$25,Q438+T438),0))</f>
        <v>0</v>
      </c>
    </row>
    <row r="439" customFormat="false" ht="15" hidden="false" customHeight="false" outlineLevel="0" collapsed="false">
      <c r="A439" s="1" t="n">
        <f aca="false">IF(A438="","",IF(INT((C438+1)/12)+Inputs!$B$7&gt;MAX(MORTALITY!$A:$A),"",Inputs!$B$4))</f>
        <v>34</v>
      </c>
      <c r="B439" s="3" t="n">
        <f aca="false">IF(A439="","",EOMONTH(B438,1))</f>
        <v>35033</v>
      </c>
      <c r="C439" s="1" t="n">
        <f aca="false">IF(A439="","",C438+1)</f>
        <v>437</v>
      </c>
      <c r="D439" s="1" t="n">
        <f aca="false">IF(A439="","",INT(C439/12))</f>
        <v>36</v>
      </c>
      <c r="E439" s="1" t="n">
        <f aca="false">IF(A439="","",D439+Inputs!$B$7)</f>
        <v>52</v>
      </c>
      <c r="F439" s="3" t="n">
        <f aca="false">IF(A439="","",DATE(YEAR(B$2)+D439,MONTH(B$2),DAY(B$2)))</f>
        <v>34855</v>
      </c>
      <c r="G439" s="3" t="n">
        <f aca="false">IF(A439="","",DATE(YEAR(F439)+1,MONTH(F439),DAY(F439)))</f>
        <v>35221</v>
      </c>
      <c r="H439" s="10" t="n">
        <f aca="false">IF(A439="","",IF(G439&gt;F439,(B439-F439)/(G439-F439),0))</f>
        <v>0.486338797814208</v>
      </c>
      <c r="I439" s="10" t="n">
        <f aca="false">IF(A439="","",IFERROR(INDEX(CV_RATES!$I:$I,MATCH(D439,CV_RATES!$C:$C,0)),0))</f>
        <v>622.608986311866</v>
      </c>
      <c r="J439" s="10" t="n">
        <f aca="false">IF(A439="","",IFERROR(IF(E439=MAX(MORTALITY!$A:$A),1000,INDEX(CV_RATES!$J:$J,MATCH(D439,CV_RATES!$C:$C,0))),0))</f>
        <v>632.92503902776</v>
      </c>
      <c r="K439" s="10" t="n">
        <f aca="false">IF(A439="","",IFERROR(I439+H439*(J439-I439),0))</f>
        <v>627.626082987902</v>
      </c>
      <c r="L439" s="10" t="n">
        <f aca="false">IF(A439="","",IFERROR(K439*Inputs!$B$9,0))</f>
        <v>31381.3041493951</v>
      </c>
      <c r="M439" s="10" t="n">
        <f aca="false">IF(A439="","",IFERROR(K439*Inputs!$B$10,0))</f>
        <v>100418.290399815</v>
      </c>
      <c r="N439" s="10" t="n">
        <f aca="false">IF(A439="","",Z438)</f>
        <v>0</v>
      </c>
      <c r="O439" s="6" t="n">
        <f aca="false">IF(A439="","",Inputs!$B$18+N439)</f>
        <v>50000</v>
      </c>
      <c r="P439" s="5" t="n">
        <f aca="false">IF(A439="","",VLOOKUP(D439,DIvidend_Assumption!$A$3:$CX$103,($E$2+2),0)/12)</f>
        <v>0</v>
      </c>
      <c r="Q439" s="10" t="n">
        <f aca="false">IF(A439="","",IFERROR(AB438*P439,""))</f>
        <v>0</v>
      </c>
      <c r="R439" s="10" t="n">
        <f aca="false">IF(A439="","",IFERROR(IF(Inputs!$B$22="Accumulate",T439+Q439,IF(Inputs!$B$22="Premium Offset",MAX(0,T439+Q439-Inputs!$B$25),T439)),""))</f>
        <v>0</v>
      </c>
      <c r="S439" s="10" t="n">
        <f aca="false">IF(A439="","",R438)</f>
        <v>0</v>
      </c>
      <c r="T439" s="10" t="n">
        <f aca="false">IF(A439="","",IFERROR(S439*(1+Inputs!$B$23/12),""))</f>
        <v>0</v>
      </c>
      <c r="U439" s="6" t="n">
        <f aca="false">IF(A439="","",IF(D439&lt;=Inputs!$B$8,IF(Inputs!$B$22="Premium Offset",MAX(0,Inputs!$B$25-(Q439+T439)),Inputs!$B$25),0))</f>
        <v>0</v>
      </c>
      <c r="V439" s="10" t="n">
        <f aca="false">IF(A439="","",IF(Inputs!$B$22="Cash",Q439,0))</f>
        <v>0</v>
      </c>
      <c r="W439" s="10" t="n">
        <f aca="false">IF(A439="","",IF(Inputs!$B$22="PUA",Q439,0))</f>
        <v>0</v>
      </c>
      <c r="X439" s="12" t="n">
        <f aca="false">IF(A439="","",IFERROR(INDEX(PUA_TABLE!$D$4:$D$105,MATCH(E439,PUA_TABLE!$C$4:$C$105,1)),0))</f>
        <v>0.622608986311866</v>
      </c>
      <c r="Y439" s="10" t="n">
        <f aca="false">IF(A439="","",IF(W439&gt;0,IF(X439&gt;0,W439/X439,0),0))</f>
        <v>0</v>
      </c>
      <c r="Z439" s="10" t="n">
        <f aca="false">IF(A439="","",N439+Y439)</f>
        <v>0</v>
      </c>
      <c r="AA439" s="10" t="n">
        <f aca="false">IF(A439="","",IFERROR(Z439*INDEX(PUA_TABLE!$I$4:$I$105,MATCH(E439,PUA_TABLE!$C$4:$C$105,1))/1000,0))</f>
        <v>0</v>
      </c>
      <c r="AB439" s="10" t="n">
        <f aca="false">IF(A439="","",IFERROR(L439+AA439,0))</f>
        <v>31381.3041493951</v>
      </c>
      <c r="AC439" s="10" t="n">
        <f aca="false">IF(A439="","",IF(Inputs!$B$22="Premium Offset",MIN(Inputs!$B$25,Q439+T439),0))</f>
        <v>0</v>
      </c>
    </row>
    <row r="440" customFormat="false" ht="15" hidden="false" customHeight="false" outlineLevel="0" collapsed="false">
      <c r="A440" s="1" t="n">
        <f aca="false">IF(A439="","",IF(INT((C439+1)/12)+Inputs!$B$7&gt;MAX(MORTALITY!$A:$A),"",Inputs!$B$4))</f>
        <v>34</v>
      </c>
      <c r="B440" s="3" t="n">
        <f aca="false">IF(A440="","",EOMONTH(B439,1))</f>
        <v>35064</v>
      </c>
      <c r="C440" s="1" t="n">
        <f aca="false">IF(A440="","",C439+1)</f>
        <v>438</v>
      </c>
      <c r="D440" s="1" t="n">
        <f aca="false">IF(A440="","",INT(C440/12))</f>
        <v>36</v>
      </c>
      <c r="E440" s="1" t="n">
        <f aca="false">IF(A440="","",D440+Inputs!$B$7)</f>
        <v>52</v>
      </c>
      <c r="F440" s="3" t="n">
        <f aca="false">IF(A440="","",DATE(YEAR(B$2)+D440,MONTH(B$2),DAY(B$2)))</f>
        <v>34855</v>
      </c>
      <c r="G440" s="3" t="n">
        <f aca="false">IF(A440="","",DATE(YEAR(F440)+1,MONTH(F440),DAY(F440)))</f>
        <v>35221</v>
      </c>
      <c r="H440" s="10" t="n">
        <f aca="false">IF(A440="","",IF(G440&gt;F440,(B440-F440)/(G440-F440),0))</f>
        <v>0.57103825136612</v>
      </c>
      <c r="I440" s="10" t="n">
        <f aca="false">IF(A440="","",IFERROR(INDEX(CV_RATES!$I:$I,MATCH(D440,CV_RATES!$C:$C,0)),0))</f>
        <v>622.608986311866</v>
      </c>
      <c r="J440" s="10" t="n">
        <f aca="false">IF(A440="","",IFERROR(IF(E440=MAX(MORTALITY!$A:$A),1000,INDEX(CV_RATES!$J:$J,MATCH(D440,CV_RATES!$C:$C,0))),0))</f>
        <v>632.92503902776</v>
      </c>
      <c r="K440" s="10" t="n">
        <f aca="false">IF(A440="","",IFERROR(I440+H440*(J440-I440),0))</f>
        <v>628.499847015751</v>
      </c>
      <c r="L440" s="10" t="n">
        <f aca="false">IF(A440="","",IFERROR(K440*Inputs!$B$9,0))</f>
        <v>31424.9923507875</v>
      </c>
      <c r="M440" s="10" t="n">
        <f aca="false">IF(A440="","",IFERROR(K440*Inputs!$B$10,0))</f>
        <v>100558.090022979</v>
      </c>
      <c r="N440" s="10" t="n">
        <f aca="false">IF(A440="","",Z439)</f>
        <v>0</v>
      </c>
      <c r="O440" s="6" t="n">
        <f aca="false">IF(A440="","",Inputs!$B$18+N440)</f>
        <v>50000</v>
      </c>
      <c r="P440" s="5" t="n">
        <f aca="false">IF(A440="","",VLOOKUP(D440,DIvidend_Assumption!$A$3:$CX$103,($E$2+2),0)/12)</f>
        <v>0</v>
      </c>
      <c r="Q440" s="10" t="n">
        <f aca="false">IF(A440="","",IFERROR(AB439*P440,""))</f>
        <v>0</v>
      </c>
      <c r="R440" s="10" t="n">
        <f aca="false">IF(A440="","",IFERROR(IF(Inputs!$B$22="Accumulate",T440+Q440,IF(Inputs!$B$22="Premium Offset",MAX(0,T440+Q440-Inputs!$B$25),T440)),""))</f>
        <v>0</v>
      </c>
      <c r="S440" s="10" t="n">
        <f aca="false">IF(A440="","",R439)</f>
        <v>0</v>
      </c>
      <c r="T440" s="10" t="n">
        <f aca="false">IF(A440="","",IFERROR(S440*(1+Inputs!$B$23/12),""))</f>
        <v>0</v>
      </c>
      <c r="U440" s="6" t="n">
        <f aca="false">IF(A440="","",IF(D440&lt;=Inputs!$B$8,IF(Inputs!$B$22="Premium Offset",MAX(0,Inputs!$B$25-(Q440+T440)),Inputs!$B$25),0))</f>
        <v>0</v>
      </c>
      <c r="V440" s="10" t="n">
        <f aca="false">IF(A440="","",IF(Inputs!$B$22="Cash",Q440,0))</f>
        <v>0</v>
      </c>
      <c r="W440" s="10" t="n">
        <f aca="false">IF(A440="","",IF(Inputs!$B$22="PUA",Q440,0))</f>
        <v>0</v>
      </c>
      <c r="X440" s="12" t="n">
        <f aca="false">IF(A440="","",IFERROR(INDEX(PUA_TABLE!$D$4:$D$105,MATCH(E440,PUA_TABLE!$C$4:$C$105,1)),0))</f>
        <v>0.622608986311866</v>
      </c>
      <c r="Y440" s="10" t="n">
        <f aca="false">IF(A440="","",IF(W440&gt;0,IF(X440&gt;0,W440/X440,0),0))</f>
        <v>0</v>
      </c>
      <c r="Z440" s="10" t="n">
        <f aca="false">IF(A440="","",N440+Y440)</f>
        <v>0</v>
      </c>
      <c r="AA440" s="10" t="n">
        <f aca="false">IF(A440="","",IFERROR(Z440*INDEX(PUA_TABLE!$I$4:$I$105,MATCH(E440,PUA_TABLE!$C$4:$C$105,1))/1000,0))</f>
        <v>0</v>
      </c>
      <c r="AB440" s="10" t="n">
        <f aca="false">IF(A440="","",IFERROR(L440+AA440,0))</f>
        <v>31424.9923507875</v>
      </c>
      <c r="AC440" s="10" t="n">
        <f aca="false">IF(A440="","",IF(Inputs!$B$22="Premium Offset",MIN(Inputs!$B$25,Q440+T440),0))</f>
        <v>0</v>
      </c>
    </row>
    <row r="441" customFormat="false" ht="15" hidden="false" customHeight="false" outlineLevel="0" collapsed="false">
      <c r="A441" s="1" t="n">
        <f aca="false">IF(A440="","",IF(INT((C440+1)/12)+Inputs!$B$7&gt;MAX(MORTALITY!$A:$A),"",Inputs!$B$4))</f>
        <v>34</v>
      </c>
      <c r="B441" s="3" t="n">
        <f aca="false">IF(A441="","",EOMONTH(B440,1))</f>
        <v>35095</v>
      </c>
      <c r="C441" s="1" t="n">
        <f aca="false">IF(A441="","",C440+1)</f>
        <v>439</v>
      </c>
      <c r="D441" s="1" t="n">
        <f aca="false">IF(A441="","",INT(C441/12))</f>
        <v>36</v>
      </c>
      <c r="E441" s="1" t="n">
        <f aca="false">IF(A441="","",D441+Inputs!$B$7)</f>
        <v>52</v>
      </c>
      <c r="F441" s="3" t="n">
        <f aca="false">IF(A441="","",DATE(YEAR(B$2)+D441,MONTH(B$2),DAY(B$2)))</f>
        <v>34855</v>
      </c>
      <c r="G441" s="3" t="n">
        <f aca="false">IF(A441="","",DATE(YEAR(F441)+1,MONTH(F441),DAY(F441)))</f>
        <v>35221</v>
      </c>
      <c r="H441" s="10" t="n">
        <f aca="false">IF(A441="","",IF(G441&gt;F441,(B441-F441)/(G441-F441),0))</f>
        <v>0.655737704918033</v>
      </c>
      <c r="I441" s="10" t="n">
        <f aca="false">IF(A441="","",IFERROR(INDEX(CV_RATES!$I:$I,MATCH(D441,CV_RATES!$C:$C,0)),0))</f>
        <v>622.608986311866</v>
      </c>
      <c r="J441" s="10" t="n">
        <f aca="false">IF(A441="","",IFERROR(IF(E441=MAX(MORTALITY!$A:$A),1000,INDEX(CV_RATES!$J:$J,MATCH(D441,CV_RATES!$C:$C,0))),0))</f>
        <v>632.92503902776</v>
      </c>
      <c r="K441" s="10" t="n">
        <f aca="false">IF(A441="","",IFERROR(I441+H441*(J441-I441),0))</f>
        <v>629.3736110436</v>
      </c>
      <c r="L441" s="10" t="n">
        <f aca="false">IF(A441="","",IFERROR(K441*Inputs!$B$9,0))</f>
        <v>31468.68055218</v>
      </c>
      <c r="M441" s="10" t="n">
        <f aca="false">IF(A441="","",IFERROR(K441*Inputs!$B$10,0))</f>
        <v>100697.889646143</v>
      </c>
      <c r="N441" s="10" t="n">
        <f aca="false">IF(A441="","",Z440)</f>
        <v>0</v>
      </c>
      <c r="O441" s="6" t="n">
        <f aca="false">IF(A441="","",Inputs!$B$18+N441)</f>
        <v>50000</v>
      </c>
      <c r="P441" s="5" t="n">
        <f aca="false">IF(A441="","",VLOOKUP(D441,DIvidend_Assumption!$A$3:$CX$103,($E$2+2),0)/12)</f>
        <v>0</v>
      </c>
      <c r="Q441" s="10" t="n">
        <f aca="false">IF(A441="","",IFERROR(AB440*P441,""))</f>
        <v>0</v>
      </c>
      <c r="R441" s="10" t="n">
        <f aca="false">IF(A441="","",IFERROR(IF(Inputs!$B$22="Accumulate",T441+Q441,IF(Inputs!$B$22="Premium Offset",MAX(0,T441+Q441-Inputs!$B$25),T441)),""))</f>
        <v>0</v>
      </c>
      <c r="S441" s="10" t="n">
        <f aca="false">IF(A441="","",R440)</f>
        <v>0</v>
      </c>
      <c r="T441" s="10" t="n">
        <f aca="false">IF(A441="","",IFERROR(S441*(1+Inputs!$B$23/12),""))</f>
        <v>0</v>
      </c>
      <c r="U441" s="6" t="n">
        <f aca="false">IF(A441="","",IF(D441&lt;=Inputs!$B$8,IF(Inputs!$B$22="Premium Offset",MAX(0,Inputs!$B$25-(Q441+T441)),Inputs!$B$25),0))</f>
        <v>0</v>
      </c>
      <c r="V441" s="10" t="n">
        <f aca="false">IF(A441="","",IF(Inputs!$B$22="Cash",Q441,0))</f>
        <v>0</v>
      </c>
      <c r="W441" s="10" t="n">
        <f aca="false">IF(A441="","",IF(Inputs!$B$22="PUA",Q441,0))</f>
        <v>0</v>
      </c>
      <c r="X441" s="12" t="n">
        <f aca="false">IF(A441="","",IFERROR(INDEX(PUA_TABLE!$D$4:$D$105,MATCH(E441,PUA_TABLE!$C$4:$C$105,1)),0))</f>
        <v>0.622608986311866</v>
      </c>
      <c r="Y441" s="10" t="n">
        <f aca="false">IF(A441="","",IF(W441&gt;0,IF(X441&gt;0,W441/X441,0),0))</f>
        <v>0</v>
      </c>
      <c r="Z441" s="10" t="n">
        <f aca="false">IF(A441="","",N441+Y441)</f>
        <v>0</v>
      </c>
      <c r="AA441" s="10" t="n">
        <f aca="false">IF(A441="","",IFERROR(Z441*INDEX(PUA_TABLE!$I$4:$I$105,MATCH(E441,PUA_TABLE!$C$4:$C$105,1))/1000,0))</f>
        <v>0</v>
      </c>
      <c r="AB441" s="10" t="n">
        <f aca="false">IF(A441="","",IFERROR(L441+AA441,0))</f>
        <v>31468.68055218</v>
      </c>
      <c r="AC441" s="10" t="n">
        <f aca="false">IF(A441="","",IF(Inputs!$B$22="Premium Offset",MIN(Inputs!$B$25,Q441+T441),0))</f>
        <v>0</v>
      </c>
    </row>
    <row r="442" customFormat="false" ht="15" hidden="false" customHeight="false" outlineLevel="0" collapsed="false">
      <c r="A442" s="1" t="n">
        <f aca="false">IF(A441="","",IF(INT((C441+1)/12)+Inputs!$B$7&gt;MAX(MORTALITY!$A:$A),"",Inputs!$B$4))</f>
        <v>34</v>
      </c>
      <c r="B442" s="3" t="n">
        <f aca="false">IF(A442="","",EOMONTH(B441,1))</f>
        <v>35124</v>
      </c>
      <c r="C442" s="1" t="n">
        <f aca="false">IF(A442="","",C441+1)</f>
        <v>440</v>
      </c>
      <c r="D442" s="1" t="n">
        <f aca="false">IF(A442="","",INT(C442/12))</f>
        <v>36</v>
      </c>
      <c r="E442" s="1" t="n">
        <f aca="false">IF(A442="","",D442+Inputs!$B$7)</f>
        <v>52</v>
      </c>
      <c r="F442" s="3" t="n">
        <f aca="false">IF(A442="","",DATE(YEAR(B$2)+D442,MONTH(B$2),DAY(B$2)))</f>
        <v>34855</v>
      </c>
      <c r="G442" s="3" t="n">
        <f aca="false">IF(A442="","",DATE(YEAR(F442)+1,MONTH(F442),DAY(F442)))</f>
        <v>35221</v>
      </c>
      <c r="H442" s="10" t="n">
        <f aca="false">IF(A442="","",IF(G442&gt;F442,(B442-F442)/(G442-F442),0))</f>
        <v>0.734972677595629</v>
      </c>
      <c r="I442" s="10" t="n">
        <f aca="false">IF(A442="","",IFERROR(INDEX(CV_RATES!$I:$I,MATCH(D442,CV_RATES!$C:$C,0)),0))</f>
        <v>622.608986311866</v>
      </c>
      <c r="J442" s="10" t="n">
        <f aca="false">IF(A442="","",IFERROR(IF(E442=MAX(MORTALITY!$A:$A),1000,INDEX(CV_RATES!$J:$J,MATCH(D442,CV_RATES!$C:$C,0))),0))</f>
        <v>632.92503902776</v>
      </c>
      <c r="K442" s="10" t="n">
        <f aca="false">IF(A442="","",IFERROR(I442+H442*(J442-I442),0))</f>
        <v>630.191003198684</v>
      </c>
      <c r="L442" s="10" t="n">
        <f aca="false">IF(A442="","",IFERROR(K442*Inputs!$B$9,0))</f>
        <v>31509.5501599342</v>
      </c>
      <c r="M442" s="10" t="n">
        <f aca="false">IF(A442="","",IFERROR(K442*Inputs!$B$10,0))</f>
        <v>100828.66993878</v>
      </c>
      <c r="N442" s="10" t="n">
        <f aca="false">IF(A442="","",Z441)</f>
        <v>0</v>
      </c>
      <c r="O442" s="6" t="n">
        <f aca="false">IF(A442="","",Inputs!$B$18+N442)</f>
        <v>50000</v>
      </c>
      <c r="P442" s="5" t="n">
        <f aca="false">IF(A442="","",VLOOKUP(D442,DIvidend_Assumption!$A$3:$CX$103,($E$2+2),0)/12)</f>
        <v>0</v>
      </c>
      <c r="Q442" s="10" t="n">
        <f aca="false">IF(A442="","",IFERROR(AB441*P442,""))</f>
        <v>0</v>
      </c>
      <c r="R442" s="10" t="n">
        <f aca="false">IF(A442="","",IFERROR(IF(Inputs!$B$22="Accumulate",T442+Q442,IF(Inputs!$B$22="Premium Offset",MAX(0,T442+Q442-Inputs!$B$25),T442)),""))</f>
        <v>0</v>
      </c>
      <c r="S442" s="10" t="n">
        <f aca="false">IF(A442="","",R441)</f>
        <v>0</v>
      </c>
      <c r="T442" s="10" t="n">
        <f aca="false">IF(A442="","",IFERROR(S442*(1+Inputs!$B$23/12),""))</f>
        <v>0</v>
      </c>
      <c r="U442" s="6" t="n">
        <f aca="false">IF(A442="","",IF(D442&lt;=Inputs!$B$8,IF(Inputs!$B$22="Premium Offset",MAX(0,Inputs!$B$25-(Q442+T442)),Inputs!$B$25),0))</f>
        <v>0</v>
      </c>
      <c r="V442" s="10" t="n">
        <f aca="false">IF(A442="","",IF(Inputs!$B$22="Cash",Q442,0))</f>
        <v>0</v>
      </c>
      <c r="W442" s="10" t="n">
        <f aca="false">IF(A442="","",IF(Inputs!$B$22="PUA",Q442,0))</f>
        <v>0</v>
      </c>
      <c r="X442" s="12" t="n">
        <f aca="false">IF(A442="","",IFERROR(INDEX(PUA_TABLE!$D$4:$D$105,MATCH(E442,PUA_TABLE!$C$4:$C$105,1)),0))</f>
        <v>0.622608986311866</v>
      </c>
      <c r="Y442" s="10" t="n">
        <f aca="false">IF(A442="","",IF(W442&gt;0,IF(X442&gt;0,W442/X442,0),0))</f>
        <v>0</v>
      </c>
      <c r="Z442" s="10" t="n">
        <f aca="false">IF(A442="","",N442+Y442)</f>
        <v>0</v>
      </c>
      <c r="AA442" s="10" t="n">
        <f aca="false">IF(A442="","",IFERROR(Z442*INDEX(PUA_TABLE!$I$4:$I$105,MATCH(E442,PUA_TABLE!$C$4:$C$105,1))/1000,0))</f>
        <v>0</v>
      </c>
      <c r="AB442" s="10" t="n">
        <f aca="false">IF(A442="","",IFERROR(L442+AA442,0))</f>
        <v>31509.5501599342</v>
      </c>
      <c r="AC442" s="10" t="n">
        <f aca="false">IF(A442="","",IF(Inputs!$B$22="Premium Offset",MIN(Inputs!$B$25,Q442+T442),0))</f>
        <v>0</v>
      </c>
    </row>
    <row r="443" customFormat="false" ht="15" hidden="false" customHeight="false" outlineLevel="0" collapsed="false">
      <c r="A443" s="1" t="n">
        <f aca="false">IF(A442="","",IF(INT((C442+1)/12)+Inputs!$B$7&gt;MAX(MORTALITY!$A:$A),"",Inputs!$B$4))</f>
        <v>34</v>
      </c>
      <c r="B443" s="3" t="n">
        <f aca="false">IF(A443="","",EOMONTH(B442,1))</f>
        <v>35155</v>
      </c>
      <c r="C443" s="1" t="n">
        <f aca="false">IF(A443="","",C442+1)</f>
        <v>441</v>
      </c>
      <c r="D443" s="1" t="n">
        <f aca="false">IF(A443="","",INT(C443/12))</f>
        <v>36</v>
      </c>
      <c r="E443" s="1" t="n">
        <f aca="false">IF(A443="","",D443+Inputs!$B$7)</f>
        <v>52</v>
      </c>
      <c r="F443" s="3" t="n">
        <f aca="false">IF(A443="","",DATE(YEAR(B$2)+D443,MONTH(B$2),DAY(B$2)))</f>
        <v>34855</v>
      </c>
      <c r="G443" s="3" t="n">
        <f aca="false">IF(A443="","",DATE(YEAR(F443)+1,MONTH(F443),DAY(F443)))</f>
        <v>35221</v>
      </c>
      <c r="H443" s="10" t="n">
        <f aca="false">IF(A443="","",IF(G443&gt;F443,(B443-F443)/(G443-F443),0))</f>
        <v>0.819672131147541</v>
      </c>
      <c r="I443" s="10" t="n">
        <f aca="false">IF(A443="","",IFERROR(INDEX(CV_RATES!$I:$I,MATCH(D443,CV_RATES!$C:$C,0)),0))</f>
        <v>622.608986311866</v>
      </c>
      <c r="J443" s="10" t="n">
        <f aca="false">IF(A443="","",IFERROR(IF(E443=MAX(MORTALITY!$A:$A),1000,INDEX(CV_RATES!$J:$J,MATCH(D443,CV_RATES!$C:$C,0))),0))</f>
        <v>632.92503902776</v>
      </c>
      <c r="K443" s="10" t="n">
        <f aca="false">IF(A443="","",IFERROR(I443+H443*(J443-I443),0))</f>
        <v>631.064767226533</v>
      </c>
      <c r="L443" s="10" t="n">
        <f aca="false">IF(A443="","",IFERROR(K443*Inputs!$B$9,0))</f>
        <v>31553.2383613266</v>
      </c>
      <c r="M443" s="10" t="n">
        <f aca="false">IF(A443="","",IFERROR(K443*Inputs!$B$10,0))</f>
        <v>100968.469561944</v>
      </c>
      <c r="N443" s="10" t="n">
        <f aca="false">IF(A443="","",Z442)</f>
        <v>0</v>
      </c>
      <c r="O443" s="6" t="n">
        <f aca="false">IF(A443="","",Inputs!$B$18+N443)</f>
        <v>50000</v>
      </c>
      <c r="P443" s="5" t="n">
        <f aca="false">IF(A443="","",VLOOKUP(D443,DIvidend_Assumption!$A$3:$CX$103,($E$2+2),0)/12)</f>
        <v>0</v>
      </c>
      <c r="Q443" s="10" t="n">
        <f aca="false">IF(A443="","",IFERROR(AB442*P443,""))</f>
        <v>0</v>
      </c>
      <c r="R443" s="10" t="n">
        <f aca="false">IF(A443="","",IFERROR(IF(Inputs!$B$22="Accumulate",T443+Q443,IF(Inputs!$B$22="Premium Offset",MAX(0,T443+Q443-Inputs!$B$25),T443)),""))</f>
        <v>0</v>
      </c>
      <c r="S443" s="10" t="n">
        <f aca="false">IF(A443="","",R442)</f>
        <v>0</v>
      </c>
      <c r="T443" s="10" t="n">
        <f aca="false">IF(A443="","",IFERROR(S443*(1+Inputs!$B$23/12),""))</f>
        <v>0</v>
      </c>
      <c r="U443" s="6" t="n">
        <f aca="false">IF(A443="","",IF(D443&lt;=Inputs!$B$8,IF(Inputs!$B$22="Premium Offset",MAX(0,Inputs!$B$25-(Q443+T443)),Inputs!$B$25),0))</f>
        <v>0</v>
      </c>
      <c r="V443" s="10" t="n">
        <f aca="false">IF(A443="","",IF(Inputs!$B$22="Cash",Q443,0))</f>
        <v>0</v>
      </c>
      <c r="W443" s="10" t="n">
        <f aca="false">IF(A443="","",IF(Inputs!$B$22="PUA",Q443,0))</f>
        <v>0</v>
      </c>
      <c r="X443" s="12" t="n">
        <f aca="false">IF(A443="","",IFERROR(INDEX(PUA_TABLE!$D$4:$D$105,MATCH(E443,PUA_TABLE!$C$4:$C$105,1)),0))</f>
        <v>0.622608986311866</v>
      </c>
      <c r="Y443" s="10" t="n">
        <f aca="false">IF(A443="","",IF(W443&gt;0,IF(X443&gt;0,W443/X443,0),0))</f>
        <v>0</v>
      </c>
      <c r="Z443" s="10" t="n">
        <f aca="false">IF(A443="","",N443+Y443)</f>
        <v>0</v>
      </c>
      <c r="AA443" s="10" t="n">
        <f aca="false">IF(A443="","",IFERROR(Z443*INDEX(PUA_TABLE!$I$4:$I$105,MATCH(E443,PUA_TABLE!$C$4:$C$105,1))/1000,0))</f>
        <v>0</v>
      </c>
      <c r="AB443" s="10" t="n">
        <f aca="false">IF(A443="","",IFERROR(L443+AA443,0))</f>
        <v>31553.2383613266</v>
      </c>
      <c r="AC443" s="10" t="n">
        <f aca="false">IF(A443="","",IF(Inputs!$B$22="Premium Offset",MIN(Inputs!$B$25,Q443+T443),0))</f>
        <v>0</v>
      </c>
    </row>
    <row r="444" customFormat="false" ht="15" hidden="false" customHeight="false" outlineLevel="0" collapsed="false">
      <c r="A444" s="1" t="n">
        <f aca="false">IF(A443="","",IF(INT((C443+1)/12)+Inputs!$B$7&gt;MAX(MORTALITY!$A:$A),"",Inputs!$B$4))</f>
        <v>34</v>
      </c>
      <c r="B444" s="3" t="n">
        <f aca="false">IF(A444="","",EOMONTH(B443,1))</f>
        <v>35185</v>
      </c>
      <c r="C444" s="1" t="n">
        <f aca="false">IF(A444="","",C443+1)</f>
        <v>442</v>
      </c>
      <c r="D444" s="1" t="n">
        <f aca="false">IF(A444="","",INT(C444/12))</f>
        <v>36</v>
      </c>
      <c r="E444" s="1" t="n">
        <f aca="false">IF(A444="","",D444+Inputs!$B$7)</f>
        <v>52</v>
      </c>
      <c r="F444" s="3" t="n">
        <f aca="false">IF(A444="","",DATE(YEAR(B$2)+D444,MONTH(B$2),DAY(B$2)))</f>
        <v>34855</v>
      </c>
      <c r="G444" s="3" t="n">
        <f aca="false">IF(A444="","",DATE(YEAR(F444)+1,MONTH(F444),DAY(F444)))</f>
        <v>35221</v>
      </c>
      <c r="H444" s="10" t="n">
        <f aca="false">IF(A444="","",IF(G444&gt;F444,(B444-F444)/(G444-F444),0))</f>
        <v>0.901639344262295</v>
      </c>
      <c r="I444" s="10" t="n">
        <f aca="false">IF(A444="","",IFERROR(INDEX(CV_RATES!$I:$I,MATCH(D444,CV_RATES!$C:$C,0)),0))</f>
        <v>622.608986311866</v>
      </c>
      <c r="J444" s="10" t="n">
        <f aca="false">IF(A444="","",IFERROR(IF(E444=MAX(MORTALITY!$A:$A),1000,INDEX(CV_RATES!$J:$J,MATCH(D444,CV_RATES!$C:$C,0))),0))</f>
        <v>632.92503902776</v>
      </c>
      <c r="K444" s="10" t="n">
        <f aca="false">IF(A444="","",IFERROR(I444+H444*(J444-I444),0))</f>
        <v>631.910345318</v>
      </c>
      <c r="L444" s="10" t="n">
        <f aca="false">IF(A444="","",IFERROR(K444*Inputs!$B$9,0))</f>
        <v>31595.5172659</v>
      </c>
      <c r="M444" s="10" t="n">
        <f aca="false">IF(A444="","",IFERROR(K444*Inputs!$B$10,0))</f>
        <v>101103.759519844</v>
      </c>
      <c r="N444" s="10" t="n">
        <f aca="false">IF(A444="","",Z443)</f>
        <v>0</v>
      </c>
      <c r="O444" s="6" t="n">
        <f aca="false">IF(A444="","",Inputs!$B$18+N444)</f>
        <v>50000</v>
      </c>
      <c r="P444" s="5" t="n">
        <f aca="false">IF(A444="","",VLOOKUP(D444,DIvidend_Assumption!$A$3:$CX$103,($E$2+2),0)/12)</f>
        <v>0</v>
      </c>
      <c r="Q444" s="10" t="n">
        <f aca="false">IF(A444="","",IFERROR(AB443*P444,""))</f>
        <v>0</v>
      </c>
      <c r="R444" s="10" t="n">
        <f aca="false">IF(A444="","",IFERROR(IF(Inputs!$B$22="Accumulate",T444+Q444,IF(Inputs!$B$22="Premium Offset",MAX(0,T444+Q444-Inputs!$B$25),T444)),""))</f>
        <v>0</v>
      </c>
      <c r="S444" s="10" t="n">
        <f aca="false">IF(A444="","",R443)</f>
        <v>0</v>
      </c>
      <c r="T444" s="10" t="n">
        <f aca="false">IF(A444="","",IFERROR(S444*(1+Inputs!$B$23/12),""))</f>
        <v>0</v>
      </c>
      <c r="U444" s="6" t="n">
        <f aca="false">IF(A444="","",IF(D444&lt;=Inputs!$B$8,IF(Inputs!$B$22="Premium Offset",MAX(0,Inputs!$B$25-(Q444+T444)),Inputs!$B$25),0))</f>
        <v>0</v>
      </c>
      <c r="V444" s="10" t="n">
        <f aca="false">IF(A444="","",IF(Inputs!$B$22="Cash",Q444,0))</f>
        <v>0</v>
      </c>
      <c r="W444" s="10" t="n">
        <f aca="false">IF(A444="","",IF(Inputs!$B$22="PUA",Q444,0))</f>
        <v>0</v>
      </c>
      <c r="X444" s="12" t="n">
        <f aca="false">IF(A444="","",IFERROR(INDEX(PUA_TABLE!$D$4:$D$105,MATCH(E444,PUA_TABLE!$C$4:$C$105,1)),0))</f>
        <v>0.622608986311866</v>
      </c>
      <c r="Y444" s="10" t="n">
        <f aca="false">IF(A444="","",IF(W444&gt;0,IF(X444&gt;0,W444/X444,0),0))</f>
        <v>0</v>
      </c>
      <c r="Z444" s="10" t="n">
        <f aca="false">IF(A444="","",N444+Y444)</f>
        <v>0</v>
      </c>
      <c r="AA444" s="10" t="n">
        <f aca="false">IF(A444="","",IFERROR(Z444*INDEX(PUA_TABLE!$I$4:$I$105,MATCH(E444,PUA_TABLE!$C$4:$C$105,1))/1000,0))</f>
        <v>0</v>
      </c>
      <c r="AB444" s="10" t="n">
        <f aca="false">IF(A444="","",IFERROR(L444+AA444,0))</f>
        <v>31595.5172659</v>
      </c>
      <c r="AC444" s="10" t="n">
        <f aca="false">IF(A444="","",IF(Inputs!$B$22="Premium Offset",MIN(Inputs!$B$25,Q444+T444),0))</f>
        <v>0</v>
      </c>
    </row>
    <row r="445" customFormat="false" ht="15" hidden="false" customHeight="false" outlineLevel="0" collapsed="false">
      <c r="A445" s="1" t="n">
        <f aca="false">IF(A444="","",IF(INT((C444+1)/12)+Inputs!$B$7&gt;MAX(MORTALITY!$A:$A),"",Inputs!$B$4))</f>
        <v>34</v>
      </c>
      <c r="B445" s="3" t="n">
        <f aca="false">IF(A445="","",EOMONTH(B444,1))</f>
        <v>35216</v>
      </c>
      <c r="C445" s="1" t="n">
        <f aca="false">IF(A445="","",C444+1)</f>
        <v>443</v>
      </c>
      <c r="D445" s="1" t="n">
        <f aca="false">IF(A445="","",INT(C445/12))</f>
        <v>36</v>
      </c>
      <c r="E445" s="1" t="n">
        <f aca="false">IF(A445="","",D445+Inputs!$B$7)</f>
        <v>52</v>
      </c>
      <c r="F445" s="3" t="n">
        <f aca="false">IF(A445="","",DATE(YEAR(B$2)+D445,MONTH(B$2),DAY(B$2)))</f>
        <v>34855</v>
      </c>
      <c r="G445" s="3" t="n">
        <f aca="false">IF(A445="","",DATE(YEAR(F445)+1,MONTH(F445),DAY(F445)))</f>
        <v>35221</v>
      </c>
      <c r="H445" s="10" t="n">
        <f aca="false">IF(A445="","",IF(G445&gt;F445,(B445-F445)/(G445-F445),0))</f>
        <v>0.986338797814208</v>
      </c>
      <c r="I445" s="10" t="n">
        <f aca="false">IF(A445="","",IFERROR(INDEX(CV_RATES!$I:$I,MATCH(D445,CV_RATES!$C:$C,0)),0))</f>
        <v>622.608986311866</v>
      </c>
      <c r="J445" s="10" t="n">
        <f aca="false">IF(A445="","",IFERROR(IF(E445=MAX(MORTALITY!$A:$A),1000,INDEX(CV_RATES!$J:$J,MATCH(D445,CV_RATES!$C:$C,0))),0))</f>
        <v>632.92503902776</v>
      </c>
      <c r="K445" s="10" t="n">
        <f aca="false">IF(A445="","",IFERROR(I445+H445*(J445-I445),0))</f>
        <v>632.784109345849</v>
      </c>
      <c r="L445" s="10" t="n">
        <f aca="false">IF(A445="","",IFERROR(K445*Inputs!$B$9,0))</f>
        <v>31639.2054672924</v>
      </c>
      <c r="M445" s="10" t="n">
        <f aca="false">IF(A445="","",IFERROR(K445*Inputs!$B$10,0))</f>
        <v>101243.559143008</v>
      </c>
      <c r="N445" s="10" t="n">
        <f aca="false">IF(A445="","",Z444)</f>
        <v>0</v>
      </c>
      <c r="O445" s="6" t="n">
        <f aca="false">IF(A445="","",Inputs!$B$18+N445)</f>
        <v>50000</v>
      </c>
      <c r="P445" s="5" t="n">
        <f aca="false">IF(A445="","",VLOOKUP(D445,DIvidend_Assumption!$A$3:$CX$103,($E$2+2),0)/12)</f>
        <v>0</v>
      </c>
      <c r="Q445" s="10" t="n">
        <f aca="false">IF(A445="","",IFERROR(AB444*P445,""))</f>
        <v>0</v>
      </c>
      <c r="R445" s="10" t="n">
        <f aca="false">IF(A445="","",IFERROR(IF(Inputs!$B$22="Accumulate",T445+Q445,IF(Inputs!$B$22="Premium Offset",MAX(0,T445+Q445-Inputs!$B$25),T445)),""))</f>
        <v>0</v>
      </c>
      <c r="S445" s="10" t="n">
        <f aca="false">IF(A445="","",R444)</f>
        <v>0</v>
      </c>
      <c r="T445" s="10" t="n">
        <f aca="false">IF(A445="","",IFERROR(S445*(1+Inputs!$B$23/12),""))</f>
        <v>0</v>
      </c>
      <c r="U445" s="6" t="n">
        <f aca="false">IF(A445="","",IF(D445&lt;=Inputs!$B$8,IF(Inputs!$B$22="Premium Offset",MAX(0,Inputs!$B$25-(Q445+T445)),Inputs!$B$25),0))</f>
        <v>0</v>
      </c>
      <c r="V445" s="10" t="n">
        <f aca="false">IF(A445="","",IF(Inputs!$B$22="Cash",Q445,0))</f>
        <v>0</v>
      </c>
      <c r="W445" s="10" t="n">
        <f aca="false">IF(A445="","",IF(Inputs!$B$22="PUA",Q445,0))</f>
        <v>0</v>
      </c>
      <c r="X445" s="12" t="n">
        <f aca="false">IF(A445="","",IFERROR(INDEX(PUA_TABLE!$D$4:$D$105,MATCH(E445,PUA_TABLE!$C$4:$C$105,1)),0))</f>
        <v>0.622608986311866</v>
      </c>
      <c r="Y445" s="10" t="n">
        <f aca="false">IF(A445="","",IF(W445&gt;0,IF(X445&gt;0,W445/X445,0),0))</f>
        <v>0</v>
      </c>
      <c r="Z445" s="10" t="n">
        <f aca="false">IF(A445="","",N445+Y445)</f>
        <v>0</v>
      </c>
      <c r="AA445" s="10" t="n">
        <f aca="false">IF(A445="","",IFERROR(Z445*INDEX(PUA_TABLE!$I$4:$I$105,MATCH(E445,PUA_TABLE!$C$4:$C$105,1))/1000,0))</f>
        <v>0</v>
      </c>
      <c r="AB445" s="10" t="n">
        <f aca="false">IF(A445="","",IFERROR(L445+AA445,0))</f>
        <v>31639.2054672924</v>
      </c>
      <c r="AC445" s="10" t="n">
        <f aca="false">IF(A445="","",IF(Inputs!$B$22="Premium Offset",MIN(Inputs!$B$25,Q445+T445),0))</f>
        <v>0</v>
      </c>
    </row>
    <row r="446" customFormat="false" ht="15" hidden="false" customHeight="false" outlineLevel="0" collapsed="false">
      <c r="A446" s="1" t="n">
        <f aca="false">IF(A445="","",IF(INT((C445+1)/12)+Inputs!$B$7&gt;MAX(MORTALITY!$A:$A),"",Inputs!$B$4))</f>
        <v>34</v>
      </c>
      <c r="B446" s="3" t="n">
        <f aca="false">IF(A446="","",EOMONTH(B445,1))</f>
        <v>35246</v>
      </c>
      <c r="C446" s="1" t="n">
        <f aca="false">IF(A446="","",C445+1)</f>
        <v>444</v>
      </c>
      <c r="D446" s="1" t="n">
        <f aca="false">IF(A446="","",INT(C446/12))</f>
        <v>37</v>
      </c>
      <c r="E446" s="1" t="n">
        <f aca="false">IF(A446="","",D446+Inputs!$B$7)</f>
        <v>53</v>
      </c>
      <c r="F446" s="3" t="n">
        <f aca="false">IF(A446="","",DATE(YEAR(B$2)+D446,MONTH(B$2),DAY(B$2)))</f>
        <v>35221</v>
      </c>
      <c r="G446" s="3" t="n">
        <f aca="false">IF(A446="","",DATE(YEAR(F446)+1,MONTH(F446),DAY(F446)))</f>
        <v>35586</v>
      </c>
      <c r="H446" s="10" t="n">
        <f aca="false">IF(A446="","",IF(G446&gt;F446,(B446-F446)/(G446-F446),0))</f>
        <v>0.0684931506849315</v>
      </c>
      <c r="I446" s="10" t="n">
        <f aca="false">IF(A446="","",IFERROR(INDEX(CV_RATES!$I:$I,MATCH(D446,CV_RATES!$C:$C,0)),0))</f>
        <v>632.92503902776</v>
      </c>
      <c r="J446" s="10" t="n">
        <f aca="false">IF(A446="","",IFERROR(IF(E446=MAX(MORTALITY!$A:$A),1000,INDEX(CV_RATES!$J:$J,MATCH(D446,CV_RATES!$C:$C,0))),0))</f>
        <v>643.243410832601</v>
      </c>
      <c r="K446" s="10" t="n">
        <f aca="false">IF(A446="","",IFERROR(I446+H446*(J446-I446),0))</f>
        <v>633.631776822612</v>
      </c>
      <c r="L446" s="10" t="n">
        <f aca="false">IF(A446="","",IFERROR(K446*Inputs!$B$9,0))</f>
        <v>31681.5888411306</v>
      </c>
      <c r="M446" s="10" t="n">
        <f aca="false">IF(A446="","",IFERROR(K446*Inputs!$B$10,0))</f>
        <v>101379.183396287</v>
      </c>
      <c r="N446" s="10" t="n">
        <f aca="false">IF(A446="","",Z445)</f>
        <v>0</v>
      </c>
      <c r="O446" s="6" t="n">
        <f aca="false">IF(A446="","",Inputs!$B$18+N446)</f>
        <v>50000</v>
      </c>
      <c r="P446" s="5" t="n">
        <f aca="false">IF(A446="","",VLOOKUP(D446,DIvidend_Assumption!$A$3:$CX$103,($E$2+2),0)/12)</f>
        <v>0</v>
      </c>
      <c r="Q446" s="10" t="n">
        <f aca="false">IF(A446="","",IFERROR(AB445*P446,""))</f>
        <v>0</v>
      </c>
      <c r="R446" s="10" t="n">
        <f aca="false">IF(A446="","",IFERROR(IF(Inputs!$B$22="Accumulate",T446+Q446,IF(Inputs!$B$22="Premium Offset",MAX(0,T446+Q446-Inputs!$B$25),T446)),""))</f>
        <v>0</v>
      </c>
      <c r="S446" s="10" t="n">
        <f aca="false">IF(A446="","",R445)</f>
        <v>0</v>
      </c>
      <c r="T446" s="10" t="n">
        <f aca="false">IF(A446="","",IFERROR(S446*(1+Inputs!$B$23/12),""))</f>
        <v>0</v>
      </c>
      <c r="U446" s="6" t="n">
        <f aca="false">IF(A446="","",IF(D446&lt;=Inputs!$B$8,IF(Inputs!$B$22="Premium Offset",MAX(0,Inputs!$B$25-(Q446+T446)),Inputs!$B$25),0))</f>
        <v>0</v>
      </c>
      <c r="V446" s="10" t="n">
        <f aca="false">IF(A446="","",IF(Inputs!$B$22="Cash",Q446,0))</f>
        <v>0</v>
      </c>
      <c r="W446" s="10" t="n">
        <f aca="false">IF(A446="","",IF(Inputs!$B$22="PUA",Q446,0))</f>
        <v>0</v>
      </c>
      <c r="X446" s="12" t="n">
        <f aca="false">IF(A446="","",IFERROR(INDEX(PUA_TABLE!$D$4:$D$105,MATCH(E446,PUA_TABLE!$C$4:$C$105,1)),0))</f>
        <v>0.63292503902776</v>
      </c>
      <c r="Y446" s="10" t="n">
        <f aca="false">IF(A446="","",IF(W446&gt;0,IF(X446&gt;0,W446/X446,0),0))</f>
        <v>0</v>
      </c>
      <c r="Z446" s="10" t="n">
        <f aca="false">IF(A446="","",N446+Y446)</f>
        <v>0</v>
      </c>
      <c r="AA446" s="10" t="n">
        <f aca="false">IF(A446="","",IFERROR(Z446*INDEX(PUA_TABLE!$I$4:$I$105,MATCH(E446,PUA_TABLE!$C$4:$C$105,1))/1000,0))</f>
        <v>0</v>
      </c>
      <c r="AB446" s="10" t="n">
        <f aca="false">IF(A446="","",IFERROR(L446+AA446,0))</f>
        <v>31681.5888411306</v>
      </c>
      <c r="AC446" s="10" t="n">
        <f aca="false">IF(A446="","",IF(Inputs!$B$22="Premium Offset",MIN(Inputs!$B$25,Q446+T446),0))</f>
        <v>0</v>
      </c>
    </row>
    <row r="447" customFormat="false" ht="15" hidden="false" customHeight="false" outlineLevel="0" collapsed="false">
      <c r="A447" s="1" t="n">
        <f aca="false">IF(A446="","",IF(INT((C446+1)/12)+Inputs!$B$7&gt;MAX(MORTALITY!$A:$A),"",Inputs!$B$4))</f>
        <v>34</v>
      </c>
      <c r="B447" s="3" t="n">
        <f aca="false">IF(A447="","",EOMONTH(B446,1))</f>
        <v>35277</v>
      </c>
      <c r="C447" s="1" t="n">
        <f aca="false">IF(A447="","",C446+1)</f>
        <v>445</v>
      </c>
      <c r="D447" s="1" t="n">
        <f aca="false">IF(A447="","",INT(C447/12))</f>
        <v>37</v>
      </c>
      <c r="E447" s="1" t="n">
        <f aca="false">IF(A447="","",D447+Inputs!$B$7)</f>
        <v>53</v>
      </c>
      <c r="F447" s="3" t="n">
        <f aca="false">IF(A447="","",DATE(YEAR(B$2)+D447,MONTH(B$2),DAY(B$2)))</f>
        <v>35221</v>
      </c>
      <c r="G447" s="3" t="n">
        <f aca="false">IF(A447="","",DATE(YEAR(F447)+1,MONTH(F447),DAY(F447)))</f>
        <v>35586</v>
      </c>
      <c r="H447" s="10" t="n">
        <f aca="false">IF(A447="","",IF(G447&gt;F447,(B447-F447)/(G447-F447),0))</f>
        <v>0.153424657534247</v>
      </c>
      <c r="I447" s="10" t="n">
        <f aca="false">IF(A447="","",IFERROR(INDEX(CV_RATES!$I:$I,MATCH(D447,CV_RATES!$C:$C,0)),0))</f>
        <v>632.92503902776</v>
      </c>
      <c r="J447" s="10" t="n">
        <f aca="false">IF(A447="","",IFERROR(IF(E447=MAX(MORTALITY!$A:$A),1000,INDEX(CV_RATES!$J:$J,MATCH(D447,CV_RATES!$C:$C,0))),0))</f>
        <v>643.243410832601</v>
      </c>
      <c r="K447" s="10" t="n">
        <f aca="false">IF(A447="","",IFERROR(I447+H447*(J447-I447),0))</f>
        <v>634.508131688228</v>
      </c>
      <c r="L447" s="10" t="n">
        <f aca="false">IF(A447="","",IFERROR(K447*Inputs!$B$9,0))</f>
        <v>31725.4065844114</v>
      </c>
      <c r="M447" s="10" t="n">
        <f aca="false">IF(A447="","",IFERROR(K447*Inputs!$B$10,0))</f>
        <v>101519.397545721</v>
      </c>
      <c r="N447" s="10" t="n">
        <f aca="false">IF(A447="","",Z446)</f>
        <v>0</v>
      </c>
      <c r="O447" s="6" t="n">
        <f aca="false">IF(A447="","",Inputs!$B$18+N447)</f>
        <v>50000</v>
      </c>
      <c r="P447" s="5" t="n">
        <f aca="false">IF(A447="","",VLOOKUP(D447,DIvidend_Assumption!$A$3:$CX$103,($E$2+2),0)/12)</f>
        <v>0</v>
      </c>
      <c r="Q447" s="10" t="n">
        <f aca="false">IF(A447="","",IFERROR(AB446*P447,""))</f>
        <v>0</v>
      </c>
      <c r="R447" s="10" t="n">
        <f aca="false">IF(A447="","",IFERROR(IF(Inputs!$B$22="Accumulate",T447+Q447,IF(Inputs!$B$22="Premium Offset",MAX(0,T447+Q447-Inputs!$B$25),T447)),""))</f>
        <v>0</v>
      </c>
      <c r="S447" s="10" t="n">
        <f aca="false">IF(A447="","",R446)</f>
        <v>0</v>
      </c>
      <c r="T447" s="10" t="n">
        <f aca="false">IF(A447="","",IFERROR(S447*(1+Inputs!$B$23/12),""))</f>
        <v>0</v>
      </c>
      <c r="U447" s="6" t="n">
        <f aca="false">IF(A447="","",IF(D447&lt;=Inputs!$B$8,IF(Inputs!$B$22="Premium Offset",MAX(0,Inputs!$B$25-(Q447+T447)),Inputs!$B$25),0))</f>
        <v>0</v>
      </c>
      <c r="V447" s="10" t="n">
        <f aca="false">IF(A447="","",IF(Inputs!$B$22="Cash",Q447,0))</f>
        <v>0</v>
      </c>
      <c r="W447" s="10" t="n">
        <f aca="false">IF(A447="","",IF(Inputs!$B$22="PUA",Q447,0))</f>
        <v>0</v>
      </c>
      <c r="X447" s="12" t="n">
        <f aca="false">IF(A447="","",IFERROR(INDEX(PUA_TABLE!$D$4:$D$105,MATCH(E447,PUA_TABLE!$C$4:$C$105,1)),0))</f>
        <v>0.63292503902776</v>
      </c>
      <c r="Y447" s="10" t="n">
        <f aca="false">IF(A447="","",IF(W447&gt;0,IF(X447&gt;0,W447/X447,0),0))</f>
        <v>0</v>
      </c>
      <c r="Z447" s="10" t="n">
        <f aca="false">IF(A447="","",N447+Y447)</f>
        <v>0</v>
      </c>
      <c r="AA447" s="10" t="n">
        <f aca="false">IF(A447="","",IFERROR(Z447*INDEX(PUA_TABLE!$I$4:$I$105,MATCH(E447,PUA_TABLE!$C$4:$C$105,1))/1000,0))</f>
        <v>0</v>
      </c>
      <c r="AB447" s="10" t="n">
        <f aca="false">IF(A447="","",IFERROR(L447+AA447,0))</f>
        <v>31725.4065844114</v>
      </c>
      <c r="AC447" s="10" t="n">
        <f aca="false">IF(A447="","",IF(Inputs!$B$22="Premium Offset",MIN(Inputs!$B$25,Q447+T447),0))</f>
        <v>0</v>
      </c>
    </row>
    <row r="448" customFormat="false" ht="15" hidden="false" customHeight="false" outlineLevel="0" collapsed="false">
      <c r="A448" s="1" t="n">
        <f aca="false">IF(A447="","",IF(INT((C447+1)/12)+Inputs!$B$7&gt;MAX(MORTALITY!$A:$A),"",Inputs!$B$4))</f>
        <v>34</v>
      </c>
      <c r="B448" s="3" t="n">
        <f aca="false">IF(A448="","",EOMONTH(B447,1))</f>
        <v>35308</v>
      </c>
      <c r="C448" s="1" t="n">
        <f aca="false">IF(A448="","",C447+1)</f>
        <v>446</v>
      </c>
      <c r="D448" s="1" t="n">
        <f aca="false">IF(A448="","",INT(C448/12))</f>
        <v>37</v>
      </c>
      <c r="E448" s="1" t="n">
        <f aca="false">IF(A448="","",D448+Inputs!$B$7)</f>
        <v>53</v>
      </c>
      <c r="F448" s="3" t="n">
        <f aca="false">IF(A448="","",DATE(YEAR(B$2)+D448,MONTH(B$2),DAY(B$2)))</f>
        <v>35221</v>
      </c>
      <c r="G448" s="3" t="n">
        <f aca="false">IF(A448="","",DATE(YEAR(F448)+1,MONTH(F448),DAY(F448)))</f>
        <v>35586</v>
      </c>
      <c r="H448" s="10" t="n">
        <f aca="false">IF(A448="","",IF(G448&gt;F448,(B448-F448)/(G448-F448),0))</f>
        <v>0.238356164383562</v>
      </c>
      <c r="I448" s="10" t="n">
        <f aca="false">IF(A448="","",IFERROR(INDEX(CV_RATES!$I:$I,MATCH(D448,CV_RATES!$C:$C,0)),0))</f>
        <v>632.92503902776</v>
      </c>
      <c r="J448" s="10" t="n">
        <f aca="false">IF(A448="","",IFERROR(IF(E448=MAX(MORTALITY!$A:$A),1000,INDEX(CV_RATES!$J:$J,MATCH(D448,CV_RATES!$C:$C,0))),0))</f>
        <v>643.243410832601</v>
      </c>
      <c r="K448" s="10" t="n">
        <f aca="false">IF(A448="","",IFERROR(I448+H448*(J448-I448),0))</f>
        <v>635.384486553845</v>
      </c>
      <c r="L448" s="10" t="n">
        <f aca="false">IF(A448="","",IFERROR(K448*Inputs!$B$9,0))</f>
        <v>31769.2243276922</v>
      </c>
      <c r="M448" s="10" t="n">
        <f aca="false">IF(A448="","",IFERROR(K448*Inputs!$B$10,0))</f>
        <v>101659.611695156</v>
      </c>
      <c r="N448" s="10" t="n">
        <f aca="false">IF(A448="","",Z447)</f>
        <v>0</v>
      </c>
      <c r="O448" s="6" t="n">
        <f aca="false">IF(A448="","",Inputs!$B$18+N448)</f>
        <v>50000</v>
      </c>
      <c r="P448" s="5" t="n">
        <f aca="false">IF(A448="","",VLOOKUP(D448,DIvidend_Assumption!$A$3:$CX$103,($E$2+2),0)/12)</f>
        <v>0</v>
      </c>
      <c r="Q448" s="10" t="n">
        <f aca="false">IF(A448="","",IFERROR(AB447*P448,""))</f>
        <v>0</v>
      </c>
      <c r="R448" s="10" t="n">
        <f aca="false">IF(A448="","",IFERROR(IF(Inputs!$B$22="Accumulate",T448+Q448,IF(Inputs!$B$22="Premium Offset",MAX(0,T448+Q448-Inputs!$B$25),T448)),""))</f>
        <v>0</v>
      </c>
      <c r="S448" s="10" t="n">
        <f aca="false">IF(A448="","",R447)</f>
        <v>0</v>
      </c>
      <c r="T448" s="10" t="n">
        <f aca="false">IF(A448="","",IFERROR(S448*(1+Inputs!$B$23/12),""))</f>
        <v>0</v>
      </c>
      <c r="U448" s="6" t="n">
        <f aca="false">IF(A448="","",IF(D448&lt;=Inputs!$B$8,IF(Inputs!$B$22="Premium Offset",MAX(0,Inputs!$B$25-(Q448+T448)),Inputs!$B$25),0))</f>
        <v>0</v>
      </c>
      <c r="V448" s="10" t="n">
        <f aca="false">IF(A448="","",IF(Inputs!$B$22="Cash",Q448,0))</f>
        <v>0</v>
      </c>
      <c r="W448" s="10" t="n">
        <f aca="false">IF(A448="","",IF(Inputs!$B$22="PUA",Q448,0))</f>
        <v>0</v>
      </c>
      <c r="X448" s="12" t="n">
        <f aca="false">IF(A448="","",IFERROR(INDEX(PUA_TABLE!$D$4:$D$105,MATCH(E448,PUA_TABLE!$C$4:$C$105,1)),0))</f>
        <v>0.63292503902776</v>
      </c>
      <c r="Y448" s="10" t="n">
        <f aca="false">IF(A448="","",IF(W448&gt;0,IF(X448&gt;0,W448/X448,0),0))</f>
        <v>0</v>
      </c>
      <c r="Z448" s="10" t="n">
        <f aca="false">IF(A448="","",N448+Y448)</f>
        <v>0</v>
      </c>
      <c r="AA448" s="10" t="n">
        <f aca="false">IF(A448="","",IFERROR(Z448*INDEX(PUA_TABLE!$I$4:$I$105,MATCH(E448,PUA_TABLE!$C$4:$C$105,1))/1000,0))</f>
        <v>0</v>
      </c>
      <c r="AB448" s="10" t="n">
        <f aca="false">IF(A448="","",IFERROR(L448+AA448,0))</f>
        <v>31769.2243276922</v>
      </c>
      <c r="AC448" s="10" t="n">
        <f aca="false">IF(A448="","",IF(Inputs!$B$22="Premium Offset",MIN(Inputs!$B$25,Q448+T448),0))</f>
        <v>0</v>
      </c>
    </row>
    <row r="449" customFormat="false" ht="15" hidden="false" customHeight="false" outlineLevel="0" collapsed="false">
      <c r="A449" s="1" t="n">
        <f aca="false">IF(A448="","",IF(INT((C448+1)/12)+Inputs!$B$7&gt;MAX(MORTALITY!$A:$A),"",Inputs!$B$4))</f>
        <v>34</v>
      </c>
      <c r="B449" s="3" t="n">
        <f aca="false">IF(A449="","",EOMONTH(B448,1))</f>
        <v>35338</v>
      </c>
      <c r="C449" s="1" t="n">
        <f aca="false">IF(A449="","",C448+1)</f>
        <v>447</v>
      </c>
      <c r="D449" s="1" t="n">
        <f aca="false">IF(A449="","",INT(C449/12))</f>
        <v>37</v>
      </c>
      <c r="E449" s="1" t="n">
        <f aca="false">IF(A449="","",D449+Inputs!$B$7)</f>
        <v>53</v>
      </c>
      <c r="F449" s="3" t="n">
        <f aca="false">IF(A449="","",DATE(YEAR(B$2)+D449,MONTH(B$2),DAY(B$2)))</f>
        <v>35221</v>
      </c>
      <c r="G449" s="3" t="n">
        <f aca="false">IF(A449="","",DATE(YEAR(F449)+1,MONTH(F449),DAY(F449)))</f>
        <v>35586</v>
      </c>
      <c r="H449" s="10" t="n">
        <f aca="false">IF(A449="","",IF(G449&gt;F449,(B449-F449)/(G449-F449),0))</f>
        <v>0.320547945205479</v>
      </c>
      <c r="I449" s="10" t="n">
        <f aca="false">IF(A449="","",IFERROR(INDEX(CV_RATES!$I:$I,MATCH(D449,CV_RATES!$C:$C,0)),0))</f>
        <v>632.92503902776</v>
      </c>
      <c r="J449" s="10" t="n">
        <f aca="false">IF(A449="","",IFERROR(IF(E449=MAX(MORTALITY!$A:$A),1000,INDEX(CV_RATES!$J:$J,MATCH(D449,CV_RATES!$C:$C,0))),0))</f>
        <v>643.243410832601</v>
      </c>
      <c r="K449" s="10" t="n">
        <f aca="false">IF(A449="","",IFERROR(I449+H449*(J449-I449),0))</f>
        <v>636.232571907668</v>
      </c>
      <c r="L449" s="10" t="n">
        <f aca="false">IF(A449="","",IFERROR(K449*Inputs!$B$9,0))</f>
        <v>31811.6285953834</v>
      </c>
      <c r="M449" s="10" t="n">
        <f aca="false">IF(A449="","",IFERROR(K449*Inputs!$B$10,0))</f>
        <v>101795.302807511</v>
      </c>
      <c r="N449" s="10" t="n">
        <f aca="false">IF(A449="","",Z448)</f>
        <v>0</v>
      </c>
      <c r="O449" s="6" t="n">
        <f aca="false">IF(A449="","",Inputs!$B$18+N449)</f>
        <v>50000</v>
      </c>
      <c r="P449" s="5" t="n">
        <f aca="false">IF(A449="","",VLOOKUP(D449,DIvidend_Assumption!$A$3:$CX$103,($E$2+2),0)/12)</f>
        <v>0</v>
      </c>
      <c r="Q449" s="10" t="n">
        <f aca="false">IF(A449="","",IFERROR(AB448*P449,""))</f>
        <v>0</v>
      </c>
      <c r="R449" s="10" t="n">
        <f aca="false">IF(A449="","",IFERROR(IF(Inputs!$B$22="Accumulate",T449+Q449,IF(Inputs!$B$22="Premium Offset",MAX(0,T449+Q449-Inputs!$B$25),T449)),""))</f>
        <v>0</v>
      </c>
      <c r="S449" s="10" t="n">
        <f aca="false">IF(A449="","",R448)</f>
        <v>0</v>
      </c>
      <c r="T449" s="10" t="n">
        <f aca="false">IF(A449="","",IFERROR(S449*(1+Inputs!$B$23/12),""))</f>
        <v>0</v>
      </c>
      <c r="U449" s="6" t="n">
        <f aca="false">IF(A449="","",IF(D449&lt;=Inputs!$B$8,IF(Inputs!$B$22="Premium Offset",MAX(0,Inputs!$B$25-(Q449+T449)),Inputs!$B$25),0))</f>
        <v>0</v>
      </c>
      <c r="V449" s="10" t="n">
        <f aca="false">IF(A449="","",IF(Inputs!$B$22="Cash",Q449,0))</f>
        <v>0</v>
      </c>
      <c r="W449" s="10" t="n">
        <f aca="false">IF(A449="","",IF(Inputs!$B$22="PUA",Q449,0))</f>
        <v>0</v>
      </c>
      <c r="X449" s="12" t="n">
        <f aca="false">IF(A449="","",IFERROR(INDEX(PUA_TABLE!$D$4:$D$105,MATCH(E449,PUA_TABLE!$C$4:$C$105,1)),0))</f>
        <v>0.63292503902776</v>
      </c>
      <c r="Y449" s="10" t="n">
        <f aca="false">IF(A449="","",IF(W449&gt;0,IF(X449&gt;0,W449/X449,0),0))</f>
        <v>0</v>
      </c>
      <c r="Z449" s="10" t="n">
        <f aca="false">IF(A449="","",N449+Y449)</f>
        <v>0</v>
      </c>
      <c r="AA449" s="10" t="n">
        <f aca="false">IF(A449="","",IFERROR(Z449*INDEX(PUA_TABLE!$I$4:$I$105,MATCH(E449,PUA_TABLE!$C$4:$C$105,1))/1000,0))</f>
        <v>0</v>
      </c>
      <c r="AB449" s="10" t="n">
        <f aca="false">IF(A449="","",IFERROR(L449+AA449,0))</f>
        <v>31811.6285953834</v>
      </c>
      <c r="AC449" s="10" t="n">
        <f aca="false">IF(A449="","",IF(Inputs!$B$22="Premium Offset",MIN(Inputs!$B$25,Q449+T449),0))</f>
        <v>0</v>
      </c>
    </row>
    <row r="450" customFormat="false" ht="15" hidden="false" customHeight="false" outlineLevel="0" collapsed="false">
      <c r="A450" s="1" t="n">
        <f aca="false">IF(A449="","",IF(INT((C449+1)/12)+Inputs!$B$7&gt;MAX(MORTALITY!$A:$A),"",Inputs!$B$4))</f>
        <v>34</v>
      </c>
      <c r="B450" s="3" t="n">
        <f aca="false">IF(A450="","",EOMONTH(B449,1))</f>
        <v>35369</v>
      </c>
      <c r="C450" s="1" t="n">
        <f aca="false">IF(A450="","",C449+1)</f>
        <v>448</v>
      </c>
      <c r="D450" s="1" t="n">
        <f aca="false">IF(A450="","",INT(C450/12))</f>
        <v>37</v>
      </c>
      <c r="E450" s="1" t="n">
        <f aca="false">IF(A450="","",D450+Inputs!$B$7)</f>
        <v>53</v>
      </c>
      <c r="F450" s="3" t="n">
        <f aca="false">IF(A450="","",DATE(YEAR(B$2)+D450,MONTH(B$2),DAY(B$2)))</f>
        <v>35221</v>
      </c>
      <c r="G450" s="3" t="n">
        <f aca="false">IF(A450="","",DATE(YEAR(F450)+1,MONTH(F450),DAY(F450)))</f>
        <v>35586</v>
      </c>
      <c r="H450" s="10" t="n">
        <f aca="false">IF(A450="","",IF(G450&gt;F450,(B450-F450)/(G450-F450),0))</f>
        <v>0.405479452054795</v>
      </c>
      <c r="I450" s="10" t="n">
        <f aca="false">IF(A450="","",IFERROR(INDEX(CV_RATES!$I:$I,MATCH(D450,CV_RATES!$C:$C,0)),0))</f>
        <v>632.92503902776</v>
      </c>
      <c r="J450" s="10" t="n">
        <f aca="false">IF(A450="","",IFERROR(IF(E450=MAX(MORTALITY!$A:$A),1000,INDEX(CV_RATES!$J:$J,MATCH(D450,CV_RATES!$C:$C,0))),0))</f>
        <v>643.243410832601</v>
      </c>
      <c r="K450" s="10" t="n">
        <f aca="false">IF(A450="","",IFERROR(I450+H450*(J450-I450),0))</f>
        <v>637.108926773284</v>
      </c>
      <c r="L450" s="10" t="n">
        <f aca="false">IF(A450="","",IFERROR(K450*Inputs!$B$9,0))</f>
        <v>31855.4463386642</v>
      </c>
      <c r="M450" s="10" t="n">
        <f aca="false">IF(A450="","",IFERROR(K450*Inputs!$B$10,0))</f>
        <v>101935.516956945</v>
      </c>
      <c r="N450" s="10" t="n">
        <f aca="false">IF(A450="","",Z449)</f>
        <v>0</v>
      </c>
      <c r="O450" s="6" t="n">
        <f aca="false">IF(A450="","",Inputs!$B$18+N450)</f>
        <v>50000</v>
      </c>
      <c r="P450" s="5" t="n">
        <f aca="false">IF(A450="","",VLOOKUP(D450,DIvidend_Assumption!$A$3:$CX$103,($E$2+2),0)/12)</f>
        <v>0</v>
      </c>
      <c r="Q450" s="10" t="n">
        <f aca="false">IF(A450="","",IFERROR(AB449*P450,""))</f>
        <v>0</v>
      </c>
      <c r="R450" s="10" t="n">
        <f aca="false">IF(A450="","",IFERROR(IF(Inputs!$B$22="Accumulate",T450+Q450,IF(Inputs!$B$22="Premium Offset",MAX(0,T450+Q450-Inputs!$B$25),T450)),""))</f>
        <v>0</v>
      </c>
      <c r="S450" s="10" t="n">
        <f aca="false">IF(A450="","",R449)</f>
        <v>0</v>
      </c>
      <c r="T450" s="10" t="n">
        <f aca="false">IF(A450="","",IFERROR(S450*(1+Inputs!$B$23/12),""))</f>
        <v>0</v>
      </c>
      <c r="U450" s="6" t="n">
        <f aca="false">IF(A450="","",IF(D450&lt;=Inputs!$B$8,IF(Inputs!$B$22="Premium Offset",MAX(0,Inputs!$B$25-(Q450+T450)),Inputs!$B$25),0))</f>
        <v>0</v>
      </c>
      <c r="V450" s="10" t="n">
        <f aca="false">IF(A450="","",IF(Inputs!$B$22="Cash",Q450,0))</f>
        <v>0</v>
      </c>
      <c r="W450" s="10" t="n">
        <f aca="false">IF(A450="","",IF(Inputs!$B$22="PUA",Q450,0))</f>
        <v>0</v>
      </c>
      <c r="X450" s="12" t="n">
        <f aca="false">IF(A450="","",IFERROR(INDEX(PUA_TABLE!$D$4:$D$105,MATCH(E450,PUA_TABLE!$C$4:$C$105,1)),0))</f>
        <v>0.63292503902776</v>
      </c>
      <c r="Y450" s="10" t="n">
        <f aca="false">IF(A450="","",IF(W450&gt;0,IF(X450&gt;0,W450/X450,0),0))</f>
        <v>0</v>
      </c>
      <c r="Z450" s="10" t="n">
        <f aca="false">IF(A450="","",N450+Y450)</f>
        <v>0</v>
      </c>
      <c r="AA450" s="10" t="n">
        <f aca="false">IF(A450="","",IFERROR(Z450*INDEX(PUA_TABLE!$I$4:$I$105,MATCH(E450,PUA_TABLE!$C$4:$C$105,1))/1000,0))</f>
        <v>0</v>
      </c>
      <c r="AB450" s="10" t="n">
        <f aca="false">IF(A450="","",IFERROR(L450+AA450,0))</f>
        <v>31855.4463386642</v>
      </c>
      <c r="AC450" s="10" t="n">
        <f aca="false">IF(A450="","",IF(Inputs!$B$22="Premium Offset",MIN(Inputs!$B$25,Q450+T450),0))</f>
        <v>0</v>
      </c>
    </row>
    <row r="451" customFormat="false" ht="15" hidden="false" customHeight="false" outlineLevel="0" collapsed="false">
      <c r="A451" s="1" t="n">
        <f aca="false">IF(A450="","",IF(INT((C450+1)/12)+Inputs!$B$7&gt;MAX(MORTALITY!$A:$A),"",Inputs!$B$4))</f>
        <v>34</v>
      </c>
      <c r="B451" s="3" t="n">
        <f aca="false">IF(A451="","",EOMONTH(B450,1))</f>
        <v>35399</v>
      </c>
      <c r="C451" s="1" t="n">
        <f aca="false">IF(A451="","",C450+1)</f>
        <v>449</v>
      </c>
      <c r="D451" s="1" t="n">
        <f aca="false">IF(A451="","",INT(C451/12))</f>
        <v>37</v>
      </c>
      <c r="E451" s="1" t="n">
        <f aca="false">IF(A451="","",D451+Inputs!$B$7)</f>
        <v>53</v>
      </c>
      <c r="F451" s="3" t="n">
        <f aca="false">IF(A451="","",DATE(YEAR(B$2)+D451,MONTH(B$2),DAY(B$2)))</f>
        <v>35221</v>
      </c>
      <c r="G451" s="3" t="n">
        <f aca="false">IF(A451="","",DATE(YEAR(F451)+1,MONTH(F451),DAY(F451)))</f>
        <v>35586</v>
      </c>
      <c r="H451" s="10" t="n">
        <f aca="false">IF(A451="","",IF(G451&gt;F451,(B451-F451)/(G451-F451),0))</f>
        <v>0.487671232876712</v>
      </c>
      <c r="I451" s="10" t="n">
        <f aca="false">IF(A451="","",IFERROR(INDEX(CV_RATES!$I:$I,MATCH(D451,CV_RATES!$C:$C,0)),0))</f>
        <v>632.92503902776</v>
      </c>
      <c r="J451" s="10" t="n">
        <f aca="false">IF(A451="","",IFERROR(IF(E451=MAX(MORTALITY!$A:$A),1000,INDEX(CV_RATES!$J:$J,MATCH(D451,CV_RATES!$C:$C,0))),0))</f>
        <v>643.243410832601</v>
      </c>
      <c r="K451" s="10" t="n">
        <f aca="false">IF(A451="","",IFERROR(I451+H451*(J451-I451),0))</f>
        <v>637.957012127107</v>
      </c>
      <c r="L451" s="10" t="n">
        <f aca="false">IF(A451="","",IFERROR(K451*Inputs!$B$9,0))</f>
        <v>31897.8506063553</v>
      </c>
      <c r="M451" s="10" t="n">
        <f aca="false">IF(A451="","",IFERROR(K451*Inputs!$B$10,0))</f>
        <v>102071.208069301</v>
      </c>
      <c r="N451" s="10" t="n">
        <f aca="false">IF(A451="","",Z450)</f>
        <v>0</v>
      </c>
      <c r="O451" s="6" t="n">
        <f aca="false">IF(A451="","",Inputs!$B$18+N451)</f>
        <v>50000</v>
      </c>
      <c r="P451" s="5" t="n">
        <f aca="false">IF(A451="","",VLOOKUP(D451,DIvidend_Assumption!$A$3:$CX$103,($E$2+2),0)/12)</f>
        <v>0</v>
      </c>
      <c r="Q451" s="10" t="n">
        <f aca="false">IF(A451="","",IFERROR(AB450*P451,""))</f>
        <v>0</v>
      </c>
      <c r="R451" s="10" t="n">
        <f aca="false">IF(A451="","",IFERROR(IF(Inputs!$B$22="Accumulate",T451+Q451,IF(Inputs!$B$22="Premium Offset",MAX(0,T451+Q451-Inputs!$B$25),T451)),""))</f>
        <v>0</v>
      </c>
      <c r="S451" s="10" t="n">
        <f aca="false">IF(A451="","",R450)</f>
        <v>0</v>
      </c>
      <c r="T451" s="10" t="n">
        <f aca="false">IF(A451="","",IFERROR(S451*(1+Inputs!$B$23/12),""))</f>
        <v>0</v>
      </c>
      <c r="U451" s="6" t="n">
        <f aca="false">IF(A451="","",IF(D451&lt;=Inputs!$B$8,IF(Inputs!$B$22="Premium Offset",MAX(0,Inputs!$B$25-(Q451+T451)),Inputs!$B$25),0))</f>
        <v>0</v>
      </c>
      <c r="V451" s="10" t="n">
        <f aca="false">IF(A451="","",IF(Inputs!$B$22="Cash",Q451,0))</f>
        <v>0</v>
      </c>
      <c r="W451" s="10" t="n">
        <f aca="false">IF(A451="","",IF(Inputs!$B$22="PUA",Q451,0))</f>
        <v>0</v>
      </c>
      <c r="X451" s="12" t="n">
        <f aca="false">IF(A451="","",IFERROR(INDEX(PUA_TABLE!$D$4:$D$105,MATCH(E451,PUA_TABLE!$C$4:$C$105,1)),0))</f>
        <v>0.63292503902776</v>
      </c>
      <c r="Y451" s="10" t="n">
        <f aca="false">IF(A451="","",IF(W451&gt;0,IF(X451&gt;0,W451/X451,0),0))</f>
        <v>0</v>
      </c>
      <c r="Z451" s="10" t="n">
        <f aca="false">IF(A451="","",N451+Y451)</f>
        <v>0</v>
      </c>
      <c r="AA451" s="10" t="n">
        <f aca="false">IF(A451="","",IFERROR(Z451*INDEX(PUA_TABLE!$I$4:$I$105,MATCH(E451,PUA_TABLE!$C$4:$C$105,1))/1000,0))</f>
        <v>0</v>
      </c>
      <c r="AB451" s="10" t="n">
        <f aca="false">IF(A451="","",IFERROR(L451+AA451,0))</f>
        <v>31897.8506063553</v>
      </c>
      <c r="AC451" s="10" t="n">
        <f aca="false">IF(A451="","",IF(Inputs!$B$22="Premium Offset",MIN(Inputs!$B$25,Q451+T451),0))</f>
        <v>0</v>
      </c>
    </row>
    <row r="452" customFormat="false" ht="15" hidden="false" customHeight="false" outlineLevel="0" collapsed="false">
      <c r="A452" s="1" t="n">
        <f aca="false">IF(A451="","",IF(INT((C451+1)/12)+Inputs!$B$7&gt;MAX(MORTALITY!$A:$A),"",Inputs!$B$4))</f>
        <v>34</v>
      </c>
      <c r="B452" s="3" t="n">
        <f aca="false">IF(A452="","",EOMONTH(B451,1))</f>
        <v>35430</v>
      </c>
      <c r="C452" s="1" t="n">
        <f aca="false">IF(A452="","",C451+1)</f>
        <v>450</v>
      </c>
      <c r="D452" s="1" t="n">
        <f aca="false">IF(A452="","",INT(C452/12))</f>
        <v>37</v>
      </c>
      <c r="E452" s="1" t="n">
        <f aca="false">IF(A452="","",D452+Inputs!$B$7)</f>
        <v>53</v>
      </c>
      <c r="F452" s="3" t="n">
        <f aca="false">IF(A452="","",DATE(YEAR(B$2)+D452,MONTH(B$2),DAY(B$2)))</f>
        <v>35221</v>
      </c>
      <c r="G452" s="3" t="n">
        <f aca="false">IF(A452="","",DATE(YEAR(F452)+1,MONTH(F452),DAY(F452)))</f>
        <v>35586</v>
      </c>
      <c r="H452" s="10" t="n">
        <f aca="false">IF(A452="","",IF(G452&gt;F452,(B452-F452)/(G452-F452),0))</f>
        <v>0.572602739726027</v>
      </c>
      <c r="I452" s="10" t="n">
        <f aca="false">IF(A452="","",IFERROR(INDEX(CV_RATES!$I:$I,MATCH(D452,CV_RATES!$C:$C,0)),0))</f>
        <v>632.92503902776</v>
      </c>
      <c r="J452" s="10" t="n">
        <f aca="false">IF(A452="","",IFERROR(IF(E452=MAX(MORTALITY!$A:$A),1000,INDEX(CV_RATES!$J:$J,MATCH(D452,CV_RATES!$C:$C,0))),0))</f>
        <v>643.243410832601</v>
      </c>
      <c r="K452" s="10" t="n">
        <f aca="false">IF(A452="","",IFERROR(I452+H452*(J452-I452),0))</f>
        <v>638.833366992723</v>
      </c>
      <c r="L452" s="10" t="n">
        <f aca="false">IF(A452="","",IFERROR(K452*Inputs!$B$9,0))</f>
        <v>31941.6683496362</v>
      </c>
      <c r="M452" s="10" t="n">
        <f aca="false">IF(A452="","",IFERROR(K452*Inputs!$B$10,0))</f>
        <v>102211.422218735</v>
      </c>
      <c r="N452" s="10" t="n">
        <f aca="false">IF(A452="","",Z451)</f>
        <v>0</v>
      </c>
      <c r="O452" s="6" t="n">
        <f aca="false">IF(A452="","",Inputs!$B$18+N452)</f>
        <v>50000</v>
      </c>
      <c r="P452" s="5" t="n">
        <f aca="false">IF(A452="","",VLOOKUP(D452,DIvidend_Assumption!$A$3:$CX$103,($E$2+2),0)/12)</f>
        <v>0</v>
      </c>
      <c r="Q452" s="10" t="n">
        <f aca="false">IF(A452="","",IFERROR(AB451*P452,""))</f>
        <v>0</v>
      </c>
      <c r="R452" s="10" t="n">
        <f aca="false">IF(A452="","",IFERROR(IF(Inputs!$B$22="Accumulate",T452+Q452,IF(Inputs!$B$22="Premium Offset",MAX(0,T452+Q452-Inputs!$B$25),T452)),""))</f>
        <v>0</v>
      </c>
      <c r="S452" s="10" t="n">
        <f aca="false">IF(A452="","",R451)</f>
        <v>0</v>
      </c>
      <c r="T452" s="10" t="n">
        <f aca="false">IF(A452="","",IFERROR(S452*(1+Inputs!$B$23/12),""))</f>
        <v>0</v>
      </c>
      <c r="U452" s="6" t="n">
        <f aca="false">IF(A452="","",IF(D452&lt;=Inputs!$B$8,IF(Inputs!$B$22="Premium Offset",MAX(0,Inputs!$B$25-(Q452+T452)),Inputs!$B$25),0))</f>
        <v>0</v>
      </c>
      <c r="V452" s="10" t="n">
        <f aca="false">IF(A452="","",IF(Inputs!$B$22="Cash",Q452,0))</f>
        <v>0</v>
      </c>
      <c r="W452" s="10" t="n">
        <f aca="false">IF(A452="","",IF(Inputs!$B$22="PUA",Q452,0))</f>
        <v>0</v>
      </c>
      <c r="X452" s="12" t="n">
        <f aca="false">IF(A452="","",IFERROR(INDEX(PUA_TABLE!$D$4:$D$105,MATCH(E452,PUA_TABLE!$C$4:$C$105,1)),0))</f>
        <v>0.63292503902776</v>
      </c>
      <c r="Y452" s="10" t="n">
        <f aca="false">IF(A452="","",IF(W452&gt;0,IF(X452&gt;0,W452/X452,0),0))</f>
        <v>0</v>
      </c>
      <c r="Z452" s="10" t="n">
        <f aca="false">IF(A452="","",N452+Y452)</f>
        <v>0</v>
      </c>
      <c r="AA452" s="10" t="n">
        <f aca="false">IF(A452="","",IFERROR(Z452*INDEX(PUA_TABLE!$I$4:$I$105,MATCH(E452,PUA_TABLE!$C$4:$C$105,1))/1000,0))</f>
        <v>0</v>
      </c>
      <c r="AB452" s="10" t="n">
        <f aca="false">IF(A452="","",IFERROR(L452+AA452,0))</f>
        <v>31941.6683496362</v>
      </c>
      <c r="AC452" s="10" t="n">
        <f aca="false">IF(A452="","",IF(Inputs!$B$22="Premium Offset",MIN(Inputs!$B$25,Q452+T452),0))</f>
        <v>0</v>
      </c>
    </row>
    <row r="453" customFormat="false" ht="15" hidden="false" customHeight="false" outlineLevel="0" collapsed="false">
      <c r="A453" s="1" t="n">
        <f aca="false">IF(A452="","",IF(INT((C452+1)/12)+Inputs!$B$7&gt;MAX(MORTALITY!$A:$A),"",Inputs!$B$4))</f>
        <v>34</v>
      </c>
      <c r="B453" s="3" t="n">
        <f aca="false">IF(A453="","",EOMONTH(B452,1))</f>
        <v>35461</v>
      </c>
      <c r="C453" s="1" t="n">
        <f aca="false">IF(A453="","",C452+1)</f>
        <v>451</v>
      </c>
      <c r="D453" s="1" t="n">
        <f aca="false">IF(A453="","",INT(C453/12))</f>
        <v>37</v>
      </c>
      <c r="E453" s="1" t="n">
        <f aca="false">IF(A453="","",D453+Inputs!$B$7)</f>
        <v>53</v>
      </c>
      <c r="F453" s="3" t="n">
        <f aca="false">IF(A453="","",DATE(YEAR(B$2)+D453,MONTH(B$2),DAY(B$2)))</f>
        <v>35221</v>
      </c>
      <c r="G453" s="3" t="n">
        <f aca="false">IF(A453="","",DATE(YEAR(F453)+1,MONTH(F453),DAY(F453)))</f>
        <v>35586</v>
      </c>
      <c r="H453" s="10" t="n">
        <f aca="false">IF(A453="","",IF(G453&gt;F453,(B453-F453)/(G453-F453),0))</f>
        <v>0.657534246575342</v>
      </c>
      <c r="I453" s="10" t="n">
        <f aca="false">IF(A453="","",IFERROR(INDEX(CV_RATES!$I:$I,MATCH(D453,CV_RATES!$C:$C,0)),0))</f>
        <v>632.92503902776</v>
      </c>
      <c r="J453" s="10" t="n">
        <f aca="false">IF(A453="","",IFERROR(IF(E453=MAX(MORTALITY!$A:$A),1000,INDEX(CV_RATES!$J:$J,MATCH(D453,CV_RATES!$C:$C,0))),0))</f>
        <v>643.243410832601</v>
      </c>
      <c r="K453" s="10" t="n">
        <f aca="false">IF(A453="","",IFERROR(I453+H453*(J453-I453),0))</f>
        <v>639.70972185834</v>
      </c>
      <c r="L453" s="10" t="n">
        <f aca="false">IF(A453="","",IFERROR(K453*Inputs!$B$9,0))</f>
        <v>31985.486092917</v>
      </c>
      <c r="M453" s="10" t="n">
        <f aca="false">IF(A453="","",IFERROR(K453*Inputs!$B$10,0))</f>
        <v>102351.636368169</v>
      </c>
      <c r="N453" s="10" t="n">
        <f aca="false">IF(A453="","",Z452)</f>
        <v>0</v>
      </c>
      <c r="O453" s="6" t="n">
        <f aca="false">IF(A453="","",Inputs!$B$18+N453)</f>
        <v>50000</v>
      </c>
      <c r="P453" s="5" t="n">
        <f aca="false">IF(A453="","",VLOOKUP(D453,DIvidend_Assumption!$A$3:$CX$103,($E$2+2),0)/12)</f>
        <v>0</v>
      </c>
      <c r="Q453" s="10" t="n">
        <f aca="false">IF(A453="","",IFERROR(AB452*P453,""))</f>
        <v>0</v>
      </c>
      <c r="R453" s="10" t="n">
        <f aca="false">IF(A453="","",IFERROR(IF(Inputs!$B$22="Accumulate",T453+Q453,IF(Inputs!$B$22="Premium Offset",MAX(0,T453+Q453-Inputs!$B$25),T453)),""))</f>
        <v>0</v>
      </c>
      <c r="S453" s="10" t="n">
        <f aca="false">IF(A453="","",R452)</f>
        <v>0</v>
      </c>
      <c r="T453" s="10" t="n">
        <f aca="false">IF(A453="","",IFERROR(S453*(1+Inputs!$B$23/12),""))</f>
        <v>0</v>
      </c>
      <c r="U453" s="6" t="n">
        <f aca="false">IF(A453="","",IF(D453&lt;=Inputs!$B$8,IF(Inputs!$B$22="Premium Offset",MAX(0,Inputs!$B$25-(Q453+T453)),Inputs!$B$25),0))</f>
        <v>0</v>
      </c>
      <c r="V453" s="10" t="n">
        <f aca="false">IF(A453="","",IF(Inputs!$B$22="Cash",Q453,0))</f>
        <v>0</v>
      </c>
      <c r="W453" s="10" t="n">
        <f aca="false">IF(A453="","",IF(Inputs!$B$22="PUA",Q453,0))</f>
        <v>0</v>
      </c>
      <c r="X453" s="12" t="n">
        <f aca="false">IF(A453="","",IFERROR(INDEX(PUA_TABLE!$D$4:$D$105,MATCH(E453,PUA_TABLE!$C$4:$C$105,1)),0))</f>
        <v>0.63292503902776</v>
      </c>
      <c r="Y453" s="10" t="n">
        <f aca="false">IF(A453="","",IF(W453&gt;0,IF(X453&gt;0,W453/X453,0),0))</f>
        <v>0</v>
      </c>
      <c r="Z453" s="10" t="n">
        <f aca="false">IF(A453="","",N453+Y453)</f>
        <v>0</v>
      </c>
      <c r="AA453" s="10" t="n">
        <f aca="false">IF(A453="","",IFERROR(Z453*INDEX(PUA_TABLE!$I$4:$I$105,MATCH(E453,PUA_TABLE!$C$4:$C$105,1))/1000,0))</f>
        <v>0</v>
      </c>
      <c r="AB453" s="10" t="n">
        <f aca="false">IF(A453="","",IFERROR(L453+AA453,0))</f>
        <v>31985.486092917</v>
      </c>
      <c r="AC453" s="10" t="n">
        <f aca="false">IF(A453="","",IF(Inputs!$B$22="Premium Offset",MIN(Inputs!$B$25,Q453+T453),0))</f>
        <v>0</v>
      </c>
    </row>
    <row r="454" customFormat="false" ht="15" hidden="false" customHeight="false" outlineLevel="0" collapsed="false">
      <c r="A454" s="1" t="n">
        <f aca="false">IF(A453="","",IF(INT((C453+1)/12)+Inputs!$B$7&gt;MAX(MORTALITY!$A:$A),"",Inputs!$B$4))</f>
        <v>34</v>
      </c>
      <c r="B454" s="3" t="n">
        <f aca="false">IF(A454="","",EOMONTH(B453,1))</f>
        <v>35489</v>
      </c>
      <c r="C454" s="1" t="n">
        <f aca="false">IF(A454="","",C453+1)</f>
        <v>452</v>
      </c>
      <c r="D454" s="1" t="n">
        <f aca="false">IF(A454="","",INT(C454/12))</f>
        <v>37</v>
      </c>
      <c r="E454" s="1" t="n">
        <f aca="false">IF(A454="","",D454+Inputs!$B$7)</f>
        <v>53</v>
      </c>
      <c r="F454" s="3" t="n">
        <f aca="false">IF(A454="","",DATE(YEAR(B$2)+D454,MONTH(B$2),DAY(B$2)))</f>
        <v>35221</v>
      </c>
      <c r="G454" s="3" t="n">
        <f aca="false">IF(A454="","",DATE(YEAR(F454)+1,MONTH(F454),DAY(F454)))</f>
        <v>35586</v>
      </c>
      <c r="H454" s="10" t="n">
        <f aca="false">IF(A454="","",IF(G454&gt;F454,(B454-F454)/(G454-F454),0))</f>
        <v>0.734246575342466</v>
      </c>
      <c r="I454" s="10" t="n">
        <f aca="false">IF(A454="","",IFERROR(INDEX(CV_RATES!$I:$I,MATCH(D454,CV_RATES!$C:$C,0)),0))</f>
        <v>632.92503902776</v>
      </c>
      <c r="J454" s="10" t="n">
        <f aca="false">IF(A454="","",IFERROR(IF(E454=MAX(MORTALITY!$A:$A),1000,INDEX(CV_RATES!$J:$J,MATCH(D454,CV_RATES!$C:$C,0))),0))</f>
        <v>643.243410832601</v>
      </c>
      <c r="K454" s="10" t="n">
        <f aca="false">IF(A454="","",IFERROR(I454+H454*(J454-I454),0))</f>
        <v>640.501268188574</v>
      </c>
      <c r="L454" s="10" t="n">
        <f aca="false">IF(A454="","",IFERROR(K454*Inputs!$B$9,0))</f>
        <v>32025.0634094287</v>
      </c>
      <c r="M454" s="10" t="n">
        <f aca="false">IF(A454="","",IFERROR(K454*Inputs!$B$10,0))</f>
        <v>102478.281406367</v>
      </c>
      <c r="N454" s="10" t="n">
        <f aca="false">IF(A454="","",Z453)</f>
        <v>0</v>
      </c>
      <c r="O454" s="6" t="n">
        <f aca="false">IF(A454="","",Inputs!$B$18+N454)</f>
        <v>50000</v>
      </c>
      <c r="P454" s="5" t="n">
        <f aca="false">IF(A454="","",VLOOKUP(D454,DIvidend_Assumption!$A$3:$CX$103,($E$2+2),0)/12)</f>
        <v>0</v>
      </c>
      <c r="Q454" s="10" t="n">
        <f aca="false">IF(A454="","",IFERROR(AB453*P454,""))</f>
        <v>0</v>
      </c>
      <c r="R454" s="10" t="n">
        <f aca="false">IF(A454="","",IFERROR(IF(Inputs!$B$22="Accumulate",T454+Q454,IF(Inputs!$B$22="Premium Offset",MAX(0,T454+Q454-Inputs!$B$25),T454)),""))</f>
        <v>0</v>
      </c>
      <c r="S454" s="10" t="n">
        <f aca="false">IF(A454="","",R453)</f>
        <v>0</v>
      </c>
      <c r="T454" s="10" t="n">
        <f aca="false">IF(A454="","",IFERROR(S454*(1+Inputs!$B$23/12),""))</f>
        <v>0</v>
      </c>
      <c r="U454" s="6" t="n">
        <f aca="false">IF(A454="","",IF(D454&lt;=Inputs!$B$8,IF(Inputs!$B$22="Premium Offset",MAX(0,Inputs!$B$25-(Q454+T454)),Inputs!$B$25),0))</f>
        <v>0</v>
      </c>
      <c r="V454" s="10" t="n">
        <f aca="false">IF(A454="","",IF(Inputs!$B$22="Cash",Q454,0))</f>
        <v>0</v>
      </c>
      <c r="W454" s="10" t="n">
        <f aca="false">IF(A454="","",IF(Inputs!$B$22="PUA",Q454,0))</f>
        <v>0</v>
      </c>
      <c r="X454" s="12" t="n">
        <f aca="false">IF(A454="","",IFERROR(INDEX(PUA_TABLE!$D$4:$D$105,MATCH(E454,PUA_TABLE!$C$4:$C$105,1)),0))</f>
        <v>0.63292503902776</v>
      </c>
      <c r="Y454" s="10" t="n">
        <f aca="false">IF(A454="","",IF(W454&gt;0,IF(X454&gt;0,W454/X454,0),0))</f>
        <v>0</v>
      </c>
      <c r="Z454" s="10" t="n">
        <f aca="false">IF(A454="","",N454+Y454)</f>
        <v>0</v>
      </c>
      <c r="AA454" s="10" t="n">
        <f aca="false">IF(A454="","",IFERROR(Z454*INDEX(PUA_TABLE!$I$4:$I$105,MATCH(E454,PUA_TABLE!$C$4:$C$105,1))/1000,0))</f>
        <v>0</v>
      </c>
      <c r="AB454" s="10" t="n">
        <f aca="false">IF(A454="","",IFERROR(L454+AA454,0))</f>
        <v>32025.0634094287</v>
      </c>
      <c r="AC454" s="10" t="n">
        <f aca="false">IF(A454="","",IF(Inputs!$B$22="Premium Offset",MIN(Inputs!$B$25,Q454+T454),0))</f>
        <v>0</v>
      </c>
    </row>
    <row r="455" customFormat="false" ht="15" hidden="false" customHeight="false" outlineLevel="0" collapsed="false">
      <c r="A455" s="1" t="n">
        <f aca="false">IF(A454="","",IF(INT((C454+1)/12)+Inputs!$B$7&gt;MAX(MORTALITY!$A:$A),"",Inputs!$B$4))</f>
        <v>34</v>
      </c>
      <c r="B455" s="3" t="n">
        <f aca="false">IF(A455="","",EOMONTH(B454,1))</f>
        <v>35520</v>
      </c>
      <c r="C455" s="1" t="n">
        <f aca="false">IF(A455="","",C454+1)</f>
        <v>453</v>
      </c>
      <c r="D455" s="1" t="n">
        <f aca="false">IF(A455="","",INT(C455/12))</f>
        <v>37</v>
      </c>
      <c r="E455" s="1" t="n">
        <f aca="false">IF(A455="","",D455+Inputs!$B$7)</f>
        <v>53</v>
      </c>
      <c r="F455" s="3" t="n">
        <f aca="false">IF(A455="","",DATE(YEAR(B$2)+D455,MONTH(B$2),DAY(B$2)))</f>
        <v>35221</v>
      </c>
      <c r="G455" s="3" t="n">
        <f aca="false">IF(A455="","",DATE(YEAR(F455)+1,MONTH(F455),DAY(F455)))</f>
        <v>35586</v>
      </c>
      <c r="H455" s="10" t="n">
        <f aca="false">IF(A455="","",IF(G455&gt;F455,(B455-F455)/(G455-F455),0))</f>
        <v>0.819178082191781</v>
      </c>
      <c r="I455" s="10" t="n">
        <f aca="false">IF(A455="","",IFERROR(INDEX(CV_RATES!$I:$I,MATCH(D455,CV_RATES!$C:$C,0)),0))</f>
        <v>632.92503902776</v>
      </c>
      <c r="J455" s="10" t="n">
        <f aca="false">IF(A455="","",IFERROR(IF(E455=MAX(MORTALITY!$A:$A),1000,INDEX(CV_RATES!$J:$J,MATCH(D455,CV_RATES!$C:$C,0))),0))</f>
        <v>643.243410832601</v>
      </c>
      <c r="K455" s="10" t="n">
        <f aca="false">IF(A455="","",IFERROR(I455+H455*(J455-I455),0))</f>
        <v>641.377623054191</v>
      </c>
      <c r="L455" s="10" t="n">
        <f aca="false">IF(A455="","",IFERROR(K455*Inputs!$B$9,0))</f>
        <v>32068.8811527095</v>
      </c>
      <c r="M455" s="10" t="n">
        <f aca="false">IF(A455="","",IFERROR(K455*Inputs!$B$10,0))</f>
        <v>102618.495555801</v>
      </c>
      <c r="N455" s="10" t="n">
        <f aca="false">IF(A455="","",Z454)</f>
        <v>0</v>
      </c>
      <c r="O455" s="6" t="n">
        <f aca="false">IF(A455="","",Inputs!$B$18+N455)</f>
        <v>50000</v>
      </c>
      <c r="P455" s="5" t="n">
        <f aca="false">IF(A455="","",VLOOKUP(D455,DIvidend_Assumption!$A$3:$CX$103,($E$2+2),0)/12)</f>
        <v>0</v>
      </c>
      <c r="Q455" s="10" t="n">
        <f aca="false">IF(A455="","",IFERROR(AB454*P455,""))</f>
        <v>0</v>
      </c>
      <c r="R455" s="10" t="n">
        <f aca="false">IF(A455="","",IFERROR(IF(Inputs!$B$22="Accumulate",T455+Q455,IF(Inputs!$B$22="Premium Offset",MAX(0,T455+Q455-Inputs!$B$25),T455)),""))</f>
        <v>0</v>
      </c>
      <c r="S455" s="10" t="n">
        <f aca="false">IF(A455="","",R454)</f>
        <v>0</v>
      </c>
      <c r="T455" s="10" t="n">
        <f aca="false">IF(A455="","",IFERROR(S455*(1+Inputs!$B$23/12),""))</f>
        <v>0</v>
      </c>
      <c r="U455" s="6" t="n">
        <f aca="false">IF(A455="","",IF(D455&lt;=Inputs!$B$8,IF(Inputs!$B$22="Premium Offset",MAX(0,Inputs!$B$25-(Q455+T455)),Inputs!$B$25),0))</f>
        <v>0</v>
      </c>
      <c r="V455" s="10" t="n">
        <f aca="false">IF(A455="","",IF(Inputs!$B$22="Cash",Q455,0))</f>
        <v>0</v>
      </c>
      <c r="W455" s="10" t="n">
        <f aca="false">IF(A455="","",IF(Inputs!$B$22="PUA",Q455,0))</f>
        <v>0</v>
      </c>
      <c r="X455" s="12" t="n">
        <f aca="false">IF(A455="","",IFERROR(INDEX(PUA_TABLE!$D$4:$D$105,MATCH(E455,PUA_TABLE!$C$4:$C$105,1)),0))</f>
        <v>0.63292503902776</v>
      </c>
      <c r="Y455" s="10" t="n">
        <f aca="false">IF(A455="","",IF(W455&gt;0,IF(X455&gt;0,W455/X455,0),0))</f>
        <v>0</v>
      </c>
      <c r="Z455" s="10" t="n">
        <f aca="false">IF(A455="","",N455+Y455)</f>
        <v>0</v>
      </c>
      <c r="AA455" s="10" t="n">
        <f aca="false">IF(A455="","",IFERROR(Z455*INDEX(PUA_TABLE!$I$4:$I$105,MATCH(E455,PUA_TABLE!$C$4:$C$105,1))/1000,0))</f>
        <v>0</v>
      </c>
      <c r="AB455" s="10" t="n">
        <f aca="false">IF(A455="","",IFERROR(L455+AA455,0))</f>
        <v>32068.8811527095</v>
      </c>
      <c r="AC455" s="10" t="n">
        <f aca="false">IF(A455="","",IF(Inputs!$B$22="Premium Offset",MIN(Inputs!$B$25,Q455+T455),0))</f>
        <v>0</v>
      </c>
    </row>
    <row r="456" customFormat="false" ht="15" hidden="false" customHeight="false" outlineLevel="0" collapsed="false">
      <c r="A456" s="1" t="n">
        <f aca="false">IF(A455="","",IF(INT((C455+1)/12)+Inputs!$B$7&gt;MAX(MORTALITY!$A:$A),"",Inputs!$B$4))</f>
        <v>34</v>
      </c>
      <c r="B456" s="3" t="n">
        <f aca="false">IF(A456="","",EOMONTH(B455,1))</f>
        <v>35550</v>
      </c>
      <c r="C456" s="1" t="n">
        <f aca="false">IF(A456="","",C455+1)</f>
        <v>454</v>
      </c>
      <c r="D456" s="1" t="n">
        <f aca="false">IF(A456="","",INT(C456/12))</f>
        <v>37</v>
      </c>
      <c r="E456" s="1" t="n">
        <f aca="false">IF(A456="","",D456+Inputs!$B$7)</f>
        <v>53</v>
      </c>
      <c r="F456" s="3" t="n">
        <f aca="false">IF(A456="","",DATE(YEAR(B$2)+D456,MONTH(B$2),DAY(B$2)))</f>
        <v>35221</v>
      </c>
      <c r="G456" s="3" t="n">
        <f aca="false">IF(A456="","",DATE(YEAR(F456)+1,MONTH(F456),DAY(F456)))</f>
        <v>35586</v>
      </c>
      <c r="H456" s="10" t="n">
        <f aca="false">IF(A456="","",IF(G456&gt;F456,(B456-F456)/(G456-F456),0))</f>
        <v>0.901369863013699</v>
      </c>
      <c r="I456" s="10" t="n">
        <f aca="false">IF(A456="","",IFERROR(INDEX(CV_RATES!$I:$I,MATCH(D456,CV_RATES!$C:$C,0)),0))</f>
        <v>632.92503902776</v>
      </c>
      <c r="J456" s="10" t="n">
        <f aca="false">IF(A456="","",IFERROR(IF(E456=MAX(MORTALITY!$A:$A),1000,INDEX(CV_RATES!$J:$J,MATCH(D456,CV_RATES!$C:$C,0))),0))</f>
        <v>643.243410832601</v>
      </c>
      <c r="K456" s="10" t="n">
        <f aca="false">IF(A456="","",IFERROR(I456+H456*(J456-I456),0))</f>
        <v>642.225708408014</v>
      </c>
      <c r="L456" s="10" t="n">
        <f aca="false">IF(A456="","",IFERROR(K456*Inputs!$B$9,0))</f>
        <v>32111.2854204007</v>
      </c>
      <c r="M456" s="10" t="n">
        <f aca="false">IF(A456="","",IFERROR(K456*Inputs!$B$10,0))</f>
        <v>102754.186668157</v>
      </c>
      <c r="N456" s="10" t="n">
        <f aca="false">IF(A456="","",Z455)</f>
        <v>0</v>
      </c>
      <c r="O456" s="6" t="n">
        <f aca="false">IF(A456="","",Inputs!$B$18+N456)</f>
        <v>50000</v>
      </c>
      <c r="P456" s="5" t="n">
        <f aca="false">IF(A456="","",VLOOKUP(D456,DIvidend_Assumption!$A$3:$CX$103,($E$2+2),0)/12)</f>
        <v>0</v>
      </c>
      <c r="Q456" s="10" t="n">
        <f aca="false">IF(A456="","",IFERROR(AB455*P456,""))</f>
        <v>0</v>
      </c>
      <c r="R456" s="10" t="n">
        <f aca="false">IF(A456="","",IFERROR(IF(Inputs!$B$22="Accumulate",T456+Q456,IF(Inputs!$B$22="Premium Offset",MAX(0,T456+Q456-Inputs!$B$25),T456)),""))</f>
        <v>0</v>
      </c>
      <c r="S456" s="10" t="n">
        <f aca="false">IF(A456="","",R455)</f>
        <v>0</v>
      </c>
      <c r="T456" s="10" t="n">
        <f aca="false">IF(A456="","",IFERROR(S456*(1+Inputs!$B$23/12),""))</f>
        <v>0</v>
      </c>
      <c r="U456" s="6" t="n">
        <f aca="false">IF(A456="","",IF(D456&lt;=Inputs!$B$8,IF(Inputs!$B$22="Premium Offset",MAX(0,Inputs!$B$25-(Q456+T456)),Inputs!$B$25),0))</f>
        <v>0</v>
      </c>
      <c r="V456" s="10" t="n">
        <f aca="false">IF(A456="","",IF(Inputs!$B$22="Cash",Q456,0))</f>
        <v>0</v>
      </c>
      <c r="W456" s="10" t="n">
        <f aca="false">IF(A456="","",IF(Inputs!$B$22="PUA",Q456,0))</f>
        <v>0</v>
      </c>
      <c r="X456" s="12" t="n">
        <f aca="false">IF(A456="","",IFERROR(INDEX(PUA_TABLE!$D$4:$D$105,MATCH(E456,PUA_TABLE!$C$4:$C$105,1)),0))</f>
        <v>0.63292503902776</v>
      </c>
      <c r="Y456" s="10" t="n">
        <f aca="false">IF(A456="","",IF(W456&gt;0,IF(X456&gt;0,W456/X456,0),0))</f>
        <v>0</v>
      </c>
      <c r="Z456" s="10" t="n">
        <f aca="false">IF(A456="","",N456+Y456)</f>
        <v>0</v>
      </c>
      <c r="AA456" s="10" t="n">
        <f aca="false">IF(A456="","",IFERROR(Z456*INDEX(PUA_TABLE!$I$4:$I$105,MATCH(E456,PUA_TABLE!$C$4:$C$105,1))/1000,0))</f>
        <v>0</v>
      </c>
      <c r="AB456" s="10" t="n">
        <f aca="false">IF(A456="","",IFERROR(L456+AA456,0))</f>
        <v>32111.2854204007</v>
      </c>
      <c r="AC456" s="10" t="n">
        <f aca="false">IF(A456="","",IF(Inputs!$B$22="Premium Offset",MIN(Inputs!$B$25,Q456+T456),0))</f>
        <v>0</v>
      </c>
    </row>
    <row r="457" customFormat="false" ht="15" hidden="false" customHeight="false" outlineLevel="0" collapsed="false">
      <c r="A457" s="1" t="n">
        <f aca="false">IF(A456="","",IF(INT((C456+1)/12)+Inputs!$B$7&gt;MAX(MORTALITY!$A:$A),"",Inputs!$B$4))</f>
        <v>34</v>
      </c>
      <c r="B457" s="3" t="n">
        <f aca="false">IF(A457="","",EOMONTH(B456,1))</f>
        <v>35581</v>
      </c>
      <c r="C457" s="1" t="n">
        <f aca="false">IF(A457="","",C456+1)</f>
        <v>455</v>
      </c>
      <c r="D457" s="1" t="n">
        <f aca="false">IF(A457="","",INT(C457/12))</f>
        <v>37</v>
      </c>
      <c r="E457" s="1" t="n">
        <f aca="false">IF(A457="","",D457+Inputs!$B$7)</f>
        <v>53</v>
      </c>
      <c r="F457" s="3" t="n">
        <f aca="false">IF(A457="","",DATE(YEAR(B$2)+D457,MONTH(B$2),DAY(B$2)))</f>
        <v>35221</v>
      </c>
      <c r="G457" s="3" t="n">
        <f aca="false">IF(A457="","",DATE(YEAR(F457)+1,MONTH(F457),DAY(F457)))</f>
        <v>35586</v>
      </c>
      <c r="H457" s="10" t="n">
        <f aca="false">IF(A457="","",IF(G457&gt;F457,(B457-F457)/(G457-F457),0))</f>
        <v>0.986301369863014</v>
      </c>
      <c r="I457" s="10" t="n">
        <f aca="false">IF(A457="","",IFERROR(INDEX(CV_RATES!$I:$I,MATCH(D457,CV_RATES!$C:$C,0)),0))</f>
        <v>632.92503902776</v>
      </c>
      <c r="J457" s="10" t="n">
        <f aca="false">IF(A457="","",IFERROR(IF(E457=MAX(MORTALITY!$A:$A),1000,INDEX(CV_RATES!$J:$J,MATCH(D457,CV_RATES!$C:$C,0))),0))</f>
        <v>643.243410832601</v>
      </c>
      <c r="K457" s="10" t="n">
        <f aca="false">IF(A457="","",IFERROR(I457+H457*(J457-I457),0))</f>
        <v>643.10206327363</v>
      </c>
      <c r="L457" s="10" t="n">
        <f aca="false">IF(A457="","",IFERROR(K457*Inputs!$B$9,0))</f>
        <v>32155.1031636815</v>
      </c>
      <c r="M457" s="10" t="n">
        <f aca="false">IF(A457="","",IFERROR(K457*Inputs!$B$10,0))</f>
        <v>102894.400817591</v>
      </c>
      <c r="N457" s="10" t="n">
        <f aca="false">IF(A457="","",Z456)</f>
        <v>0</v>
      </c>
      <c r="O457" s="6" t="n">
        <f aca="false">IF(A457="","",Inputs!$B$18+N457)</f>
        <v>50000</v>
      </c>
      <c r="P457" s="5" t="n">
        <f aca="false">IF(A457="","",VLOOKUP(D457,DIvidend_Assumption!$A$3:$CX$103,($E$2+2),0)/12)</f>
        <v>0</v>
      </c>
      <c r="Q457" s="10" t="n">
        <f aca="false">IF(A457="","",IFERROR(AB456*P457,""))</f>
        <v>0</v>
      </c>
      <c r="R457" s="10" t="n">
        <f aca="false">IF(A457="","",IFERROR(IF(Inputs!$B$22="Accumulate",T457+Q457,IF(Inputs!$B$22="Premium Offset",MAX(0,T457+Q457-Inputs!$B$25),T457)),""))</f>
        <v>0</v>
      </c>
      <c r="S457" s="10" t="n">
        <f aca="false">IF(A457="","",R456)</f>
        <v>0</v>
      </c>
      <c r="T457" s="10" t="n">
        <f aca="false">IF(A457="","",IFERROR(S457*(1+Inputs!$B$23/12),""))</f>
        <v>0</v>
      </c>
      <c r="U457" s="6" t="n">
        <f aca="false">IF(A457="","",IF(D457&lt;=Inputs!$B$8,IF(Inputs!$B$22="Premium Offset",MAX(0,Inputs!$B$25-(Q457+T457)),Inputs!$B$25),0))</f>
        <v>0</v>
      </c>
      <c r="V457" s="10" t="n">
        <f aca="false">IF(A457="","",IF(Inputs!$B$22="Cash",Q457,0))</f>
        <v>0</v>
      </c>
      <c r="W457" s="10" t="n">
        <f aca="false">IF(A457="","",IF(Inputs!$B$22="PUA",Q457,0))</f>
        <v>0</v>
      </c>
      <c r="X457" s="12" t="n">
        <f aca="false">IF(A457="","",IFERROR(INDEX(PUA_TABLE!$D$4:$D$105,MATCH(E457,PUA_TABLE!$C$4:$C$105,1)),0))</f>
        <v>0.63292503902776</v>
      </c>
      <c r="Y457" s="10" t="n">
        <f aca="false">IF(A457="","",IF(W457&gt;0,IF(X457&gt;0,W457/X457,0),0))</f>
        <v>0</v>
      </c>
      <c r="Z457" s="10" t="n">
        <f aca="false">IF(A457="","",N457+Y457)</f>
        <v>0</v>
      </c>
      <c r="AA457" s="10" t="n">
        <f aca="false">IF(A457="","",IFERROR(Z457*INDEX(PUA_TABLE!$I$4:$I$105,MATCH(E457,PUA_TABLE!$C$4:$C$105,1))/1000,0))</f>
        <v>0</v>
      </c>
      <c r="AB457" s="10" t="n">
        <f aca="false">IF(A457="","",IFERROR(L457+AA457,0))</f>
        <v>32155.1031636815</v>
      </c>
      <c r="AC457" s="10" t="n">
        <f aca="false">IF(A457="","",IF(Inputs!$B$22="Premium Offset",MIN(Inputs!$B$25,Q457+T457),0))</f>
        <v>0</v>
      </c>
    </row>
    <row r="458" customFormat="false" ht="15" hidden="false" customHeight="false" outlineLevel="0" collapsed="false">
      <c r="A458" s="1" t="n">
        <f aca="false">IF(A457="","",IF(INT((C457+1)/12)+Inputs!$B$7&gt;MAX(MORTALITY!$A:$A),"",Inputs!$B$4))</f>
        <v>34</v>
      </c>
      <c r="B458" s="3" t="n">
        <f aca="false">IF(A458="","",EOMONTH(B457,1))</f>
        <v>35611</v>
      </c>
      <c r="C458" s="1" t="n">
        <f aca="false">IF(A458="","",C457+1)</f>
        <v>456</v>
      </c>
      <c r="D458" s="1" t="n">
        <f aca="false">IF(A458="","",INT(C458/12))</f>
        <v>38</v>
      </c>
      <c r="E458" s="1" t="n">
        <f aca="false">IF(A458="","",D458+Inputs!$B$7)</f>
        <v>54</v>
      </c>
      <c r="F458" s="3" t="n">
        <f aca="false">IF(A458="","",DATE(YEAR(B$2)+D458,MONTH(B$2),DAY(B$2)))</f>
        <v>35586</v>
      </c>
      <c r="G458" s="3" t="n">
        <f aca="false">IF(A458="","",DATE(YEAR(F458)+1,MONTH(F458),DAY(F458)))</f>
        <v>35951</v>
      </c>
      <c r="H458" s="10" t="n">
        <f aca="false">IF(A458="","",IF(G458&gt;F458,(B458-F458)/(G458-F458),0))</f>
        <v>0.0684931506849315</v>
      </c>
      <c r="I458" s="10" t="n">
        <f aca="false">IF(A458="","",IFERROR(INDEX(CV_RATES!$I:$I,MATCH(D458,CV_RATES!$C:$C,0)),0))</f>
        <v>643.243410832601</v>
      </c>
      <c r="J458" s="10" t="n">
        <f aca="false">IF(A458="","",IFERROR(IF(E458=MAX(MORTALITY!$A:$A),1000,INDEX(CV_RATES!$J:$J,MATCH(D458,CV_RATES!$C:$C,0))),0))</f>
        <v>653.556206949118</v>
      </c>
      <c r="K458" s="10" t="n">
        <f aca="false">IF(A458="","",IFERROR(I458+H458*(J458-I458),0))</f>
        <v>643.949766730992</v>
      </c>
      <c r="L458" s="10" t="n">
        <f aca="false">IF(A458="","",IFERROR(K458*Inputs!$B$9,0))</f>
        <v>32197.4883365496</v>
      </c>
      <c r="M458" s="10" t="n">
        <f aca="false">IF(A458="","",IFERROR(K458*Inputs!$B$10,0))</f>
        <v>103030.030827659</v>
      </c>
      <c r="N458" s="10" t="n">
        <f aca="false">IF(A458="","",Z457)</f>
        <v>0</v>
      </c>
      <c r="O458" s="6" t="n">
        <f aca="false">IF(A458="","",Inputs!$B$18+N458)</f>
        <v>50000</v>
      </c>
      <c r="P458" s="5" t="n">
        <f aca="false">IF(A458="","",VLOOKUP(D458,DIvidend_Assumption!$A$3:$CX$103,($E$2+2),0)/12)</f>
        <v>0</v>
      </c>
      <c r="Q458" s="10" t="n">
        <f aca="false">IF(A458="","",IFERROR(AB457*P458,""))</f>
        <v>0</v>
      </c>
      <c r="R458" s="10" t="n">
        <f aca="false">IF(A458="","",IFERROR(IF(Inputs!$B$22="Accumulate",T458+Q458,IF(Inputs!$B$22="Premium Offset",MAX(0,T458+Q458-Inputs!$B$25),T458)),""))</f>
        <v>0</v>
      </c>
      <c r="S458" s="10" t="n">
        <f aca="false">IF(A458="","",R457)</f>
        <v>0</v>
      </c>
      <c r="T458" s="10" t="n">
        <f aca="false">IF(A458="","",IFERROR(S458*(1+Inputs!$B$23/12),""))</f>
        <v>0</v>
      </c>
      <c r="U458" s="6" t="n">
        <f aca="false">IF(A458="","",IF(D458&lt;=Inputs!$B$8,IF(Inputs!$B$22="Premium Offset",MAX(0,Inputs!$B$25-(Q458+T458)),Inputs!$B$25),0))</f>
        <v>0</v>
      </c>
      <c r="V458" s="10" t="n">
        <f aca="false">IF(A458="","",IF(Inputs!$B$22="Cash",Q458,0))</f>
        <v>0</v>
      </c>
      <c r="W458" s="10" t="n">
        <f aca="false">IF(A458="","",IF(Inputs!$B$22="PUA",Q458,0))</f>
        <v>0</v>
      </c>
      <c r="X458" s="12" t="n">
        <f aca="false">IF(A458="","",IFERROR(INDEX(PUA_TABLE!$D$4:$D$105,MATCH(E458,PUA_TABLE!$C$4:$C$105,1)),0))</f>
        <v>0.643243410832601</v>
      </c>
      <c r="Y458" s="10" t="n">
        <f aca="false">IF(A458="","",IF(W458&gt;0,IF(X458&gt;0,W458/X458,0),0))</f>
        <v>0</v>
      </c>
      <c r="Z458" s="10" t="n">
        <f aca="false">IF(A458="","",N458+Y458)</f>
        <v>0</v>
      </c>
      <c r="AA458" s="10" t="n">
        <f aca="false">IF(A458="","",IFERROR(Z458*INDEX(PUA_TABLE!$I$4:$I$105,MATCH(E458,PUA_TABLE!$C$4:$C$105,1))/1000,0))</f>
        <v>0</v>
      </c>
      <c r="AB458" s="10" t="n">
        <f aca="false">IF(A458="","",IFERROR(L458+AA458,0))</f>
        <v>32197.4883365496</v>
      </c>
      <c r="AC458" s="10" t="n">
        <f aca="false">IF(A458="","",IF(Inputs!$B$22="Premium Offset",MIN(Inputs!$B$25,Q458+T458),0))</f>
        <v>0</v>
      </c>
    </row>
    <row r="459" customFormat="false" ht="15" hidden="false" customHeight="false" outlineLevel="0" collapsed="false">
      <c r="A459" s="1" t="n">
        <f aca="false">IF(A458="","",IF(INT((C458+1)/12)+Inputs!$B$7&gt;MAX(MORTALITY!$A:$A),"",Inputs!$B$4))</f>
        <v>34</v>
      </c>
      <c r="B459" s="3" t="n">
        <f aca="false">IF(A459="","",EOMONTH(B458,1))</f>
        <v>35642</v>
      </c>
      <c r="C459" s="1" t="n">
        <f aca="false">IF(A459="","",C458+1)</f>
        <v>457</v>
      </c>
      <c r="D459" s="1" t="n">
        <f aca="false">IF(A459="","",INT(C459/12))</f>
        <v>38</v>
      </c>
      <c r="E459" s="1" t="n">
        <f aca="false">IF(A459="","",D459+Inputs!$B$7)</f>
        <v>54</v>
      </c>
      <c r="F459" s="3" t="n">
        <f aca="false">IF(A459="","",DATE(YEAR(B$2)+D459,MONTH(B$2),DAY(B$2)))</f>
        <v>35586</v>
      </c>
      <c r="G459" s="3" t="n">
        <f aca="false">IF(A459="","",DATE(YEAR(F459)+1,MONTH(F459),DAY(F459)))</f>
        <v>35951</v>
      </c>
      <c r="H459" s="10" t="n">
        <f aca="false">IF(A459="","",IF(G459&gt;F459,(B459-F459)/(G459-F459),0))</f>
        <v>0.153424657534247</v>
      </c>
      <c r="I459" s="10" t="n">
        <f aca="false">IF(A459="","",IFERROR(INDEX(CV_RATES!$I:$I,MATCH(D459,CV_RATES!$C:$C,0)),0))</f>
        <v>643.243410832601</v>
      </c>
      <c r="J459" s="10" t="n">
        <f aca="false">IF(A459="","",IFERROR(IF(E459=MAX(MORTALITY!$A:$A),1000,INDEX(CV_RATES!$J:$J,MATCH(D459,CV_RATES!$C:$C,0))),0))</f>
        <v>653.556206949118</v>
      </c>
      <c r="K459" s="10" t="n">
        <f aca="false">IF(A459="","",IFERROR(I459+H459*(J459-I459),0))</f>
        <v>644.825648044998</v>
      </c>
      <c r="L459" s="10" t="n">
        <f aca="false">IF(A459="","",IFERROR(K459*Inputs!$B$9,0))</f>
        <v>32241.2824022499</v>
      </c>
      <c r="M459" s="10" t="n">
        <f aca="false">IF(A459="","",IFERROR(K459*Inputs!$B$10,0))</f>
        <v>103170.169210256</v>
      </c>
      <c r="N459" s="10" t="n">
        <f aca="false">IF(A459="","",Z458)</f>
        <v>0</v>
      </c>
      <c r="O459" s="6" t="n">
        <f aca="false">IF(A459="","",Inputs!$B$18+N459)</f>
        <v>50000</v>
      </c>
      <c r="P459" s="5" t="n">
        <f aca="false">IF(A459="","",VLOOKUP(D459,DIvidend_Assumption!$A$3:$CX$103,($E$2+2),0)/12)</f>
        <v>0</v>
      </c>
      <c r="Q459" s="10" t="n">
        <f aca="false">IF(A459="","",IFERROR(AB458*P459,""))</f>
        <v>0</v>
      </c>
      <c r="R459" s="10" t="n">
        <f aca="false">IF(A459="","",IFERROR(IF(Inputs!$B$22="Accumulate",T459+Q459,IF(Inputs!$B$22="Premium Offset",MAX(0,T459+Q459-Inputs!$B$25),T459)),""))</f>
        <v>0</v>
      </c>
      <c r="S459" s="10" t="n">
        <f aca="false">IF(A459="","",R458)</f>
        <v>0</v>
      </c>
      <c r="T459" s="10" t="n">
        <f aca="false">IF(A459="","",IFERROR(S459*(1+Inputs!$B$23/12),""))</f>
        <v>0</v>
      </c>
      <c r="U459" s="6" t="n">
        <f aca="false">IF(A459="","",IF(D459&lt;=Inputs!$B$8,IF(Inputs!$B$22="Premium Offset",MAX(0,Inputs!$B$25-(Q459+T459)),Inputs!$B$25),0))</f>
        <v>0</v>
      </c>
      <c r="V459" s="10" t="n">
        <f aca="false">IF(A459="","",IF(Inputs!$B$22="Cash",Q459,0))</f>
        <v>0</v>
      </c>
      <c r="W459" s="10" t="n">
        <f aca="false">IF(A459="","",IF(Inputs!$B$22="PUA",Q459,0))</f>
        <v>0</v>
      </c>
      <c r="X459" s="12" t="n">
        <f aca="false">IF(A459="","",IFERROR(INDEX(PUA_TABLE!$D$4:$D$105,MATCH(E459,PUA_TABLE!$C$4:$C$105,1)),0))</f>
        <v>0.643243410832601</v>
      </c>
      <c r="Y459" s="10" t="n">
        <f aca="false">IF(A459="","",IF(W459&gt;0,IF(X459&gt;0,W459/X459,0),0))</f>
        <v>0</v>
      </c>
      <c r="Z459" s="10" t="n">
        <f aca="false">IF(A459="","",N459+Y459)</f>
        <v>0</v>
      </c>
      <c r="AA459" s="10" t="n">
        <f aca="false">IF(A459="","",IFERROR(Z459*INDEX(PUA_TABLE!$I$4:$I$105,MATCH(E459,PUA_TABLE!$C$4:$C$105,1))/1000,0))</f>
        <v>0</v>
      </c>
      <c r="AB459" s="10" t="n">
        <f aca="false">IF(A459="","",IFERROR(L459+AA459,0))</f>
        <v>32241.2824022499</v>
      </c>
      <c r="AC459" s="10" t="n">
        <f aca="false">IF(A459="","",IF(Inputs!$B$22="Premium Offset",MIN(Inputs!$B$25,Q459+T459),0))</f>
        <v>0</v>
      </c>
    </row>
    <row r="460" customFormat="false" ht="15" hidden="false" customHeight="false" outlineLevel="0" collapsed="false">
      <c r="A460" s="1" t="n">
        <f aca="false">IF(A459="","",IF(INT((C459+1)/12)+Inputs!$B$7&gt;MAX(MORTALITY!$A:$A),"",Inputs!$B$4))</f>
        <v>34</v>
      </c>
      <c r="B460" s="3" t="n">
        <f aca="false">IF(A460="","",EOMONTH(B459,1))</f>
        <v>35673</v>
      </c>
      <c r="C460" s="1" t="n">
        <f aca="false">IF(A460="","",C459+1)</f>
        <v>458</v>
      </c>
      <c r="D460" s="1" t="n">
        <f aca="false">IF(A460="","",INT(C460/12))</f>
        <v>38</v>
      </c>
      <c r="E460" s="1" t="n">
        <f aca="false">IF(A460="","",D460+Inputs!$B$7)</f>
        <v>54</v>
      </c>
      <c r="F460" s="3" t="n">
        <f aca="false">IF(A460="","",DATE(YEAR(B$2)+D460,MONTH(B$2),DAY(B$2)))</f>
        <v>35586</v>
      </c>
      <c r="G460" s="3" t="n">
        <f aca="false">IF(A460="","",DATE(YEAR(F460)+1,MONTH(F460),DAY(F460)))</f>
        <v>35951</v>
      </c>
      <c r="H460" s="10" t="n">
        <f aca="false">IF(A460="","",IF(G460&gt;F460,(B460-F460)/(G460-F460),0))</f>
        <v>0.238356164383562</v>
      </c>
      <c r="I460" s="10" t="n">
        <f aca="false">IF(A460="","",IFERROR(INDEX(CV_RATES!$I:$I,MATCH(D460,CV_RATES!$C:$C,0)),0))</f>
        <v>643.243410832601</v>
      </c>
      <c r="J460" s="10" t="n">
        <f aca="false">IF(A460="","",IFERROR(IF(E460=MAX(MORTALITY!$A:$A),1000,INDEX(CV_RATES!$J:$J,MATCH(D460,CV_RATES!$C:$C,0))),0))</f>
        <v>653.556206949118</v>
      </c>
      <c r="K460" s="10" t="n">
        <f aca="false">IF(A460="","",IFERROR(I460+H460*(J460-I460),0))</f>
        <v>645.701529359003</v>
      </c>
      <c r="L460" s="10" t="n">
        <f aca="false">IF(A460="","",IFERROR(K460*Inputs!$B$9,0))</f>
        <v>32285.0764679502</v>
      </c>
      <c r="M460" s="10" t="n">
        <f aca="false">IF(A460="","",IFERROR(K460*Inputs!$B$10,0))</f>
        <v>103310.307592852</v>
      </c>
      <c r="N460" s="10" t="n">
        <f aca="false">IF(A460="","",Z459)</f>
        <v>0</v>
      </c>
      <c r="O460" s="6" t="n">
        <f aca="false">IF(A460="","",Inputs!$B$18+N460)</f>
        <v>50000</v>
      </c>
      <c r="P460" s="5" t="n">
        <f aca="false">IF(A460="","",VLOOKUP(D460,DIvidend_Assumption!$A$3:$CX$103,($E$2+2),0)/12)</f>
        <v>0</v>
      </c>
      <c r="Q460" s="10" t="n">
        <f aca="false">IF(A460="","",IFERROR(AB459*P460,""))</f>
        <v>0</v>
      </c>
      <c r="R460" s="10" t="n">
        <f aca="false">IF(A460="","",IFERROR(IF(Inputs!$B$22="Accumulate",T460+Q460,IF(Inputs!$B$22="Premium Offset",MAX(0,T460+Q460-Inputs!$B$25),T460)),""))</f>
        <v>0</v>
      </c>
      <c r="S460" s="10" t="n">
        <f aca="false">IF(A460="","",R459)</f>
        <v>0</v>
      </c>
      <c r="T460" s="10" t="n">
        <f aca="false">IF(A460="","",IFERROR(S460*(1+Inputs!$B$23/12),""))</f>
        <v>0</v>
      </c>
      <c r="U460" s="6" t="n">
        <f aca="false">IF(A460="","",IF(D460&lt;=Inputs!$B$8,IF(Inputs!$B$22="Premium Offset",MAX(0,Inputs!$B$25-(Q460+T460)),Inputs!$B$25),0))</f>
        <v>0</v>
      </c>
      <c r="V460" s="10" t="n">
        <f aca="false">IF(A460="","",IF(Inputs!$B$22="Cash",Q460,0))</f>
        <v>0</v>
      </c>
      <c r="W460" s="10" t="n">
        <f aca="false">IF(A460="","",IF(Inputs!$B$22="PUA",Q460,0))</f>
        <v>0</v>
      </c>
      <c r="X460" s="12" t="n">
        <f aca="false">IF(A460="","",IFERROR(INDEX(PUA_TABLE!$D$4:$D$105,MATCH(E460,PUA_TABLE!$C$4:$C$105,1)),0))</f>
        <v>0.643243410832601</v>
      </c>
      <c r="Y460" s="10" t="n">
        <f aca="false">IF(A460="","",IF(W460&gt;0,IF(X460&gt;0,W460/X460,0),0))</f>
        <v>0</v>
      </c>
      <c r="Z460" s="10" t="n">
        <f aca="false">IF(A460="","",N460+Y460)</f>
        <v>0</v>
      </c>
      <c r="AA460" s="10" t="n">
        <f aca="false">IF(A460="","",IFERROR(Z460*INDEX(PUA_TABLE!$I$4:$I$105,MATCH(E460,PUA_TABLE!$C$4:$C$105,1))/1000,0))</f>
        <v>0</v>
      </c>
      <c r="AB460" s="10" t="n">
        <f aca="false">IF(A460="","",IFERROR(L460+AA460,0))</f>
        <v>32285.0764679502</v>
      </c>
      <c r="AC460" s="10" t="n">
        <f aca="false">IF(A460="","",IF(Inputs!$B$22="Premium Offset",MIN(Inputs!$B$25,Q460+T460),0))</f>
        <v>0</v>
      </c>
    </row>
    <row r="461" customFormat="false" ht="15" hidden="false" customHeight="false" outlineLevel="0" collapsed="false">
      <c r="A461" s="1" t="n">
        <f aca="false">IF(A460="","",IF(INT((C460+1)/12)+Inputs!$B$7&gt;MAX(MORTALITY!$A:$A),"",Inputs!$B$4))</f>
        <v>34</v>
      </c>
      <c r="B461" s="3" t="n">
        <f aca="false">IF(A461="","",EOMONTH(B460,1))</f>
        <v>35703</v>
      </c>
      <c r="C461" s="1" t="n">
        <f aca="false">IF(A461="","",C460+1)</f>
        <v>459</v>
      </c>
      <c r="D461" s="1" t="n">
        <f aca="false">IF(A461="","",INT(C461/12))</f>
        <v>38</v>
      </c>
      <c r="E461" s="1" t="n">
        <f aca="false">IF(A461="","",D461+Inputs!$B$7)</f>
        <v>54</v>
      </c>
      <c r="F461" s="3" t="n">
        <f aca="false">IF(A461="","",DATE(YEAR(B$2)+D461,MONTH(B$2),DAY(B$2)))</f>
        <v>35586</v>
      </c>
      <c r="G461" s="3" t="n">
        <f aca="false">IF(A461="","",DATE(YEAR(F461)+1,MONTH(F461),DAY(F461)))</f>
        <v>35951</v>
      </c>
      <c r="H461" s="10" t="n">
        <f aca="false">IF(A461="","",IF(G461&gt;F461,(B461-F461)/(G461-F461),0))</f>
        <v>0.320547945205479</v>
      </c>
      <c r="I461" s="10" t="n">
        <f aca="false">IF(A461="","",IFERROR(INDEX(CV_RATES!$I:$I,MATCH(D461,CV_RATES!$C:$C,0)),0))</f>
        <v>643.243410832601</v>
      </c>
      <c r="J461" s="10" t="n">
        <f aca="false">IF(A461="","",IFERROR(IF(E461=MAX(MORTALITY!$A:$A),1000,INDEX(CV_RATES!$J:$J,MATCH(D461,CV_RATES!$C:$C,0))),0))</f>
        <v>653.556206949118</v>
      </c>
      <c r="K461" s="10" t="n">
        <f aca="false">IF(A461="","",IFERROR(I461+H461*(J461-I461),0))</f>
        <v>646.549156437073</v>
      </c>
      <c r="L461" s="10" t="n">
        <f aca="false">IF(A461="","",IFERROR(K461*Inputs!$B$9,0))</f>
        <v>32327.4578218537</v>
      </c>
      <c r="M461" s="10" t="n">
        <f aca="false">IF(A461="","",IFERROR(K461*Inputs!$B$10,0))</f>
        <v>103445.925382462</v>
      </c>
      <c r="N461" s="10" t="n">
        <f aca="false">IF(A461="","",Z460)</f>
        <v>0</v>
      </c>
      <c r="O461" s="6" t="n">
        <f aca="false">IF(A461="","",Inputs!$B$18+N461)</f>
        <v>50000</v>
      </c>
      <c r="P461" s="5" t="n">
        <f aca="false">IF(A461="","",VLOOKUP(D461,DIvidend_Assumption!$A$3:$CX$103,($E$2+2),0)/12)</f>
        <v>0</v>
      </c>
      <c r="Q461" s="10" t="n">
        <f aca="false">IF(A461="","",IFERROR(AB460*P461,""))</f>
        <v>0</v>
      </c>
      <c r="R461" s="10" t="n">
        <f aca="false">IF(A461="","",IFERROR(IF(Inputs!$B$22="Accumulate",T461+Q461,IF(Inputs!$B$22="Premium Offset",MAX(0,T461+Q461-Inputs!$B$25),T461)),""))</f>
        <v>0</v>
      </c>
      <c r="S461" s="10" t="n">
        <f aca="false">IF(A461="","",R460)</f>
        <v>0</v>
      </c>
      <c r="T461" s="10" t="n">
        <f aca="false">IF(A461="","",IFERROR(S461*(1+Inputs!$B$23/12),""))</f>
        <v>0</v>
      </c>
      <c r="U461" s="6" t="n">
        <f aca="false">IF(A461="","",IF(D461&lt;=Inputs!$B$8,IF(Inputs!$B$22="Premium Offset",MAX(0,Inputs!$B$25-(Q461+T461)),Inputs!$B$25),0))</f>
        <v>0</v>
      </c>
      <c r="V461" s="10" t="n">
        <f aca="false">IF(A461="","",IF(Inputs!$B$22="Cash",Q461,0))</f>
        <v>0</v>
      </c>
      <c r="W461" s="10" t="n">
        <f aca="false">IF(A461="","",IF(Inputs!$B$22="PUA",Q461,0))</f>
        <v>0</v>
      </c>
      <c r="X461" s="12" t="n">
        <f aca="false">IF(A461="","",IFERROR(INDEX(PUA_TABLE!$D$4:$D$105,MATCH(E461,PUA_TABLE!$C$4:$C$105,1)),0))</f>
        <v>0.643243410832601</v>
      </c>
      <c r="Y461" s="10" t="n">
        <f aca="false">IF(A461="","",IF(W461&gt;0,IF(X461&gt;0,W461/X461,0),0))</f>
        <v>0</v>
      </c>
      <c r="Z461" s="10" t="n">
        <f aca="false">IF(A461="","",N461+Y461)</f>
        <v>0</v>
      </c>
      <c r="AA461" s="10" t="n">
        <f aca="false">IF(A461="","",IFERROR(Z461*INDEX(PUA_TABLE!$I$4:$I$105,MATCH(E461,PUA_TABLE!$C$4:$C$105,1))/1000,0))</f>
        <v>0</v>
      </c>
      <c r="AB461" s="10" t="n">
        <f aca="false">IF(A461="","",IFERROR(L461+AA461,0))</f>
        <v>32327.4578218537</v>
      </c>
      <c r="AC461" s="10" t="n">
        <f aca="false">IF(A461="","",IF(Inputs!$B$22="Premium Offset",MIN(Inputs!$B$25,Q461+T461),0))</f>
        <v>0</v>
      </c>
    </row>
    <row r="462" customFormat="false" ht="15" hidden="false" customHeight="false" outlineLevel="0" collapsed="false">
      <c r="A462" s="1" t="n">
        <f aca="false">IF(A461="","",IF(INT((C461+1)/12)+Inputs!$B$7&gt;MAX(MORTALITY!$A:$A),"",Inputs!$B$4))</f>
        <v>34</v>
      </c>
      <c r="B462" s="3" t="n">
        <f aca="false">IF(A462="","",EOMONTH(B461,1))</f>
        <v>35734</v>
      </c>
      <c r="C462" s="1" t="n">
        <f aca="false">IF(A462="","",C461+1)</f>
        <v>460</v>
      </c>
      <c r="D462" s="1" t="n">
        <f aca="false">IF(A462="","",INT(C462/12))</f>
        <v>38</v>
      </c>
      <c r="E462" s="1" t="n">
        <f aca="false">IF(A462="","",D462+Inputs!$B$7)</f>
        <v>54</v>
      </c>
      <c r="F462" s="3" t="n">
        <f aca="false">IF(A462="","",DATE(YEAR(B$2)+D462,MONTH(B$2),DAY(B$2)))</f>
        <v>35586</v>
      </c>
      <c r="G462" s="3" t="n">
        <f aca="false">IF(A462="","",DATE(YEAR(F462)+1,MONTH(F462),DAY(F462)))</f>
        <v>35951</v>
      </c>
      <c r="H462" s="10" t="n">
        <f aca="false">IF(A462="","",IF(G462&gt;F462,(B462-F462)/(G462-F462),0))</f>
        <v>0.405479452054795</v>
      </c>
      <c r="I462" s="10" t="n">
        <f aca="false">IF(A462="","",IFERROR(INDEX(CV_RATES!$I:$I,MATCH(D462,CV_RATES!$C:$C,0)),0))</f>
        <v>643.243410832601</v>
      </c>
      <c r="J462" s="10" t="n">
        <f aca="false">IF(A462="","",IFERROR(IF(E462=MAX(MORTALITY!$A:$A),1000,INDEX(CV_RATES!$J:$J,MATCH(D462,CV_RATES!$C:$C,0))),0))</f>
        <v>653.556206949118</v>
      </c>
      <c r="K462" s="10" t="n">
        <f aca="false">IF(A462="","",IFERROR(I462+H462*(J462-I462),0))</f>
        <v>647.425037751079</v>
      </c>
      <c r="L462" s="10" t="n">
        <f aca="false">IF(A462="","",IFERROR(K462*Inputs!$B$9,0))</f>
        <v>32371.251887554</v>
      </c>
      <c r="M462" s="10" t="n">
        <f aca="false">IF(A462="","",IFERROR(K462*Inputs!$B$10,0))</f>
        <v>103586.063765059</v>
      </c>
      <c r="N462" s="10" t="n">
        <f aca="false">IF(A462="","",Z461)</f>
        <v>0</v>
      </c>
      <c r="O462" s="6" t="n">
        <f aca="false">IF(A462="","",Inputs!$B$18+N462)</f>
        <v>50000</v>
      </c>
      <c r="P462" s="5" t="n">
        <f aca="false">IF(A462="","",VLOOKUP(D462,DIvidend_Assumption!$A$3:$CX$103,($E$2+2),0)/12)</f>
        <v>0</v>
      </c>
      <c r="Q462" s="10" t="n">
        <f aca="false">IF(A462="","",IFERROR(AB461*P462,""))</f>
        <v>0</v>
      </c>
      <c r="R462" s="10" t="n">
        <f aca="false">IF(A462="","",IFERROR(IF(Inputs!$B$22="Accumulate",T462+Q462,IF(Inputs!$B$22="Premium Offset",MAX(0,T462+Q462-Inputs!$B$25),T462)),""))</f>
        <v>0</v>
      </c>
      <c r="S462" s="10" t="n">
        <f aca="false">IF(A462="","",R461)</f>
        <v>0</v>
      </c>
      <c r="T462" s="10" t="n">
        <f aca="false">IF(A462="","",IFERROR(S462*(1+Inputs!$B$23/12),""))</f>
        <v>0</v>
      </c>
      <c r="U462" s="6" t="n">
        <f aca="false">IF(A462="","",IF(D462&lt;=Inputs!$B$8,IF(Inputs!$B$22="Premium Offset",MAX(0,Inputs!$B$25-(Q462+T462)),Inputs!$B$25),0))</f>
        <v>0</v>
      </c>
      <c r="V462" s="10" t="n">
        <f aca="false">IF(A462="","",IF(Inputs!$B$22="Cash",Q462,0))</f>
        <v>0</v>
      </c>
      <c r="W462" s="10" t="n">
        <f aca="false">IF(A462="","",IF(Inputs!$B$22="PUA",Q462,0))</f>
        <v>0</v>
      </c>
      <c r="X462" s="12" t="n">
        <f aca="false">IF(A462="","",IFERROR(INDEX(PUA_TABLE!$D$4:$D$105,MATCH(E462,PUA_TABLE!$C$4:$C$105,1)),0))</f>
        <v>0.643243410832601</v>
      </c>
      <c r="Y462" s="10" t="n">
        <f aca="false">IF(A462="","",IF(W462&gt;0,IF(X462&gt;0,W462/X462,0),0))</f>
        <v>0</v>
      </c>
      <c r="Z462" s="10" t="n">
        <f aca="false">IF(A462="","",N462+Y462)</f>
        <v>0</v>
      </c>
      <c r="AA462" s="10" t="n">
        <f aca="false">IF(A462="","",IFERROR(Z462*INDEX(PUA_TABLE!$I$4:$I$105,MATCH(E462,PUA_TABLE!$C$4:$C$105,1))/1000,0))</f>
        <v>0</v>
      </c>
      <c r="AB462" s="10" t="n">
        <f aca="false">IF(A462="","",IFERROR(L462+AA462,0))</f>
        <v>32371.251887554</v>
      </c>
      <c r="AC462" s="10" t="n">
        <f aca="false">IF(A462="","",IF(Inputs!$B$22="Premium Offset",MIN(Inputs!$B$25,Q462+T462),0))</f>
        <v>0</v>
      </c>
    </row>
    <row r="463" customFormat="false" ht="15" hidden="false" customHeight="false" outlineLevel="0" collapsed="false">
      <c r="A463" s="1" t="n">
        <f aca="false">IF(A462="","",IF(INT((C462+1)/12)+Inputs!$B$7&gt;MAX(MORTALITY!$A:$A),"",Inputs!$B$4))</f>
        <v>34</v>
      </c>
      <c r="B463" s="3" t="n">
        <f aca="false">IF(A463="","",EOMONTH(B462,1))</f>
        <v>35764</v>
      </c>
      <c r="C463" s="1" t="n">
        <f aca="false">IF(A463="","",C462+1)</f>
        <v>461</v>
      </c>
      <c r="D463" s="1" t="n">
        <f aca="false">IF(A463="","",INT(C463/12))</f>
        <v>38</v>
      </c>
      <c r="E463" s="1" t="n">
        <f aca="false">IF(A463="","",D463+Inputs!$B$7)</f>
        <v>54</v>
      </c>
      <c r="F463" s="3" t="n">
        <f aca="false">IF(A463="","",DATE(YEAR(B$2)+D463,MONTH(B$2),DAY(B$2)))</f>
        <v>35586</v>
      </c>
      <c r="G463" s="3" t="n">
        <f aca="false">IF(A463="","",DATE(YEAR(F463)+1,MONTH(F463),DAY(F463)))</f>
        <v>35951</v>
      </c>
      <c r="H463" s="10" t="n">
        <f aca="false">IF(A463="","",IF(G463&gt;F463,(B463-F463)/(G463-F463),0))</f>
        <v>0.487671232876712</v>
      </c>
      <c r="I463" s="10" t="n">
        <f aca="false">IF(A463="","",IFERROR(INDEX(CV_RATES!$I:$I,MATCH(D463,CV_RATES!$C:$C,0)),0))</f>
        <v>643.243410832601</v>
      </c>
      <c r="J463" s="10" t="n">
        <f aca="false">IF(A463="","",IFERROR(IF(E463=MAX(MORTALITY!$A:$A),1000,INDEX(CV_RATES!$J:$J,MATCH(D463,CV_RATES!$C:$C,0))),0))</f>
        <v>653.556206949118</v>
      </c>
      <c r="K463" s="10" t="n">
        <f aca="false">IF(A463="","",IFERROR(I463+H463*(J463-I463),0))</f>
        <v>648.272664829149</v>
      </c>
      <c r="L463" s="10" t="n">
        <f aca="false">IF(A463="","",IFERROR(K463*Inputs!$B$9,0))</f>
        <v>32413.6332414575</v>
      </c>
      <c r="M463" s="10" t="n">
        <f aca="false">IF(A463="","",IFERROR(K463*Inputs!$B$10,0))</f>
        <v>103721.681554669</v>
      </c>
      <c r="N463" s="10" t="n">
        <f aca="false">IF(A463="","",Z462)</f>
        <v>0</v>
      </c>
      <c r="O463" s="6" t="n">
        <f aca="false">IF(A463="","",Inputs!$B$18+N463)</f>
        <v>50000</v>
      </c>
      <c r="P463" s="5" t="n">
        <f aca="false">IF(A463="","",VLOOKUP(D463,DIvidend_Assumption!$A$3:$CX$103,($E$2+2),0)/12)</f>
        <v>0</v>
      </c>
      <c r="Q463" s="10" t="n">
        <f aca="false">IF(A463="","",IFERROR(AB462*P463,""))</f>
        <v>0</v>
      </c>
      <c r="R463" s="10" t="n">
        <f aca="false">IF(A463="","",IFERROR(IF(Inputs!$B$22="Accumulate",T463+Q463,IF(Inputs!$B$22="Premium Offset",MAX(0,T463+Q463-Inputs!$B$25),T463)),""))</f>
        <v>0</v>
      </c>
      <c r="S463" s="10" t="n">
        <f aca="false">IF(A463="","",R462)</f>
        <v>0</v>
      </c>
      <c r="T463" s="10" t="n">
        <f aca="false">IF(A463="","",IFERROR(S463*(1+Inputs!$B$23/12),""))</f>
        <v>0</v>
      </c>
      <c r="U463" s="6" t="n">
        <f aca="false">IF(A463="","",IF(D463&lt;=Inputs!$B$8,IF(Inputs!$B$22="Premium Offset",MAX(0,Inputs!$B$25-(Q463+T463)),Inputs!$B$25),0))</f>
        <v>0</v>
      </c>
      <c r="V463" s="10" t="n">
        <f aca="false">IF(A463="","",IF(Inputs!$B$22="Cash",Q463,0))</f>
        <v>0</v>
      </c>
      <c r="W463" s="10" t="n">
        <f aca="false">IF(A463="","",IF(Inputs!$B$22="PUA",Q463,0))</f>
        <v>0</v>
      </c>
      <c r="X463" s="12" t="n">
        <f aca="false">IF(A463="","",IFERROR(INDEX(PUA_TABLE!$D$4:$D$105,MATCH(E463,PUA_TABLE!$C$4:$C$105,1)),0))</f>
        <v>0.643243410832601</v>
      </c>
      <c r="Y463" s="10" t="n">
        <f aca="false">IF(A463="","",IF(W463&gt;0,IF(X463&gt;0,W463/X463,0),0))</f>
        <v>0</v>
      </c>
      <c r="Z463" s="10" t="n">
        <f aca="false">IF(A463="","",N463+Y463)</f>
        <v>0</v>
      </c>
      <c r="AA463" s="10" t="n">
        <f aca="false">IF(A463="","",IFERROR(Z463*INDEX(PUA_TABLE!$I$4:$I$105,MATCH(E463,PUA_TABLE!$C$4:$C$105,1))/1000,0))</f>
        <v>0</v>
      </c>
      <c r="AB463" s="10" t="n">
        <f aca="false">IF(A463="","",IFERROR(L463+AA463,0))</f>
        <v>32413.6332414575</v>
      </c>
      <c r="AC463" s="10" t="n">
        <f aca="false">IF(A463="","",IF(Inputs!$B$22="Premium Offset",MIN(Inputs!$B$25,Q463+T463),0))</f>
        <v>0</v>
      </c>
    </row>
    <row r="464" customFormat="false" ht="15" hidden="false" customHeight="false" outlineLevel="0" collapsed="false">
      <c r="A464" s="1" t="n">
        <f aca="false">IF(A463="","",IF(INT((C463+1)/12)+Inputs!$B$7&gt;MAX(MORTALITY!$A:$A),"",Inputs!$B$4))</f>
        <v>34</v>
      </c>
      <c r="B464" s="3" t="n">
        <f aca="false">IF(A464="","",EOMONTH(B463,1))</f>
        <v>35795</v>
      </c>
      <c r="C464" s="1" t="n">
        <f aca="false">IF(A464="","",C463+1)</f>
        <v>462</v>
      </c>
      <c r="D464" s="1" t="n">
        <f aca="false">IF(A464="","",INT(C464/12))</f>
        <v>38</v>
      </c>
      <c r="E464" s="1" t="n">
        <f aca="false">IF(A464="","",D464+Inputs!$B$7)</f>
        <v>54</v>
      </c>
      <c r="F464" s="3" t="n">
        <f aca="false">IF(A464="","",DATE(YEAR(B$2)+D464,MONTH(B$2),DAY(B$2)))</f>
        <v>35586</v>
      </c>
      <c r="G464" s="3" t="n">
        <f aca="false">IF(A464="","",DATE(YEAR(F464)+1,MONTH(F464),DAY(F464)))</f>
        <v>35951</v>
      </c>
      <c r="H464" s="10" t="n">
        <f aca="false">IF(A464="","",IF(G464&gt;F464,(B464-F464)/(G464-F464),0))</f>
        <v>0.572602739726027</v>
      </c>
      <c r="I464" s="10" t="n">
        <f aca="false">IF(A464="","",IFERROR(INDEX(CV_RATES!$I:$I,MATCH(D464,CV_RATES!$C:$C,0)),0))</f>
        <v>643.243410832601</v>
      </c>
      <c r="J464" s="10" t="n">
        <f aca="false">IF(A464="","",IFERROR(IF(E464=MAX(MORTALITY!$A:$A),1000,INDEX(CV_RATES!$J:$J,MATCH(D464,CV_RATES!$C:$C,0))),0))</f>
        <v>653.556206949118</v>
      </c>
      <c r="K464" s="10" t="n">
        <f aca="false">IF(A464="","",IFERROR(I464+H464*(J464-I464),0))</f>
        <v>649.148546143155</v>
      </c>
      <c r="L464" s="10" t="n">
        <f aca="false">IF(A464="","",IFERROR(K464*Inputs!$B$9,0))</f>
        <v>32457.4273071577</v>
      </c>
      <c r="M464" s="10" t="n">
        <f aca="false">IF(A464="","",IFERROR(K464*Inputs!$B$10,0))</f>
        <v>103861.819937266</v>
      </c>
      <c r="N464" s="10" t="n">
        <f aca="false">IF(A464="","",Z463)</f>
        <v>0</v>
      </c>
      <c r="O464" s="6" t="n">
        <f aca="false">IF(A464="","",Inputs!$B$18+N464)</f>
        <v>50000</v>
      </c>
      <c r="P464" s="5" t="n">
        <f aca="false">IF(A464="","",VLOOKUP(D464,DIvidend_Assumption!$A$3:$CX$103,($E$2+2),0)/12)</f>
        <v>0</v>
      </c>
      <c r="Q464" s="10" t="n">
        <f aca="false">IF(A464="","",IFERROR(AB463*P464,""))</f>
        <v>0</v>
      </c>
      <c r="R464" s="10" t="n">
        <f aca="false">IF(A464="","",IFERROR(IF(Inputs!$B$22="Accumulate",T464+Q464,IF(Inputs!$B$22="Premium Offset",MAX(0,T464+Q464-Inputs!$B$25),T464)),""))</f>
        <v>0</v>
      </c>
      <c r="S464" s="10" t="n">
        <f aca="false">IF(A464="","",R463)</f>
        <v>0</v>
      </c>
      <c r="T464" s="10" t="n">
        <f aca="false">IF(A464="","",IFERROR(S464*(1+Inputs!$B$23/12),""))</f>
        <v>0</v>
      </c>
      <c r="U464" s="6" t="n">
        <f aca="false">IF(A464="","",IF(D464&lt;=Inputs!$B$8,IF(Inputs!$B$22="Premium Offset",MAX(0,Inputs!$B$25-(Q464+T464)),Inputs!$B$25),0))</f>
        <v>0</v>
      </c>
      <c r="V464" s="10" t="n">
        <f aca="false">IF(A464="","",IF(Inputs!$B$22="Cash",Q464,0))</f>
        <v>0</v>
      </c>
      <c r="W464" s="10" t="n">
        <f aca="false">IF(A464="","",IF(Inputs!$B$22="PUA",Q464,0))</f>
        <v>0</v>
      </c>
      <c r="X464" s="12" t="n">
        <f aca="false">IF(A464="","",IFERROR(INDEX(PUA_TABLE!$D$4:$D$105,MATCH(E464,PUA_TABLE!$C$4:$C$105,1)),0))</f>
        <v>0.643243410832601</v>
      </c>
      <c r="Y464" s="10" t="n">
        <f aca="false">IF(A464="","",IF(W464&gt;0,IF(X464&gt;0,W464/X464,0),0))</f>
        <v>0</v>
      </c>
      <c r="Z464" s="10" t="n">
        <f aca="false">IF(A464="","",N464+Y464)</f>
        <v>0</v>
      </c>
      <c r="AA464" s="10" t="n">
        <f aca="false">IF(A464="","",IFERROR(Z464*INDEX(PUA_TABLE!$I$4:$I$105,MATCH(E464,PUA_TABLE!$C$4:$C$105,1))/1000,0))</f>
        <v>0</v>
      </c>
      <c r="AB464" s="10" t="n">
        <f aca="false">IF(A464="","",IFERROR(L464+AA464,0))</f>
        <v>32457.4273071577</v>
      </c>
      <c r="AC464" s="10" t="n">
        <f aca="false">IF(A464="","",IF(Inputs!$B$22="Premium Offset",MIN(Inputs!$B$25,Q464+T464),0))</f>
        <v>0</v>
      </c>
    </row>
    <row r="465" customFormat="false" ht="15" hidden="false" customHeight="false" outlineLevel="0" collapsed="false">
      <c r="A465" s="1" t="n">
        <f aca="false">IF(A464="","",IF(INT((C464+1)/12)+Inputs!$B$7&gt;MAX(MORTALITY!$A:$A),"",Inputs!$B$4))</f>
        <v>34</v>
      </c>
      <c r="B465" s="3" t="n">
        <f aca="false">IF(A465="","",EOMONTH(B464,1))</f>
        <v>35826</v>
      </c>
      <c r="C465" s="1" t="n">
        <f aca="false">IF(A465="","",C464+1)</f>
        <v>463</v>
      </c>
      <c r="D465" s="1" t="n">
        <f aca="false">IF(A465="","",INT(C465/12))</f>
        <v>38</v>
      </c>
      <c r="E465" s="1" t="n">
        <f aca="false">IF(A465="","",D465+Inputs!$B$7)</f>
        <v>54</v>
      </c>
      <c r="F465" s="3" t="n">
        <f aca="false">IF(A465="","",DATE(YEAR(B$2)+D465,MONTH(B$2),DAY(B$2)))</f>
        <v>35586</v>
      </c>
      <c r="G465" s="3" t="n">
        <f aca="false">IF(A465="","",DATE(YEAR(F465)+1,MONTH(F465),DAY(F465)))</f>
        <v>35951</v>
      </c>
      <c r="H465" s="10" t="n">
        <f aca="false">IF(A465="","",IF(G465&gt;F465,(B465-F465)/(G465-F465),0))</f>
        <v>0.657534246575342</v>
      </c>
      <c r="I465" s="10" t="n">
        <f aca="false">IF(A465="","",IFERROR(INDEX(CV_RATES!$I:$I,MATCH(D465,CV_RATES!$C:$C,0)),0))</f>
        <v>643.243410832601</v>
      </c>
      <c r="J465" s="10" t="n">
        <f aca="false">IF(A465="","",IFERROR(IF(E465=MAX(MORTALITY!$A:$A),1000,INDEX(CV_RATES!$J:$J,MATCH(D465,CV_RATES!$C:$C,0))),0))</f>
        <v>653.556206949118</v>
      </c>
      <c r="K465" s="10" t="n">
        <f aca="false">IF(A465="","",IFERROR(I465+H465*(J465-I465),0))</f>
        <v>650.02442745716</v>
      </c>
      <c r="L465" s="10" t="n">
        <f aca="false">IF(A465="","",IFERROR(K465*Inputs!$B$9,0))</f>
        <v>32501.221372858</v>
      </c>
      <c r="M465" s="10" t="n">
        <f aca="false">IF(A465="","",IFERROR(K465*Inputs!$B$10,0))</f>
        <v>104001.958319863</v>
      </c>
      <c r="N465" s="10" t="n">
        <f aca="false">IF(A465="","",Z464)</f>
        <v>0</v>
      </c>
      <c r="O465" s="6" t="n">
        <f aca="false">IF(A465="","",Inputs!$B$18+N465)</f>
        <v>50000</v>
      </c>
      <c r="P465" s="5" t="n">
        <f aca="false">IF(A465="","",VLOOKUP(D465,DIvidend_Assumption!$A$3:$CX$103,($E$2+2),0)/12)</f>
        <v>0</v>
      </c>
      <c r="Q465" s="10" t="n">
        <f aca="false">IF(A465="","",IFERROR(AB464*P465,""))</f>
        <v>0</v>
      </c>
      <c r="R465" s="10" t="n">
        <f aca="false">IF(A465="","",IFERROR(IF(Inputs!$B$22="Accumulate",T465+Q465,IF(Inputs!$B$22="Premium Offset",MAX(0,T465+Q465-Inputs!$B$25),T465)),""))</f>
        <v>0</v>
      </c>
      <c r="S465" s="10" t="n">
        <f aca="false">IF(A465="","",R464)</f>
        <v>0</v>
      </c>
      <c r="T465" s="10" t="n">
        <f aca="false">IF(A465="","",IFERROR(S465*(1+Inputs!$B$23/12),""))</f>
        <v>0</v>
      </c>
      <c r="U465" s="6" t="n">
        <f aca="false">IF(A465="","",IF(D465&lt;=Inputs!$B$8,IF(Inputs!$B$22="Premium Offset",MAX(0,Inputs!$B$25-(Q465+T465)),Inputs!$B$25),0))</f>
        <v>0</v>
      </c>
      <c r="V465" s="10" t="n">
        <f aca="false">IF(A465="","",IF(Inputs!$B$22="Cash",Q465,0))</f>
        <v>0</v>
      </c>
      <c r="W465" s="10" t="n">
        <f aca="false">IF(A465="","",IF(Inputs!$B$22="PUA",Q465,0))</f>
        <v>0</v>
      </c>
      <c r="X465" s="12" t="n">
        <f aca="false">IF(A465="","",IFERROR(INDEX(PUA_TABLE!$D$4:$D$105,MATCH(E465,PUA_TABLE!$C$4:$C$105,1)),0))</f>
        <v>0.643243410832601</v>
      </c>
      <c r="Y465" s="10" t="n">
        <f aca="false">IF(A465="","",IF(W465&gt;0,IF(X465&gt;0,W465/X465,0),0))</f>
        <v>0</v>
      </c>
      <c r="Z465" s="10" t="n">
        <f aca="false">IF(A465="","",N465+Y465)</f>
        <v>0</v>
      </c>
      <c r="AA465" s="10" t="n">
        <f aca="false">IF(A465="","",IFERROR(Z465*INDEX(PUA_TABLE!$I$4:$I$105,MATCH(E465,PUA_TABLE!$C$4:$C$105,1))/1000,0))</f>
        <v>0</v>
      </c>
      <c r="AB465" s="10" t="n">
        <f aca="false">IF(A465="","",IFERROR(L465+AA465,0))</f>
        <v>32501.221372858</v>
      </c>
      <c r="AC465" s="10" t="n">
        <f aca="false">IF(A465="","",IF(Inputs!$B$22="Premium Offset",MIN(Inputs!$B$25,Q465+T465),0))</f>
        <v>0</v>
      </c>
    </row>
    <row r="466" customFormat="false" ht="15" hidden="false" customHeight="false" outlineLevel="0" collapsed="false">
      <c r="A466" s="1" t="n">
        <f aca="false">IF(A465="","",IF(INT((C465+1)/12)+Inputs!$B$7&gt;MAX(MORTALITY!$A:$A),"",Inputs!$B$4))</f>
        <v>34</v>
      </c>
      <c r="B466" s="3" t="n">
        <f aca="false">IF(A466="","",EOMONTH(B465,1))</f>
        <v>35854</v>
      </c>
      <c r="C466" s="1" t="n">
        <f aca="false">IF(A466="","",C465+1)</f>
        <v>464</v>
      </c>
      <c r="D466" s="1" t="n">
        <f aca="false">IF(A466="","",INT(C466/12))</f>
        <v>38</v>
      </c>
      <c r="E466" s="1" t="n">
        <f aca="false">IF(A466="","",D466+Inputs!$B$7)</f>
        <v>54</v>
      </c>
      <c r="F466" s="3" t="n">
        <f aca="false">IF(A466="","",DATE(YEAR(B$2)+D466,MONTH(B$2),DAY(B$2)))</f>
        <v>35586</v>
      </c>
      <c r="G466" s="3" t="n">
        <f aca="false">IF(A466="","",DATE(YEAR(F466)+1,MONTH(F466),DAY(F466)))</f>
        <v>35951</v>
      </c>
      <c r="H466" s="10" t="n">
        <f aca="false">IF(A466="","",IF(G466&gt;F466,(B466-F466)/(G466-F466),0))</f>
        <v>0.734246575342466</v>
      </c>
      <c r="I466" s="10" t="n">
        <f aca="false">IF(A466="","",IFERROR(INDEX(CV_RATES!$I:$I,MATCH(D466,CV_RATES!$C:$C,0)),0))</f>
        <v>643.243410832601</v>
      </c>
      <c r="J466" s="10" t="n">
        <f aca="false">IF(A466="","",IFERROR(IF(E466=MAX(MORTALITY!$A:$A),1000,INDEX(CV_RATES!$J:$J,MATCH(D466,CV_RATES!$C:$C,0))),0))</f>
        <v>653.556206949118</v>
      </c>
      <c r="K466" s="10" t="n">
        <f aca="false">IF(A466="","",IFERROR(I466+H466*(J466-I466),0))</f>
        <v>650.815546063359</v>
      </c>
      <c r="L466" s="10" t="n">
        <f aca="false">IF(A466="","",IFERROR(K466*Inputs!$B$9,0))</f>
        <v>32540.7773031679</v>
      </c>
      <c r="M466" s="10" t="n">
        <f aca="false">IF(A466="","",IFERROR(K466*Inputs!$B$10,0))</f>
        <v>104128.534923499</v>
      </c>
      <c r="N466" s="10" t="n">
        <f aca="false">IF(A466="","",Z465)</f>
        <v>0</v>
      </c>
      <c r="O466" s="6" t="n">
        <f aca="false">IF(A466="","",Inputs!$B$18+N466)</f>
        <v>50000</v>
      </c>
      <c r="P466" s="5" t="n">
        <f aca="false">IF(A466="","",VLOOKUP(D466,DIvidend_Assumption!$A$3:$CX$103,($E$2+2),0)/12)</f>
        <v>0</v>
      </c>
      <c r="Q466" s="10" t="n">
        <f aca="false">IF(A466="","",IFERROR(AB465*P466,""))</f>
        <v>0</v>
      </c>
      <c r="R466" s="10" t="n">
        <f aca="false">IF(A466="","",IFERROR(IF(Inputs!$B$22="Accumulate",T466+Q466,IF(Inputs!$B$22="Premium Offset",MAX(0,T466+Q466-Inputs!$B$25),T466)),""))</f>
        <v>0</v>
      </c>
      <c r="S466" s="10" t="n">
        <f aca="false">IF(A466="","",R465)</f>
        <v>0</v>
      </c>
      <c r="T466" s="10" t="n">
        <f aca="false">IF(A466="","",IFERROR(S466*(1+Inputs!$B$23/12),""))</f>
        <v>0</v>
      </c>
      <c r="U466" s="6" t="n">
        <f aca="false">IF(A466="","",IF(D466&lt;=Inputs!$B$8,IF(Inputs!$B$22="Premium Offset",MAX(0,Inputs!$B$25-(Q466+T466)),Inputs!$B$25),0))</f>
        <v>0</v>
      </c>
      <c r="V466" s="10" t="n">
        <f aca="false">IF(A466="","",IF(Inputs!$B$22="Cash",Q466,0))</f>
        <v>0</v>
      </c>
      <c r="W466" s="10" t="n">
        <f aca="false">IF(A466="","",IF(Inputs!$B$22="PUA",Q466,0))</f>
        <v>0</v>
      </c>
      <c r="X466" s="12" t="n">
        <f aca="false">IF(A466="","",IFERROR(INDEX(PUA_TABLE!$D$4:$D$105,MATCH(E466,PUA_TABLE!$C$4:$C$105,1)),0))</f>
        <v>0.643243410832601</v>
      </c>
      <c r="Y466" s="10" t="n">
        <f aca="false">IF(A466="","",IF(W466&gt;0,IF(X466&gt;0,W466/X466,0),0))</f>
        <v>0</v>
      </c>
      <c r="Z466" s="10" t="n">
        <f aca="false">IF(A466="","",N466+Y466)</f>
        <v>0</v>
      </c>
      <c r="AA466" s="10" t="n">
        <f aca="false">IF(A466="","",IFERROR(Z466*INDEX(PUA_TABLE!$I$4:$I$105,MATCH(E466,PUA_TABLE!$C$4:$C$105,1))/1000,0))</f>
        <v>0</v>
      </c>
      <c r="AB466" s="10" t="n">
        <f aca="false">IF(A466="","",IFERROR(L466+AA466,0))</f>
        <v>32540.7773031679</v>
      </c>
      <c r="AC466" s="10" t="n">
        <f aca="false">IF(A466="","",IF(Inputs!$B$22="Premium Offset",MIN(Inputs!$B$25,Q466+T466),0))</f>
        <v>0</v>
      </c>
    </row>
    <row r="467" customFormat="false" ht="15" hidden="false" customHeight="false" outlineLevel="0" collapsed="false">
      <c r="A467" s="1" t="n">
        <f aca="false">IF(A466="","",IF(INT((C466+1)/12)+Inputs!$B$7&gt;MAX(MORTALITY!$A:$A),"",Inputs!$B$4))</f>
        <v>34</v>
      </c>
      <c r="B467" s="3" t="n">
        <f aca="false">IF(A467="","",EOMONTH(B466,1))</f>
        <v>35885</v>
      </c>
      <c r="C467" s="1" t="n">
        <f aca="false">IF(A467="","",C466+1)</f>
        <v>465</v>
      </c>
      <c r="D467" s="1" t="n">
        <f aca="false">IF(A467="","",INT(C467/12))</f>
        <v>38</v>
      </c>
      <c r="E467" s="1" t="n">
        <f aca="false">IF(A467="","",D467+Inputs!$B$7)</f>
        <v>54</v>
      </c>
      <c r="F467" s="3" t="n">
        <f aca="false">IF(A467="","",DATE(YEAR(B$2)+D467,MONTH(B$2),DAY(B$2)))</f>
        <v>35586</v>
      </c>
      <c r="G467" s="3" t="n">
        <f aca="false">IF(A467="","",DATE(YEAR(F467)+1,MONTH(F467),DAY(F467)))</f>
        <v>35951</v>
      </c>
      <c r="H467" s="10" t="n">
        <f aca="false">IF(A467="","",IF(G467&gt;F467,(B467-F467)/(G467-F467),0))</f>
        <v>0.819178082191781</v>
      </c>
      <c r="I467" s="10" t="n">
        <f aca="false">IF(A467="","",IFERROR(INDEX(CV_RATES!$I:$I,MATCH(D467,CV_RATES!$C:$C,0)),0))</f>
        <v>643.243410832601</v>
      </c>
      <c r="J467" s="10" t="n">
        <f aca="false">IF(A467="","",IFERROR(IF(E467=MAX(MORTALITY!$A:$A),1000,INDEX(CV_RATES!$J:$J,MATCH(D467,CV_RATES!$C:$C,0))),0))</f>
        <v>653.556206949118</v>
      </c>
      <c r="K467" s="10" t="n">
        <f aca="false">IF(A467="","",IFERROR(I467+H467*(J467-I467),0))</f>
        <v>651.691427377364</v>
      </c>
      <c r="L467" s="10" t="n">
        <f aca="false">IF(A467="","",IFERROR(K467*Inputs!$B$9,0))</f>
        <v>32584.5713688682</v>
      </c>
      <c r="M467" s="10" t="n">
        <f aca="false">IF(A467="","",IFERROR(K467*Inputs!$B$10,0))</f>
        <v>104268.673306096</v>
      </c>
      <c r="N467" s="10" t="n">
        <f aca="false">IF(A467="","",Z466)</f>
        <v>0</v>
      </c>
      <c r="O467" s="6" t="n">
        <f aca="false">IF(A467="","",Inputs!$B$18+N467)</f>
        <v>50000</v>
      </c>
      <c r="P467" s="5" t="n">
        <f aca="false">IF(A467="","",VLOOKUP(D467,DIvidend_Assumption!$A$3:$CX$103,($E$2+2),0)/12)</f>
        <v>0</v>
      </c>
      <c r="Q467" s="10" t="n">
        <f aca="false">IF(A467="","",IFERROR(AB466*P467,""))</f>
        <v>0</v>
      </c>
      <c r="R467" s="10" t="n">
        <f aca="false">IF(A467="","",IFERROR(IF(Inputs!$B$22="Accumulate",T467+Q467,IF(Inputs!$B$22="Premium Offset",MAX(0,T467+Q467-Inputs!$B$25),T467)),""))</f>
        <v>0</v>
      </c>
      <c r="S467" s="10" t="n">
        <f aca="false">IF(A467="","",R466)</f>
        <v>0</v>
      </c>
      <c r="T467" s="10" t="n">
        <f aca="false">IF(A467="","",IFERROR(S467*(1+Inputs!$B$23/12),""))</f>
        <v>0</v>
      </c>
      <c r="U467" s="6" t="n">
        <f aca="false">IF(A467="","",IF(D467&lt;=Inputs!$B$8,IF(Inputs!$B$22="Premium Offset",MAX(0,Inputs!$B$25-(Q467+T467)),Inputs!$B$25),0))</f>
        <v>0</v>
      </c>
      <c r="V467" s="10" t="n">
        <f aca="false">IF(A467="","",IF(Inputs!$B$22="Cash",Q467,0))</f>
        <v>0</v>
      </c>
      <c r="W467" s="10" t="n">
        <f aca="false">IF(A467="","",IF(Inputs!$B$22="PUA",Q467,0))</f>
        <v>0</v>
      </c>
      <c r="X467" s="12" t="n">
        <f aca="false">IF(A467="","",IFERROR(INDEX(PUA_TABLE!$D$4:$D$105,MATCH(E467,PUA_TABLE!$C$4:$C$105,1)),0))</f>
        <v>0.643243410832601</v>
      </c>
      <c r="Y467" s="10" t="n">
        <f aca="false">IF(A467="","",IF(W467&gt;0,IF(X467&gt;0,W467/X467,0),0))</f>
        <v>0</v>
      </c>
      <c r="Z467" s="10" t="n">
        <f aca="false">IF(A467="","",N467+Y467)</f>
        <v>0</v>
      </c>
      <c r="AA467" s="10" t="n">
        <f aca="false">IF(A467="","",IFERROR(Z467*INDEX(PUA_TABLE!$I$4:$I$105,MATCH(E467,PUA_TABLE!$C$4:$C$105,1))/1000,0))</f>
        <v>0</v>
      </c>
      <c r="AB467" s="10" t="n">
        <f aca="false">IF(A467="","",IFERROR(L467+AA467,0))</f>
        <v>32584.5713688682</v>
      </c>
      <c r="AC467" s="10" t="n">
        <f aca="false">IF(A467="","",IF(Inputs!$B$22="Premium Offset",MIN(Inputs!$B$25,Q467+T467),0))</f>
        <v>0</v>
      </c>
    </row>
    <row r="468" customFormat="false" ht="15" hidden="false" customHeight="false" outlineLevel="0" collapsed="false">
      <c r="A468" s="1" t="n">
        <f aca="false">IF(A467="","",IF(INT((C467+1)/12)+Inputs!$B$7&gt;MAX(MORTALITY!$A:$A),"",Inputs!$B$4))</f>
        <v>34</v>
      </c>
      <c r="B468" s="3" t="n">
        <f aca="false">IF(A468="","",EOMONTH(B467,1))</f>
        <v>35915</v>
      </c>
      <c r="C468" s="1" t="n">
        <f aca="false">IF(A468="","",C467+1)</f>
        <v>466</v>
      </c>
      <c r="D468" s="1" t="n">
        <f aca="false">IF(A468="","",INT(C468/12))</f>
        <v>38</v>
      </c>
      <c r="E468" s="1" t="n">
        <f aca="false">IF(A468="","",D468+Inputs!$B$7)</f>
        <v>54</v>
      </c>
      <c r="F468" s="3" t="n">
        <f aca="false">IF(A468="","",DATE(YEAR(B$2)+D468,MONTH(B$2),DAY(B$2)))</f>
        <v>35586</v>
      </c>
      <c r="G468" s="3" t="n">
        <f aca="false">IF(A468="","",DATE(YEAR(F468)+1,MONTH(F468),DAY(F468)))</f>
        <v>35951</v>
      </c>
      <c r="H468" s="10" t="n">
        <f aca="false">IF(A468="","",IF(G468&gt;F468,(B468-F468)/(G468-F468),0))</f>
        <v>0.901369863013699</v>
      </c>
      <c r="I468" s="10" t="n">
        <f aca="false">IF(A468="","",IFERROR(INDEX(CV_RATES!$I:$I,MATCH(D468,CV_RATES!$C:$C,0)),0))</f>
        <v>643.243410832601</v>
      </c>
      <c r="J468" s="10" t="n">
        <f aca="false">IF(A468="","",IFERROR(IF(E468=MAX(MORTALITY!$A:$A),1000,INDEX(CV_RATES!$J:$J,MATCH(D468,CV_RATES!$C:$C,0))),0))</f>
        <v>653.556206949118</v>
      </c>
      <c r="K468" s="10" t="n">
        <f aca="false">IF(A468="","",IFERROR(I468+H468*(J468-I468),0))</f>
        <v>652.539054455434</v>
      </c>
      <c r="L468" s="10" t="n">
        <f aca="false">IF(A468="","",IFERROR(K468*Inputs!$B$9,0))</f>
        <v>32626.9527227717</v>
      </c>
      <c r="M468" s="10" t="n">
        <f aca="false">IF(A468="","",IFERROR(K468*Inputs!$B$10,0))</f>
        <v>104404.291095706</v>
      </c>
      <c r="N468" s="10" t="n">
        <f aca="false">IF(A468="","",Z467)</f>
        <v>0</v>
      </c>
      <c r="O468" s="6" t="n">
        <f aca="false">IF(A468="","",Inputs!$B$18+N468)</f>
        <v>50000</v>
      </c>
      <c r="P468" s="5" t="n">
        <f aca="false">IF(A468="","",VLOOKUP(D468,DIvidend_Assumption!$A$3:$CX$103,($E$2+2),0)/12)</f>
        <v>0</v>
      </c>
      <c r="Q468" s="10" t="n">
        <f aca="false">IF(A468="","",IFERROR(AB467*P468,""))</f>
        <v>0</v>
      </c>
      <c r="R468" s="10" t="n">
        <f aca="false">IF(A468="","",IFERROR(IF(Inputs!$B$22="Accumulate",T468+Q468,IF(Inputs!$B$22="Premium Offset",MAX(0,T468+Q468-Inputs!$B$25),T468)),""))</f>
        <v>0</v>
      </c>
      <c r="S468" s="10" t="n">
        <f aca="false">IF(A468="","",R467)</f>
        <v>0</v>
      </c>
      <c r="T468" s="10" t="n">
        <f aca="false">IF(A468="","",IFERROR(S468*(1+Inputs!$B$23/12),""))</f>
        <v>0</v>
      </c>
      <c r="U468" s="6" t="n">
        <f aca="false">IF(A468="","",IF(D468&lt;=Inputs!$B$8,IF(Inputs!$B$22="Premium Offset",MAX(0,Inputs!$B$25-(Q468+T468)),Inputs!$B$25),0))</f>
        <v>0</v>
      </c>
      <c r="V468" s="10" t="n">
        <f aca="false">IF(A468="","",IF(Inputs!$B$22="Cash",Q468,0))</f>
        <v>0</v>
      </c>
      <c r="W468" s="10" t="n">
        <f aca="false">IF(A468="","",IF(Inputs!$B$22="PUA",Q468,0))</f>
        <v>0</v>
      </c>
      <c r="X468" s="12" t="n">
        <f aca="false">IF(A468="","",IFERROR(INDEX(PUA_TABLE!$D$4:$D$105,MATCH(E468,PUA_TABLE!$C$4:$C$105,1)),0))</f>
        <v>0.643243410832601</v>
      </c>
      <c r="Y468" s="10" t="n">
        <f aca="false">IF(A468="","",IF(W468&gt;0,IF(X468&gt;0,W468/X468,0),0))</f>
        <v>0</v>
      </c>
      <c r="Z468" s="10" t="n">
        <f aca="false">IF(A468="","",N468+Y468)</f>
        <v>0</v>
      </c>
      <c r="AA468" s="10" t="n">
        <f aca="false">IF(A468="","",IFERROR(Z468*INDEX(PUA_TABLE!$I$4:$I$105,MATCH(E468,PUA_TABLE!$C$4:$C$105,1))/1000,0))</f>
        <v>0</v>
      </c>
      <c r="AB468" s="10" t="n">
        <f aca="false">IF(A468="","",IFERROR(L468+AA468,0))</f>
        <v>32626.9527227717</v>
      </c>
      <c r="AC468" s="10" t="n">
        <f aca="false">IF(A468="","",IF(Inputs!$B$22="Premium Offset",MIN(Inputs!$B$25,Q468+T468),0))</f>
        <v>0</v>
      </c>
    </row>
    <row r="469" customFormat="false" ht="15" hidden="false" customHeight="false" outlineLevel="0" collapsed="false">
      <c r="A469" s="1" t="n">
        <f aca="false">IF(A468="","",IF(INT((C468+1)/12)+Inputs!$B$7&gt;MAX(MORTALITY!$A:$A),"",Inputs!$B$4))</f>
        <v>34</v>
      </c>
      <c r="B469" s="3" t="n">
        <f aca="false">IF(A469="","",EOMONTH(B468,1))</f>
        <v>35946</v>
      </c>
      <c r="C469" s="1" t="n">
        <f aca="false">IF(A469="","",C468+1)</f>
        <v>467</v>
      </c>
      <c r="D469" s="1" t="n">
        <f aca="false">IF(A469="","",INT(C469/12))</f>
        <v>38</v>
      </c>
      <c r="E469" s="1" t="n">
        <f aca="false">IF(A469="","",D469+Inputs!$B$7)</f>
        <v>54</v>
      </c>
      <c r="F469" s="3" t="n">
        <f aca="false">IF(A469="","",DATE(YEAR(B$2)+D469,MONTH(B$2),DAY(B$2)))</f>
        <v>35586</v>
      </c>
      <c r="G469" s="3" t="n">
        <f aca="false">IF(A469="","",DATE(YEAR(F469)+1,MONTH(F469),DAY(F469)))</f>
        <v>35951</v>
      </c>
      <c r="H469" s="10" t="n">
        <f aca="false">IF(A469="","",IF(G469&gt;F469,(B469-F469)/(G469-F469),0))</f>
        <v>0.986301369863014</v>
      </c>
      <c r="I469" s="10" t="n">
        <f aca="false">IF(A469="","",IFERROR(INDEX(CV_RATES!$I:$I,MATCH(D469,CV_RATES!$C:$C,0)),0))</f>
        <v>643.243410832601</v>
      </c>
      <c r="J469" s="10" t="n">
        <f aca="false">IF(A469="","",IFERROR(IF(E469=MAX(MORTALITY!$A:$A),1000,INDEX(CV_RATES!$J:$J,MATCH(D469,CV_RATES!$C:$C,0))),0))</f>
        <v>653.556206949118</v>
      </c>
      <c r="K469" s="10" t="n">
        <f aca="false">IF(A469="","",IFERROR(I469+H469*(J469-I469),0))</f>
        <v>653.41493576944</v>
      </c>
      <c r="L469" s="10" t="n">
        <f aca="false">IF(A469="","",IFERROR(K469*Inputs!$B$9,0))</f>
        <v>32670.746788472</v>
      </c>
      <c r="M469" s="10" t="n">
        <f aca="false">IF(A469="","",IFERROR(K469*Inputs!$B$10,0))</f>
        <v>104544.429478303</v>
      </c>
      <c r="N469" s="10" t="n">
        <f aca="false">IF(A469="","",Z468)</f>
        <v>0</v>
      </c>
      <c r="O469" s="6" t="n">
        <f aca="false">IF(A469="","",Inputs!$B$18+N469)</f>
        <v>50000</v>
      </c>
      <c r="P469" s="5" t="n">
        <f aca="false">IF(A469="","",VLOOKUP(D469,DIvidend_Assumption!$A$3:$CX$103,($E$2+2),0)/12)</f>
        <v>0</v>
      </c>
      <c r="Q469" s="10" t="n">
        <f aca="false">IF(A469="","",IFERROR(AB468*P469,""))</f>
        <v>0</v>
      </c>
      <c r="R469" s="10" t="n">
        <f aca="false">IF(A469="","",IFERROR(IF(Inputs!$B$22="Accumulate",T469+Q469,IF(Inputs!$B$22="Premium Offset",MAX(0,T469+Q469-Inputs!$B$25),T469)),""))</f>
        <v>0</v>
      </c>
      <c r="S469" s="10" t="n">
        <f aca="false">IF(A469="","",R468)</f>
        <v>0</v>
      </c>
      <c r="T469" s="10" t="n">
        <f aca="false">IF(A469="","",IFERROR(S469*(1+Inputs!$B$23/12),""))</f>
        <v>0</v>
      </c>
      <c r="U469" s="6" t="n">
        <f aca="false">IF(A469="","",IF(D469&lt;=Inputs!$B$8,IF(Inputs!$B$22="Premium Offset",MAX(0,Inputs!$B$25-(Q469+T469)),Inputs!$B$25),0))</f>
        <v>0</v>
      </c>
      <c r="V469" s="10" t="n">
        <f aca="false">IF(A469="","",IF(Inputs!$B$22="Cash",Q469,0))</f>
        <v>0</v>
      </c>
      <c r="W469" s="10" t="n">
        <f aca="false">IF(A469="","",IF(Inputs!$B$22="PUA",Q469,0))</f>
        <v>0</v>
      </c>
      <c r="X469" s="12" t="n">
        <f aca="false">IF(A469="","",IFERROR(INDEX(PUA_TABLE!$D$4:$D$105,MATCH(E469,PUA_TABLE!$C$4:$C$105,1)),0))</f>
        <v>0.643243410832601</v>
      </c>
      <c r="Y469" s="10" t="n">
        <f aca="false">IF(A469="","",IF(W469&gt;0,IF(X469&gt;0,W469/X469,0),0))</f>
        <v>0</v>
      </c>
      <c r="Z469" s="10" t="n">
        <f aca="false">IF(A469="","",N469+Y469)</f>
        <v>0</v>
      </c>
      <c r="AA469" s="10" t="n">
        <f aca="false">IF(A469="","",IFERROR(Z469*INDEX(PUA_TABLE!$I$4:$I$105,MATCH(E469,PUA_TABLE!$C$4:$C$105,1))/1000,0))</f>
        <v>0</v>
      </c>
      <c r="AB469" s="10" t="n">
        <f aca="false">IF(A469="","",IFERROR(L469+AA469,0))</f>
        <v>32670.746788472</v>
      </c>
      <c r="AC469" s="10" t="n">
        <f aca="false">IF(A469="","",IF(Inputs!$B$22="Premium Offset",MIN(Inputs!$B$25,Q469+T469),0))</f>
        <v>0</v>
      </c>
    </row>
    <row r="470" customFormat="false" ht="15" hidden="false" customHeight="false" outlineLevel="0" collapsed="false">
      <c r="A470" s="1" t="n">
        <f aca="false">IF(A469="","",IF(INT((C469+1)/12)+Inputs!$B$7&gt;MAX(MORTALITY!$A:$A),"",Inputs!$B$4))</f>
        <v>34</v>
      </c>
      <c r="B470" s="3" t="n">
        <f aca="false">IF(A470="","",EOMONTH(B469,1))</f>
        <v>35976</v>
      </c>
      <c r="C470" s="1" t="n">
        <f aca="false">IF(A470="","",C469+1)</f>
        <v>468</v>
      </c>
      <c r="D470" s="1" t="n">
        <f aca="false">IF(A470="","",INT(C470/12))</f>
        <v>39</v>
      </c>
      <c r="E470" s="1" t="n">
        <f aca="false">IF(A470="","",D470+Inputs!$B$7)</f>
        <v>55</v>
      </c>
      <c r="F470" s="3" t="n">
        <f aca="false">IF(A470="","",DATE(YEAR(B$2)+D470,MONTH(B$2),DAY(B$2)))</f>
        <v>35951</v>
      </c>
      <c r="G470" s="3" t="n">
        <f aca="false">IF(A470="","",DATE(YEAR(F470)+1,MONTH(F470),DAY(F470)))</f>
        <v>36316</v>
      </c>
      <c r="H470" s="10" t="n">
        <f aca="false">IF(A470="","",IF(G470&gt;F470,(B470-F470)/(G470-F470),0))</f>
        <v>0.0684931506849315</v>
      </c>
      <c r="I470" s="10" t="n">
        <f aca="false">IF(A470="","",IFERROR(INDEX(CV_RATES!$I:$I,MATCH(D470,CV_RATES!$C:$C,0)),0))</f>
        <v>653.556206949118</v>
      </c>
      <c r="J470" s="10" t="n">
        <f aca="false">IF(A470="","",IFERROR(IF(E470=MAX(MORTALITY!$A:$A),1000,INDEX(CV_RATES!$J:$J,MATCH(D470,CV_RATES!$C:$C,0))),0))</f>
        <v>663.851155906037</v>
      </c>
      <c r="K470" s="10" t="n">
        <f aca="false">IF(A470="","",IFERROR(I470+H470*(J470-I470),0))</f>
        <v>654.261340439318</v>
      </c>
      <c r="L470" s="10" t="n">
        <f aca="false">IF(A470="","",IFERROR(K470*Inputs!$B$9,0))</f>
        <v>32713.0670219659</v>
      </c>
      <c r="M470" s="10" t="n">
        <f aca="false">IF(A470="","",IFERROR(K470*Inputs!$B$10,0))</f>
        <v>104679.85168627</v>
      </c>
      <c r="N470" s="10" t="n">
        <f aca="false">IF(A470="","",Z469)</f>
        <v>0</v>
      </c>
      <c r="O470" s="6" t="n">
        <f aca="false">IF(A470="","",Inputs!$B$18+N470)</f>
        <v>50000</v>
      </c>
      <c r="P470" s="5" t="n">
        <f aca="false">IF(A470="","",VLOOKUP(D470,DIvidend_Assumption!$A$3:$CX$103,($E$2+2),0)/12)</f>
        <v>0</v>
      </c>
      <c r="Q470" s="10" t="n">
        <f aca="false">IF(A470="","",IFERROR(AB469*P470,""))</f>
        <v>0</v>
      </c>
      <c r="R470" s="10" t="n">
        <f aca="false">IF(A470="","",IFERROR(IF(Inputs!$B$22="Accumulate",T470+Q470,IF(Inputs!$B$22="Premium Offset",MAX(0,T470+Q470-Inputs!$B$25),T470)),""))</f>
        <v>0</v>
      </c>
      <c r="S470" s="10" t="n">
        <f aca="false">IF(A470="","",R469)</f>
        <v>0</v>
      </c>
      <c r="T470" s="10" t="n">
        <f aca="false">IF(A470="","",IFERROR(S470*(1+Inputs!$B$23/12),""))</f>
        <v>0</v>
      </c>
      <c r="U470" s="6" t="n">
        <f aca="false">IF(A470="","",IF(D470&lt;=Inputs!$B$8,IF(Inputs!$B$22="Premium Offset",MAX(0,Inputs!$B$25-(Q470+T470)),Inputs!$B$25),0))</f>
        <v>0</v>
      </c>
      <c r="V470" s="10" t="n">
        <f aca="false">IF(A470="","",IF(Inputs!$B$22="Cash",Q470,0))</f>
        <v>0</v>
      </c>
      <c r="W470" s="10" t="n">
        <f aca="false">IF(A470="","",IF(Inputs!$B$22="PUA",Q470,0))</f>
        <v>0</v>
      </c>
      <c r="X470" s="12" t="n">
        <f aca="false">IF(A470="","",IFERROR(INDEX(PUA_TABLE!$D$4:$D$105,MATCH(E470,PUA_TABLE!$C$4:$C$105,1)),0))</f>
        <v>0.653556206949118</v>
      </c>
      <c r="Y470" s="10" t="n">
        <f aca="false">IF(A470="","",IF(W470&gt;0,IF(X470&gt;0,W470/X470,0),0))</f>
        <v>0</v>
      </c>
      <c r="Z470" s="10" t="n">
        <f aca="false">IF(A470="","",N470+Y470)</f>
        <v>0</v>
      </c>
      <c r="AA470" s="10" t="n">
        <f aca="false">IF(A470="","",IFERROR(Z470*INDEX(PUA_TABLE!$I$4:$I$105,MATCH(E470,PUA_TABLE!$C$4:$C$105,1))/1000,0))</f>
        <v>0</v>
      </c>
      <c r="AB470" s="10" t="n">
        <f aca="false">IF(A470="","",IFERROR(L470+AA470,0))</f>
        <v>32713.0670219659</v>
      </c>
      <c r="AC470" s="10" t="n">
        <f aca="false">IF(A470="","",IF(Inputs!$B$22="Premium Offset",MIN(Inputs!$B$25,Q470+T470),0))</f>
        <v>0</v>
      </c>
    </row>
    <row r="471" customFormat="false" ht="15" hidden="false" customHeight="false" outlineLevel="0" collapsed="false">
      <c r="A471" s="1" t="n">
        <f aca="false">IF(A470="","",IF(INT((C470+1)/12)+Inputs!$B$7&gt;MAX(MORTALITY!$A:$A),"",Inputs!$B$4))</f>
        <v>34</v>
      </c>
      <c r="B471" s="3" t="n">
        <f aca="false">IF(A471="","",EOMONTH(B470,1))</f>
        <v>36007</v>
      </c>
      <c r="C471" s="1" t="n">
        <f aca="false">IF(A471="","",C470+1)</f>
        <v>469</v>
      </c>
      <c r="D471" s="1" t="n">
        <f aca="false">IF(A471="","",INT(C471/12))</f>
        <v>39</v>
      </c>
      <c r="E471" s="1" t="n">
        <f aca="false">IF(A471="","",D471+Inputs!$B$7)</f>
        <v>55</v>
      </c>
      <c r="F471" s="3" t="n">
        <f aca="false">IF(A471="","",DATE(YEAR(B$2)+D471,MONTH(B$2),DAY(B$2)))</f>
        <v>35951</v>
      </c>
      <c r="G471" s="3" t="n">
        <f aca="false">IF(A471="","",DATE(YEAR(F471)+1,MONTH(F471),DAY(F471)))</f>
        <v>36316</v>
      </c>
      <c r="H471" s="10" t="n">
        <f aca="false">IF(A471="","",IF(G471&gt;F471,(B471-F471)/(G471-F471),0))</f>
        <v>0.153424657534247</v>
      </c>
      <c r="I471" s="10" t="n">
        <f aca="false">IF(A471="","",IFERROR(INDEX(CV_RATES!$I:$I,MATCH(D471,CV_RATES!$C:$C,0)),0))</f>
        <v>653.556206949118</v>
      </c>
      <c r="J471" s="10" t="n">
        <f aca="false">IF(A471="","",IFERROR(IF(E471=MAX(MORTALITY!$A:$A),1000,INDEX(CV_RATES!$J:$J,MATCH(D471,CV_RATES!$C:$C,0))),0))</f>
        <v>663.851155906037</v>
      </c>
      <c r="K471" s="10" t="n">
        <f aca="false">IF(A471="","",IFERROR(I471+H471*(J471-I471),0))</f>
        <v>655.135705967166</v>
      </c>
      <c r="L471" s="10" t="n">
        <f aca="false">IF(A471="","",IFERROR(K471*Inputs!$B$9,0))</f>
        <v>32756.7852983583</v>
      </c>
      <c r="M471" s="10" t="n">
        <f aca="false">IF(A471="","",IFERROR(K471*Inputs!$B$10,0))</f>
        <v>104819.747547629</v>
      </c>
      <c r="N471" s="10" t="n">
        <f aca="false">IF(A471="","",Z470)</f>
        <v>0</v>
      </c>
      <c r="O471" s="6" t="n">
        <f aca="false">IF(A471="","",Inputs!$B$18+N471)</f>
        <v>50000</v>
      </c>
      <c r="P471" s="5" t="n">
        <f aca="false">IF(A471="","",VLOOKUP(D471,DIvidend_Assumption!$A$3:$CX$103,($E$2+2),0)/12)</f>
        <v>0</v>
      </c>
      <c r="Q471" s="10" t="n">
        <f aca="false">IF(A471="","",IFERROR(AB470*P471,""))</f>
        <v>0</v>
      </c>
      <c r="R471" s="10" t="n">
        <f aca="false">IF(A471="","",IFERROR(IF(Inputs!$B$22="Accumulate",T471+Q471,IF(Inputs!$B$22="Premium Offset",MAX(0,T471+Q471-Inputs!$B$25),T471)),""))</f>
        <v>0</v>
      </c>
      <c r="S471" s="10" t="n">
        <f aca="false">IF(A471="","",R470)</f>
        <v>0</v>
      </c>
      <c r="T471" s="10" t="n">
        <f aca="false">IF(A471="","",IFERROR(S471*(1+Inputs!$B$23/12),""))</f>
        <v>0</v>
      </c>
      <c r="U471" s="6" t="n">
        <f aca="false">IF(A471="","",IF(D471&lt;=Inputs!$B$8,IF(Inputs!$B$22="Premium Offset",MAX(0,Inputs!$B$25-(Q471+T471)),Inputs!$B$25),0))</f>
        <v>0</v>
      </c>
      <c r="V471" s="10" t="n">
        <f aca="false">IF(A471="","",IF(Inputs!$B$22="Cash",Q471,0))</f>
        <v>0</v>
      </c>
      <c r="W471" s="10" t="n">
        <f aca="false">IF(A471="","",IF(Inputs!$B$22="PUA",Q471,0))</f>
        <v>0</v>
      </c>
      <c r="X471" s="12" t="n">
        <f aca="false">IF(A471="","",IFERROR(INDEX(PUA_TABLE!$D$4:$D$105,MATCH(E471,PUA_TABLE!$C$4:$C$105,1)),0))</f>
        <v>0.653556206949118</v>
      </c>
      <c r="Y471" s="10" t="n">
        <f aca="false">IF(A471="","",IF(W471&gt;0,IF(X471&gt;0,W471/X471,0),0))</f>
        <v>0</v>
      </c>
      <c r="Z471" s="10" t="n">
        <f aca="false">IF(A471="","",N471+Y471)</f>
        <v>0</v>
      </c>
      <c r="AA471" s="10" t="n">
        <f aca="false">IF(A471="","",IFERROR(Z471*INDEX(PUA_TABLE!$I$4:$I$105,MATCH(E471,PUA_TABLE!$C$4:$C$105,1))/1000,0))</f>
        <v>0</v>
      </c>
      <c r="AB471" s="10" t="n">
        <f aca="false">IF(A471="","",IFERROR(L471+AA471,0))</f>
        <v>32756.7852983583</v>
      </c>
      <c r="AC471" s="10" t="n">
        <f aca="false">IF(A471="","",IF(Inputs!$B$22="Premium Offset",MIN(Inputs!$B$25,Q471+T471),0))</f>
        <v>0</v>
      </c>
    </row>
    <row r="472" customFormat="false" ht="15" hidden="false" customHeight="false" outlineLevel="0" collapsed="false">
      <c r="A472" s="1" t="n">
        <f aca="false">IF(A471="","",IF(INT((C471+1)/12)+Inputs!$B$7&gt;MAX(MORTALITY!$A:$A),"",Inputs!$B$4))</f>
        <v>34</v>
      </c>
      <c r="B472" s="3" t="n">
        <f aca="false">IF(A472="","",EOMONTH(B471,1))</f>
        <v>36038</v>
      </c>
      <c r="C472" s="1" t="n">
        <f aca="false">IF(A472="","",C471+1)</f>
        <v>470</v>
      </c>
      <c r="D472" s="1" t="n">
        <f aca="false">IF(A472="","",INT(C472/12))</f>
        <v>39</v>
      </c>
      <c r="E472" s="1" t="n">
        <f aca="false">IF(A472="","",D472+Inputs!$B$7)</f>
        <v>55</v>
      </c>
      <c r="F472" s="3" t="n">
        <f aca="false">IF(A472="","",DATE(YEAR(B$2)+D472,MONTH(B$2),DAY(B$2)))</f>
        <v>35951</v>
      </c>
      <c r="G472" s="3" t="n">
        <f aca="false">IF(A472="","",DATE(YEAR(F472)+1,MONTH(F472),DAY(F472)))</f>
        <v>36316</v>
      </c>
      <c r="H472" s="10" t="n">
        <f aca="false">IF(A472="","",IF(G472&gt;F472,(B472-F472)/(G472-F472),0))</f>
        <v>0.238356164383562</v>
      </c>
      <c r="I472" s="10" t="n">
        <f aca="false">IF(A472="","",IFERROR(INDEX(CV_RATES!$I:$I,MATCH(D472,CV_RATES!$C:$C,0)),0))</f>
        <v>653.556206949118</v>
      </c>
      <c r="J472" s="10" t="n">
        <f aca="false">IF(A472="","",IFERROR(IF(E472=MAX(MORTALITY!$A:$A),1000,INDEX(CV_RATES!$J:$J,MATCH(D472,CV_RATES!$C:$C,0))),0))</f>
        <v>663.851155906037</v>
      </c>
      <c r="K472" s="10" t="n">
        <f aca="false">IF(A472="","",IFERROR(I472+H472*(J472-I472),0))</f>
        <v>656.010071495014</v>
      </c>
      <c r="L472" s="10" t="n">
        <f aca="false">IF(A472="","",IFERROR(K472*Inputs!$B$9,0))</f>
        <v>32800.5035747507</v>
      </c>
      <c r="M472" s="10" t="n">
        <f aca="false">IF(A472="","",IFERROR(K472*Inputs!$B$10,0))</f>
        <v>104959.643408988</v>
      </c>
      <c r="N472" s="10" t="n">
        <f aca="false">IF(A472="","",Z471)</f>
        <v>0</v>
      </c>
      <c r="O472" s="6" t="n">
        <f aca="false">IF(A472="","",Inputs!$B$18+N472)</f>
        <v>50000</v>
      </c>
      <c r="P472" s="5" t="n">
        <f aca="false">IF(A472="","",VLOOKUP(D472,DIvidend_Assumption!$A$3:$CX$103,($E$2+2),0)/12)</f>
        <v>0</v>
      </c>
      <c r="Q472" s="10" t="n">
        <f aca="false">IF(A472="","",IFERROR(AB471*P472,""))</f>
        <v>0</v>
      </c>
      <c r="R472" s="10" t="n">
        <f aca="false">IF(A472="","",IFERROR(IF(Inputs!$B$22="Accumulate",T472+Q472,IF(Inputs!$B$22="Premium Offset",MAX(0,T472+Q472-Inputs!$B$25),T472)),""))</f>
        <v>0</v>
      </c>
      <c r="S472" s="10" t="n">
        <f aca="false">IF(A472="","",R471)</f>
        <v>0</v>
      </c>
      <c r="T472" s="10" t="n">
        <f aca="false">IF(A472="","",IFERROR(S472*(1+Inputs!$B$23/12),""))</f>
        <v>0</v>
      </c>
      <c r="U472" s="6" t="n">
        <f aca="false">IF(A472="","",IF(D472&lt;=Inputs!$B$8,IF(Inputs!$B$22="Premium Offset",MAX(0,Inputs!$B$25-(Q472+T472)),Inputs!$B$25),0))</f>
        <v>0</v>
      </c>
      <c r="V472" s="10" t="n">
        <f aca="false">IF(A472="","",IF(Inputs!$B$22="Cash",Q472,0))</f>
        <v>0</v>
      </c>
      <c r="W472" s="10" t="n">
        <f aca="false">IF(A472="","",IF(Inputs!$B$22="PUA",Q472,0))</f>
        <v>0</v>
      </c>
      <c r="X472" s="12" t="n">
        <f aca="false">IF(A472="","",IFERROR(INDEX(PUA_TABLE!$D$4:$D$105,MATCH(E472,PUA_TABLE!$C$4:$C$105,1)),0))</f>
        <v>0.653556206949118</v>
      </c>
      <c r="Y472" s="10" t="n">
        <f aca="false">IF(A472="","",IF(W472&gt;0,IF(X472&gt;0,W472/X472,0),0))</f>
        <v>0</v>
      </c>
      <c r="Z472" s="10" t="n">
        <f aca="false">IF(A472="","",N472+Y472)</f>
        <v>0</v>
      </c>
      <c r="AA472" s="10" t="n">
        <f aca="false">IF(A472="","",IFERROR(Z472*INDEX(PUA_TABLE!$I$4:$I$105,MATCH(E472,PUA_TABLE!$C$4:$C$105,1))/1000,0))</f>
        <v>0</v>
      </c>
      <c r="AB472" s="10" t="n">
        <f aca="false">IF(A472="","",IFERROR(L472+AA472,0))</f>
        <v>32800.5035747507</v>
      </c>
      <c r="AC472" s="10" t="n">
        <f aca="false">IF(A472="","",IF(Inputs!$B$22="Premium Offset",MIN(Inputs!$B$25,Q472+T472),0))</f>
        <v>0</v>
      </c>
    </row>
    <row r="473" customFormat="false" ht="15" hidden="false" customHeight="false" outlineLevel="0" collapsed="false">
      <c r="A473" s="1" t="n">
        <f aca="false">IF(A472="","",IF(INT((C472+1)/12)+Inputs!$B$7&gt;MAX(MORTALITY!$A:$A),"",Inputs!$B$4))</f>
        <v>34</v>
      </c>
      <c r="B473" s="3" t="n">
        <f aca="false">IF(A473="","",EOMONTH(B472,1))</f>
        <v>36068</v>
      </c>
      <c r="C473" s="1" t="n">
        <f aca="false">IF(A473="","",C472+1)</f>
        <v>471</v>
      </c>
      <c r="D473" s="1" t="n">
        <f aca="false">IF(A473="","",INT(C473/12))</f>
        <v>39</v>
      </c>
      <c r="E473" s="1" t="n">
        <f aca="false">IF(A473="","",D473+Inputs!$B$7)</f>
        <v>55</v>
      </c>
      <c r="F473" s="3" t="n">
        <f aca="false">IF(A473="","",DATE(YEAR(B$2)+D473,MONTH(B$2),DAY(B$2)))</f>
        <v>35951</v>
      </c>
      <c r="G473" s="3" t="n">
        <f aca="false">IF(A473="","",DATE(YEAR(F473)+1,MONTH(F473),DAY(F473)))</f>
        <v>36316</v>
      </c>
      <c r="H473" s="10" t="n">
        <f aca="false">IF(A473="","",IF(G473&gt;F473,(B473-F473)/(G473-F473),0))</f>
        <v>0.320547945205479</v>
      </c>
      <c r="I473" s="10" t="n">
        <f aca="false">IF(A473="","",IFERROR(INDEX(CV_RATES!$I:$I,MATCH(D473,CV_RATES!$C:$C,0)),0))</f>
        <v>653.556206949118</v>
      </c>
      <c r="J473" s="10" t="n">
        <f aca="false">IF(A473="","",IFERROR(IF(E473=MAX(MORTALITY!$A:$A),1000,INDEX(CV_RATES!$J:$J,MATCH(D473,CV_RATES!$C:$C,0))),0))</f>
        <v>663.851155906037</v>
      </c>
      <c r="K473" s="10" t="n">
        <f aca="false">IF(A473="","",IFERROR(I473+H473*(J473-I473),0))</f>
        <v>656.856231683254</v>
      </c>
      <c r="L473" s="10" t="n">
        <f aca="false">IF(A473="","",IFERROR(K473*Inputs!$B$9,0))</f>
        <v>32842.8115841627</v>
      </c>
      <c r="M473" s="10" t="n">
        <f aca="false">IF(A473="","",IFERROR(K473*Inputs!$B$10,0))</f>
        <v>105095.026500626</v>
      </c>
      <c r="N473" s="10" t="n">
        <f aca="false">IF(A473="","",Z472)</f>
        <v>0</v>
      </c>
      <c r="O473" s="6" t="n">
        <f aca="false">IF(A473="","",Inputs!$B$18+N473)</f>
        <v>50000</v>
      </c>
      <c r="P473" s="5" t="n">
        <f aca="false">IF(A473="","",VLOOKUP(D473,DIvidend_Assumption!$A$3:$CX$103,($E$2+2),0)/12)</f>
        <v>0</v>
      </c>
      <c r="Q473" s="10" t="n">
        <f aca="false">IF(A473="","",IFERROR(AB472*P473,""))</f>
        <v>0</v>
      </c>
      <c r="R473" s="10" t="n">
        <f aca="false">IF(A473="","",IFERROR(IF(Inputs!$B$22="Accumulate",T473+Q473,IF(Inputs!$B$22="Premium Offset",MAX(0,T473+Q473-Inputs!$B$25),T473)),""))</f>
        <v>0</v>
      </c>
      <c r="S473" s="10" t="n">
        <f aca="false">IF(A473="","",R472)</f>
        <v>0</v>
      </c>
      <c r="T473" s="10" t="n">
        <f aca="false">IF(A473="","",IFERROR(S473*(1+Inputs!$B$23/12),""))</f>
        <v>0</v>
      </c>
      <c r="U473" s="6" t="n">
        <f aca="false">IF(A473="","",IF(D473&lt;=Inputs!$B$8,IF(Inputs!$B$22="Premium Offset",MAX(0,Inputs!$B$25-(Q473+T473)),Inputs!$B$25),0))</f>
        <v>0</v>
      </c>
      <c r="V473" s="10" t="n">
        <f aca="false">IF(A473="","",IF(Inputs!$B$22="Cash",Q473,0))</f>
        <v>0</v>
      </c>
      <c r="W473" s="10" t="n">
        <f aca="false">IF(A473="","",IF(Inputs!$B$22="PUA",Q473,0))</f>
        <v>0</v>
      </c>
      <c r="X473" s="12" t="n">
        <f aca="false">IF(A473="","",IFERROR(INDEX(PUA_TABLE!$D$4:$D$105,MATCH(E473,PUA_TABLE!$C$4:$C$105,1)),0))</f>
        <v>0.653556206949118</v>
      </c>
      <c r="Y473" s="10" t="n">
        <f aca="false">IF(A473="","",IF(W473&gt;0,IF(X473&gt;0,W473/X473,0),0))</f>
        <v>0</v>
      </c>
      <c r="Z473" s="10" t="n">
        <f aca="false">IF(A473="","",N473+Y473)</f>
        <v>0</v>
      </c>
      <c r="AA473" s="10" t="n">
        <f aca="false">IF(A473="","",IFERROR(Z473*INDEX(PUA_TABLE!$I$4:$I$105,MATCH(E473,PUA_TABLE!$C$4:$C$105,1))/1000,0))</f>
        <v>0</v>
      </c>
      <c r="AB473" s="10" t="n">
        <f aca="false">IF(A473="","",IFERROR(L473+AA473,0))</f>
        <v>32842.8115841627</v>
      </c>
      <c r="AC473" s="10" t="n">
        <f aca="false">IF(A473="","",IF(Inputs!$B$22="Premium Offset",MIN(Inputs!$B$25,Q473+T473),0))</f>
        <v>0</v>
      </c>
    </row>
    <row r="474" customFormat="false" ht="15" hidden="false" customHeight="false" outlineLevel="0" collapsed="false">
      <c r="A474" s="1" t="n">
        <f aca="false">IF(A473="","",IF(INT((C473+1)/12)+Inputs!$B$7&gt;MAX(MORTALITY!$A:$A),"",Inputs!$B$4))</f>
        <v>34</v>
      </c>
      <c r="B474" s="3" t="n">
        <f aca="false">IF(A474="","",EOMONTH(B473,1))</f>
        <v>36099</v>
      </c>
      <c r="C474" s="1" t="n">
        <f aca="false">IF(A474="","",C473+1)</f>
        <v>472</v>
      </c>
      <c r="D474" s="1" t="n">
        <f aca="false">IF(A474="","",INT(C474/12))</f>
        <v>39</v>
      </c>
      <c r="E474" s="1" t="n">
        <f aca="false">IF(A474="","",D474+Inputs!$B$7)</f>
        <v>55</v>
      </c>
      <c r="F474" s="3" t="n">
        <f aca="false">IF(A474="","",DATE(YEAR(B$2)+D474,MONTH(B$2),DAY(B$2)))</f>
        <v>35951</v>
      </c>
      <c r="G474" s="3" t="n">
        <f aca="false">IF(A474="","",DATE(YEAR(F474)+1,MONTH(F474),DAY(F474)))</f>
        <v>36316</v>
      </c>
      <c r="H474" s="10" t="n">
        <f aca="false">IF(A474="","",IF(G474&gt;F474,(B474-F474)/(G474-F474),0))</f>
        <v>0.405479452054795</v>
      </c>
      <c r="I474" s="10" t="n">
        <f aca="false">IF(A474="","",IFERROR(INDEX(CV_RATES!$I:$I,MATCH(D474,CV_RATES!$C:$C,0)),0))</f>
        <v>653.556206949118</v>
      </c>
      <c r="J474" s="10" t="n">
        <f aca="false">IF(A474="","",IFERROR(IF(E474=MAX(MORTALITY!$A:$A),1000,INDEX(CV_RATES!$J:$J,MATCH(D474,CV_RATES!$C:$C,0))),0))</f>
        <v>663.851155906037</v>
      </c>
      <c r="K474" s="10" t="n">
        <f aca="false">IF(A474="","",IFERROR(I474+H474*(J474-I474),0))</f>
        <v>657.730597211102</v>
      </c>
      <c r="L474" s="10" t="n">
        <f aca="false">IF(A474="","",IFERROR(K474*Inputs!$B$9,0))</f>
        <v>32886.5298605551</v>
      </c>
      <c r="M474" s="10" t="n">
        <f aca="false">IF(A474="","",IFERROR(K474*Inputs!$B$10,0))</f>
        <v>105234.922361985</v>
      </c>
      <c r="N474" s="10" t="n">
        <f aca="false">IF(A474="","",Z473)</f>
        <v>0</v>
      </c>
      <c r="O474" s="6" t="n">
        <f aca="false">IF(A474="","",Inputs!$B$18+N474)</f>
        <v>50000</v>
      </c>
      <c r="P474" s="5" t="n">
        <f aca="false">IF(A474="","",VLOOKUP(D474,DIvidend_Assumption!$A$3:$CX$103,($E$2+2),0)/12)</f>
        <v>0</v>
      </c>
      <c r="Q474" s="10" t="n">
        <f aca="false">IF(A474="","",IFERROR(AB473*P474,""))</f>
        <v>0</v>
      </c>
      <c r="R474" s="10" t="n">
        <f aca="false">IF(A474="","",IFERROR(IF(Inputs!$B$22="Accumulate",T474+Q474,IF(Inputs!$B$22="Premium Offset",MAX(0,T474+Q474-Inputs!$B$25),T474)),""))</f>
        <v>0</v>
      </c>
      <c r="S474" s="10" t="n">
        <f aca="false">IF(A474="","",R473)</f>
        <v>0</v>
      </c>
      <c r="T474" s="10" t="n">
        <f aca="false">IF(A474="","",IFERROR(S474*(1+Inputs!$B$23/12),""))</f>
        <v>0</v>
      </c>
      <c r="U474" s="6" t="n">
        <f aca="false">IF(A474="","",IF(D474&lt;=Inputs!$B$8,IF(Inputs!$B$22="Premium Offset",MAX(0,Inputs!$B$25-(Q474+T474)),Inputs!$B$25),0))</f>
        <v>0</v>
      </c>
      <c r="V474" s="10" t="n">
        <f aca="false">IF(A474="","",IF(Inputs!$B$22="Cash",Q474,0))</f>
        <v>0</v>
      </c>
      <c r="W474" s="10" t="n">
        <f aca="false">IF(A474="","",IF(Inputs!$B$22="PUA",Q474,0))</f>
        <v>0</v>
      </c>
      <c r="X474" s="12" t="n">
        <f aca="false">IF(A474="","",IFERROR(INDEX(PUA_TABLE!$D$4:$D$105,MATCH(E474,PUA_TABLE!$C$4:$C$105,1)),0))</f>
        <v>0.653556206949118</v>
      </c>
      <c r="Y474" s="10" t="n">
        <f aca="false">IF(A474="","",IF(W474&gt;0,IF(X474&gt;0,W474/X474,0),0))</f>
        <v>0</v>
      </c>
      <c r="Z474" s="10" t="n">
        <f aca="false">IF(A474="","",N474+Y474)</f>
        <v>0</v>
      </c>
      <c r="AA474" s="10" t="n">
        <f aca="false">IF(A474="","",IFERROR(Z474*INDEX(PUA_TABLE!$I$4:$I$105,MATCH(E474,PUA_TABLE!$C$4:$C$105,1))/1000,0))</f>
        <v>0</v>
      </c>
      <c r="AB474" s="10" t="n">
        <f aca="false">IF(A474="","",IFERROR(L474+AA474,0))</f>
        <v>32886.5298605551</v>
      </c>
      <c r="AC474" s="10" t="n">
        <f aca="false">IF(A474="","",IF(Inputs!$B$22="Premium Offset",MIN(Inputs!$B$25,Q474+T474),0))</f>
        <v>0</v>
      </c>
    </row>
    <row r="475" customFormat="false" ht="15" hidden="false" customHeight="false" outlineLevel="0" collapsed="false">
      <c r="A475" s="1" t="n">
        <f aca="false">IF(A474="","",IF(INT((C474+1)/12)+Inputs!$B$7&gt;MAX(MORTALITY!$A:$A),"",Inputs!$B$4))</f>
        <v>34</v>
      </c>
      <c r="B475" s="3" t="n">
        <f aca="false">IF(A475="","",EOMONTH(B474,1))</f>
        <v>36129</v>
      </c>
      <c r="C475" s="1" t="n">
        <f aca="false">IF(A475="","",C474+1)</f>
        <v>473</v>
      </c>
      <c r="D475" s="1" t="n">
        <f aca="false">IF(A475="","",INT(C475/12))</f>
        <v>39</v>
      </c>
      <c r="E475" s="1" t="n">
        <f aca="false">IF(A475="","",D475+Inputs!$B$7)</f>
        <v>55</v>
      </c>
      <c r="F475" s="3" t="n">
        <f aca="false">IF(A475="","",DATE(YEAR(B$2)+D475,MONTH(B$2),DAY(B$2)))</f>
        <v>35951</v>
      </c>
      <c r="G475" s="3" t="n">
        <f aca="false">IF(A475="","",DATE(YEAR(F475)+1,MONTH(F475),DAY(F475)))</f>
        <v>36316</v>
      </c>
      <c r="H475" s="10" t="n">
        <f aca="false">IF(A475="","",IF(G475&gt;F475,(B475-F475)/(G475-F475),0))</f>
        <v>0.487671232876712</v>
      </c>
      <c r="I475" s="10" t="n">
        <f aca="false">IF(A475="","",IFERROR(INDEX(CV_RATES!$I:$I,MATCH(D475,CV_RATES!$C:$C,0)),0))</f>
        <v>653.556206949118</v>
      </c>
      <c r="J475" s="10" t="n">
        <f aca="false">IF(A475="","",IFERROR(IF(E475=MAX(MORTALITY!$A:$A),1000,INDEX(CV_RATES!$J:$J,MATCH(D475,CV_RATES!$C:$C,0))),0))</f>
        <v>663.851155906037</v>
      </c>
      <c r="K475" s="10" t="n">
        <f aca="false">IF(A475="","",IFERROR(I475+H475*(J475-I475),0))</f>
        <v>658.576757399342</v>
      </c>
      <c r="L475" s="10" t="n">
        <f aca="false">IF(A475="","",IFERROR(K475*Inputs!$B$9,0))</f>
        <v>32928.8378699671</v>
      </c>
      <c r="M475" s="10" t="n">
        <f aca="false">IF(A475="","",IFERROR(K475*Inputs!$B$10,0))</f>
        <v>105370.305453622</v>
      </c>
      <c r="N475" s="10" t="n">
        <f aca="false">IF(A475="","",Z474)</f>
        <v>0</v>
      </c>
      <c r="O475" s="6" t="n">
        <f aca="false">IF(A475="","",Inputs!$B$18+N475)</f>
        <v>50000</v>
      </c>
      <c r="P475" s="5" t="n">
        <f aca="false">IF(A475="","",VLOOKUP(D475,DIvidend_Assumption!$A$3:$CX$103,($E$2+2),0)/12)</f>
        <v>0</v>
      </c>
      <c r="Q475" s="10" t="n">
        <f aca="false">IF(A475="","",IFERROR(AB474*P475,""))</f>
        <v>0</v>
      </c>
      <c r="R475" s="10" t="n">
        <f aca="false">IF(A475="","",IFERROR(IF(Inputs!$B$22="Accumulate",T475+Q475,IF(Inputs!$B$22="Premium Offset",MAX(0,T475+Q475-Inputs!$B$25),T475)),""))</f>
        <v>0</v>
      </c>
      <c r="S475" s="10" t="n">
        <f aca="false">IF(A475="","",R474)</f>
        <v>0</v>
      </c>
      <c r="T475" s="10" t="n">
        <f aca="false">IF(A475="","",IFERROR(S475*(1+Inputs!$B$23/12),""))</f>
        <v>0</v>
      </c>
      <c r="U475" s="6" t="n">
        <f aca="false">IF(A475="","",IF(D475&lt;=Inputs!$B$8,IF(Inputs!$B$22="Premium Offset",MAX(0,Inputs!$B$25-(Q475+T475)),Inputs!$B$25),0))</f>
        <v>0</v>
      </c>
      <c r="V475" s="10" t="n">
        <f aca="false">IF(A475="","",IF(Inputs!$B$22="Cash",Q475,0))</f>
        <v>0</v>
      </c>
      <c r="W475" s="10" t="n">
        <f aca="false">IF(A475="","",IF(Inputs!$B$22="PUA",Q475,0))</f>
        <v>0</v>
      </c>
      <c r="X475" s="12" t="n">
        <f aca="false">IF(A475="","",IFERROR(INDEX(PUA_TABLE!$D$4:$D$105,MATCH(E475,PUA_TABLE!$C$4:$C$105,1)),0))</f>
        <v>0.653556206949118</v>
      </c>
      <c r="Y475" s="10" t="n">
        <f aca="false">IF(A475="","",IF(W475&gt;0,IF(X475&gt;0,W475/X475,0),0))</f>
        <v>0</v>
      </c>
      <c r="Z475" s="10" t="n">
        <f aca="false">IF(A475="","",N475+Y475)</f>
        <v>0</v>
      </c>
      <c r="AA475" s="10" t="n">
        <f aca="false">IF(A475="","",IFERROR(Z475*INDEX(PUA_TABLE!$I$4:$I$105,MATCH(E475,PUA_TABLE!$C$4:$C$105,1))/1000,0))</f>
        <v>0</v>
      </c>
      <c r="AB475" s="10" t="n">
        <f aca="false">IF(A475="","",IFERROR(L475+AA475,0))</f>
        <v>32928.8378699671</v>
      </c>
      <c r="AC475" s="10" t="n">
        <f aca="false">IF(A475="","",IF(Inputs!$B$22="Premium Offset",MIN(Inputs!$B$25,Q475+T475),0))</f>
        <v>0</v>
      </c>
    </row>
    <row r="476" customFormat="false" ht="15" hidden="false" customHeight="false" outlineLevel="0" collapsed="false">
      <c r="A476" s="1" t="n">
        <f aca="false">IF(A475="","",IF(INT((C475+1)/12)+Inputs!$B$7&gt;MAX(MORTALITY!$A:$A),"",Inputs!$B$4))</f>
        <v>34</v>
      </c>
      <c r="B476" s="3" t="n">
        <f aca="false">IF(A476="","",EOMONTH(B475,1))</f>
        <v>36160</v>
      </c>
      <c r="C476" s="1" t="n">
        <f aca="false">IF(A476="","",C475+1)</f>
        <v>474</v>
      </c>
      <c r="D476" s="1" t="n">
        <f aca="false">IF(A476="","",INT(C476/12))</f>
        <v>39</v>
      </c>
      <c r="E476" s="1" t="n">
        <f aca="false">IF(A476="","",D476+Inputs!$B$7)</f>
        <v>55</v>
      </c>
      <c r="F476" s="3" t="n">
        <f aca="false">IF(A476="","",DATE(YEAR(B$2)+D476,MONTH(B$2),DAY(B$2)))</f>
        <v>35951</v>
      </c>
      <c r="G476" s="3" t="n">
        <f aca="false">IF(A476="","",DATE(YEAR(F476)+1,MONTH(F476),DAY(F476)))</f>
        <v>36316</v>
      </c>
      <c r="H476" s="10" t="n">
        <f aca="false">IF(A476="","",IF(G476&gt;F476,(B476-F476)/(G476-F476),0))</f>
        <v>0.572602739726027</v>
      </c>
      <c r="I476" s="10" t="n">
        <f aca="false">IF(A476="","",IFERROR(INDEX(CV_RATES!$I:$I,MATCH(D476,CV_RATES!$C:$C,0)),0))</f>
        <v>653.556206949118</v>
      </c>
      <c r="J476" s="10" t="n">
        <f aca="false">IF(A476="","",IFERROR(IF(E476=MAX(MORTALITY!$A:$A),1000,INDEX(CV_RATES!$J:$J,MATCH(D476,CV_RATES!$C:$C,0))),0))</f>
        <v>663.851155906037</v>
      </c>
      <c r="K476" s="10" t="n">
        <f aca="false">IF(A476="","",IFERROR(I476+H476*(J476-I476),0))</f>
        <v>659.451122927189</v>
      </c>
      <c r="L476" s="10" t="n">
        <f aca="false">IF(A476="","",IFERROR(K476*Inputs!$B$9,0))</f>
        <v>32972.5561463595</v>
      </c>
      <c r="M476" s="10" t="n">
        <f aca="false">IF(A476="","",IFERROR(K476*Inputs!$B$10,0))</f>
        <v>105510.201314982</v>
      </c>
      <c r="N476" s="10" t="n">
        <f aca="false">IF(A476="","",Z475)</f>
        <v>0</v>
      </c>
      <c r="O476" s="6" t="n">
        <f aca="false">IF(A476="","",Inputs!$B$18+N476)</f>
        <v>50000</v>
      </c>
      <c r="P476" s="5" t="n">
        <f aca="false">IF(A476="","",VLOOKUP(D476,DIvidend_Assumption!$A$3:$CX$103,($E$2+2),0)/12)</f>
        <v>0</v>
      </c>
      <c r="Q476" s="10" t="n">
        <f aca="false">IF(A476="","",IFERROR(AB475*P476,""))</f>
        <v>0</v>
      </c>
      <c r="R476" s="10" t="n">
        <f aca="false">IF(A476="","",IFERROR(IF(Inputs!$B$22="Accumulate",T476+Q476,IF(Inputs!$B$22="Premium Offset",MAX(0,T476+Q476-Inputs!$B$25),T476)),""))</f>
        <v>0</v>
      </c>
      <c r="S476" s="10" t="n">
        <f aca="false">IF(A476="","",R475)</f>
        <v>0</v>
      </c>
      <c r="T476" s="10" t="n">
        <f aca="false">IF(A476="","",IFERROR(S476*(1+Inputs!$B$23/12),""))</f>
        <v>0</v>
      </c>
      <c r="U476" s="6" t="n">
        <f aca="false">IF(A476="","",IF(D476&lt;=Inputs!$B$8,IF(Inputs!$B$22="Premium Offset",MAX(0,Inputs!$B$25-(Q476+T476)),Inputs!$B$25),0))</f>
        <v>0</v>
      </c>
      <c r="V476" s="10" t="n">
        <f aca="false">IF(A476="","",IF(Inputs!$B$22="Cash",Q476,0))</f>
        <v>0</v>
      </c>
      <c r="W476" s="10" t="n">
        <f aca="false">IF(A476="","",IF(Inputs!$B$22="PUA",Q476,0))</f>
        <v>0</v>
      </c>
      <c r="X476" s="12" t="n">
        <f aca="false">IF(A476="","",IFERROR(INDEX(PUA_TABLE!$D$4:$D$105,MATCH(E476,PUA_TABLE!$C$4:$C$105,1)),0))</f>
        <v>0.653556206949118</v>
      </c>
      <c r="Y476" s="10" t="n">
        <f aca="false">IF(A476="","",IF(W476&gt;0,IF(X476&gt;0,W476/X476,0),0))</f>
        <v>0</v>
      </c>
      <c r="Z476" s="10" t="n">
        <f aca="false">IF(A476="","",N476+Y476)</f>
        <v>0</v>
      </c>
      <c r="AA476" s="10" t="n">
        <f aca="false">IF(A476="","",IFERROR(Z476*INDEX(PUA_TABLE!$I$4:$I$105,MATCH(E476,PUA_TABLE!$C$4:$C$105,1))/1000,0))</f>
        <v>0</v>
      </c>
      <c r="AB476" s="10" t="n">
        <f aca="false">IF(A476="","",IFERROR(L476+AA476,0))</f>
        <v>32972.5561463595</v>
      </c>
      <c r="AC476" s="10" t="n">
        <f aca="false">IF(A476="","",IF(Inputs!$B$22="Premium Offset",MIN(Inputs!$B$25,Q476+T476),0))</f>
        <v>0</v>
      </c>
    </row>
    <row r="477" customFormat="false" ht="15" hidden="false" customHeight="false" outlineLevel="0" collapsed="false">
      <c r="A477" s="1" t="n">
        <f aca="false">IF(A476="","",IF(INT((C476+1)/12)+Inputs!$B$7&gt;MAX(MORTALITY!$A:$A),"",Inputs!$B$4))</f>
        <v>34</v>
      </c>
      <c r="B477" s="3" t="n">
        <f aca="false">IF(A477="","",EOMONTH(B476,1))</f>
        <v>36191</v>
      </c>
      <c r="C477" s="1" t="n">
        <f aca="false">IF(A477="","",C476+1)</f>
        <v>475</v>
      </c>
      <c r="D477" s="1" t="n">
        <f aca="false">IF(A477="","",INT(C477/12))</f>
        <v>39</v>
      </c>
      <c r="E477" s="1" t="n">
        <f aca="false">IF(A477="","",D477+Inputs!$B$7)</f>
        <v>55</v>
      </c>
      <c r="F477" s="3" t="n">
        <f aca="false">IF(A477="","",DATE(YEAR(B$2)+D477,MONTH(B$2),DAY(B$2)))</f>
        <v>35951</v>
      </c>
      <c r="G477" s="3" t="n">
        <f aca="false">IF(A477="","",DATE(YEAR(F477)+1,MONTH(F477),DAY(F477)))</f>
        <v>36316</v>
      </c>
      <c r="H477" s="10" t="n">
        <f aca="false">IF(A477="","",IF(G477&gt;F477,(B477-F477)/(G477-F477),0))</f>
        <v>0.657534246575342</v>
      </c>
      <c r="I477" s="10" t="n">
        <f aca="false">IF(A477="","",IFERROR(INDEX(CV_RATES!$I:$I,MATCH(D477,CV_RATES!$C:$C,0)),0))</f>
        <v>653.556206949118</v>
      </c>
      <c r="J477" s="10" t="n">
        <f aca="false">IF(A477="","",IFERROR(IF(E477=MAX(MORTALITY!$A:$A),1000,INDEX(CV_RATES!$J:$J,MATCH(D477,CV_RATES!$C:$C,0))),0))</f>
        <v>663.851155906037</v>
      </c>
      <c r="K477" s="10" t="n">
        <f aca="false">IF(A477="","",IFERROR(I477+H477*(J477-I477),0))</f>
        <v>660.325488455037</v>
      </c>
      <c r="L477" s="10" t="n">
        <f aca="false">IF(A477="","",IFERROR(K477*Inputs!$B$9,0))</f>
        <v>33016.2744227519</v>
      </c>
      <c r="M477" s="10" t="n">
        <f aca="false">IF(A477="","",IFERROR(K477*Inputs!$B$10,0))</f>
        <v>105650.097176341</v>
      </c>
      <c r="N477" s="10" t="n">
        <f aca="false">IF(A477="","",Z476)</f>
        <v>0</v>
      </c>
      <c r="O477" s="6" t="n">
        <f aca="false">IF(A477="","",Inputs!$B$18+N477)</f>
        <v>50000</v>
      </c>
      <c r="P477" s="5" t="n">
        <f aca="false">IF(A477="","",VLOOKUP(D477,DIvidend_Assumption!$A$3:$CX$103,($E$2+2),0)/12)</f>
        <v>0</v>
      </c>
      <c r="Q477" s="10" t="n">
        <f aca="false">IF(A477="","",IFERROR(AB476*P477,""))</f>
        <v>0</v>
      </c>
      <c r="R477" s="10" t="n">
        <f aca="false">IF(A477="","",IFERROR(IF(Inputs!$B$22="Accumulate",T477+Q477,IF(Inputs!$B$22="Premium Offset",MAX(0,T477+Q477-Inputs!$B$25),T477)),""))</f>
        <v>0</v>
      </c>
      <c r="S477" s="10" t="n">
        <f aca="false">IF(A477="","",R476)</f>
        <v>0</v>
      </c>
      <c r="T477" s="10" t="n">
        <f aca="false">IF(A477="","",IFERROR(S477*(1+Inputs!$B$23/12),""))</f>
        <v>0</v>
      </c>
      <c r="U477" s="6" t="n">
        <f aca="false">IF(A477="","",IF(D477&lt;=Inputs!$B$8,IF(Inputs!$B$22="Premium Offset",MAX(0,Inputs!$B$25-(Q477+T477)),Inputs!$B$25),0))</f>
        <v>0</v>
      </c>
      <c r="V477" s="10" t="n">
        <f aca="false">IF(A477="","",IF(Inputs!$B$22="Cash",Q477,0))</f>
        <v>0</v>
      </c>
      <c r="W477" s="10" t="n">
        <f aca="false">IF(A477="","",IF(Inputs!$B$22="PUA",Q477,0))</f>
        <v>0</v>
      </c>
      <c r="X477" s="12" t="n">
        <f aca="false">IF(A477="","",IFERROR(INDEX(PUA_TABLE!$D$4:$D$105,MATCH(E477,PUA_TABLE!$C$4:$C$105,1)),0))</f>
        <v>0.653556206949118</v>
      </c>
      <c r="Y477" s="10" t="n">
        <f aca="false">IF(A477="","",IF(W477&gt;0,IF(X477&gt;0,W477/X477,0),0))</f>
        <v>0</v>
      </c>
      <c r="Z477" s="10" t="n">
        <f aca="false">IF(A477="","",N477+Y477)</f>
        <v>0</v>
      </c>
      <c r="AA477" s="10" t="n">
        <f aca="false">IF(A477="","",IFERROR(Z477*INDEX(PUA_TABLE!$I$4:$I$105,MATCH(E477,PUA_TABLE!$C$4:$C$105,1))/1000,0))</f>
        <v>0</v>
      </c>
      <c r="AB477" s="10" t="n">
        <f aca="false">IF(A477="","",IFERROR(L477+AA477,0))</f>
        <v>33016.2744227519</v>
      </c>
      <c r="AC477" s="10" t="n">
        <f aca="false">IF(A477="","",IF(Inputs!$B$22="Premium Offset",MIN(Inputs!$B$25,Q477+T477),0))</f>
        <v>0</v>
      </c>
    </row>
    <row r="478" customFormat="false" ht="15" hidden="false" customHeight="false" outlineLevel="0" collapsed="false">
      <c r="A478" s="1" t="n">
        <f aca="false">IF(A477="","",IF(INT((C477+1)/12)+Inputs!$B$7&gt;MAX(MORTALITY!$A:$A),"",Inputs!$B$4))</f>
        <v>34</v>
      </c>
      <c r="B478" s="3" t="n">
        <f aca="false">IF(A478="","",EOMONTH(B477,1))</f>
        <v>36219</v>
      </c>
      <c r="C478" s="1" t="n">
        <f aca="false">IF(A478="","",C477+1)</f>
        <v>476</v>
      </c>
      <c r="D478" s="1" t="n">
        <f aca="false">IF(A478="","",INT(C478/12))</f>
        <v>39</v>
      </c>
      <c r="E478" s="1" t="n">
        <f aca="false">IF(A478="","",D478+Inputs!$B$7)</f>
        <v>55</v>
      </c>
      <c r="F478" s="3" t="n">
        <f aca="false">IF(A478="","",DATE(YEAR(B$2)+D478,MONTH(B$2),DAY(B$2)))</f>
        <v>35951</v>
      </c>
      <c r="G478" s="3" t="n">
        <f aca="false">IF(A478="","",DATE(YEAR(F478)+1,MONTH(F478),DAY(F478)))</f>
        <v>36316</v>
      </c>
      <c r="H478" s="10" t="n">
        <f aca="false">IF(A478="","",IF(G478&gt;F478,(B478-F478)/(G478-F478),0))</f>
        <v>0.734246575342466</v>
      </c>
      <c r="I478" s="10" t="n">
        <f aca="false">IF(A478="","",IFERROR(INDEX(CV_RATES!$I:$I,MATCH(D478,CV_RATES!$C:$C,0)),0))</f>
        <v>653.556206949118</v>
      </c>
      <c r="J478" s="10" t="n">
        <f aca="false">IF(A478="","",IFERROR(IF(E478=MAX(MORTALITY!$A:$A),1000,INDEX(CV_RATES!$J:$J,MATCH(D478,CV_RATES!$C:$C,0))),0))</f>
        <v>663.851155906037</v>
      </c>
      <c r="K478" s="10" t="n">
        <f aca="false">IF(A478="","",IFERROR(I478+H478*(J478-I478),0))</f>
        <v>661.115237964061</v>
      </c>
      <c r="L478" s="10" t="n">
        <f aca="false">IF(A478="","",IFERROR(K478*Inputs!$B$9,0))</f>
        <v>33055.7618982031</v>
      </c>
      <c r="M478" s="10" t="n">
        <f aca="false">IF(A478="","",IFERROR(K478*Inputs!$B$10,0))</f>
        <v>105776.454728536</v>
      </c>
      <c r="N478" s="10" t="n">
        <f aca="false">IF(A478="","",Z477)</f>
        <v>0</v>
      </c>
      <c r="O478" s="6" t="n">
        <f aca="false">IF(A478="","",Inputs!$B$18+N478)</f>
        <v>50000</v>
      </c>
      <c r="P478" s="5" t="n">
        <f aca="false">IF(A478="","",VLOOKUP(D478,DIvidend_Assumption!$A$3:$CX$103,($E$2+2),0)/12)</f>
        <v>0</v>
      </c>
      <c r="Q478" s="10" t="n">
        <f aca="false">IF(A478="","",IFERROR(AB477*P478,""))</f>
        <v>0</v>
      </c>
      <c r="R478" s="10" t="n">
        <f aca="false">IF(A478="","",IFERROR(IF(Inputs!$B$22="Accumulate",T478+Q478,IF(Inputs!$B$22="Premium Offset",MAX(0,T478+Q478-Inputs!$B$25),T478)),""))</f>
        <v>0</v>
      </c>
      <c r="S478" s="10" t="n">
        <f aca="false">IF(A478="","",R477)</f>
        <v>0</v>
      </c>
      <c r="T478" s="10" t="n">
        <f aca="false">IF(A478="","",IFERROR(S478*(1+Inputs!$B$23/12),""))</f>
        <v>0</v>
      </c>
      <c r="U478" s="6" t="n">
        <f aca="false">IF(A478="","",IF(D478&lt;=Inputs!$B$8,IF(Inputs!$B$22="Premium Offset",MAX(0,Inputs!$B$25-(Q478+T478)),Inputs!$B$25),0))</f>
        <v>0</v>
      </c>
      <c r="V478" s="10" t="n">
        <f aca="false">IF(A478="","",IF(Inputs!$B$22="Cash",Q478,0))</f>
        <v>0</v>
      </c>
      <c r="W478" s="10" t="n">
        <f aca="false">IF(A478="","",IF(Inputs!$B$22="PUA",Q478,0))</f>
        <v>0</v>
      </c>
      <c r="X478" s="12" t="n">
        <f aca="false">IF(A478="","",IFERROR(INDEX(PUA_TABLE!$D$4:$D$105,MATCH(E478,PUA_TABLE!$C$4:$C$105,1)),0))</f>
        <v>0.653556206949118</v>
      </c>
      <c r="Y478" s="10" t="n">
        <f aca="false">IF(A478="","",IF(W478&gt;0,IF(X478&gt;0,W478/X478,0),0))</f>
        <v>0</v>
      </c>
      <c r="Z478" s="10" t="n">
        <f aca="false">IF(A478="","",N478+Y478)</f>
        <v>0</v>
      </c>
      <c r="AA478" s="10" t="n">
        <f aca="false">IF(A478="","",IFERROR(Z478*INDEX(PUA_TABLE!$I$4:$I$105,MATCH(E478,PUA_TABLE!$C$4:$C$105,1))/1000,0))</f>
        <v>0</v>
      </c>
      <c r="AB478" s="10" t="n">
        <f aca="false">IF(A478="","",IFERROR(L478+AA478,0))</f>
        <v>33055.7618982031</v>
      </c>
      <c r="AC478" s="10" t="n">
        <f aca="false">IF(A478="","",IF(Inputs!$B$22="Premium Offset",MIN(Inputs!$B$25,Q478+T478),0))</f>
        <v>0</v>
      </c>
    </row>
    <row r="479" customFormat="false" ht="15" hidden="false" customHeight="false" outlineLevel="0" collapsed="false">
      <c r="A479" s="1" t="n">
        <f aca="false">IF(A478="","",IF(INT((C478+1)/12)+Inputs!$B$7&gt;MAX(MORTALITY!$A:$A),"",Inputs!$B$4))</f>
        <v>34</v>
      </c>
      <c r="B479" s="3" t="n">
        <f aca="false">IF(A479="","",EOMONTH(B478,1))</f>
        <v>36250</v>
      </c>
      <c r="C479" s="1" t="n">
        <f aca="false">IF(A479="","",C478+1)</f>
        <v>477</v>
      </c>
      <c r="D479" s="1" t="n">
        <f aca="false">IF(A479="","",INT(C479/12))</f>
        <v>39</v>
      </c>
      <c r="E479" s="1" t="n">
        <f aca="false">IF(A479="","",D479+Inputs!$B$7)</f>
        <v>55</v>
      </c>
      <c r="F479" s="3" t="n">
        <f aca="false">IF(A479="","",DATE(YEAR(B$2)+D479,MONTH(B$2),DAY(B$2)))</f>
        <v>35951</v>
      </c>
      <c r="G479" s="3" t="n">
        <f aca="false">IF(A479="","",DATE(YEAR(F479)+1,MONTH(F479),DAY(F479)))</f>
        <v>36316</v>
      </c>
      <c r="H479" s="10" t="n">
        <f aca="false">IF(A479="","",IF(G479&gt;F479,(B479-F479)/(G479-F479),0))</f>
        <v>0.819178082191781</v>
      </c>
      <c r="I479" s="10" t="n">
        <f aca="false">IF(A479="","",IFERROR(INDEX(CV_RATES!$I:$I,MATCH(D479,CV_RATES!$C:$C,0)),0))</f>
        <v>653.556206949118</v>
      </c>
      <c r="J479" s="10" t="n">
        <f aca="false">IF(A479="","",IFERROR(IF(E479=MAX(MORTALITY!$A:$A),1000,INDEX(CV_RATES!$J:$J,MATCH(D479,CV_RATES!$C:$C,0))),0))</f>
        <v>663.851155906037</v>
      </c>
      <c r="K479" s="10" t="n">
        <f aca="false">IF(A479="","",IFERROR(I479+H479*(J479-I479),0))</f>
        <v>661.989603491909</v>
      </c>
      <c r="L479" s="10" t="n">
        <f aca="false">IF(A479="","",IFERROR(K479*Inputs!$B$9,0))</f>
        <v>33099.4801745955</v>
      </c>
      <c r="M479" s="10" t="n">
        <f aca="false">IF(A479="","",IFERROR(K479*Inputs!$B$10,0))</f>
        <v>105916.350589895</v>
      </c>
      <c r="N479" s="10" t="n">
        <f aca="false">IF(A479="","",Z478)</f>
        <v>0</v>
      </c>
      <c r="O479" s="6" t="n">
        <f aca="false">IF(A479="","",Inputs!$B$18+N479)</f>
        <v>50000</v>
      </c>
      <c r="P479" s="5" t="n">
        <f aca="false">IF(A479="","",VLOOKUP(D479,DIvidend_Assumption!$A$3:$CX$103,($E$2+2),0)/12)</f>
        <v>0</v>
      </c>
      <c r="Q479" s="10" t="n">
        <f aca="false">IF(A479="","",IFERROR(AB478*P479,""))</f>
        <v>0</v>
      </c>
      <c r="R479" s="10" t="n">
        <f aca="false">IF(A479="","",IFERROR(IF(Inputs!$B$22="Accumulate",T479+Q479,IF(Inputs!$B$22="Premium Offset",MAX(0,T479+Q479-Inputs!$B$25),T479)),""))</f>
        <v>0</v>
      </c>
      <c r="S479" s="10" t="n">
        <f aca="false">IF(A479="","",R478)</f>
        <v>0</v>
      </c>
      <c r="T479" s="10" t="n">
        <f aca="false">IF(A479="","",IFERROR(S479*(1+Inputs!$B$23/12),""))</f>
        <v>0</v>
      </c>
      <c r="U479" s="6" t="n">
        <f aca="false">IF(A479="","",IF(D479&lt;=Inputs!$B$8,IF(Inputs!$B$22="Premium Offset",MAX(0,Inputs!$B$25-(Q479+T479)),Inputs!$B$25),0))</f>
        <v>0</v>
      </c>
      <c r="V479" s="10" t="n">
        <f aca="false">IF(A479="","",IF(Inputs!$B$22="Cash",Q479,0))</f>
        <v>0</v>
      </c>
      <c r="W479" s="10" t="n">
        <f aca="false">IF(A479="","",IF(Inputs!$B$22="PUA",Q479,0))</f>
        <v>0</v>
      </c>
      <c r="X479" s="12" t="n">
        <f aca="false">IF(A479="","",IFERROR(INDEX(PUA_TABLE!$D$4:$D$105,MATCH(E479,PUA_TABLE!$C$4:$C$105,1)),0))</f>
        <v>0.653556206949118</v>
      </c>
      <c r="Y479" s="10" t="n">
        <f aca="false">IF(A479="","",IF(W479&gt;0,IF(X479&gt;0,W479/X479,0),0))</f>
        <v>0</v>
      </c>
      <c r="Z479" s="10" t="n">
        <f aca="false">IF(A479="","",N479+Y479)</f>
        <v>0</v>
      </c>
      <c r="AA479" s="10" t="n">
        <f aca="false">IF(A479="","",IFERROR(Z479*INDEX(PUA_TABLE!$I$4:$I$105,MATCH(E479,PUA_TABLE!$C$4:$C$105,1))/1000,0))</f>
        <v>0</v>
      </c>
      <c r="AB479" s="10" t="n">
        <f aca="false">IF(A479="","",IFERROR(L479+AA479,0))</f>
        <v>33099.4801745955</v>
      </c>
      <c r="AC479" s="10" t="n">
        <f aca="false">IF(A479="","",IF(Inputs!$B$22="Premium Offset",MIN(Inputs!$B$25,Q479+T479),0))</f>
        <v>0</v>
      </c>
    </row>
    <row r="480" customFormat="false" ht="15" hidden="false" customHeight="false" outlineLevel="0" collapsed="false">
      <c r="A480" s="1" t="n">
        <f aca="false">IF(A479="","",IF(INT((C479+1)/12)+Inputs!$B$7&gt;MAX(MORTALITY!$A:$A),"",Inputs!$B$4))</f>
        <v>34</v>
      </c>
      <c r="B480" s="3" t="n">
        <f aca="false">IF(A480="","",EOMONTH(B479,1))</f>
        <v>36280</v>
      </c>
      <c r="C480" s="1" t="n">
        <f aca="false">IF(A480="","",C479+1)</f>
        <v>478</v>
      </c>
      <c r="D480" s="1" t="n">
        <f aca="false">IF(A480="","",INT(C480/12))</f>
        <v>39</v>
      </c>
      <c r="E480" s="1" t="n">
        <f aca="false">IF(A480="","",D480+Inputs!$B$7)</f>
        <v>55</v>
      </c>
      <c r="F480" s="3" t="n">
        <f aca="false">IF(A480="","",DATE(YEAR(B$2)+D480,MONTH(B$2),DAY(B$2)))</f>
        <v>35951</v>
      </c>
      <c r="G480" s="3" t="n">
        <f aca="false">IF(A480="","",DATE(YEAR(F480)+1,MONTH(F480),DAY(F480)))</f>
        <v>36316</v>
      </c>
      <c r="H480" s="10" t="n">
        <f aca="false">IF(A480="","",IF(G480&gt;F480,(B480-F480)/(G480-F480),0))</f>
        <v>0.901369863013699</v>
      </c>
      <c r="I480" s="10" t="n">
        <f aca="false">IF(A480="","",IFERROR(INDEX(CV_RATES!$I:$I,MATCH(D480,CV_RATES!$C:$C,0)),0))</f>
        <v>653.556206949118</v>
      </c>
      <c r="J480" s="10" t="n">
        <f aca="false">IF(A480="","",IFERROR(IF(E480=MAX(MORTALITY!$A:$A),1000,INDEX(CV_RATES!$J:$J,MATCH(D480,CV_RATES!$C:$C,0))),0))</f>
        <v>663.851155906037</v>
      </c>
      <c r="K480" s="10" t="n">
        <f aca="false">IF(A480="","",IFERROR(I480+H480*(J480-I480),0))</f>
        <v>662.835763680149</v>
      </c>
      <c r="L480" s="10" t="n">
        <f aca="false">IF(A480="","",IFERROR(K480*Inputs!$B$9,0))</f>
        <v>33141.7881840074</v>
      </c>
      <c r="M480" s="10" t="n">
        <f aca="false">IF(A480="","",IFERROR(K480*Inputs!$B$10,0))</f>
        <v>106051.733681533</v>
      </c>
      <c r="N480" s="10" t="n">
        <f aca="false">IF(A480="","",Z479)</f>
        <v>0</v>
      </c>
      <c r="O480" s="6" t="n">
        <f aca="false">IF(A480="","",Inputs!$B$18+N480)</f>
        <v>50000</v>
      </c>
      <c r="P480" s="5" t="n">
        <f aca="false">IF(A480="","",VLOOKUP(D480,DIvidend_Assumption!$A$3:$CX$103,($E$2+2),0)/12)</f>
        <v>0</v>
      </c>
      <c r="Q480" s="10" t="n">
        <f aca="false">IF(A480="","",IFERROR(AB479*P480,""))</f>
        <v>0</v>
      </c>
      <c r="R480" s="10" t="n">
        <f aca="false">IF(A480="","",IFERROR(IF(Inputs!$B$22="Accumulate",T480+Q480,IF(Inputs!$B$22="Premium Offset",MAX(0,T480+Q480-Inputs!$B$25),T480)),""))</f>
        <v>0</v>
      </c>
      <c r="S480" s="10" t="n">
        <f aca="false">IF(A480="","",R479)</f>
        <v>0</v>
      </c>
      <c r="T480" s="10" t="n">
        <f aca="false">IF(A480="","",IFERROR(S480*(1+Inputs!$B$23/12),""))</f>
        <v>0</v>
      </c>
      <c r="U480" s="6" t="n">
        <f aca="false">IF(A480="","",IF(D480&lt;=Inputs!$B$8,IF(Inputs!$B$22="Premium Offset",MAX(0,Inputs!$B$25-(Q480+T480)),Inputs!$B$25),0))</f>
        <v>0</v>
      </c>
      <c r="V480" s="10" t="n">
        <f aca="false">IF(A480="","",IF(Inputs!$B$22="Cash",Q480,0))</f>
        <v>0</v>
      </c>
      <c r="W480" s="10" t="n">
        <f aca="false">IF(A480="","",IF(Inputs!$B$22="PUA",Q480,0))</f>
        <v>0</v>
      </c>
      <c r="X480" s="12" t="n">
        <f aca="false">IF(A480="","",IFERROR(INDEX(PUA_TABLE!$D$4:$D$105,MATCH(E480,PUA_TABLE!$C$4:$C$105,1)),0))</f>
        <v>0.653556206949118</v>
      </c>
      <c r="Y480" s="10" t="n">
        <f aca="false">IF(A480="","",IF(W480&gt;0,IF(X480&gt;0,W480/X480,0),0))</f>
        <v>0</v>
      </c>
      <c r="Z480" s="10" t="n">
        <f aca="false">IF(A480="","",N480+Y480)</f>
        <v>0</v>
      </c>
      <c r="AA480" s="10" t="n">
        <f aca="false">IF(A480="","",IFERROR(Z480*INDEX(PUA_TABLE!$I$4:$I$105,MATCH(E480,PUA_TABLE!$C$4:$C$105,1))/1000,0))</f>
        <v>0</v>
      </c>
      <c r="AB480" s="10" t="n">
        <f aca="false">IF(A480="","",IFERROR(L480+AA480,0))</f>
        <v>33141.7881840074</v>
      </c>
      <c r="AC480" s="10" t="n">
        <f aca="false">IF(A480="","",IF(Inputs!$B$22="Premium Offset",MIN(Inputs!$B$25,Q480+T480),0))</f>
        <v>0</v>
      </c>
    </row>
    <row r="481" customFormat="false" ht="15" hidden="false" customHeight="false" outlineLevel="0" collapsed="false">
      <c r="A481" s="1" t="n">
        <f aca="false">IF(A480="","",IF(INT((C480+1)/12)+Inputs!$B$7&gt;MAX(MORTALITY!$A:$A),"",Inputs!$B$4))</f>
        <v>34</v>
      </c>
      <c r="B481" s="3" t="n">
        <f aca="false">IF(A481="","",EOMONTH(B480,1))</f>
        <v>36311</v>
      </c>
      <c r="C481" s="1" t="n">
        <f aca="false">IF(A481="","",C480+1)</f>
        <v>479</v>
      </c>
      <c r="D481" s="1" t="n">
        <f aca="false">IF(A481="","",INT(C481/12))</f>
        <v>39</v>
      </c>
      <c r="E481" s="1" t="n">
        <f aca="false">IF(A481="","",D481+Inputs!$B$7)</f>
        <v>55</v>
      </c>
      <c r="F481" s="3" t="n">
        <f aca="false">IF(A481="","",DATE(YEAR(B$2)+D481,MONTH(B$2),DAY(B$2)))</f>
        <v>35951</v>
      </c>
      <c r="G481" s="3" t="n">
        <f aca="false">IF(A481="","",DATE(YEAR(F481)+1,MONTH(F481),DAY(F481)))</f>
        <v>36316</v>
      </c>
      <c r="H481" s="10" t="n">
        <f aca="false">IF(A481="","",IF(G481&gt;F481,(B481-F481)/(G481-F481),0))</f>
        <v>0.986301369863014</v>
      </c>
      <c r="I481" s="10" t="n">
        <f aca="false">IF(A481="","",IFERROR(INDEX(CV_RATES!$I:$I,MATCH(D481,CV_RATES!$C:$C,0)),0))</f>
        <v>653.556206949118</v>
      </c>
      <c r="J481" s="10" t="n">
        <f aca="false">IF(A481="","",IFERROR(IF(E481=MAX(MORTALITY!$A:$A),1000,INDEX(CV_RATES!$J:$J,MATCH(D481,CV_RATES!$C:$C,0))),0))</f>
        <v>663.851155906037</v>
      </c>
      <c r="K481" s="10" t="n">
        <f aca="false">IF(A481="","",IFERROR(I481+H481*(J481-I481),0))</f>
        <v>663.710129207997</v>
      </c>
      <c r="L481" s="10" t="n">
        <f aca="false">IF(A481="","",IFERROR(K481*Inputs!$B$9,0))</f>
        <v>33185.5064603998</v>
      </c>
      <c r="M481" s="10" t="n">
        <f aca="false">IF(A481="","",IFERROR(K481*Inputs!$B$10,0))</f>
        <v>106191.629542892</v>
      </c>
      <c r="N481" s="10" t="n">
        <f aca="false">IF(A481="","",Z480)</f>
        <v>0</v>
      </c>
      <c r="O481" s="6" t="n">
        <f aca="false">IF(A481="","",Inputs!$B$18+N481)</f>
        <v>50000</v>
      </c>
      <c r="P481" s="5" t="n">
        <f aca="false">IF(A481="","",VLOOKUP(D481,DIvidend_Assumption!$A$3:$CX$103,($E$2+2),0)/12)</f>
        <v>0</v>
      </c>
      <c r="Q481" s="10" t="n">
        <f aca="false">IF(A481="","",IFERROR(AB480*P481,""))</f>
        <v>0</v>
      </c>
      <c r="R481" s="10" t="n">
        <f aca="false">IF(A481="","",IFERROR(IF(Inputs!$B$22="Accumulate",T481+Q481,IF(Inputs!$B$22="Premium Offset",MAX(0,T481+Q481-Inputs!$B$25),T481)),""))</f>
        <v>0</v>
      </c>
      <c r="S481" s="10" t="n">
        <f aca="false">IF(A481="","",R480)</f>
        <v>0</v>
      </c>
      <c r="T481" s="10" t="n">
        <f aca="false">IF(A481="","",IFERROR(S481*(1+Inputs!$B$23/12),""))</f>
        <v>0</v>
      </c>
      <c r="U481" s="6" t="n">
        <f aca="false">IF(A481="","",IF(D481&lt;=Inputs!$B$8,IF(Inputs!$B$22="Premium Offset",MAX(0,Inputs!$B$25-(Q481+T481)),Inputs!$B$25),0))</f>
        <v>0</v>
      </c>
      <c r="V481" s="10" t="n">
        <f aca="false">IF(A481="","",IF(Inputs!$B$22="Cash",Q481,0))</f>
        <v>0</v>
      </c>
      <c r="W481" s="10" t="n">
        <f aca="false">IF(A481="","",IF(Inputs!$B$22="PUA",Q481,0))</f>
        <v>0</v>
      </c>
      <c r="X481" s="12" t="n">
        <f aca="false">IF(A481="","",IFERROR(INDEX(PUA_TABLE!$D$4:$D$105,MATCH(E481,PUA_TABLE!$C$4:$C$105,1)),0))</f>
        <v>0.653556206949118</v>
      </c>
      <c r="Y481" s="10" t="n">
        <f aca="false">IF(A481="","",IF(W481&gt;0,IF(X481&gt;0,W481/X481,0),0))</f>
        <v>0</v>
      </c>
      <c r="Z481" s="10" t="n">
        <f aca="false">IF(A481="","",N481+Y481)</f>
        <v>0</v>
      </c>
      <c r="AA481" s="10" t="n">
        <f aca="false">IF(A481="","",IFERROR(Z481*INDEX(PUA_TABLE!$I$4:$I$105,MATCH(E481,PUA_TABLE!$C$4:$C$105,1))/1000,0))</f>
        <v>0</v>
      </c>
      <c r="AB481" s="10" t="n">
        <f aca="false">IF(A481="","",IFERROR(L481+AA481,0))</f>
        <v>33185.5064603998</v>
      </c>
      <c r="AC481" s="10" t="n">
        <f aca="false">IF(A481="","",IF(Inputs!$B$22="Premium Offset",MIN(Inputs!$B$25,Q481+T481),0))</f>
        <v>0</v>
      </c>
    </row>
    <row r="482" customFormat="false" ht="15" hidden="false" customHeight="false" outlineLevel="0" collapsed="false">
      <c r="A482" s="1" t="n">
        <f aca="false">IF(A481="","",IF(INT((C481+1)/12)+Inputs!$B$7&gt;MAX(MORTALITY!$A:$A),"",Inputs!$B$4))</f>
        <v>34</v>
      </c>
      <c r="B482" s="3" t="n">
        <f aca="false">IF(A482="","",EOMONTH(B481,1))</f>
        <v>36341</v>
      </c>
      <c r="C482" s="1" t="n">
        <f aca="false">IF(A482="","",C481+1)</f>
        <v>480</v>
      </c>
      <c r="D482" s="1" t="n">
        <f aca="false">IF(A482="","",INT(C482/12))</f>
        <v>40</v>
      </c>
      <c r="E482" s="1" t="n">
        <f aca="false">IF(A482="","",D482+Inputs!$B$7)</f>
        <v>56</v>
      </c>
      <c r="F482" s="3" t="n">
        <f aca="false">IF(A482="","",DATE(YEAR(B$2)+D482,MONTH(B$2),DAY(B$2)))</f>
        <v>36316</v>
      </c>
      <c r="G482" s="3" t="n">
        <f aca="false">IF(A482="","",DATE(YEAR(F482)+1,MONTH(F482),DAY(F482)))</f>
        <v>36682</v>
      </c>
      <c r="H482" s="10" t="n">
        <f aca="false">IF(A482="","",IF(G482&gt;F482,(B482-F482)/(G482-F482),0))</f>
        <v>0.0683060109289618</v>
      </c>
      <c r="I482" s="10" t="n">
        <f aca="false">IF(A482="","",IFERROR(INDEX(CV_RATES!$I:$I,MATCH(D482,CV_RATES!$C:$C,0)),0))</f>
        <v>663.851155906037</v>
      </c>
      <c r="J482" s="10" t="n">
        <f aca="false">IF(A482="","",IFERROR(IF(E482=MAX(MORTALITY!$A:$A),1000,INDEX(CV_RATES!$J:$J,MATCH(D482,CV_RATES!$C:$C,0))),0))</f>
        <v>674.115498948252</v>
      </c>
      <c r="K482" s="10" t="n">
        <f aca="false">IF(A482="","",IFERROR(I482+H482*(J482-I482),0))</f>
        <v>664.552272234057</v>
      </c>
      <c r="L482" s="10" t="n">
        <f aca="false">IF(A482="","",IFERROR(K482*Inputs!$B$9,0))</f>
        <v>33227.6136117028</v>
      </c>
      <c r="M482" s="10" t="n">
        <f aca="false">IF(A482="","",IFERROR(K482*Inputs!$B$10,0))</f>
        <v>106326.369900632</v>
      </c>
      <c r="N482" s="10" t="n">
        <f aca="false">IF(A482="","",Z481)</f>
        <v>0</v>
      </c>
      <c r="O482" s="6" t="n">
        <f aca="false">IF(A482="","",Inputs!$B$18+N482)</f>
        <v>50000</v>
      </c>
      <c r="P482" s="5" t="n">
        <f aca="false">IF(A482="","",VLOOKUP(D482,DIvidend_Assumption!$A$3:$CX$103,($E$2+2),0)/12)</f>
        <v>0</v>
      </c>
      <c r="Q482" s="10" t="n">
        <f aca="false">IF(A482="","",IFERROR(AB481*P482,""))</f>
        <v>0</v>
      </c>
      <c r="R482" s="10" t="n">
        <f aca="false">IF(A482="","",IFERROR(IF(Inputs!$B$22="Accumulate",T482+Q482,IF(Inputs!$B$22="Premium Offset",MAX(0,T482+Q482-Inputs!$B$25),T482)),""))</f>
        <v>0</v>
      </c>
      <c r="S482" s="10" t="n">
        <f aca="false">IF(A482="","",R481)</f>
        <v>0</v>
      </c>
      <c r="T482" s="10" t="n">
        <f aca="false">IF(A482="","",IFERROR(S482*(1+Inputs!$B$23/12),""))</f>
        <v>0</v>
      </c>
      <c r="U482" s="6" t="n">
        <f aca="false">IF(A482="","",IF(D482&lt;=Inputs!$B$8,IF(Inputs!$B$22="Premium Offset",MAX(0,Inputs!$B$25-(Q482+T482)),Inputs!$B$25),0))</f>
        <v>0</v>
      </c>
      <c r="V482" s="10" t="n">
        <f aca="false">IF(A482="","",IF(Inputs!$B$22="Cash",Q482,0))</f>
        <v>0</v>
      </c>
      <c r="W482" s="10" t="n">
        <f aca="false">IF(A482="","",IF(Inputs!$B$22="PUA",Q482,0))</f>
        <v>0</v>
      </c>
      <c r="X482" s="12" t="n">
        <f aca="false">IF(A482="","",IFERROR(INDEX(PUA_TABLE!$D$4:$D$105,MATCH(E482,PUA_TABLE!$C$4:$C$105,1)),0))</f>
        <v>0.663851155906037</v>
      </c>
      <c r="Y482" s="10" t="n">
        <f aca="false">IF(A482="","",IF(W482&gt;0,IF(X482&gt;0,W482/X482,0),0))</f>
        <v>0</v>
      </c>
      <c r="Z482" s="10" t="n">
        <f aca="false">IF(A482="","",N482+Y482)</f>
        <v>0</v>
      </c>
      <c r="AA482" s="10" t="n">
        <f aca="false">IF(A482="","",IFERROR(Z482*INDEX(PUA_TABLE!$I$4:$I$105,MATCH(E482,PUA_TABLE!$C$4:$C$105,1))/1000,0))</f>
        <v>0</v>
      </c>
      <c r="AB482" s="10" t="n">
        <f aca="false">IF(A482="","",IFERROR(L482+AA482,0))</f>
        <v>33227.6136117028</v>
      </c>
      <c r="AC482" s="10" t="n">
        <f aca="false">IF(A482="","",IF(Inputs!$B$22="Premium Offset",MIN(Inputs!$B$25,Q482+T482),0))</f>
        <v>0</v>
      </c>
    </row>
    <row r="483" customFormat="false" ht="15" hidden="false" customHeight="false" outlineLevel="0" collapsed="false">
      <c r="A483" s="1" t="n">
        <f aca="false">IF(A482="","",IF(INT((C482+1)/12)+Inputs!$B$7&gt;MAX(MORTALITY!$A:$A),"",Inputs!$B$4))</f>
        <v>34</v>
      </c>
      <c r="B483" s="3" t="n">
        <f aca="false">IF(A483="","",EOMONTH(B482,1))</f>
        <v>36372</v>
      </c>
      <c r="C483" s="1" t="n">
        <f aca="false">IF(A483="","",C482+1)</f>
        <v>481</v>
      </c>
      <c r="D483" s="1" t="n">
        <f aca="false">IF(A483="","",INT(C483/12))</f>
        <v>40</v>
      </c>
      <c r="E483" s="1" t="n">
        <f aca="false">IF(A483="","",D483+Inputs!$B$7)</f>
        <v>56</v>
      </c>
      <c r="F483" s="3" t="n">
        <f aca="false">IF(A483="","",DATE(YEAR(B$2)+D483,MONTH(B$2),DAY(B$2)))</f>
        <v>36316</v>
      </c>
      <c r="G483" s="3" t="n">
        <f aca="false">IF(A483="","",DATE(YEAR(F483)+1,MONTH(F483),DAY(F483)))</f>
        <v>36682</v>
      </c>
      <c r="H483" s="10" t="n">
        <f aca="false">IF(A483="","",IF(G483&gt;F483,(B483-F483)/(G483-F483),0))</f>
        <v>0.153005464480874</v>
      </c>
      <c r="I483" s="10" t="n">
        <f aca="false">IF(A483="","",IFERROR(INDEX(CV_RATES!$I:$I,MATCH(D483,CV_RATES!$C:$C,0)),0))</f>
        <v>663.851155906037</v>
      </c>
      <c r="J483" s="10" t="n">
        <f aca="false">IF(A483="","",IFERROR(IF(E483=MAX(MORTALITY!$A:$A),1000,INDEX(CV_RATES!$J:$J,MATCH(D483,CV_RATES!$C:$C,0))),0))</f>
        <v>674.115498948252</v>
      </c>
      <c r="K483" s="10" t="n">
        <f aca="false">IF(A483="","",IFERROR(I483+H483*(J483-I483),0))</f>
        <v>665.421656480802</v>
      </c>
      <c r="L483" s="10" t="n">
        <f aca="false">IF(A483="","",IFERROR(K483*Inputs!$B$9,0))</f>
        <v>33271.0828240401</v>
      </c>
      <c r="M483" s="10" t="n">
        <f aca="false">IF(A483="","",IFERROR(K483*Inputs!$B$10,0))</f>
        <v>106465.468771959</v>
      </c>
      <c r="N483" s="10" t="n">
        <f aca="false">IF(A483="","",Z482)</f>
        <v>0</v>
      </c>
      <c r="O483" s="6" t="n">
        <f aca="false">IF(A483="","",Inputs!$B$18+N483)</f>
        <v>50000</v>
      </c>
      <c r="P483" s="5" t="n">
        <f aca="false">IF(A483="","",VLOOKUP(D483,DIvidend_Assumption!$A$3:$CX$103,($E$2+2),0)/12)</f>
        <v>0</v>
      </c>
      <c r="Q483" s="10" t="n">
        <f aca="false">IF(A483="","",IFERROR(AB482*P483,""))</f>
        <v>0</v>
      </c>
      <c r="R483" s="10" t="n">
        <f aca="false">IF(A483="","",IFERROR(IF(Inputs!$B$22="Accumulate",T483+Q483,IF(Inputs!$B$22="Premium Offset",MAX(0,T483+Q483-Inputs!$B$25),T483)),""))</f>
        <v>0</v>
      </c>
      <c r="S483" s="10" t="n">
        <f aca="false">IF(A483="","",R482)</f>
        <v>0</v>
      </c>
      <c r="T483" s="10" t="n">
        <f aca="false">IF(A483="","",IFERROR(S483*(1+Inputs!$B$23/12),""))</f>
        <v>0</v>
      </c>
      <c r="U483" s="6" t="n">
        <f aca="false">IF(A483="","",IF(D483&lt;=Inputs!$B$8,IF(Inputs!$B$22="Premium Offset",MAX(0,Inputs!$B$25-(Q483+T483)),Inputs!$B$25),0))</f>
        <v>0</v>
      </c>
      <c r="V483" s="10" t="n">
        <f aca="false">IF(A483="","",IF(Inputs!$B$22="Cash",Q483,0))</f>
        <v>0</v>
      </c>
      <c r="W483" s="10" t="n">
        <f aca="false">IF(A483="","",IF(Inputs!$B$22="PUA",Q483,0))</f>
        <v>0</v>
      </c>
      <c r="X483" s="12" t="n">
        <f aca="false">IF(A483="","",IFERROR(INDEX(PUA_TABLE!$D$4:$D$105,MATCH(E483,PUA_TABLE!$C$4:$C$105,1)),0))</f>
        <v>0.663851155906037</v>
      </c>
      <c r="Y483" s="10" t="n">
        <f aca="false">IF(A483="","",IF(W483&gt;0,IF(X483&gt;0,W483/X483,0),0))</f>
        <v>0</v>
      </c>
      <c r="Z483" s="10" t="n">
        <f aca="false">IF(A483="","",N483+Y483)</f>
        <v>0</v>
      </c>
      <c r="AA483" s="10" t="n">
        <f aca="false">IF(A483="","",IFERROR(Z483*INDEX(PUA_TABLE!$I$4:$I$105,MATCH(E483,PUA_TABLE!$C$4:$C$105,1))/1000,0))</f>
        <v>0</v>
      </c>
      <c r="AB483" s="10" t="n">
        <f aca="false">IF(A483="","",IFERROR(L483+AA483,0))</f>
        <v>33271.0828240401</v>
      </c>
      <c r="AC483" s="10" t="n">
        <f aca="false">IF(A483="","",IF(Inputs!$B$22="Premium Offset",MIN(Inputs!$B$25,Q483+T483),0))</f>
        <v>0</v>
      </c>
    </row>
    <row r="484" customFormat="false" ht="15" hidden="false" customHeight="false" outlineLevel="0" collapsed="false">
      <c r="A484" s="1" t="n">
        <f aca="false">IF(A483="","",IF(INT((C483+1)/12)+Inputs!$B$7&gt;MAX(MORTALITY!$A:$A),"",Inputs!$B$4))</f>
        <v>34</v>
      </c>
      <c r="B484" s="3" t="n">
        <f aca="false">IF(A484="","",EOMONTH(B483,1))</f>
        <v>36403</v>
      </c>
      <c r="C484" s="1" t="n">
        <f aca="false">IF(A484="","",C483+1)</f>
        <v>482</v>
      </c>
      <c r="D484" s="1" t="n">
        <f aca="false">IF(A484="","",INT(C484/12))</f>
        <v>40</v>
      </c>
      <c r="E484" s="1" t="n">
        <f aca="false">IF(A484="","",D484+Inputs!$B$7)</f>
        <v>56</v>
      </c>
      <c r="F484" s="3" t="n">
        <f aca="false">IF(A484="","",DATE(YEAR(B$2)+D484,MONTH(B$2),DAY(B$2)))</f>
        <v>36316</v>
      </c>
      <c r="G484" s="3" t="n">
        <f aca="false">IF(A484="","",DATE(YEAR(F484)+1,MONTH(F484),DAY(F484)))</f>
        <v>36682</v>
      </c>
      <c r="H484" s="10" t="n">
        <f aca="false">IF(A484="","",IF(G484&gt;F484,(B484-F484)/(G484-F484),0))</f>
        <v>0.237704918032787</v>
      </c>
      <c r="I484" s="10" t="n">
        <f aca="false">IF(A484="","",IFERROR(INDEX(CV_RATES!$I:$I,MATCH(D484,CV_RATES!$C:$C,0)),0))</f>
        <v>663.851155906037</v>
      </c>
      <c r="J484" s="10" t="n">
        <f aca="false">IF(A484="","",IFERROR(IF(E484=MAX(MORTALITY!$A:$A),1000,INDEX(CV_RATES!$J:$J,MATCH(D484,CV_RATES!$C:$C,0))),0))</f>
        <v>674.115498948252</v>
      </c>
      <c r="K484" s="10" t="n">
        <f aca="false">IF(A484="","",IFERROR(I484+H484*(J484-I484),0))</f>
        <v>666.291040727547</v>
      </c>
      <c r="L484" s="10" t="n">
        <f aca="false">IF(A484="","",IFERROR(K484*Inputs!$B$9,0))</f>
        <v>33314.5520363773</v>
      </c>
      <c r="M484" s="10" t="n">
        <f aca="false">IF(A484="","",IFERROR(K484*Inputs!$B$10,0))</f>
        <v>106604.567643285</v>
      </c>
      <c r="N484" s="10" t="n">
        <f aca="false">IF(A484="","",Z483)</f>
        <v>0</v>
      </c>
      <c r="O484" s="6" t="n">
        <f aca="false">IF(A484="","",Inputs!$B$18+N484)</f>
        <v>50000</v>
      </c>
      <c r="P484" s="5" t="n">
        <f aca="false">IF(A484="","",VLOOKUP(D484,DIvidend_Assumption!$A$3:$CX$103,($E$2+2),0)/12)</f>
        <v>0</v>
      </c>
      <c r="Q484" s="10" t="n">
        <f aca="false">IF(A484="","",IFERROR(AB483*P484,""))</f>
        <v>0</v>
      </c>
      <c r="R484" s="10" t="n">
        <f aca="false">IF(A484="","",IFERROR(IF(Inputs!$B$22="Accumulate",T484+Q484,IF(Inputs!$B$22="Premium Offset",MAX(0,T484+Q484-Inputs!$B$25),T484)),""))</f>
        <v>0</v>
      </c>
      <c r="S484" s="10" t="n">
        <f aca="false">IF(A484="","",R483)</f>
        <v>0</v>
      </c>
      <c r="T484" s="10" t="n">
        <f aca="false">IF(A484="","",IFERROR(S484*(1+Inputs!$B$23/12),""))</f>
        <v>0</v>
      </c>
      <c r="U484" s="6" t="n">
        <f aca="false">IF(A484="","",IF(D484&lt;=Inputs!$B$8,IF(Inputs!$B$22="Premium Offset",MAX(0,Inputs!$B$25-(Q484+T484)),Inputs!$B$25),0))</f>
        <v>0</v>
      </c>
      <c r="V484" s="10" t="n">
        <f aca="false">IF(A484="","",IF(Inputs!$B$22="Cash",Q484,0))</f>
        <v>0</v>
      </c>
      <c r="W484" s="10" t="n">
        <f aca="false">IF(A484="","",IF(Inputs!$B$22="PUA",Q484,0))</f>
        <v>0</v>
      </c>
      <c r="X484" s="12" t="n">
        <f aca="false">IF(A484="","",IFERROR(INDEX(PUA_TABLE!$D$4:$D$105,MATCH(E484,PUA_TABLE!$C$4:$C$105,1)),0))</f>
        <v>0.663851155906037</v>
      </c>
      <c r="Y484" s="10" t="n">
        <f aca="false">IF(A484="","",IF(W484&gt;0,IF(X484&gt;0,W484/X484,0),0))</f>
        <v>0</v>
      </c>
      <c r="Z484" s="10" t="n">
        <f aca="false">IF(A484="","",N484+Y484)</f>
        <v>0</v>
      </c>
      <c r="AA484" s="10" t="n">
        <f aca="false">IF(A484="","",IFERROR(Z484*INDEX(PUA_TABLE!$I$4:$I$105,MATCH(E484,PUA_TABLE!$C$4:$C$105,1))/1000,0))</f>
        <v>0</v>
      </c>
      <c r="AB484" s="10" t="n">
        <f aca="false">IF(A484="","",IFERROR(L484+AA484,0))</f>
        <v>33314.5520363773</v>
      </c>
      <c r="AC484" s="10" t="n">
        <f aca="false">IF(A484="","",IF(Inputs!$B$22="Premium Offset",MIN(Inputs!$B$25,Q484+T484),0))</f>
        <v>0</v>
      </c>
    </row>
    <row r="485" customFormat="false" ht="15" hidden="false" customHeight="false" outlineLevel="0" collapsed="false">
      <c r="A485" s="1" t="n">
        <f aca="false">IF(A484="","",IF(INT((C484+1)/12)+Inputs!$B$7&gt;MAX(MORTALITY!$A:$A),"",Inputs!$B$4))</f>
        <v>34</v>
      </c>
      <c r="B485" s="3" t="n">
        <f aca="false">IF(A485="","",EOMONTH(B484,1))</f>
        <v>36433</v>
      </c>
      <c r="C485" s="1" t="n">
        <f aca="false">IF(A485="","",C484+1)</f>
        <v>483</v>
      </c>
      <c r="D485" s="1" t="n">
        <f aca="false">IF(A485="","",INT(C485/12))</f>
        <v>40</v>
      </c>
      <c r="E485" s="1" t="n">
        <f aca="false">IF(A485="","",D485+Inputs!$B$7)</f>
        <v>56</v>
      </c>
      <c r="F485" s="3" t="n">
        <f aca="false">IF(A485="","",DATE(YEAR(B$2)+D485,MONTH(B$2),DAY(B$2)))</f>
        <v>36316</v>
      </c>
      <c r="G485" s="3" t="n">
        <f aca="false">IF(A485="","",DATE(YEAR(F485)+1,MONTH(F485),DAY(F485)))</f>
        <v>36682</v>
      </c>
      <c r="H485" s="10" t="n">
        <f aca="false">IF(A485="","",IF(G485&gt;F485,(B485-F485)/(G485-F485),0))</f>
        <v>0.319672131147541</v>
      </c>
      <c r="I485" s="10" t="n">
        <f aca="false">IF(A485="","",IFERROR(INDEX(CV_RATES!$I:$I,MATCH(D485,CV_RATES!$C:$C,0)),0))</f>
        <v>663.851155906037</v>
      </c>
      <c r="J485" s="10" t="n">
        <f aca="false">IF(A485="","",IFERROR(IF(E485=MAX(MORTALITY!$A:$A),1000,INDEX(CV_RATES!$J:$J,MATCH(D485,CV_RATES!$C:$C,0))),0))</f>
        <v>674.115498948252</v>
      </c>
      <c r="K485" s="10" t="n">
        <f aca="false">IF(A485="","",IFERROR(I485+H485*(J485-I485),0))</f>
        <v>667.132380321171</v>
      </c>
      <c r="L485" s="10" t="n">
        <f aca="false">IF(A485="","",IFERROR(K485*Inputs!$B$9,0))</f>
        <v>33356.6190160586</v>
      </c>
      <c r="M485" s="10" t="n">
        <f aca="false">IF(A485="","",IFERROR(K485*Inputs!$B$10,0))</f>
        <v>106739.179454246</v>
      </c>
      <c r="N485" s="10" t="n">
        <f aca="false">IF(A485="","",Z484)</f>
        <v>0</v>
      </c>
      <c r="O485" s="6" t="n">
        <f aca="false">IF(A485="","",Inputs!$B$18+N485)</f>
        <v>50000</v>
      </c>
      <c r="P485" s="5" t="n">
        <f aca="false">IF(A485="","",VLOOKUP(D485,DIvidend_Assumption!$A$3:$CX$103,($E$2+2),0)/12)</f>
        <v>0</v>
      </c>
      <c r="Q485" s="10" t="n">
        <f aca="false">IF(A485="","",IFERROR(AB484*P485,""))</f>
        <v>0</v>
      </c>
      <c r="R485" s="10" t="n">
        <f aca="false">IF(A485="","",IFERROR(IF(Inputs!$B$22="Accumulate",T485+Q485,IF(Inputs!$B$22="Premium Offset",MAX(0,T485+Q485-Inputs!$B$25),T485)),""))</f>
        <v>0</v>
      </c>
      <c r="S485" s="10" t="n">
        <f aca="false">IF(A485="","",R484)</f>
        <v>0</v>
      </c>
      <c r="T485" s="10" t="n">
        <f aca="false">IF(A485="","",IFERROR(S485*(1+Inputs!$B$23/12),""))</f>
        <v>0</v>
      </c>
      <c r="U485" s="6" t="n">
        <f aca="false">IF(A485="","",IF(D485&lt;=Inputs!$B$8,IF(Inputs!$B$22="Premium Offset",MAX(0,Inputs!$B$25-(Q485+T485)),Inputs!$B$25),0))</f>
        <v>0</v>
      </c>
      <c r="V485" s="10" t="n">
        <f aca="false">IF(A485="","",IF(Inputs!$B$22="Cash",Q485,0))</f>
        <v>0</v>
      </c>
      <c r="W485" s="10" t="n">
        <f aca="false">IF(A485="","",IF(Inputs!$B$22="PUA",Q485,0))</f>
        <v>0</v>
      </c>
      <c r="X485" s="12" t="n">
        <f aca="false">IF(A485="","",IFERROR(INDEX(PUA_TABLE!$D$4:$D$105,MATCH(E485,PUA_TABLE!$C$4:$C$105,1)),0))</f>
        <v>0.663851155906037</v>
      </c>
      <c r="Y485" s="10" t="n">
        <f aca="false">IF(A485="","",IF(W485&gt;0,IF(X485&gt;0,W485/X485,0),0))</f>
        <v>0</v>
      </c>
      <c r="Z485" s="10" t="n">
        <f aca="false">IF(A485="","",N485+Y485)</f>
        <v>0</v>
      </c>
      <c r="AA485" s="10" t="n">
        <f aca="false">IF(A485="","",IFERROR(Z485*INDEX(PUA_TABLE!$I$4:$I$105,MATCH(E485,PUA_TABLE!$C$4:$C$105,1))/1000,0))</f>
        <v>0</v>
      </c>
      <c r="AB485" s="10" t="n">
        <f aca="false">IF(A485="","",IFERROR(L485+AA485,0))</f>
        <v>33356.6190160586</v>
      </c>
      <c r="AC485" s="10" t="n">
        <f aca="false">IF(A485="","",IF(Inputs!$B$22="Premium Offset",MIN(Inputs!$B$25,Q485+T485),0))</f>
        <v>0</v>
      </c>
    </row>
    <row r="486" customFormat="false" ht="15" hidden="false" customHeight="false" outlineLevel="0" collapsed="false">
      <c r="A486" s="1" t="n">
        <f aca="false">IF(A485="","",IF(INT((C485+1)/12)+Inputs!$B$7&gt;MAX(MORTALITY!$A:$A),"",Inputs!$B$4))</f>
        <v>34</v>
      </c>
      <c r="B486" s="3" t="n">
        <f aca="false">IF(A486="","",EOMONTH(B485,1))</f>
        <v>36464</v>
      </c>
      <c r="C486" s="1" t="n">
        <f aca="false">IF(A486="","",C485+1)</f>
        <v>484</v>
      </c>
      <c r="D486" s="1" t="n">
        <f aca="false">IF(A486="","",INT(C486/12))</f>
        <v>40</v>
      </c>
      <c r="E486" s="1" t="n">
        <f aca="false">IF(A486="","",D486+Inputs!$B$7)</f>
        <v>56</v>
      </c>
      <c r="F486" s="3" t="n">
        <f aca="false">IF(A486="","",DATE(YEAR(B$2)+D486,MONTH(B$2),DAY(B$2)))</f>
        <v>36316</v>
      </c>
      <c r="G486" s="3" t="n">
        <f aca="false">IF(A486="","",DATE(YEAR(F486)+1,MONTH(F486),DAY(F486)))</f>
        <v>36682</v>
      </c>
      <c r="H486" s="10" t="n">
        <f aca="false">IF(A486="","",IF(G486&gt;F486,(B486-F486)/(G486-F486),0))</f>
        <v>0.404371584699454</v>
      </c>
      <c r="I486" s="10" t="n">
        <f aca="false">IF(A486="","",IFERROR(INDEX(CV_RATES!$I:$I,MATCH(D486,CV_RATES!$C:$C,0)),0))</f>
        <v>663.851155906037</v>
      </c>
      <c r="J486" s="10" t="n">
        <f aca="false">IF(A486="","",IFERROR(IF(E486=MAX(MORTALITY!$A:$A),1000,INDEX(CV_RATES!$J:$J,MATCH(D486,CV_RATES!$C:$C,0))),0))</f>
        <v>674.115498948252</v>
      </c>
      <c r="K486" s="10" t="n">
        <f aca="false">IF(A486="","",IFERROR(I486+H486*(J486-I486),0))</f>
        <v>668.001764567916</v>
      </c>
      <c r="L486" s="10" t="n">
        <f aca="false">IF(A486="","",IFERROR(K486*Inputs!$B$9,0))</f>
        <v>33400.0882283958</v>
      </c>
      <c r="M486" s="10" t="n">
        <f aca="false">IF(A486="","",IFERROR(K486*Inputs!$B$10,0))</f>
        <v>106878.278325573</v>
      </c>
      <c r="N486" s="10" t="n">
        <f aca="false">IF(A486="","",Z485)</f>
        <v>0</v>
      </c>
      <c r="O486" s="6" t="n">
        <f aca="false">IF(A486="","",Inputs!$B$18+N486)</f>
        <v>50000</v>
      </c>
      <c r="P486" s="5" t="n">
        <f aca="false">IF(A486="","",VLOOKUP(D486,DIvidend_Assumption!$A$3:$CX$103,($E$2+2),0)/12)</f>
        <v>0</v>
      </c>
      <c r="Q486" s="10" t="n">
        <f aca="false">IF(A486="","",IFERROR(AB485*P486,""))</f>
        <v>0</v>
      </c>
      <c r="R486" s="10" t="n">
        <f aca="false">IF(A486="","",IFERROR(IF(Inputs!$B$22="Accumulate",T486+Q486,IF(Inputs!$B$22="Premium Offset",MAX(0,T486+Q486-Inputs!$B$25),T486)),""))</f>
        <v>0</v>
      </c>
      <c r="S486" s="10" t="n">
        <f aca="false">IF(A486="","",R485)</f>
        <v>0</v>
      </c>
      <c r="T486" s="10" t="n">
        <f aca="false">IF(A486="","",IFERROR(S486*(1+Inputs!$B$23/12),""))</f>
        <v>0</v>
      </c>
      <c r="U486" s="6" t="n">
        <f aca="false">IF(A486="","",IF(D486&lt;=Inputs!$B$8,IF(Inputs!$B$22="Premium Offset",MAX(0,Inputs!$B$25-(Q486+T486)),Inputs!$B$25),0))</f>
        <v>0</v>
      </c>
      <c r="V486" s="10" t="n">
        <f aca="false">IF(A486="","",IF(Inputs!$B$22="Cash",Q486,0))</f>
        <v>0</v>
      </c>
      <c r="W486" s="10" t="n">
        <f aca="false">IF(A486="","",IF(Inputs!$B$22="PUA",Q486,0))</f>
        <v>0</v>
      </c>
      <c r="X486" s="12" t="n">
        <f aca="false">IF(A486="","",IFERROR(INDEX(PUA_TABLE!$D$4:$D$105,MATCH(E486,PUA_TABLE!$C$4:$C$105,1)),0))</f>
        <v>0.663851155906037</v>
      </c>
      <c r="Y486" s="10" t="n">
        <f aca="false">IF(A486="","",IF(W486&gt;0,IF(X486&gt;0,W486/X486,0),0))</f>
        <v>0</v>
      </c>
      <c r="Z486" s="10" t="n">
        <f aca="false">IF(A486="","",N486+Y486)</f>
        <v>0</v>
      </c>
      <c r="AA486" s="10" t="n">
        <f aca="false">IF(A486="","",IFERROR(Z486*INDEX(PUA_TABLE!$I$4:$I$105,MATCH(E486,PUA_TABLE!$C$4:$C$105,1))/1000,0))</f>
        <v>0</v>
      </c>
      <c r="AB486" s="10" t="n">
        <f aca="false">IF(A486="","",IFERROR(L486+AA486,0))</f>
        <v>33400.0882283958</v>
      </c>
      <c r="AC486" s="10" t="n">
        <f aca="false">IF(A486="","",IF(Inputs!$B$22="Premium Offset",MIN(Inputs!$B$25,Q486+T486),0))</f>
        <v>0</v>
      </c>
    </row>
    <row r="487" customFormat="false" ht="15" hidden="false" customHeight="false" outlineLevel="0" collapsed="false">
      <c r="A487" s="1" t="n">
        <f aca="false">IF(A486="","",IF(INT((C486+1)/12)+Inputs!$B$7&gt;MAX(MORTALITY!$A:$A),"",Inputs!$B$4))</f>
        <v>34</v>
      </c>
      <c r="B487" s="3" t="n">
        <f aca="false">IF(A487="","",EOMONTH(B486,1))</f>
        <v>36494</v>
      </c>
      <c r="C487" s="1" t="n">
        <f aca="false">IF(A487="","",C486+1)</f>
        <v>485</v>
      </c>
      <c r="D487" s="1" t="n">
        <f aca="false">IF(A487="","",INT(C487/12))</f>
        <v>40</v>
      </c>
      <c r="E487" s="1" t="n">
        <f aca="false">IF(A487="","",D487+Inputs!$B$7)</f>
        <v>56</v>
      </c>
      <c r="F487" s="3" t="n">
        <f aca="false">IF(A487="","",DATE(YEAR(B$2)+D487,MONTH(B$2),DAY(B$2)))</f>
        <v>36316</v>
      </c>
      <c r="G487" s="3" t="n">
        <f aca="false">IF(A487="","",DATE(YEAR(F487)+1,MONTH(F487),DAY(F487)))</f>
        <v>36682</v>
      </c>
      <c r="H487" s="10" t="n">
        <f aca="false">IF(A487="","",IF(G487&gt;F487,(B487-F487)/(G487-F487),0))</f>
        <v>0.486338797814208</v>
      </c>
      <c r="I487" s="10" t="n">
        <f aca="false">IF(A487="","",IFERROR(INDEX(CV_RATES!$I:$I,MATCH(D487,CV_RATES!$C:$C,0)),0))</f>
        <v>663.851155906037</v>
      </c>
      <c r="J487" s="10" t="n">
        <f aca="false">IF(A487="","",IFERROR(IF(E487=MAX(MORTALITY!$A:$A),1000,INDEX(CV_RATES!$J:$J,MATCH(D487,CV_RATES!$C:$C,0))),0))</f>
        <v>674.115498948252</v>
      </c>
      <c r="K487" s="10" t="n">
        <f aca="false">IF(A487="","",IFERROR(I487+H487*(J487-I487),0))</f>
        <v>668.84310416154</v>
      </c>
      <c r="L487" s="10" t="n">
        <f aca="false">IF(A487="","",IFERROR(K487*Inputs!$B$9,0))</f>
        <v>33442.155208077</v>
      </c>
      <c r="M487" s="10" t="n">
        <f aca="false">IF(A487="","",IFERROR(K487*Inputs!$B$10,0))</f>
        <v>107012.890136534</v>
      </c>
      <c r="N487" s="10" t="n">
        <f aca="false">IF(A487="","",Z486)</f>
        <v>0</v>
      </c>
      <c r="O487" s="6" t="n">
        <f aca="false">IF(A487="","",Inputs!$B$18+N487)</f>
        <v>50000</v>
      </c>
      <c r="P487" s="5" t="n">
        <f aca="false">IF(A487="","",VLOOKUP(D487,DIvidend_Assumption!$A$3:$CX$103,($E$2+2),0)/12)</f>
        <v>0</v>
      </c>
      <c r="Q487" s="10" t="n">
        <f aca="false">IF(A487="","",IFERROR(AB486*P487,""))</f>
        <v>0</v>
      </c>
      <c r="R487" s="10" t="n">
        <f aca="false">IF(A487="","",IFERROR(IF(Inputs!$B$22="Accumulate",T487+Q487,IF(Inputs!$B$22="Premium Offset",MAX(0,T487+Q487-Inputs!$B$25),T487)),""))</f>
        <v>0</v>
      </c>
      <c r="S487" s="10" t="n">
        <f aca="false">IF(A487="","",R486)</f>
        <v>0</v>
      </c>
      <c r="T487" s="10" t="n">
        <f aca="false">IF(A487="","",IFERROR(S487*(1+Inputs!$B$23/12),""))</f>
        <v>0</v>
      </c>
      <c r="U487" s="6" t="n">
        <f aca="false">IF(A487="","",IF(D487&lt;=Inputs!$B$8,IF(Inputs!$B$22="Premium Offset",MAX(0,Inputs!$B$25-(Q487+T487)),Inputs!$B$25),0))</f>
        <v>0</v>
      </c>
      <c r="V487" s="10" t="n">
        <f aca="false">IF(A487="","",IF(Inputs!$B$22="Cash",Q487,0))</f>
        <v>0</v>
      </c>
      <c r="W487" s="10" t="n">
        <f aca="false">IF(A487="","",IF(Inputs!$B$22="PUA",Q487,0))</f>
        <v>0</v>
      </c>
      <c r="X487" s="12" t="n">
        <f aca="false">IF(A487="","",IFERROR(INDEX(PUA_TABLE!$D$4:$D$105,MATCH(E487,PUA_TABLE!$C$4:$C$105,1)),0))</f>
        <v>0.663851155906037</v>
      </c>
      <c r="Y487" s="10" t="n">
        <f aca="false">IF(A487="","",IF(W487&gt;0,IF(X487&gt;0,W487/X487,0),0))</f>
        <v>0</v>
      </c>
      <c r="Z487" s="10" t="n">
        <f aca="false">IF(A487="","",N487+Y487)</f>
        <v>0</v>
      </c>
      <c r="AA487" s="10" t="n">
        <f aca="false">IF(A487="","",IFERROR(Z487*INDEX(PUA_TABLE!$I$4:$I$105,MATCH(E487,PUA_TABLE!$C$4:$C$105,1))/1000,0))</f>
        <v>0</v>
      </c>
      <c r="AB487" s="10" t="n">
        <f aca="false">IF(A487="","",IFERROR(L487+AA487,0))</f>
        <v>33442.155208077</v>
      </c>
      <c r="AC487" s="10" t="n">
        <f aca="false">IF(A487="","",IF(Inputs!$B$22="Premium Offset",MIN(Inputs!$B$25,Q487+T487),0))</f>
        <v>0</v>
      </c>
    </row>
    <row r="488" customFormat="false" ht="15" hidden="false" customHeight="false" outlineLevel="0" collapsed="false">
      <c r="A488" s="1" t="n">
        <f aca="false">IF(A487="","",IF(INT((C487+1)/12)+Inputs!$B$7&gt;MAX(MORTALITY!$A:$A),"",Inputs!$B$4))</f>
        <v>34</v>
      </c>
      <c r="B488" s="3" t="n">
        <f aca="false">IF(A488="","",EOMONTH(B487,1))</f>
        <v>36525</v>
      </c>
      <c r="C488" s="1" t="n">
        <f aca="false">IF(A488="","",C487+1)</f>
        <v>486</v>
      </c>
      <c r="D488" s="1" t="n">
        <f aca="false">IF(A488="","",INT(C488/12))</f>
        <v>40</v>
      </c>
      <c r="E488" s="1" t="n">
        <f aca="false">IF(A488="","",D488+Inputs!$B$7)</f>
        <v>56</v>
      </c>
      <c r="F488" s="3" t="n">
        <f aca="false">IF(A488="","",DATE(YEAR(B$2)+D488,MONTH(B$2),DAY(B$2)))</f>
        <v>36316</v>
      </c>
      <c r="G488" s="3" t="n">
        <f aca="false">IF(A488="","",DATE(YEAR(F488)+1,MONTH(F488),DAY(F488)))</f>
        <v>36682</v>
      </c>
      <c r="H488" s="10" t="n">
        <f aca="false">IF(A488="","",IF(G488&gt;F488,(B488-F488)/(G488-F488),0))</f>
        <v>0.57103825136612</v>
      </c>
      <c r="I488" s="10" t="n">
        <f aca="false">IF(A488="","",IFERROR(INDEX(CV_RATES!$I:$I,MATCH(D488,CV_RATES!$C:$C,0)),0))</f>
        <v>663.851155906037</v>
      </c>
      <c r="J488" s="10" t="n">
        <f aca="false">IF(A488="","",IFERROR(IF(E488=MAX(MORTALITY!$A:$A),1000,INDEX(CV_RATES!$J:$J,MATCH(D488,CV_RATES!$C:$C,0))),0))</f>
        <v>674.115498948252</v>
      </c>
      <c r="K488" s="10" t="n">
        <f aca="false">IF(A488="","",IFERROR(I488+H488*(J488-I488),0))</f>
        <v>669.712488408285</v>
      </c>
      <c r="L488" s="10" t="n">
        <f aca="false">IF(A488="","",IFERROR(K488*Inputs!$B$9,0))</f>
        <v>33485.6244204143</v>
      </c>
      <c r="M488" s="10" t="n">
        <f aca="false">IF(A488="","",IFERROR(K488*Inputs!$B$10,0))</f>
        <v>107151.98900786</v>
      </c>
      <c r="N488" s="10" t="n">
        <f aca="false">IF(A488="","",Z487)</f>
        <v>0</v>
      </c>
      <c r="O488" s="6" t="n">
        <f aca="false">IF(A488="","",Inputs!$B$18+N488)</f>
        <v>50000</v>
      </c>
      <c r="P488" s="5" t="n">
        <f aca="false">IF(A488="","",VLOOKUP(D488,DIvidend_Assumption!$A$3:$CX$103,($E$2+2),0)/12)</f>
        <v>0</v>
      </c>
      <c r="Q488" s="10" t="n">
        <f aca="false">IF(A488="","",IFERROR(AB487*P488,""))</f>
        <v>0</v>
      </c>
      <c r="R488" s="10" t="n">
        <f aca="false">IF(A488="","",IFERROR(IF(Inputs!$B$22="Accumulate",T488+Q488,IF(Inputs!$B$22="Premium Offset",MAX(0,T488+Q488-Inputs!$B$25),T488)),""))</f>
        <v>0</v>
      </c>
      <c r="S488" s="10" t="n">
        <f aca="false">IF(A488="","",R487)</f>
        <v>0</v>
      </c>
      <c r="T488" s="10" t="n">
        <f aca="false">IF(A488="","",IFERROR(S488*(1+Inputs!$B$23/12),""))</f>
        <v>0</v>
      </c>
      <c r="U488" s="6" t="n">
        <f aca="false">IF(A488="","",IF(D488&lt;=Inputs!$B$8,IF(Inputs!$B$22="Premium Offset",MAX(0,Inputs!$B$25-(Q488+T488)),Inputs!$B$25),0))</f>
        <v>0</v>
      </c>
      <c r="V488" s="10" t="n">
        <f aca="false">IF(A488="","",IF(Inputs!$B$22="Cash",Q488,0))</f>
        <v>0</v>
      </c>
      <c r="W488" s="10" t="n">
        <f aca="false">IF(A488="","",IF(Inputs!$B$22="PUA",Q488,0))</f>
        <v>0</v>
      </c>
      <c r="X488" s="12" t="n">
        <f aca="false">IF(A488="","",IFERROR(INDEX(PUA_TABLE!$D$4:$D$105,MATCH(E488,PUA_TABLE!$C$4:$C$105,1)),0))</f>
        <v>0.663851155906037</v>
      </c>
      <c r="Y488" s="10" t="n">
        <f aca="false">IF(A488="","",IF(W488&gt;0,IF(X488&gt;0,W488/X488,0),0))</f>
        <v>0</v>
      </c>
      <c r="Z488" s="10" t="n">
        <f aca="false">IF(A488="","",N488+Y488)</f>
        <v>0</v>
      </c>
      <c r="AA488" s="10" t="n">
        <f aca="false">IF(A488="","",IFERROR(Z488*INDEX(PUA_TABLE!$I$4:$I$105,MATCH(E488,PUA_TABLE!$C$4:$C$105,1))/1000,0))</f>
        <v>0</v>
      </c>
      <c r="AB488" s="10" t="n">
        <f aca="false">IF(A488="","",IFERROR(L488+AA488,0))</f>
        <v>33485.6244204143</v>
      </c>
      <c r="AC488" s="10" t="n">
        <f aca="false">IF(A488="","",IF(Inputs!$B$22="Premium Offset",MIN(Inputs!$B$25,Q488+T488),0))</f>
        <v>0</v>
      </c>
    </row>
    <row r="489" customFormat="false" ht="15" hidden="false" customHeight="false" outlineLevel="0" collapsed="false">
      <c r="A489" s="1" t="n">
        <f aca="false">IF(A488="","",IF(INT((C488+1)/12)+Inputs!$B$7&gt;MAX(MORTALITY!$A:$A),"",Inputs!$B$4))</f>
        <v>34</v>
      </c>
      <c r="B489" s="3" t="n">
        <f aca="false">IF(A489="","",EOMONTH(B488,1))</f>
        <v>36556</v>
      </c>
      <c r="C489" s="1" t="n">
        <f aca="false">IF(A489="","",C488+1)</f>
        <v>487</v>
      </c>
      <c r="D489" s="1" t="n">
        <f aca="false">IF(A489="","",INT(C489/12))</f>
        <v>40</v>
      </c>
      <c r="E489" s="1" t="n">
        <f aca="false">IF(A489="","",D489+Inputs!$B$7)</f>
        <v>56</v>
      </c>
      <c r="F489" s="3" t="n">
        <f aca="false">IF(A489="","",DATE(YEAR(B$2)+D489,MONTH(B$2),DAY(B$2)))</f>
        <v>36316</v>
      </c>
      <c r="G489" s="3" t="n">
        <f aca="false">IF(A489="","",DATE(YEAR(F489)+1,MONTH(F489),DAY(F489)))</f>
        <v>36682</v>
      </c>
      <c r="H489" s="10" t="n">
        <f aca="false">IF(A489="","",IF(G489&gt;F489,(B489-F489)/(G489-F489),0))</f>
        <v>0.655737704918033</v>
      </c>
      <c r="I489" s="10" t="n">
        <f aca="false">IF(A489="","",IFERROR(INDEX(CV_RATES!$I:$I,MATCH(D489,CV_RATES!$C:$C,0)),0))</f>
        <v>663.851155906037</v>
      </c>
      <c r="J489" s="10" t="n">
        <f aca="false">IF(A489="","",IFERROR(IF(E489=MAX(MORTALITY!$A:$A),1000,INDEX(CV_RATES!$J:$J,MATCH(D489,CV_RATES!$C:$C,0))),0))</f>
        <v>674.115498948252</v>
      </c>
      <c r="K489" s="10" t="n">
        <f aca="false">IF(A489="","",IFERROR(I489+H489*(J489-I489),0))</f>
        <v>670.58187265503</v>
      </c>
      <c r="L489" s="10" t="n">
        <f aca="false">IF(A489="","",IFERROR(K489*Inputs!$B$9,0))</f>
        <v>33529.0936327515</v>
      </c>
      <c r="M489" s="10" t="n">
        <f aca="false">IF(A489="","",IFERROR(K489*Inputs!$B$10,0))</f>
        <v>107291.087879187</v>
      </c>
      <c r="N489" s="10" t="n">
        <f aca="false">IF(A489="","",Z488)</f>
        <v>0</v>
      </c>
      <c r="O489" s="6" t="n">
        <f aca="false">IF(A489="","",Inputs!$B$18+N489)</f>
        <v>50000</v>
      </c>
      <c r="P489" s="5" t="n">
        <f aca="false">IF(A489="","",VLOOKUP(D489,DIvidend_Assumption!$A$3:$CX$103,($E$2+2),0)/12)</f>
        <v>0</v>
      </c>
      <c r="Q489" s="10" t="n">
        <f aca="false">IF(A489="","",IFERROR(AB488*P489,""))</f>
        <v>0</v>
      </c>
      <c r="R489" s="10" t="n">
        <f aca="false">IF(A489="","",IFERROR(IF(Inputs!$B$22="Accumulate",T489+Q489,IF(Inputs!$B$22="Premium Offset",MAX(0,T489+Q489-Inputs!$B$25),T489)),""))</f>
        <v>0</v>
      </c>
      <c r="S489" s="10" t="n">
        <f aca="false">IF(A489="","",R488)</f>
        <v>0</v>
      </c>
      <c r="T489" s="10" t="n">
        <f aca="false">IF(A489="","",IFERROR(S489*(1+Inputs!$B$23/12),""))</f>
        <v>0</v>
      </c>
      <c r="U489" s="6" t="n">
        <f aca="false">IF(A489="","",IF(D489&lt;=Inputs!$B$8,IF(Inputs!$B$22="Premium Offset",MAX(0,Inputs!$B$25-(Q489+T489)),Inputs!$B$25),0))</f>
        <v>0</v>
      </c>
      <c r="V489" s="10" t="n">
        <f aca="false">IF(A489="","",IF(Inputs!$B$22="Cash",Q489,0))</f>
        <v>0</v>
      </c>
      <c r="W489" s="10" t="n">
        <f aca="false">IF(A489="","",IF(Inputs!$B$22="PUA",Q489,0))</f>
        <v>0</v>
      </c>
      <c r="X489" s="12" t="n">
        <f aca="false">IF(A489="","",IFERROR(INDEX(PUA_TABLE!$D$4:$D$105,MATCH(E489,PUA_TABLE!$C$4:$C$105,1)),0))</f>
        <v>0.663851155906037</v>
      </c>
      <c r="Y489" s="10" t="n">
        <f aca="false">IF(A489="","",IF(W489&gt;0,IF(X489&gt;0,W489/X489,0),0))</f>
        <v>0</v>
      </c>
      <c r="Z489" s="10" t="n">
        <f aca="false">IF(A489="","",N489+Y489)</f>
        <v>0</v>
      </c>
      <c r="AA489" s="10" t="n">
        <f aca="false">IF(A489="","",IFERROR(Z489*INDEX(PUA_TABLE!$I$4:$I$105,MATCH(E489,PUA_TABLE!$C$4:$C$105,1))/1000,0))</f>
        <v>0</v>
      </c>
      <c r="AB489" s="10" t="n">
        <f aca="false">IF(A489="","",IFERROR(L489+AA489,0))</f>
        <v>33529.0936327515</v>
      </c>
      <c r="AC489" s="10" t="n">
        <f aca="false">IF(A489="","",IF(Inputs!$B$22="Premium Offset",MIN(Inputs!$B$25,Q489+T489),0))</f>
        <v>0</v>
      </c>
    </row>
    <row r="490" customFormat="false" ht="15" hidden="false" customHeight="false" outlineLevel="0" collapsed="false">
      <c r="A490" s="1" t="n">
        <f aca="false">IF(A489="","",IF(INT((C489+1)/12)+Inputs!$B$7&gt;MAX(MORTALITY!$A:$A),"",Inputs!$B$4))</f>
        <v>34</v>
      </c>
      <c r="B490" s="3" t="n">
        <f aca="false">IF(A490="","",EOMONTH(B489,1))</f>
        <v>36585</v>
      </c>
      <c r="C490" s="1" t="n">
        <f aca="false">IF(A490="","",C489+1)</f>
        <v>488</v>
      </c>
      <c r="D490" s="1" t="n">
        <f aca="false">IF(A490="","",INT(C490/12))</f>
        <v>40</v>
      </c>
      <c r="E490" s="1" t="n">
        <f aca="false">IF(A490="","",D490+Inputs!$B$7)</f>
        <v>56</v>
      </c>
      <c r="F490" s="3" t="n">
        <f aca="false">IF(A490="","",DATE(YEAR(B$2)+D490,MONTH(B$2),DAY(B$2)))</f>
        <v>36316</v>
      </c>
      <c r="G490" s="3" t="n">
        <f aca="false">IF(A490="","",DATE(YEAR(F490)+1,MONTH(F490),DAY(F490)))</f>
        <v>36682</v>
      </c>
      <c r="H490" s="10" t="n">
        <f aca="false">IF(A490="","",IF(G490&gt;F490,(B490-F490)/(G490-F490),0))</f>
        <v>0.734972677595629</v>
      </c>
      <c r="I490" s="10" t="n">
        <f aca="false">IF(A490="","",IFERROR(INDEX(CV_RATES!$I:$I,MATCH(D490,CV_RATES!$C:$C,0)),0))</f>
        <v>663.851155906037</v>
      </c>
      <c r="J490" s="10" t="n">
        <f aca="false">IF(A490="","",IFERROR(IF(E490=MAX(MORTALITY!$A:$A),1000,INDEX(CV_RATES!$J:$J,MATCH(D490,CV_RATES!$C:$C,0))),0))</f>
        <v>674.115498948252</v>
      </c>
      <c r="K490" s="10" t="n">
        <f aca="false">IF(A490="","",IFERROR(I490+H490*(J490-I490),0))</f>
        <v>671.395167595534</v>
      </c>
      <c r="L490" s="10" t="n">
        <f aca="false">IF(A490="","",IFERROR(K490*Inputs!$B$9,0))</f>
        <v>33569.7583797767</v>
      </c>
      <c r="M490" s="10" t="n">
        <f aca="false">IF(A490="","",IFERROR(K490*Inputs!$B$10,0))</f>
        <v>107421.212629783</v>
      </c>
      <c r="N490" s="10" t="n">
        <f aca="false">IF(A490="","",Z489)</f>
        <v>0</v>
      </c>
      <c r="O490" s="6" t="n">
        <f aca="false">IF(A490="","",Inputs!$B$18+N490)</f>
        <v>50000</v>
      </c>
      <c r="P490" s="5" t="n">
        <f aca="false">IF(A490="","",VLOOKUP(D490,DIvidend_Assumption!$A$3:$CX$103,($E$2+2),0)/12)</f>
        <v>0</v>
      </c>
      <c r="Q490" s="10" t="n">
        <f aca="false">IF(A490="","",IFERROR(AB489*P490,""))</f>
        <v>0</v>
      </c>
      <c r="R490" s="10" t="n">
        <f aca="false">IF(A490="","",IFERROR(IF(Inputs!$B$22="Accumulate",T490+Q490,IF(Inputs!$B$22="Premium Offset",MAX(0,T490+Q490-Inputs!$B$25),T490)),""))</f>
        <v>0</v>
      </c>
      <c r="S490" s="10" t="n">
        <f aca="false">IF(A490="","",R489)</f>
        <v>0</v>
      </c>
      <c r="T490" s="10" t="n">
        <f aca="false">IF(A490="","",IFERROR(S490*(1+Inputs!$B$23/12),""))</f>
        <v>0</v>
      </c>
      <c r="U490" s="6" t="n">
        <f aca="false">IF(A490="","",IF(D490&lt;=Inputs!$B$8,IF(Inputs!$B$22="Premium Offset",MAX(0,Inputs!$B$25-(Q490+T490)),Inputs!$B$25),0))</f>
        <v>0</v>
      </c>
      <c r="V490" s="10" t="n">
        <f aca="false">IF(A490="","",IF(Inputs!$B$22="Cash",Q490,0))</f>
        <v>0</v>
      </c>
      <c r="W490" s="10" t="n">
        <f aca="false">IF(A490="","",IF(Inputs!$B$22="PUA",Q490,0))</f>
        <v>0</v>
      </c>
      <c r="X490" s="12" t="n">
        <f aca="false">IF(A490="","",IFERROR(INDEX(PUA_TABLE!$D$4:$D$105,MATCH(E490,PUA_TABLE!$C$4:$C$105,1)),0))</f>
        <v>0.663851155906037</v>
      </c>
      <c r="Y490" s="10" t="n">
        <f aca="false">IF(A490="","",IF(W490&gt;0,IF(X490&gt;0,W490/X490,0),0))</f>
        <v>0</v>
      </c>
      <c r="Z490" s="10" t="n">
        <f aca="false">IF(A490="","",N490+Y490)</f>
        <v>0</v>
      </c>
      <c r="AA490" s="10" t="n">
        <f aca="false">IF(A490="","",IFERROR(Z490*INDEX(PUA_TABLE!$I$4:$I$105,MATCH(E490,PUA_TABLE!$C$4:$C$105,1))/1000,0))</f>
        <v>0</v>
      </c>
      <c r="AB490" s="10" t="n">
        <f aca="false">IF(A490="","",IFERROR(L490+AA490,0))</f>
        <v>33569.7583797767</v>
      </c>
      <c r="AC490" s="10" t="n">
        <f aca="false">IF(A490="","",IF(Inputs!$B$22="Premium Offset",MIN(Inputs!$B$25,Q490+T490),0))</f>
        <v>0</v>
      </c>
    </row>
    <row r="491" customFormat="false" ht="15" hidden="false" customHeight="false" outlineLevel="0" collapsed="false">
      <c r="A491" s="1" t="n">
        <f aca="false">IF(A490="","",IF(INT((C490+1)/12)+Inputs!$B$7&gt;MAX(MORTALITY!$A:$A),"",Inputs!$B$4))</f>
        <v>34</v>
      </c>
      <c r="B491" s="3" t="n">
        <f aca="false">IF(A491="","",EOMONTH(B490,1))</f>
        <v>36616</v>
      </c>
      <c r="C491" s="1" t="n">
        <f aca="false">IF(A491="","",C490+1)</f>
        <v>489</v>
      </c>
      <c r="D491" s="1" t="n">
        <f aca="false">IF(A491="","",INT(C491/12))</f>
        <v>40</v>
      </c>
      <c r="E491" s="1" t="n">
        <f aca="false">IF(A491="","",D491+Inputs!$B$7)</f>
        <v>56</v>
      </c>
      <c r="F491" s="3" t="n">
        <f aca="false">IF(A491="","",DATE(YEAR(B$2)+D491,MONTH(B$2),DAY(B$2)))</f>
        <v>36316</v>
      </c>
      <c r="G491" s="3" t="n">
        <f aca="false">IF(A491="","",DATE(YEAR(F491)+1,MONTH(F491),DAY(F491)))</f>
        <v>36682</v>
      </c>
      <c r="H491" s="10" t="n">
        <f aca="false">IF(A491="","",IF(G491&gt;F491,(B491-F491)/(G491-F491),0))</f>
        <v>0.819672131147541</v>
      </c>
      <c r="I491" s="10" t="n">
        <f aca="false">IF(A491="","",IFERROR(INDEX(CV_RATES!$I:$I,MATCH(D491,CV_RATES!$C:$C,0)),0))</f>
        <v>663.851155906037</v>
      </c>
      <c r="J491" s="10" t="n">
        <f aca="false">IF(A491="","",IFERROR(IF(E491=MAX(MORTALITY!$A:$A),1000,INDEX(CV_RATES!$J:$J,MATCH(D491,CV_RATES!$C:$C,0))),0))</f>
        <v>674.115498948252</v>
      </c>
      <c r="K491" s="10" t="n">
        <f aca="false">IF(A491="","",IFERROR(I491+H491*(J491-I491),0))</f>
        <v>672.264551842279</v>
      </c>
      <c r="L491" s="10" t="n">
        <f aca="false">IF(A491="","",IFERROR(K491*Inputs!$B$9,0))</f>
        <v>33613.2275921139</v>
      </c>
      <c r="M491" s="10" t="n">
        <f aca="false">IF(A491="","",IFERROR(K491*Inputs!$B$10,0))</f>
        <v>107560.311501109</v>
      </c>
      <c r="N491" s="10" t="n">
        <f aca="false">IF(A491="","",Z490)</f>
        <v>0</v>
      </c>
      <c r="O491" s="6" t="n">
        <f aca="false">IF(A491="","",Inputs!$B$18+N491)</f>
        <v>50000</v>
      </c>
      <c r="P491" s="5" t="n">
        <f aca="false">IF(A491="","",VLOOKUP(D491,DIvidend_Assumption!$A$3:$CX$103,($E$2+2),0)/12)</f>
        <v>0</v>
      </c>
      <c r="Q491" s="10" t="n">
        <f aca="false">IF(A491="","",IFERROR(AB490*P491,""))</f>
        <v>0</v>
      </c>
      <c r="R491" s="10" t="n">
        <f aca="false">IF(A491="","",IFERROR(IF(Inputs!$B$22="Accumulate",T491+Q491,IF(Inputs!$B$22="Premium Offset",MAX(0,T491+Q491-Inputs!$B$25),T491)),""))</f>
        <v>0</v>
      </c>
      <c r="S491" s="10" t="n">
        <f aca="false">IF(A491="","",R490)</f>
        <v>0</v>
      </c>
      <c r="T491" s="10" t="n">
        <f aca="false">IF(A491="","",IFERROR(S491*(1+Inputs!$B$23/12),""))</f>
        <v>0</v>
      </c>
      <c r="U491" s="6" t="n">
        <f aca="false">IF(A491="","",IF(D491&lt;=Inputs!$B$8,IF(Inputs!$B$22="Premium Offset",MAX(0,Inputs!$B$25-(Q491+T491)),Inputs!$B$25),0))</f>
        <v>0</v>
      </c>
      <c r="V491" s="10" t="n">
        <f aca="false">IF(A491="","",IF(Inputs!$B$22="Cash",Q491,0))</f>
        <v>0</v>
      </c>
      <c r="W491" s="10" t="n">
        <f aca="false">IF(A491="","",IF(Inputs!$B$22="PUA",Q491,0))</f>
        <v>0</v>
      </c>
      <c r="X491" s="12" t="n">
        <f aca="false">IF(A491="","",IFERROR(INDEX(PUA_TABLE!$D$4:$D$105,MATCH(E491,PUA_TABLE!$C$4:$C$105,1)),0))</f>
        <v>0.663851155906037</v>
      </c>
      <c r="Y491" s="10" t="n">
        <f aca="false">IF(A491="","",IF(W491&gt;0,IF(X491&gt;0,W491/X491,0),0))</f>
        <v>0</v>
      </c>
      <c r="Z491" s="10" t="n">
        <f aca="false">IF(A491="","",N491+Y491)</f>
        <v>0</v>
      </c>
      <c r="AA491" s="10" t="n">
        <f aca="false">IF(A491="","",IFERROR(Z491*INDEX(PUA_TABLE!$I$4:$I$105,MATCH(E491,PUA_TABLE!$C$4:$C$105,1))/1000,0))</f>
        <v>0</v>
      </c>
      <c r="AB491" s="10" t="n">
        <f aca="false">IF(A491="","",IFERROR(L491+AA491,0))</f>
        <v>33613.2275921139</v>
      </c>
      <c r="AC491" s="10" t="n">
        <f aca="false">IF(A491="","",IF(Inputs!$B$22="Premium Offset",MIN(Inputs!$B$25,Q491+T491),0))</f>
        <v>0</v>
      </c>
    </row>
    <row r="492" customFormat="false" ht="15" hidden="false" customHeight="false" outlineLevel="0" collapsed="false">
      <c r="A492" s="1" t="n">
        <f aca="false">IF(A491="","",IF(INT((C491+1)/12)+Inputs!$B$7&gt;MAX(MORTALITY!$A:$A),"",Inputs!$B$4))</f>
        <v>34</v>
      </c>
      <c r="B492" s="3" t="n">
        <f aca="false">IF(A492="","",EOMONTH(B491,1))</f>
        <v>36646</v>
      </c>
      <c r="C492" s="1" t="n">
        <f aca="false">IF(A492="","",C491+1)</f>
        <v>490</v>
      </c>
      <c r="D492" s="1" t="n">
        <f aca="false">IF(A492="","",INT(C492/12))</f>
        <v>40</v>
      </c>
      <c r="E492" s="1" t="n">
        <f aca="false">IF(A492="","",D492+Inputs!$B$7)</f>
        <v>56</v>
      </c>
      <c r="F492" s="3" t="n">
        <f aca="false">IF(A492="","",DATE(YEAR(B$2)+D492,MONTH(B$2),DAY(B$2)))</f>
        <v>36316</v>
      </c>
      <c r="G492" s="3" t="n">
        <f aca="false">IF(A492="","",DATE(YEAR(F492)+1,MONTH(F492),DAY(F492)))</f>
        <v>36682</v>
      </c>
      <c r="H492" s="10" t="n">
        <f aca="false">IF(A492="","",IF(G492&gt;F492,(B492-F492)/(G492-F492),0))</f>
        <v>0.901639344262295</v>
      </c>
      <c r="I492" s="10" t="n">
        <f aca="false">IF(A492="","",IFERROR(INDEX(CV_RATES!$I:$I,MATCH(D492,CV_RATES!$C:$C,0)),0))</f>
        <v>663.851155906037</v>
      </c>
      <c r="J492" s="10" t="n">
        <f aca="false">IF(A492="","",IFERROR(IF(E492=MAX(MORTALITY!$A:$A),1000,INDEX(CV_RATES!$J:$J,MATCH(D492,CV_RATES!$C:$C,0))),0))</f>
        <v>674.115498948252</v>
      </c>
      <c r="K492" s="10" t="n">
        <f aca="false">IF(A492="","",IFERROR(I492+H492*(J492-I492),0))</f>
        <v>673.105891435903</v>
      </c>
      <c r="L492" s="10" t="n">
        <f aca="false">IF(A492="","",IFERROR(K492*Inputs!$B$9,0))</f>
        <v>33655.2945717952</v>
      </c>
      <c r="M492" s="10" t="n">
        <f aca="false">IF(A492="","",IFERROR(K492*Inputs!$B$10,0))</f>
        <v>107694.92331207</v>
      </c>
      <c r="N492" s="10" t="n">
        <f aca="false">IF(A492="","",Z491)</f>
        <v>0</v>
      </c>
      <c r="O492" s="6" t="n">
        <f aca="false">IF(A492="","",Inputs!$B$18+N492)</f>
        <v>50000</v>
      </c>
      <c r="P492" s="5" t="n">
        <f aca="false">IF(A492="","",VLOOKUP(D492,DIvidend_Assumption!$A$3:$CX$103,($E$2+2),0)/12)</f>
        <v>0</v>
      </c>
      <c r="Q492" s="10" t="n">
        <f aca="false">IF(A492="","",IFERROR(AB491*P492,""))</f>
        <v>0</v>
      </c>
      <c r="R492" s="10" t="n">
        <f aca="false">IF(A492="","",IFERROR(IF(Inputs!$B$22="Accumulate",T492+Q492,IF(Inputs!$B$22="Premium Offset",MAX(0,T492+Q492-Inputs!$B$25),T492)),""))</f>
        <v>0</v>
      </c>
      <c r="S492" s="10" t="n">
        <f aca="false">IF(A492="","",R491)</f>
        <v>0</v>
      </c>
      <c r="T492" s="10" t="n">
        <f aca="false">IF(A492="","",IFERROR(S492*(1+Inputs!$B$23/12),""))</f>
        <v>0</v>
      </c>
      <c r="U492" s="6" t="n">
        <f aca="false">IF(A492="","",IF(D492&lt;=Inputs!$B$8,IF(Inputs!$B$22="Premium Offset",MAX(0,Inputs!$B$25-(Q492+T492)),Inputs!$B$25),0))</f>
        <v>0</v>
      </c>
      <c r="V492" s="10" t="n">
        <f aca="false">IF(A492="","",IF(Inputs!$B$22="Cash",Q492,0))</f>
        <v>0</v>
      </c>
      <c r="W492" s="10" t="n">
        <f aca="false">IF(A492="","",IF(Inputs!$B$22="PUA",Q492,0))</f>
        <v>0</v>
      </c>
      <c r="X492" s="12" t="n">
        <f aca="false">IF(A492="","",IFERROR(INDEX(PUA_TABLE!$D$4:$D$105,MATCH(E492,PUA_TABLE!$C$4:$C$105,1)),0))</f>
        <v>0.663851155906037</v>
      </c>
      <c r="Y492" s="10" t="n">
        <f aca="false">IF(A492="","",IF(W492&gt;0,IF(X492&gt;0,W492/X492,0),0))</f>
        <v>0</v>
      </c>
      <c r="Z492" s="10" t="n">
        <f aca="false">IF(A492="","",N492+Y492)</f>
        <v>0</v>
      </c>
      <c r="AA492" s="10" t="n">
        <f aca="false">IF(A492="","",IFERROR(Z492*INDEX(PUA_TABLE!$I$4:$I$105,MATCH(E492,PUA_TABLE!$C$4:$C$105,1))/1000,0))</f>
        <v>0</v>
      </c>
      <c r="AB492" s="10" t="n">
        <f aca="false">IF(A492="","",IFERROR(L492+AA492,0))</f>
        <v>33655.2945717952</v>
      </c>
      <c r="AC492" s="10" t="n">
        <f aca="false">IF(A492="","",IF(Inputs!$B$22="Premium Offset",MIN(Inputs!$B$25,Q492+T492),0))</f>
        <v>0</v>
      </c>
    </row>
    <row r="493" customFormat="false" ht="15" hidden="false" customHeight="false" outlineLevel="0" collapsed="false">
      <c r="A493" s="1" t="n">
        <f aca="false">IF(A492="","",IF(INT((C492+1)/12)+Inputs!$B$7&gt;MAX(MORTALITY!$A:$A),"",Inputs!$B$4))</f>
        <v>34</v>
      </c>
      <c r="B493" s="3" t="n">
        <f aca="false">IF(A493="","",EOMONTH(B492,1))</f>
        <v>36677</v>
      </c>
      <c r="C493" s="1" t="n">
        <f aca="false">IF(A493="","",C492+1)</f>
        <v>491</v>
      </c>
      <c r="D493" s="1" t="n">
        <f aca="false">IF(A493="","",INT(C493/12))</f>
        <v>40</v>
      </c>
      <c r="E493" s="1" t="n">
        <f aca="false">IF(A493="","",D493+Inputs!$B$7)</f>
        <v>56</v>
      </c>
      <c r="F493" s="3" t="n">
        <f aca="false">IF(A493="","",DATE(YEAR(B$2)+D493,MONTH(B$2),DAY(B$2)))</f>
        <v>36316</v>
      </c>
      <c r="G493" s="3" t="n">
        <f aca="false">IF(A493="","",DATE(YEAR(F493)+1,MONTH(F493),DAY(F493)))</f>
        <v>36682</v>
      </c>
      <c r="H493" s="10" t="n">
        <f aca="false">IF(A493="","",IF(G493&gt;F493,(B493-F493)/(G493-F493),0))</f>
        <v>0.986338797814208</v>
      </c>
      <c r="I493" s="10" t="n">
        <f aca="false">IF(A493="","",IFERROR(INDEX(CV_RATES!$I:$I,MATCH(D493,CV_RATES!$C:$C,0)),0))</f>
        <v>663.851155906037</v>
      </c>
      <c r="J493" s="10" t="n">
        <f aca="false">IF(A493="","",IFERROR(IF(E493=MAX(MORTALITY!$A:$A),1000,INDEX(CV_RATES!$J:$J,MATCH(D493,CV_RATES!$C:$C,0))),0))</f>
        <v>674.115498948252</v>
      </c>
      <c r="K493" s="10" t="n">
        <f aca="false">IF(A493="","",IFERROR(I493+H493*(J493-I493),0))</f>
        <v>673.975275682648</v>
      </c>
      <c r="L493" s="10" t="n">
        <f aca="false">IF(A493="","",IFERROR(K493*Inputs!$B$9,0))</f>
        <v>33698.7637841324</v>
      </c>
      <c r="M493" s="10" t="n">
        <f aca="false">IF(A493="","",IFERROR(K493*Inputs!$B$10,0))</f>
        <v>107834.022183397</v>
      </c>
      <c r="N493" s="10" t="n">
        <f aca="false">IF(A493="","",Z492)</f>
        <v>0</v>
      </c>
      <c r="O493" s="6" t="n">
        <f aca="false">IF(A493="","",Inputs!$B$18+N493)</f>
        <v>50000</v>
      </c>
      <c r="P493" s="5" t="n">
        <f aca="false">IF(A493="","",VLOOKUP(D493,DIvidend_Assumption!$A$3:$CX$103,($E$2+2),0)/12)</f>
        <v>0</v>
      </c>
      <c r="Q493" s="10" t="n">
        <f aca="false">IF(A493="","",IFERROR(AB492*P493,""))</f>
        <v>0</v>
      </c>
      <c r="R493" s="10" t="n">
        <f aca="false">IF(A493="","",IFERROR(IF(Inputs!$B$22="Accumulate",T493+Q493,IF(Inputs!$B$22="Premium Offset",MAX(0,T493+Q493-Inputs!$B$25),T493)),""))</f>
        <v>0</v>
      </c>
      <c r="S493" s="10" t="n">
        <f aca="false">IF(A493="","",R492)</f>
        <v>0</v>
      </c>
      <c r="T493" s="10" t="n">
        <f aca="false">IF(A493="","",IFERROR(S493*(1+Inputs!$B$23/12),""))</f>
        <v>0</v>
      </c>
      <c r="U493" s="6" t="n">
        <f aca="false">IF(A493="","",IF(D493&lt;=Inputs!$B$8,IF(Inputs!$B$22="Premium Offset",MAX(0,Inputs!$B$25-(Q493+T493)),Inputs!$B$25),0))</f>
        <v>0</v>
      </c>
      <c r="V493" s="10" t="n">
        <f aca="false">IF(A493="","",IF(Inputs!$B$22="Cash",Q493,0))</f>
        <v>0</v>
      </c>
      <c r="W493" s="10" t="n">
        <f aca="false">IF(A493="","",IF(Inputs!$B$22="PUA",Q493,0))</f>
        <v>0</v>
      </c>
      <c r="X493" s="12" t="n">
        <f aca="false">IF(A493="","",IFERROR(INDEX(PUA_TABLE!$D$4:$D$105,MATCH(E493,PUA_TABLE!$C$4:$C$105,1)),0))</f>
        <v>0.663851155906037</v>
      </c>
      <c r="Y493" s="10" t="n">
        <f aca="false">IF(A493="","",IF(W493&gt;0,IF(X493&gt;0,W493/X493,0),0))</f>
        <v>0</v>
      </c>
      <c r="Z493" s="10" t="n">
        <f aca="false">IF(A493="","",N493+Y493)</f>
        <v>0</v>
      </c>
      <c r="AA493" s="10" t="n">
        <f aca="false">IF(A493="","",IFERROR(Z493*INDEX(PUA_TABLE!$I$4:$I$105,MATCH(E493,PUA_TABLE!$C$4:$C$105,1))/1000,0))</f>
        <v>0</v>
      </c>
      <c r="AB493" s="10" t="n">
        <f aca="false">IF(A493="","",IFERROR(L493+AA493,0))</f>
        <v>33698.7637841324</v>
      </c>
      <c r="AC493" s="10" t="n">
        <f aca="false">IF(A493="","",IF(Inputs!$B$22="Premium Offset",MIN(Inputs!$B$25,Q493+T493),0))</f>
        <v>0</v>
      </c>
    </row>
    <row r="494" customFormat="false" ht="15" hidden="false" customHeight="false" outlineLevel="0" collapsed="false">
      <c r="A494" s="1" t="n">
        <f aca="false">IF(A493="","",IF(INT((C493+1)/12)+Inputs!$B$7&gt;MAX(MORTALITY!$A:$A),"",Inputs!$B$4))</f>
        <v>34</v>
      </c>
      <c r="B494" s="3" t="n">
        <f aca="false">IF(A494="","",EOMONTH(B493,1))</f>
        <v>36707</v>
      </c>
      <c r="C494" s="1" t="n">
        <f aca="false">IF(A494="","",C493+1)</f>
        <v>492</v>
      </c>
      <c r="D494" s="1" t="n">
        <f aca="false">IF(A494="","",INT(C494/12))</f>
        <v>41</v>
      </c>
      <c r="E494" s="1" t="n">
        <f aca="false">IF(A494="","",D494+Inputs!$B$7)</f>
        <v>57</v>
      </c>
      <c r="F494" s="3" t="n">
        <f aca="false">IF(A494="","",DATE(YEAR(B$2)+D494,MONTH(B$2),DAY(B$2)))</f>
        <v>36682</v>
      </c>
      <c r="G494" s="3" t="n">
        <f aca="false">IF(A494="","",DATE(YEAR(F494)+1,MONTH(F494),DAY(F494)))</f>
        <v>37047</v>
      </c>
      <c r="H494" s="10" t="n">
        <f aca="false">IF(A494="","",IF(G494&gt;F494,(B494-F494)/(G494-F494),0))</f>
        <v>0.0684931506849315</v>
      </c>
      <c r="I494" s="10" t="n">
        <f aca="false">IF(A494="","",IFERROR(INDEX(CV_RATES!$I:$I,MATCH(D494,CV_RATES!$C:$C,0)),0))</f>
        <v>674.115498948252</v>
      </c>
      <c r="J494" s="10" t="n">
        <f aca="false">IF(A494="","",IFERROR(IF(E494=MAX(MORTALITY!$A:$A),1000,INDEX(CV_RATES!$J:$J,MATCH(D494,CV_RATES!$C:$C,0))),0))</f>
        <v>684.339516263492</v>
      </c>
      <c r="K494" s="10" t="n">
        <f aca="false">IF(A494="","",IFERROR(I494+H494*(J494-I494),0))</f>
        <v>674.81577410683</v>
      </c>
      <c r="L494" s="10" t="n">
        <f aca="false">IF(A494="","",IFERROR(K494*Inputs!$B$9,0))</f>
        <v>33740.7887053415</v>
      </c>
      <c r="M494" s="10" t="n">
        <f aca="false">IF(A494="","",IFERROR(K494*Inputs!$B$10,0))</f>
        <v>107968.499409771</v>
      </c>
      <c r="N494" s="10" t="n">
        <f aca="false">IF(A494="","",Z493)</f>
        <v>0</v>
      </c>
      <c r="O494" s="6" t="n">
        <f aca="false">IF(A494="","",Inputs!$B$18+N494)</f>
        <v>50000</v>
      </c>
      <c r="P494" s="5" t="n">
        <f aca="false">IF(A494="","",VLOOKUP(D494,DIvidend_Assumption!$A$3:$CX$103,($E$2+2),0)/12)</f>
        <v>0</v>
      </c>
      <c r="Q494" s="10" t="n">
        <f aca="false">IF(A494="","",IFERROR(AB493*P494,""))</f>
        <v>0</v>
      </c>
      <c r="R494" s="10" t="n">
        <f aca="false">IF(A494="","",IFERROR(IF(Inputs!$B$22="Accumulate",T494+Q494,IF(Inputs!$B$22="Premium Offset",MAX(0,T494+Q494-Inputs!$B$25),T494)),""))</f>
        <v>0</v>
      </c>
      <c r="S494" s="10" t="n">
        <f aca="false">IF(A494="","",R493)</f>
        <v>0</v>
      </c>
      <c r="T494" s="10" t="n">
        <f aca="false">IF(A494="","",IFERROR(S494*(1+Inputs!$B$23/12),""))</f>
        <v>0</v>
      </c>
      <c r="U494" s="6" t="n">
        <f aca="false">IF(A494="","",IF(D494&lt;=Inputs!$B$8,IF(Inputs!$B$22="Premium Offset",MAX(0,Inputs!$B$25-(Q494+T494)),Inputs!$B$25),0))</f>
        <v>0</v>
      </c>
      <c r="V494" s="10" t="n">
        <f aca="false">IF(A494="","",IF(Inputs!$B$22="Cash",Q494,0))</f>
        <v>0</v>
      </c>
      <c r="W494" s="10" t="n">
        <f aca="false">IF(A494="","",IF(Inputs!$B$22="PUA",Q494,0))</f>
        <v>0</v>
      </c>
      <c r="X494" s="12" t="n">
        <f aca="false">IF(A494="","",IFERROR(INDEX(PUA_TABLE!$D$4:$D$105,MATCH(E494,PUA_TABLE!$C$4:$C$105,1)),0))</f>
        <v>0.674115498948252</v>
      </c>
      <c r="Y494" s="10" t="n">
        <f aca="false">IF(A494="","",IF(W494&gt;0,IF(X494&gt;0,W494/X494,0),0))</f>
        <v>0</v>
      </c>
      <c r="Z494" s="10" t="n">
        <f aca="false">IF(A494="","",N494+Y494)</f>
        <v>0</v>
      </c>
      <c r="AA494" s="10" t="n">
        <f aca="false">IF(A494="","",IFERROR(Z494*INDEX(PUA_TABLE!$I$4:$I$105,MATCH(E494,PUA_TABLE!$C$4:$C$105,1))/1000,0))</f>
        <v>0</v>
      </c>
      <c r="AB494" s="10" t="n">
        <f aca="false">IF(A494="","",IFERROR(L494+AA494,0))</f>
        <v>33740.7887053415</v>
      </c>
      <c r="AC494" s="10" t="n">
        <f aca="false">IF(A494="","",IF(Inputs!$B$22="Premium Offset",MIN(Inputs!$B$25,Q494+T494),0))</f>
        <v>0</v>
      </c>
    </row>
    <row r="495" customFormat="false" ht="15" hidden="false" customHeight="false" outlineLevel="0" collapsed="false">
      <c r="A495" s="1" t="n">
        <f aca="false">IF(A494="","",IF(INT((C494+1)/12)+Inputs!$B$7&gt;MAX(MORTALITY!$A:$A),"",Inputs!$B$4))</f>
        <v>34</v>
      </c>
      <c r="B495" s="3" t="n">
        <f aca="false">IF(A495="","",EOMONTH(B494,1))</f>
        <v>36738</v>
      </c>
      <c r="C495" s="1" t="n">
        <f aca="false">IF(A495="","",C494+1)</f>
        <v>493</v>
      </c>
      <c r="D495" s="1" t="n">
        <f aca="false">IF(A495="","",INT(C495/12))</f>
        <v>41</v>
      </c>
      <c r="E495" s="1" t="n">
        <f aca="false">IF(A495="","",D495+Inputs!$B$7)</f>
        <v>57</v>
      </c>
      <c r="F495" s="3" t="n">
        <f aca="false">IF(A495="","",DATE(YEAR(B$2)+D495,MONTH(B$2),DAY(B$2)))</f>
        <v>36682</v>
      </c>
      <c r="G495" s="3" t="n">
        <f aca="false">IF(A495="","",DATE(YEAR(F495)+1,MONTH(F495),DAY(F495)))</f>
        <v>37047</v>
      </c>
      <c r="H495" s="10" t="n">
        <f aca="false">IF(A495="","",IF(G495&gt;F495,(B495-F495)/(G495-F495),0))</f>
        <v>0.153424657534247</v>
      </c>
      <c r="I495" s="10" t="n">
        <f aca="false">IF(A495="","",IFERROR(INDEX(CV_RATES!$I:$I,MATCH(D495,CV_RATES!$C:$C,0)),0))</f>
        <v>674.115498948252</v>
      </c>
      <c r="J495" s="10" t="n">
        <f aca="false">IF(A495="","",IFERROR(IF(E495=MAX(MORTALITY!$A:$A),1000,INDEX(CV_RATES!$J:$J,MATCH(D495,CV_RATES!$C:$C,0))),0))</f>
        <v>684.339516263492</v>
      </c>
      <c r="K495" s="10" t="n">
        <f aca="false">IF(A495="","",IFERROR(I495+H495*(J495-I495),0))</f>
        <v>675.684115303467</v>
      </c>
      <c r="L495" s="10" t="n">
        <f aca="false">IF(A495="","",IFERROR(K495*Inputs!$B$9,0))</f>
        <v>33784.2057651733</v>
      </c>
      <c r="M495" s="10" t="n">
        <f aca="false">IF(A495="","",IFERROR(K495*Inputs!$B$10,0))</f>
        <v>108107.431396209</v>
      </c>
      <c r="N495" s="10" t="n">
        <f aca="false">IF(A495="","",Z494)</f>
        <v>0</v>
      </c>
      <c r="O495" s="6" t="n">
        <f aca="false">IF(A495="","",Inputs!$B$18+N495)</f>
        <v>50000</v>
      </c>
      <c r="P495" s="5" t="n">
        <f aca="false">IF(A495="","",VLOOKUP(D495,DIvidend_Assumption!$A$3:$CX$103,($E$2+2),0)/12)</f>
        <v>0</v>
      </c>
      <c r="Q495" s="10" t="n">
        <f aca="false">IF(A495="","",IFERROR(AB494*P495,""))</f>
        <v>0</v>
      </c>
      <c r="R495" s="10" t="n">
        <f aca="false">IF(A495="","",IFERROR(IF(Inputs!$B$22="Accumulate",T495+Q495,IF(Inputs!$B$22="Premium Offset",MAX(0,T495+Q495-Inputs!$B$25),T495)),""))</f>
        <v>0</v>
      </c>
      <c r="S495" s="10" t="n">
        <f aca="false">IF(A495="","",R494)</f>
        <v>0</v>
      </c>
      <c r="T495" s="10" t="n">
        <f aca="false">IF(A495="","",IFERROR(S495*(1+Inputs!$B$23/12),""))</f>
        <v>0</v>
      </c>
      <c r="U495" s="6" t="n">
        <f aca="false">IF(A495="","",IF(D495&lt;=Inputs!$B$8,IF(Inputs!$B$22="Premium Offset",MAX(0,Inputs!$B$25-(Q495+T495)),Inputs!$B$25),0))</f>
        <v>0</v>
      </c>
      <c r="V495" s="10" t="n">
        <f aca="false">IF(A495="","",IF(Inputs!$B$22="Cash",Q495,0))</f>
        <v>0</v>
      </c>
      <c r="W495" s="10" t="n">
        <f aca="false">IF(A495="","",IF(Inputs!$B$22="PUA",Q495,0))</f>
        <v>0</v>
      </c>
      <c r="X495" s="12" t="n">
        <f aca="false">IF(A495="","",IFERROR(INDEX(PUA_TABLE!$D$4:$D$105,MATCH(E495,PUA_TABLE!$C$4:$C$105,1)),0))</f>
        <v>0.674115498948252</v>
      </c>
      <c r="Y495" s="10" t="n">
        <f aca="false">IF(A495="","",IF(W495&gt;0,IF(X495&gt;0,W495/X495,0),0))</f>
        <v>0</v>
      </c>
      <c r="Z495" s="10" t="n">
        <f aca="false">IF(A495="","",N495+Y495)</f>
        <v>0</v>
      </c>
      <c r="AA495" s="10" t="n">
        <f aca="false">IF(A495="","",IFERROR(Z495*INDEX(PUA_TABLE!$I$4:$I$105,MATCH(E495,PUA_TABLE!$C$4:$C$105,1))/1000,0))</f>
        <v>0</v>
      </c>
      <c r="AB495" s="10" t="n">
        <f aca="false">IF(A495="","",IFERROR(L495+AA495,0))</f>
        <v>33784.2057651733</v>
      </c>
      <c r="AC495" s="10" t="n">
        <f aca="false">IF(A495="","",IF(Inputs!$B$22="Premium Offset",MIN(Inputs!$B$25,Q495+T495),0))</f>
        <v>0</v>
      </c>
    </row>
    <row r="496" customFormat="false" ht="15" hidden="false" customHeight="false" outlineLevel="0" collapsed="false">
      <c r="A496" s="1" t="n">
        <f aca="false">IF(A495="","",IF(INT((C495+1)/12)+Inputs!$B$7&gt;MAX(MORTALITY!$A:$A),"",Inputs!$B$4))</f>
        <v>34</v>
      </c>
      <c r="B496" s="3" t="n">
        <f aca="false">IF(A496="","",EOMONTH(B495,1))</f>
        <v>36769</v>
      </c>
      <c r="C496" s="1" t="n">
        <f aca="false">IF(A496="","",C495+1)</f>
        <v>494</v>
      </c>
      <c r="D496" s="1" t="n">
        <f aca="false">IF(A496="","",INT(C496/12))</f>
        <v>41</v>
      </c>
      <c r="E496" s="1" t="n">
        <f aca="false">IF(A496="","",D496+Inputs!$B$7)</f>
        <v>57</v>
      </c>
      <c r="F496" s="3" t="n">
        <f aca="false">IF(A496="","",DATE(YEAR(B$2)+D496,MONTH(B$2),DAY(B$2)))</f>
        <v>36682</v>
      </c>
      <c r="G496" s="3" t="n">
        <f aca="false">IF(A496="","",DATE(YEAR(F496)+1,MONTH(F496),DAY(F496)))</f>
        <v>37047</v>
      </c>
      <c r="H496" s="10" t="n">
        <f aca="false">IF(A496="","",IF(G496&gt;F496,(B496-F496)/(G496-F496),0))</f>
        <v>0.238356164383562</v>
      </c>
      <c r="I496" s="10" t="n">
        <f aca="false">IF(A496="","",IFERROR(INDEX(CV_RATES!$I:$I,MATCH(D496,CV_RATES!$C:$C,0)),0))</f>
        <v>674.115498948252</v>
      </c>
      <c r="J496" s="10" t="n">
        <f aca="false">IF(A496="","",IFERROR(IF(E496=MAX(MORTALITY!$A:$A),1000,INDEX(CV_RATES!$J:$J,MATCH(D496,CV_RATES!$C:$C,0))),0))</f>
        <v>684.339516263492</v>
      </c>
      <c r="K496" s="10" t="n">
        <f aca="false">IF(A496="","",IFERROR(I496+H496*(J496-I496),0))</f>
        <v>676.552456500104</v>
      </c>
      <c r="L496" s="10" t="n">
        <f aca="false">IF(A496="","",IFERROR(K496*Inputs!$B$9,0))</f>
        <v>33827.6228250052</v>
      </c>
      <c r="M496" s="10" t="n">
        <f aca="false">IF(A496="","",IFERROR(K496*Inputs!$B$10,0))</f>
        <v>108246.363382647</v>
      </c>
      <c r="N496" s="10" t="n">
        <f aca="false">IF(A496="","",Z495)</f>
        <v>0</v>
      </c>
      <c r="O496" s="6" t="n">
        <f aca="false">IF(A496="","",Inputs!$B$18+N496)</f>
        <v>50000</v>
      </c>
      <c r="P496" s="5" t="n">
        <f aca="false">IF(A496="","",VLOOKUP(D496,DIvidend_Assumption!$A$3:$CX$103,($E$2+2),0)/12)</f>
        <v>0</v>
      </c>
      <c r="Q496" s="10" t="n">
        <f aca="false">IF(A496="","",IFERROR(AB495*P496,""))</f>
        <v>0</v>
      </c>
      <c r="R496" s="10" t="n">
        <f aca="false">IF(A496="","",IFERROR(IF(Inputs!$B$22="Accumulate",T496+Q496,IF(Inputs!$B$22="Premium Offset",MAX(0,T496+Q496-Inputs!$B$25),T496)),""))</f>
        <v>0</v>
      </c>
      <c r="S496" s="10" t="n">
        <f aca="false">IF(A496="","",R495)</f>
        <v>0</v>
      </c>
      <c r="T496" s="10" t="n">
        <f aca="false">IF(A496="","",IFERROR(S496*(1+Inputs!$B$23/12),""))</f>
        <v>0</v>
      </c>
      <c r="U496" s="6" t="n">
        <f aca="false">IF(A496="","",IF(D496&lt;=Inputs!$B$8,IF(Inputs!$B$22="Premium Offset",MAX(0,Inputs!$B$25-(Q496+T496)),Inputs!$B$25),0))</f>
        <v>0</v>
      </c>
      <c r="V496" s="10" t="n">
        <f aca="false">IF(A496="","",IF(Inputs!$B$22="Cash",Q496,0))</f>
        <v>0</v>
      </c>
      <c r="W496" s="10" t="n">
        <f aca="false">IF(A496="","",IF(Inputs!$B$22="PUA",Q496,0))</f>
        <v>0</v>
      </c>
      <c r="X496" s="12" t="n">
        <f aca="false">IF(A496="","",IFERROR(INDEX(PUA_TABLE!$D$4:$D$105,MATCH(E496,PUA_TABLE!$C$4:$C$105,1)),0))</f>
        <v>0.674115498948252</v>
      </c>
      <c r="Y496" s="10" t="n">
        <f aca="false">IF(A496="","",IF(W496&gt;0,IF(X496&gt;0,W496/X496,0),0))</f>
        <v>0</v>
      </c>
      <c r="Z496" s="10" t="n">
        <f aca="false">IF(A496="","",N496+Y496)</f>
        <v>0</v>
      </c>
      <c r="AA496" s="10" t="n">
        <f aca="false">IF(A496="","",IFERROR(Z496*INDEX(PUA_TABLE!$I$4:$I$105,MATCH(E496,PUA_TABLE!$C$4:$C$105,1))/1000,0))</f>
        <v>0</v>
      </c>
      <c r="AB496" s="10" t="n">
        <f aca="false">IF(A496="","",IFERROR(L496+AA496,0))</f>
        <v>33827.6228250052</v>
      </c>
      <c r="AC496" s="10" t="n">
        <f aca="false">IF(A496="","",IF(Inputs!$B$22="Premium Offset",MIN(Inputs!$B$25,Q496+T496),0))</f>
        <v>0</v>
      </c>
    </row>
    <row r="497" customFormat="false" ht="15" hidden="false" customHeight="false" outlineLevel="0" collapsed="false">
      <c r="A497" s="1" t="n">
        <f aca="false">IF(A496="","",IF(INT((C496+1)/12)+Inputs!$B$7&gt;MAX(MORTALITY!$A:$A),"",Inputs!$B$4))</f>
        <v>34</v>
      </c>
      <c r="B497" s="3" t="n">
        <f aca="false">IF(A497="","",EOMONTH(B496,1))</f>
        <v>36799</v>
      </c>
      <c r="C497" s="1" t="n">
        <f aca="false">IF(A497="","",C496+1)</f>
        <v>495</v>
      </c>
      <c r="D497" s="1" t="n">
        <f aca="false">IF(A497="","",INT(C497/12))</f>
        <v>41</v>
      </c>
      <c r="E497" s="1" t="n">
        <f aca="false">IF(A497="","",D497+Inputs!$B$7)</f>
        <v>57</v>
      </c>
      <c r="F497" s="3" t="n">
        <f aca="false">IF(A497="","",DATE(YEAR(B$2)+D497,MONTH(B$2),DAY(B$2)))</f>
        <v>36682</v>
      </c>
      <c r="G497" s="3" t="n">
        <f aca="false">IF(A497="","",DATE(YEAR(F497)+1,MONTH(F497),DAY(F497)))</f>
        <v>37047</v>
      </c>
      <c r="H497" s="10" t="n">
        <f aca="false">IF(A497="","",IF(G497&gt;F497,(B497-F497)/(G497-F497),0))</f>
        <v>0.320547945205479</v>
      </c>
      <c r="I497" s="10" t="n">
        <f aca="false">IF(A497="","",IFERROR(INDEX(CV_RATES!$I:$I,MATCH(D497,CV_RATES!$C:$C,0)),0))</f>
        <v>674.115498948252</v>
      </c>
      <c r="J497" s="10" t="n">
        <f aca="false">IF(A497="","",IFERROR(IF(E497=MAX(MORTALITY!$A:$A),1000,INDEX(CV_RATES!$J:$J,MATCH(D497,CV_RATES!$C:$C,0))),0))</f>
        <v>684.339516263492</v>
      </c>
      <c r="K497" s="10" t="n">
        <f aca="false">IF(A497="","",IFERROR(I497+H497*(J497-I497),0))</f>
        <v>677.392786690397</v>
      </c>
      <c r="L497" s="10" t="n">
        <f aca="false">IF(A497="","",IFERROR(K497*Inputs!$B$9,0))</f>
        <v>33869.6393345199</v>
      </c>
      <c r="M497" s="10" t="n">
        <f aca="false">IF(A497="","",IFERROR(K497*Inputs!$B$10,0))</f>
        <v>108380.813692104</v>
      </c>
      <c r="N497" s="10" t="n">
        <f aca="false">IF(A497="","",Z496)</f>
        <v>0</v>
      </c>
      <c r="O497" s="6" t="n">
        <f aca="false">IF(A497="","",Inputs!$B$18+N497)</f>
        <v>50000</v>
      </c>
      <c r="P497" s="5" t="n">
        <f aca="false">IF(A497="","",VLOOKUP(D497,DIvidend_Assumption!$A$3:$CX$103,($E$2+2),0)/12)</f>
        <v>0</v>
      </c>
      <c r="Q497" s="10" t="n">
        <f aca="false">IF(A497="","",IFERROR(AB496*P497,""))</f>
        <v>0</v>
      </c>
      <c r="R497" s="10" t="n">
        <f aca="false">IF(A497="","",IFERROR(IF(Inputs!$B$22="Accumulate",T497+Q497,IF(Inputs!$B$22="Premium Offset",MAX(0,T497+Q497-Inputs!$B$25),T497)),""))</f>
        <v>0</v>
      </c>
      <c r="S497" s="10" t="n">
        <f aca="false">IF(A497="","",R496)</f>
        <v>0</v>
      </c>
      <c r="T497" s="10" t="n">
        <f aca="false">IF(A497="","",IFERROR(S497*(1+Inputs!$B$23/12),""))</f>
        <v>0</v>
      </c>
      <c r="U497" s="6" t="n">
        <f aca="false">IF(A497="","",IF(D497&lt;=Inputs!$B$8,IF(Inputs!$B$22="Premium Offset",MAX(0,Inputs!$B$25-(Q497+T497)),Inputs!$B$25),0))</f>
        <v>0</v>
      </c>
      <c r="V497" s="10" t="n">
        <f aca="false">IF(A497="","",IF(Inputs!$B$22="Cash",Q497,0))</f>
        <v>0</v>
      </c>
      <c r="W497" s="10" t="n">
        <f aca="false">IF(A497="","",IF(Inputs!$B$22="PUA",Q497,0))</f>
        <v>0</v>
      </c>
      <c r="X497" s="12" t="n">
        <f aca="false">IF(A497="","",IFERROR(INDEX(PUA_TABLE!$D$4:$D$105,MATCH(E497,PUA_TABLE!$C$4:$C$105,1)),0))</f>
        <v>0.674115498948252</v>
      </c>
      <c r="Y497" s="10" t="n">
        <f aca="false">IF(A497="","",IF(W497&gt;0,IF(X497&gt;0,W497/X497,0),0))</f>
        <v>0</v>
      </c>
      <c r="Z497" s="10" t="n">
        <f aca="false">IF(A497="","",N497+Y497)</f>
        <v>0</v>
      </c>
      <c r="AA497" s="10" t="n">
        <f aca="false">IF(A497="","",IFERROR(Z497*INDEX(PUA_TABLE!$I$4:$I$105,MATCH(E497,PUA_TABLE!$C$4:$C$105,1))/1000,0))</f>
        <v>0</v>
      </c>
      <c r="AB497" s="10" t="n">
        <f aca="false">IF(A497="","",IFERROR(L497+AA497,0))</f>
        <v>33869.6393345199</v>
      </c>
      <c r="AC497" s="10" t="n">
        <f aca="false">IF(A497="","",IF(Inputs!$B$22="Premium Offset",MIN(Inputs!$B$25,Q497+T497),0))</f>
        <v>0</v>
      </c>
    </row>
    <row r="498" customFormat="false" ht="15" hidden="false" customHeight="false" outlineLevel="0" collapsed="false">
      <c r="A498" s="1" t="n">
        <f aca="false">IF(A497="","",IF(INT((C497+1)/12)+Inputs!$B$7&gt;MAX(MORTALITY!$A:$A),"",Inputs!$B$4))</f>
        <v>34</v>
      </c>
      <c r="B498" s="3" t="n">
        <f aca="false">IF(A498="","",EOMONTH(B497,1))</f>
        <v>36830</v>
      </c>
      <c r="C498" s="1" t="n">
        <f aca="false">IF(A498="","",C497+1)</f>
        <v>496</v>
      </c>
      <c r="D498" s="1" t="n">
        <f aca="false">IF(A498="","",INT(C498/12))</f>
        <v>41</v>
      </c>
      <c r="E498" s="1" t="n">
        <f aca="false">IF(A498="","",D498+Inputs!$B$7)</f>
        <v>57</v>
      </c>
      <c r="F498" s="3" t="n">
        <f aca="false">IF(A498="","",DATE(YEAR(B$2)+D498,MONTH(B$2),DAY(B$2)))</f>
        <v>36682</v>
      </c>
      <c r="G498" s="3" t="n">
        <f aca="false">IF(A498="","",DATE(YEAR(F498)+1,MONTH(F498),DAY(F498)))</f>
        <v>37047</v>
      </c>
      <c r="H498" s="10" t="n">
        <f aca="false">IF(A498="","",IF(G498&gt;F498,(B498-F498)/(G498-F498),0))</f>
        <v>0.405479452054795</v>
      </c>
      <c r="I498" s="10" t="n">
        <f aca="false">IF(A498="","",IFERROR(INDEX(CV_RATES!$I:$I,MATCH(D498,CV_RATES!$C:$C,0)),0))</f>
        <v>674.115498948252</v>
      </c>
      <c r="J498" s="10" t="n">
        <f aca="false">IF(A498="","",IFERROR(IF(E498=MAX(MORTALITY!$A:$A),1000,INDEX(CV_RATES!$J:$J,MATCH(D498,CV_RATES!$C:$C,0))),0))</f>
        <v>684.339516263492</v>
      </c>
      <c r="K498" s="10" t="n">
        <f aca="false">IF(A498="","",IFERROR(I498+H498*(J498-I498),0))</f>
        <v>678.261127887034</v>
      </c>
      <c r="L498" s="10" t="n">
        <f aca="false">IF(A498="","",IFERROR(K498*Inputs!$B$9,0))</f>
        <v>33913.0563943517</v>
      </c>
      <c r="M498" s="10" t="n">
        <f aca="false">IF(A498="","",IFERROR(K498*Inputs!$B$10,0))</f>
        <v>108519.745678542</v>
      </c>
      <c r="N498" s="10" t="n">
        <f aca="false">IF(A498="","",Z497)</f>
        <v>0</v>
      </c>
      <c r="O498" s="6" t="n">
        <f aca="false">IF(A498="","",Inputs!$B$18+N498)</f>
        <v>50000</v>
      </c>
      <c r="P498" s="5" t="n">
        <f aca="false">IF(A498="","",VLOOKUP(D498,DIvidend_Assumption!$A$3:$CX$103,($E$2+2),0)/12)</f>
        <v>0</v>
      </c>
      <c r="Q498" s="10" t="n">
        <f aca="false">IF(A498="","",IFERROR(AB497*P498,""))</f>
        <v>0</v>
      </c>
      <c r="R498" s="10" t="n">
        <f aca="false">IF(A498="","",IFERROR(IF(Inputs!$B$22="Accumulate",T498+Q498,IF(Inputs!$B$22="Premium Offset",MAX(0,T498+Q498-Inputs!$B$25),T498)),""))</f>
        <v>0</v>
      </c>
      <c r="S498" s="10" t="n">
        <f aca="false">IF(A498="","",R497)</f>
        <v>0</v>
      </c>
      <c r="T498" s="10" t="n">
        <f aca="false">IF(A498="","",IFERROR(S498*(1+Inputs!$B$23/12),""))</f>
        <v>0</v>
      </c>
      <c r="U498" s="6" t="n">
        <f aca="false">IF(A498="","",IF(D498&lt;=Inputs!$B$8,IF(Inputs!$B$22="Premium Offset",MAX(0,Inputs!$B$25-(Q498+T498)),Inputs!$B$25),0))</f>
        <v>0</v>
      </c>
      <c r="V498" s="10" t="n">
        <f aca="false">IF(A498="","",IF(Inputs!$B$22="Cash",Q498,0))</f>
        <v>0</v>
      </c>
      <c r="W498" s="10" t="n">
        <f aca="false">IF(A498="","",IF(Inputs!$B$22="PUA",Q498,0))</f>
        <v>0</v>
      </c>
      <c r="X498" s="12" t="n">
        <f aca="false">IF(A498="","",IFERROR(INDEX(PUA_TABLE!$D$4:$D$105,MATCH(E498,PUA_TABLE!$C$4:$C$105,1)),0))</f>
        <v>0.674115498948252</v>
      </c>
      <c r="Y498" s="10" t="n">
        <f aca="false">IF(A498="","",IF(W498&gt;0,IF(X498&gt;0,W498/X498,0),0))</f>
        <v>0</v>
      </c>
      <c r="Z498" s="10" t="n">
        <f aca="false">IF(A498="","",N498+Y498)</f>
        <v>0</v>
      </c>
      <c r="AA498" s="10" t="n">
        <f aca="false">IF(A498="","",IFERROR(Z498*INDEX(PUA_TABLE!$I$4:$I$105,MATCH(E498,PUA_TABLE!$C$4:$C$105,1))/1000,0))</f>
        <v>0</v>
      </c>
      <c r="AB498" s="10" t="n">
        <f aca="false">IF(A498="","",IFERROR(L498+AA498,0))</f>
        <v>33913.0563943517</v>
      </c>
      <c r="AC498" s="10" t="n">
        <f aca="false">IF(A498="","",IF(Inputs!$B$22="Premium Offset",MIN(Inputs!$B$25,Q498+T498),0))</f>
        <v>0</v>
      </c>
    </row>
    <row r="499" customFormat="false" ht="15" hidden="false" customHeight="false" outlineLevel="0" collapsed="false">
      <c r="A499" s="1" t="n">
        <f aca="false">IF(A498="","",IF(INT((C498+1)/12)+Inputs!$B$7&gt;MAX(MORTALITY!$A:$A),"",Inputs!$B$4))</f>
        <v>34</v>
      </c>
      <c r="B499" s="3" t="n">
        <f aca="false">IF(A499="","",EOMONTH(B498,1))</f>
        <v>36860</v>
      </c>
      <c r="C499" s="1" t="n">
        <f aca="false">IF(A499="","",C498+1)</f>
        <v>497</v>
      </c>
      <c r="D499" s="1" t="n">
        <f aca="false">IF(A499="","",INT(C499/12))</f>
        <v>41</v>
      </c>
      <c r="E499" s="1" t="n">
        <f aca="false">IF(A499="","",D499+Inputs!$B$7)</f>
        <v>57</v>
      </c>
      <c r="F499" s="3" t="n">
        <f aca="false">IF(A499="","",DATE(YEAR(B$2)+D499,MONTH(B$2),DAY(B$2)))</f>
        <v>36682</v>
      </c>
      <c r="G499" s="3" t="n">
        <f aca="false">IF(A499="","",DATE(YEAR(F499)+1,MONTH(F499),DAY(F499)))</f>
        <v>37047</v>
      </c>
      <c r="H499" s="10" t="n">
        <f aca="false">IF(A499="","",IF(G499&gt;F499,(B499-F499)/(G499-F499),0))</f>
        <v>0.487671232876712</v>
      </c>
      <c r="I499" s="10" t="n">
        <f aca="false">IF(A499="","",IFERROR(INDEX(CV_RATES!$I:$I,MATCH(D499,CV_RATES!$C:$C,0)),0))</f>
        <v>674.115498948252</v>
      </c>
      <c r="J499" s="10" t="n">
        <f aca="false">IF(A499="","",IFERROR(IF(E499=MAX(MORTALITY!$A:$A),1000,INDEX(CV_RATES!$J:$J,MATCH(D499,CV_RATES!$C:$C,0))),0))</f>
        <v>684.339516263492</v>
      </c>
      <c r="K499" s="10" t="n">
        <f aca="false">IF(A499="","",IFERROR(I499+H499*(J499-I499),0))</f>
        <v>679.101458077328</v>
      </c>
      <c r="L499" s="10" t="n">
        <f aca="false">IF(A499="","",IFERROR(K499*Inputs!$B$9,0))</f>
        <v>33955.0729038664</v>
      </c>
      <c r="M499" s="10" t="n">
        <f aca="false">IF(A499="","",IFERROR(K499*Inputs!$B$10,0))</f>
        <v>108654.195987998</v>
      </c>
      <c r="N499" s="10" t="n">
        <f aca="false">IF(A499="","",Z498)</f>
        <v>0</v>
      </c>
      <c r="O499" s="6" t="n">
        <f aca="false">IF(A499="","",Inputs!$B$18+N499)</f>
        <v>50000</v>
      </c>
      <c r="P499" s="5" t="n">
        <f aca="false">IF(A499="","",VLOOKUP(D499,DIvidend_Assumption!$A$3:$CX$103,($E$2+2),0)/12)</f>
        <v>0</v>
      </c>
      <c r="Q499" s="10" t="n">
        <f aca="false">IF(A499="","",IFERROR(AB498*P499,""))</f>
        <v>0</v>
      </c>
      <c r="R499" s="10" t="n">
        <f aca="false">IF(A499="","",IFERROR(IF(Inputs!$B$22="Accumulate",T499+Q499,IF(Inputs!$B$22="Premium Offset",MAX(0,T499+Q499-Inputs!$B$25),T499)),""))</f>
        <v>0</v>
      </c>
      <c r="S499" s="10" t="n">
        <f aca="false">IF(A499="","",R498)</f>
        <v>0</v>
      </c>
      <c r="T499" s="10" t="n">
        <f aca="false">IF(A499="","",IFERROR(S499*(1+Inputs!$B$23/12),""))</f>
        <v>0</v>
      </c>
      <c r="U499" s="6" t="n">
        <f aca="false">IF(A499="","",IF(D499&lt;=Inputs!$B$8,IF(Inputs!$B$22="Premium Offset",MAX(0,Inputs!$B$25-(Q499+T499)),Inputs!$B$25),0))</f>
        <v>0</v>
      </c>
      <c r="V499" s="10" t="n">
        <f aca="false">IF(A499="","",IF(Inputs!$B$22="Cash",Q499,0))</f>
        <v>0</v>
      </c>
      <c r="W499" s="10" t="n">
        <f aca="false">IF(A499="","",IF(Inputs!$B$22="PUA",Q499,0))</f>
        <v>0</v>
      </c>
      <c r="X499" s="12" t="n">
        <f aca="false">IF(A499="","",IFERROR(INDEX(PUA_TABLE!$D$4:$D$105,MATCH(E499,PUA_TABLE!$C$4:$C$105,1)),0))</f>
        <v>0.674115498948252</v>
      </c>
      <c r="Y499" s="10" t="n">
        <f aca="false">IF(A499="","",IF(W499&gt;0,IF(X499&gt;0,W499/X499,0),0))</f>
        <v>0</v>
      </c>
      <c r="Z499" s="10" t="n">
        <f aca="false">IF(A499="","",N499+Y499)</f>
        <v>0</v>
      </c>
      <c r="AA499" s="10" t="n">
        <f aca="false">IF(A499="","",IFERROR(Z499*INDEX(PUA_TABLE!$I$4:$I$105,MATCH(E499,PUA_TABLE!$C$4:$C$105,1))/1000,0))</f>
        <v>0</v>
      </c>
      <c r="AB499" s="10" t="n">
        <f aca="false">IF(A499="","",IFERROR(L499+AA499,0))</f>
        <v>33955.0729038664</v>
      </c>
      <c r="AC499" s="10" t="n">
        <f aca="false">IF(A499="","",IF(Inputs!$B$22="Premium Offset",MIN(Inputs!$B$25,Q499+T499),0))</f>
        <v>0</v>
      </c>
    </row>
    <row r="500" customFormat="false" ht="15" hidden="false" customHeight="false" outlineLevel="0" collapsed="false">
      <c r="A500" s="1" t="n">
        <f aca="false">IF(A499="","",IF(INT((C499+1)/12)+Inputs!$B$7&gt;MAX(MORTALITY!$A:$A),"",Inputs!$B$4))</f>
        <v>34</v>
      </c>
      <c r="B500" s="3" t="n">
        <f aca="false">IF(A500="","",EOMONTH(B499,1))</f>
        <v>36891</v>
      </c>
      <c r="C500" s="1" t="n">
        <f aca="false">IF(A500="","",C499+1)</f>
        <v>498</v>
      </c>
      <c r="D500" s="1" t="n">
        <f aca="false">IF(A500="","",INT(C500/12))</f>
        <v>41</v>
      </c>
      <c r="E500" s="1" t="n">
        <f aca="false">IF(A500="","",D500+Inputs!$B$7)</f>
        <v>57</v>
      </c>
      <c r="F500" s="3" t="n">
        <f aca="false">IF(A500="","",DATE(YEAR(B$2)+D500,MONTH(B$2),DAY(B$2)))</f>
        <v>36682</v>
      </c>
      <c r="G500" s="3" t="n">
        <f aca="false">IF(A500="","",DATE(YEAR(F500)+1,MONTH(F500),DAY(F500)))</f>
        <v>37047</v>
      </c>
      <c r="H500" s="10" t="n">
        <f aca="false">IF(A500="","",IF(G500&gt;F500,(B500-F500)/(G500-F500),0))</f>
        <v>0.572602739726027</v>
      </c>
      <c r="I500" s="10" t="n">
        <f aca="false">IF(A500="","",IFERROR(INDEX(CV_RATES!$I:$I,MATCH(D500,CV_RATES!$C:$C,0)),0))</f>
        <v>674.115498948252</v>
      </c>
      <c r="J500" s="10" t="n">
        <f aca="false">IF(A500="","",IFERROR(IF(E500=MAX(MORTALITY!$A:$A),1000,INDEX(CV_RATES!$J:$J,MATCH(D500,CV_RATES!$C:$C,0))),0))</f>
        <v>684.339516263492</v>
      </c>
      <c r="K500" s="10" t="n">
        <f aca="false">IF(A500="","",IFERROR(I500+H500*(J500-I500),0))</f>
        <v>679.969799273965</v>
      </c>
      <c r="L500" s="10" t="n">
        <f aca="false">IF(A500="","",IFERROR(K500*Inputs!$B$9,0))</f>
        <v>33998.4899636982</v>
      </c>
      <c r="M500" s="10" t="n">
        <f aca="false">IF(A500="","",IFERROR(K500*Inputs!$B$10,0))</f>
        <v>108793.127974437</v>
      </c>
      <c r="N500" s="10" t="n">
        <f aca="false">IF(A500="","",Z499)</f>
        <v>0</v>
      </c>
      <c r="O500" s="6" t="n">
        <f aca="false">IF(A500="","",Inputs!$B$18+N500)</f>
        <v>50000</v>
      </c>
      <c r="P500" s="5" t="n">
        <f aca="false">IF(A500="","",VLOOKUP(D500,DIvidend_Assumption!$A$3:$CX$103,($E$2+2),0)/12)</f>
        <v>0</v>
      </c>
      <c r="Q500" s="10" t="n">
        <f aca="false">IF(A500="","",IFERROR(AB499*P500,""))</f>
        <v>0</v>
      </c>
      <c r="R500" s="10" t="n">
        <f aca="false">IF(A500="","",IFERROR(IF(Inputs!$B$22="Accumulate",T500+Q500,IF(Inputs!$B$22="Premium Offset",MAX(0,T500+Q500-Inputs!$B$25),T500)),""))</f>
        <v>0</v>
      </c>
      <c r="S500" s="10" t="n">
        <f aca="false">IF(A500="","",R499)</f>
        <v>0</v>
      </c>
      <c r="T500" s="10" t="n">
        <f aca="false">IF(A500="","",IFERROR(S500*(1+Inputs!$B$23/12),""))</f>
        <v>0</v>
      </c>
      <c r="U500" s="6" t="n">
        <f aca="false">IF(A500="","",IF(D500&lt;=Inputs!$B$8,IF(Inputs!$B$22="Premium Offset",MAX(0,Inputs!$B$25-(Q500+T500)),Inputs!$B$25),0))</f>
        <v>0</v>
      </c>
      <c r="V500" s="10" t="n">
        <f aca="false">IF(A500="","",IF(Inputs!$B$22="Cash",Q500,0))</f>
        <v>0</v>
      </c>
      <c r="W500" s="10" t="n">
        <f aca="false">IF(A500="","",IF(Inputs!$B$22="PUA",Q500,0))</f>
        <v>0</v>
      </c>
      <c r="X500" s="12" t="n">
        <f aca="false">IF(A500="","",IFERROR(INDEX(PUA_TABLE!$D$4:$D$105,MATCH(E500,PUA_TABLE!$C$4:$C$105,1)),0))</f>
        <v>0.674115498948252</v>
      </c>
      <c r="Y500" s="10" t="n">
        <f aca="false">IF(A500="","",IF(W500&gt;0,IF(X500&gt;0,W500/X500,0),0))</f>
        <v>0</v>
      </c>
      <c r="Z500" s="10" t="n">
        <f aca="false">IF(A500="","",N500+Y500)</f>
        <v>0</v>
      </c>
      <c r="AA500" s="10" t="n">
        <f aca="false">IF(A500="","",IFERROR(Z500*INDEX(PUA_TABLE!$I$4:$I$105,MATCH(E500,PUA_TABLE!$C$4:$C$105,1))/1000,0))</f>
        <v>0</v>
      </c>
      <c r="AB500" s="10" t="n">
        <f aca="false">IF(A500="","",IFERROR(L500+AA500,0))</f>
        <v>33998.4899636982</v>
      </c>
      <c r="AC500" s="10" t="n">
        <f aca="false">IF(A500="","",IF(Inputs!$B$22="Premium Offset",MIN(Inputs!$B$25,Q500+T500),0))</f>
        <v>0</v>
      </c>
    </row>
    <row r="501" customFormat="false" ht="15" hidden="false" customHeight="false" outlineLevel="0" collapsed="false">
      <c r="A501" s="1" t="n">
        <f aca="false">IF(A500="","",IF(INT((C500+1)/12)+Inputs!$B$7&gt;MAX(MORTALITY!$A:$A),"",Inputs!$B$4))</f>
        <v>34</v>
      </c>
      <c r="B501" s="3" t="n">
        <f aca="false">IF(A501="","",EOMONTH(B500,1))</f>
        <v>36922</v>
      </c>
      <c r="C501" s="1" t="n">
        <f aca="false">IF(A501="","",C500+1)</f>
        <v>499</v>
      </c>
      <c r="D501" s="1" t="n">
        <f aca="false">IF(A501="","",INT(C501/12))</f>
        <v>41</v>
      </c>
      <c r="E501" s="1" t="n">
        <f aca="false">IF(A501="","",D501+Inputs!$B$7)</f>
        <v>57</v>
      </c>
      <c r="F501" s="3" t="n">
        <f aca="false">IF(A501="","",DATE(YEAR(B$2)+D501,MONTH(B$2),DAY(B$2)))</f>
        <v>36682</v>
      </c>
      <c r="G501" s="3" t="n">
        <f aca="false">IF(A501="","",DATE(YEAR(F501)+1,MONTH(F501),DAY(F501)))</f>
        <v>37047</v>
      </c>
      <c r="H501" s="10" t="n">
        <f aca="false">IF(A501="","",IF(G501&gt;F501,(B501-F501)/(G501-F501),0))</f>
        <v>0.657534246575342</v>
      </c>
      <c r="I501" s="10" t="n">
        <f aca="false">IF(A501="","",IFERROR(INDEX(CV_RATES!$I:$I,MATCH(D501,CV_RATES!$C:$C,0)),0))</f>
        <v>674.115498948252</v>
      </c>
      <c r="J501" s="10" t="n">
        <f aca="false">IF(A501="","",IFERROR(IF(E501=MAX(MORTALITY!$A:$A),1000,INDEX(CV_RATES!$J:$J,MATCH(D501,CV_RATES!$C:$C,0))),0))</f>
        <v>684.339516263492</v>
      </c>
      <c r="K501" s="10" t="n">
        <f aca="false">IF(A501="","",IFERROR(I501+H501*(J501-I501),0))</f>
        <v>680.838140470601</v>
      </c>
      <c r="L501" s="10" t="n">
        <f aca="false">IF(A501="","",IFERROR(K501*Inputs!$B$9,0))</f>
        <v>34041.9070235301</v>
      </c>
      <c r="M501" s="10" t="n">
        <f aca="false">IF(A501="","",IFERROR(K501*Inputs!$B$10,0))</f>
        <v>108932.059960875</v>
      </c>
      <c r="N501" s="10" t="n">
        <f aca="false">IF(A501="","",Z500)</f>
        <v>0</v>
      </c>
      <c r="O501" s="6" t="n">
        <f aca="false">IF(A501="","",Inputs!$B$18+N501)</f>
        <v>50000</v>
      </c>
      <c r="P501" s="5" t="n">
        <f aca="false">IF(A501="","",VLOOKUP(D501,DIvidend_Assumption!$A$3:$CX$103,($E$2+2),0)/12)</f>
        <v>0</v>
      </c>
      <c r="Q501" s="10" t="n">
        <f aca="false">IF(A501="","",IFERROR(AB500*P501,""))</f>
        <v>0</v>
      </c>
      <c r="R501" s="10" t="n">
        <f aca="false">IF(A501="","",IFERROR(IF(Inputs!$B$22="Accumulate",T501+Q501,IF(Inputs!$B$22="Premium Offset",MAX(0,T501+Q501-Inputs!$B$25),T501)),""))</f>
        <v>0</v>
      </c>
      <c r="S501" s="10" t="n">
        <f aca="false">IF(A501="","",R500)</f>
        <v>0</v>
      </c>
      <c r="T501" s="10" t="n">
        <f aca="false">IF(A501="","",IFERROR(S501*(1+Inputs!$B$23/12),""))</f>
        <v>0</v>
      </c>
      <c r="U501" s="6" t="n">
        <f aca="false">IF(A501="","",IF(D501&lt;=Inputs!$B$8,IF(Inputs!$B$22="Premium Offset",MAX(0,Inputs!$B$25-(Q501+T501)),Inputs!$B$25),0))</f>
        <v>0</v>
      </c>
      <c r="V501" s="10" t="n">
        <f aca="false">IF(A501="","",IF(Inputs!$B$22="Cash",Q501,0))</f>
        <v>0</v>
      </c>
      <c r="W501" s="10" t="n">
        <f aca="false">IF(A501="","",IF(Inputs!$B$22="PUA",Q501,0))</f>
        <v>0</v>
      </c>
      <c r="X501" s="12" t="n">
        <f aca="false">IF(A501="","",IFERROR(INDEX(PUA_TABLE!$D$4:$D$105,MATCH(E501,PUA_TABLE!$C$4:$C$105,1)),0))</f>
        <v>0.674115498948252</v>
      </c>
      <c r="Y501" s="10" t="n">
        <f aca="false">IF(A501="","",IF(W501&gt;0,IF(X501&gt;0,W501/X501,0),0))</f>
        <v>0</v>
      </c>
      <c r="Z501" s="10" t="n">
        <f aca="false">IF(A501="","",N501+Y501)</f>
        <v>0</v>
      </c>
      <c r="AA501" s="10" t="n">
        <f aca="false">IF(A501="","",IFERROR(Z501*INDEX(PUA_TABLE!$I$4:$I$105,MATCH(E501,PUA_TABLE!$C$4:$C$105,1))/1000,0))</f>
        <v>0</v>
      </c>
      <c r="AB501" s="10" t="n">
        <f aca="false">IF(A501="","",IFERROR(L501+AA501,0))</f>
        <v>34041.9070235301</v>
      </c>
      <c r="AC501" s="10" t="n">
        <f aca="false">IF(A501="","",IF(Inputs!$B$22="Premium Offset",MIN(Inputs!$B$25,Q501+T501),0))</f>
        <v>0</v>
      </c>
    </row>
    <row r="502" customFormat="false" ht="15" hidden="false" customHeight="false" outlineLevel="0" collapsed="false">
      <c r="A502" s="1" t="n">
        <f aca="false">IF(A501="","",IF(INT((C501+1)/12)+Inputs!$B$7&gt;MAX(MORTALITY!$A:$A),"",Inputs!$B$4))</f>
        <v>34</v>
      </c>
      <c r="B502" s="3" t="n">
        <f aca="false">IF(A502="","",EOMONTH(B501,1))</f>
        <v>36950</v>
      </c>
      <c r="C502" s="1" t="n">
        <f aca="false">IF(A502="","",C501+1)</f>
        <v>500</v>
      </c>
      <c r="D502" s="1" t="n">
        <f aca="false">IF(A502="","",INT(C502/12))</f>
        <v>41</v>
      </c>
      <c r="E502" s="1" t="n">
        <f aca="false">IF(A502="","",D502+Inputs!$B$7)</f>
        <v>57</v>
      </c>
      <c r="F502" s="3" t="n">
        <f aca="false">IF(A502="","",DATE(YEAR(B$2)+D502,MONTH(B$2),DAY(B$2)))</f>
        <v>36682</v>
      </c>
      <c r="G502" s="3" t="n">
        <f aca="false">IF(A502="","",DATE(YEAR(F502)+1,MONTH(F502),DAY(F502)))</f>
        <v>37047</v>
      </c>
      <c r="H502" s="10" t="n">
        <f aca="false">IF(A502="","",IF(G502&gt;F502,(B502-F502)/(G502-F502),0))</f>
        <v>0.734246575342466</v>
      </c>
      <c r="I502" s="10" t="n">
        <f aca="false">IF(A502="","",IFERROR(INDEX(CV_RATES!$I:$I,MATCH(D502,CV_RATES!$C:$C,0)),0))</f>
        <v>674.115498948252</v>
      </c>
      <c r="J502" s="10" t="n">
        <f aca="false">IF(A502="","",IFERROR(IF(E502=MAX(MORTALITY!$A:$A),1000,INDEX(CV_RATES!$J:$J,MATCH(D502,CV_RATES!$C:$C,0))),0))</f>
        <v>684.339516263492</v>
      </c>
      <c r="K502" s="10" t="n">
        <f aca="false">IF(A502="","",IFERROR(I502+H502*(J502-I502),0))</f>
        <v>681.622448648209</v>
      </c>
      <c r="L502" s="10" t="n">
        <f aca="false">IF(A502="","",IFERROR(K502*Inputs!$B$9,0))</f>
        <v>34081.1224324104</v>
      </c>
      <c r="M502" s="10" t="n">
        <f aca="false">IF(A502="","",IFERROR(K502*Inputs!$B$10,0))</f>
        <v>109057.546916367</v>
      </c>
      <c r="N502" s="10" t="n">
        <f aca="false">IF(A502="","",Z501)</f>
        <v>0</v>
      </c>
      <c r="O502" s="6" t="n">
        <f aca="false">IF(A502="","",Inputs!$B$18+N502)</f>
        <v>50000</v>
      </c>
      <c r="P502" s="5" t="n">
        <f aca="false">IF(A502="","",VLOOKUP(D502,DIvidend_Assumption!$A$3:$CX$103,($E$2+2),0)/12)</f>
        <v>0</v>
      </c>
      <c r="Q502" s="10" t="n">
        <f aca="false">IF(A502="","",IFERROR(AB501*P502,""))</f>
        <v>0</v>
      </c>
      <c r="R502" s="10" t="n">
        <f aca="false">IF(A502="","",IFERROR(IF(Inputs!$B$22="Accumulate",T502+Q502,IF(Inputs!$B$22="Premium Offset",MAX(0,T502+Q502-Inputs!$B$25),T502)),""))</f>
        <v>0</v>
      </c>
      <c r="S502" s="10" t="n">
        <f aca="false">IF(A502="","",R501)</f>
        <v>0</v>
      </c>
      <c r="T502" s="10" t="n">
        <f aca="false">IF(A502="","",IFERROR(S502*(1+Inputs!$B$23/12),""))</f>
        <v>0</v>
      </c>
      <c r="U502" s="6" t="n">
        <f aca="false">IF(A502="","",IF(D502&lt;=Inputs!$B$8,IF(Inputs!$B$22="Premium Offset",MAX(0,Inputs!$B$25-(Q502+T502)),Inputs!$B$25),0))</f>
        <v>0</v>
      </c>
      <c r="V502" s="10" t="n">
        <f aca="false">IF(A502="","",IF(Inputs!$B$22="Cash",Q502,0))</f>
        <v>0</v>
      </c>
      <c r="W502" s="10" t="n">
        <f aca="false">IF(A502="","",IF(Inputs!$B$22="PUA",Q502,0))</f>
        <v>0</v>
      </c>
      <c r="X502" s="12" t="n">
        <f aca="false">IF(A502="","",IFERROR(INDEX(PUA_TABLE!$D$4:$D$105,MATCH(E502,PUA_TABLE!$C$4:$C$105,1)),0))</f>
        <v>0.674115498948252</v>
      </c>
      <c r="Y502" s="10" t="n">
        <f aca="false">IF(A502="","",IF(W502&gt;0,IF(X502&gt;0,W502/X502,0),0))</f>
        <v>0</v>
      </c>
      <c r="Z502" s="10" t="n">
        <f aca="false">IF(A502="","",N502+Y502)</f>
        <v>0</v>
      </c>
      <c r="AA502" s="10" t="n">
        <f aca="false">IF(A502="","",IFERROR(Z502*INDEX(PUA_TABLE!$I$4:$I$105,MATCH(E502,PUA_TABLE!$C$4:$C$105,1))/1000,0))</f>
        <v>0</v>
      </c>
      <c r="AB502" s="10" t="n">
        <f aca="false">IF(A502="","",IFERROR(L502+AA502,0))</f>
        <v>34081.1224324104</v>
      </c>
      <c r="AC502" s="10" t="n">
        <f aca="false">IF(A502="","",IF(Inputs!$B$22="Premium Offset",MIN(Inputs!$B$25,Q502+T502),0))</f>
        <v>0</v>
      </c>
    </row>
    <row r="503" customFormat="false" ht="15" hidden="false" customHeight="false" outlineLevel="0" collapsed="false">
      <c r="A503" s="1" t="n">
        <f aca="false">IF(A502="","",IF(INT((C502+1)/12)+Inputs!$B$7&gt;MAX(MORTALITY!$A:$A),"",Inputs!$B$4))</f>
        <v>34</v>
      </c>
      <c r="B503" s="3" t="n">
        <f aca="false">IF(A503="","",EOMONTH(B502,1))</f>
        <v>36981</v>
      </c>
      <c r="C503" s="1" t="n">
        <f aca="false">IF(A503="","",C502+1)</f>
        <v>501</v>
      </c>
      <c r="D503" s="1" t="n">
        <f aca="false">IF(A503="","",INT(C503/12))</f>
        <v>41</v>
      </c>
      <c r="E503" s="1" t="n">
        <f aca="false">IF(A503="","",D503+Inputs!$B$7)</f>
        <v>57</v>
      </c>
      <c r="F503" s="3" t="n">
        <f aca="false">IF(A503="","",DATE(YEAR(B$2)+D503,MONTH(B$2),DAY(B$2)))</f>
        <v>36682</v>
      </c>
      <c r="G503" s="3" t="n">
        <f aca="false">IF(A503="","",DATE(YEAR(F503)+1,MONTH(F503),DAY(F503)))</f>
        <v>37047</v>
      </c>
      <c r="H503" s="10" t="n">
        <f aca="false">IF(A503="","",IF(G503&gt;F503,(B503-F503)/(G503-F503),0))</f>
        <v>0.819178082191781</v>
      </c>
      <c r="I503" s="10" t="n">
        <f aca="false">IF(A503="","",IFERROR(INDEX(CV_RATES!$I:$I,MATCH(D503,CV_RATES!$C:$C,0)),0))</f>
        <v>674.115498948252</v>
      </c>
      <c r="J503" s="10" t="n">
        <f aca="false">IF(A503="","",IFERROR(IF(E503=MAX(MORTALITY!$A:$A),1000,INDEX(CV_RATES!$J:$J,MATCH(D503,CV_RATES!$C:$C,0))),0))</f>
        <v>684.339516263492</v>
      </c>
      <c r="K503" s="10" t="n">
        <f aca="false">IF(A503="","",IFERROR(I503+H503*(J503-I503),0))</f>
        <v>682.490789844846</v>
      </c>
      <c r="L503" s="10" t="n">
        <f aca="false">IF(A503="","",IFERROR(K503*Inputs!$B$9,0))</f>
        <v>34124.5394922423</v>
      </c>
      <c r="M503" s="10" t="n">
        <f aca="false">IF(A503="","",IFERROR(K503*Inputs!$B$10,0))</f>
        <v>109196.478902806</v>
      </c>
      <c r="N503" s="10" t="n">
        <f aca="false">IF(A503="","",Z502)</f>
        <v>0</v>
      </c>
      <c r="O503" s="6" t="n">
        <f aca="false">IF(A503="","",Inputs!$B$18+N503)</f>
        <v>50000</v>
      </c>
      <c r="P503" s="5" t="n">
        <f aca="false">IF(A503="","",VLOOKUP(D503,DIvidend_Assumption!$A$3:$CX$103,($E$2+2),0)/12)</f>
        <v>0</v>
      </c>
      <c r="Q503" s="10" t="n">
        <f aca="false">IF(A503="","",IFERROR(AB502*P503,""))</f>
        <v>0</v>
      </c>
      <c r="R503" s="10" t="n">
        <f aca="false">IF(A503="","",IFERROR(IF(Inputs!$B$22="Accumulate",T503+Q503,IF(Inputs!$B$22="Premium Offset",MAX(0,T503+Q503-Inputs!$B$25),T503)),""))</f>
        <v>0</v>
      </c>
      <c r="S503" s="10" t="n">
        <f aca="false">IF(A503="","",R502)</f>
        <v>0</v>
      </c>
      <c r="T503" s="10" t="n">
        <f aca="false">IF(A503="","",IFERROR(S503*(1+Inputs!$B$23/12),""))</f>
        <v>0</v>
      </c>
      <c r="U503" s="6" t="n">
        <f aca="false">IF(A503="","",IF(D503&lt;=Inputs!$B$8,IF(Inputs!$B$22="Premium Offset",MAX(0,Inputs!$B$25-(Q503+T503)),Inputs!$B$25),0))</f>
        <v>0</v>
      </c>
      <c r="V503" s="10" t="n">
        <f aca="false">IF(A503="","",IF(Inputs!$B$22="Cash",Q503,0))</f>
        <v>0</v>
      </c>
      <c r="W503" s="10" t="n">
        <f aca="false">IF(A503="","",IF(Inputs!$B$22="PUA",Q503,0))</f>
        <v>0</v>
      </c>
      <c r="X503" s="12" t="n">
        <f aca="false">IF(A503="","",IFERROR(INDEX(PUA_TABLE!$D$4:$D$105,MATCH(E503,PUA_TABLE!$C$4:$C$105,1)),0))</f>
        <v>0.674115498948252</v>
      </c>
      <c r="Y503" s="10" t="n">
        <f aca="false">IF(A503="","",IF(W503&gt;0,IF(X503&gt;0,W503/X503,0),0))</f>
        <v>0</v>
      </c>
      <c r="Z503" s="10" t="n">
        <f aca="false">IF(A503="","",N503+Y503)</f>
        <v>0</v>
      </c>
      <c r="AA503" s="10" t="n">
        <f aca="false">IF(A503="","",IFERROR(Z503*INDEX(PUA_TABLE!$I$4:$I$105,MATCH(E503,PUA_TABLE!$C$4:$C$105,1))/1000,0))</f>
        <v>0</v>
      </c>
      <c r="AB503" s="10" t="n">
        <f aca="false">IF(A503="","",IFERROR(L503+AA503,0))</f>
        <v>34124.5394922423</v>
      </c>
      <c r="AC503" s="10" t="n">
        <f aca="false">IF(A503="","",IF(Inputs!$B$22="Premium Offset",MIN(Inputs!$B$25,Q503+T503),0))</f>
        <v>0</v>
      </c>
    </row>
    <row r="504" customFormat="false" ht="15" hidden="false" customHeight="false" outlineLevel="0" collapsed="false">
      <c r="A504" s="1" t="n">
        <f aca="false">IF(A503="","",IF(INT((C503+1)/12)+Inputs!$B$7&gt;MAX(MORTALITY!$A:$A),"",Inputs!$B$4))</f>
        <v>34</v>
      </c>
      <c r="B504" s="3" t="n">
        <f aca="false">IF(A504="","",EOMONTH(B503,1))</f>
        <v>37011</v>
      </c>
      <c r="C504" s="1" t="n">
        <f aca="false">IF(A504="","",C503+1)</f>
        <v>502</v>
      </c>
      <c r="D504" s="1" t="n">
        <f aca="false">IF(A504="","",INT(C504/12))</f>
        <v>41</v>
      </c>
      <c r="E504" s="1" t="n">
        <f aca="false">IF(A504="","",D504+Inputs!$B$7)</f>
        <v>57</v>
      </c>
      <c r="F504" s="3" t="n">
        <f aca="false">IF(A504="","",DATE(YEAR(B$2)+D504,MONTH(B$2),DAY(B$2)))</f>
        <v>36682</v>
      </c>
      <c r="G504" s="3" t="n">
        <f aca="false">IF(A504="","",DATE(YEAR(F504)+1,MONTH(F504),DAY(F504)))</f>
        <v>37047</v>
      </c>
      <c r="H504" s="10" t="n">
        <f aca="false">IF(A504="","",IF(G504&gt;F504,(B504-F504)/(G504-F504),0))</f>
        <v>0.901369863013699</v>
      </c>
      <c r="I504" s="10" t="n">
        <f aca="false">IF(A504="","",IFERROR(INDEX(CV_RATES!$I:$I,MATCH(D504,CV_RATES!$C:$C,0)),0))</f>
        <v>674.115498948252</v>
      </c>
      <c r="J504" s="10" t="n">
        <f aca="false">IF(A504="","",IFERROR(IF(E504=MAX(MORTALITY!$A:$A),1000,INDEX(CV_RATES!$J:$J,MATCH(D504,CV_RATES!$C:$C,0))),0))</f>
        <v>684.339516263492</v>
      </c>
      <c r="K504" s="10" t="n">
        <f aca="false">IF(A504="","",IFERROR(I504+H504*(J504-I504),0))</f>
        <v>683.331120035139</v>
      </c>
      <c r="L504" s="10" t="n">
        <f aca="false">IF(A504="","",IFERROR(K504*Inputs!$B$9,0))</f>
        <v>34166.556001757</v>
      </c>
      <c r="M504" s="10" t="n">
        <f aca="false">IF(A504="","",IFERROR(K504*Inputs!$B$10,0))</f>
        <v>109330.929212262</v>
      </c>
      <c r="N504" s="10" t="n">
        <f aca="false">IF(A504="","",Z503)</f>
        <v>0</v>
      </c>
      <c r="O504" s="6" t="n">
        <f aca="false">IF(A504="","",Inputs!$B$18+N504)</f>
        <v>50000</v>
      </c>
      <c r="P504" s="5" t="n">
        <f aca="false">IF(A504="","",VLOOKUP(D504,DIvidend_Assumption!$A$3:$CX$103,($E$2+2),0)/12)</f>
        <v>0</v>
      </c>
      <c r="Q504" s="10" t="n">
        <f aca="false">IF(A504="","",IFERROR(AB503*P504,""))</f>
        <v>0</v>
      </c>
      <c r="R504" s="10" t="n">
        <f aca="false">IF(A504="","",IFERROR(IF(Inputs!$B$22="Accumulate",T504+Q504,IF(Inputs!$B$22="Premium Offset",MAX(0,T504+Q504-Inputs!$B$25),T504)),""))</f>
        <v>0</v>
      </c>
      <c r="S504" s="10" t="n">
        <f aca="false">IF(A504="","",R503)</f>
        <v>0</v>
      </c>
      <c r="T504" s="10" t="n">
        <f aca="false">IF(A504="","",IFERROR(S504*(1+Inputs!$B$23/12),""))</f>
        <v>0</v>
      </c>
      <c r="U504" s="6" t="n">
        <f aca="false">IF(A504="","",IF(D504&lt;=Inputs!$B$8,IF(Inputs!$B$22="Premium Offset",MAX(0,Inputs!$B$25-(Q504+T504)),Inputs!$B$25),0))</f>
        <v>0</v>
      </c>
      <c r="V504" s="10" t="n">
        <f aca="false">IF(A504="","",IF(Inputs!$B$22="Cash",Q504,0))</f>
        <v>0</v>
      </c>
      <c r="W504" s="10" t="n">
        <f aca="false">IF(A504="","",IF(Inputs!$B$22="PUA",Q504,0))</f>
        <v>0</v>
      </c>
      <c r="X504" s="12" t="n">
        <f aca="false">IF(A504="","",IFERROR(INDEX(PUA_TABLE!$D$4:$D$105,MATCH(E504,PUA_TABLE!$C$4:$C$105,1)),0))</f>
        <v>0.674115498948252</v>
      </c>
      <c r="Y504" s="10" t="n">
        <f aca="false">IF(A504="","",IF(W504&gt;0,IF(X504&gt;0,W504/X504,0),0))</f>
        <v>0</v>
      </c>
      <c r="Z504" s="10" t="n">
        <f aca="false">IF(A504="","",N504+Y504)</f>
        <v>0</v>
      </c>
      <c r="AA504" s="10" t="n">
        <f aca="false">IF(A504="","",IFERROR(Z504*INDEX(PUA_TABLE!$I$4:$I$105,MATCH(E504,PUA_TABLE!$C$4:$C$105,1))/1000,0))</f>
        <v>0</v>
      </c>
      <c r="AB504" s="10" t="n">
        <f aca="false">IF(A504="","",IFERROR(L504+AA504,0))</f>
        <v>34166.556001757</v>
      </c>
      <c r="AC504" s="10" t="n">
        <f aca="false">IF(A504="","",IF(Inputs!$B$22="Premium Offset",MIN(Inputs!$B$25,Q504+T504),0))</f>
        <v>0</v>
      </c>
    </row>
    <row r="505" customFormat="false" ht="15" hidden="false" customHeight="false" outlineLevel="0" collapsed="false">
      <c r="A505" s="1" t="n">
        <f aca="false">IF(A504="","",IF(INT((C504+1)/12)+Inputs!$B$7&gt;MAX(MORTALITY!$A:$A),"",Inputs!$B$4))</f>
        <v>34</v>
      </c>
      <c r="B505" s="3" t="n">
        <f aca="false">IF(A505="","",EOMONTH(B504,1))</f>
        <v>37042</v>
      </c>
      <c r="C505" s="1" t="n">
        <f aca="false">IF(A505="","",C504+1)</f>
        <v>503</v>
      </c>
      <c r="D505" s="1" t="n">
        <f aca="false">IF(A505="","",INT(C505/12))</f>
        <v>41</v>
      </c>
      <c r="E505" s="1" t="n">
        <f aca="false">IF(A505="","",D505+Inputs!$B$7)</f>
        <v>57</v>
      </c>
      <c r="F505" s="3" t="n">
        <f aca="false">IF(A505="","",DATE(YEAR(B$2)+D505,MONTH(B$2),DAY(B$2)))</f>
        <v>36682</v>
      </c>
      <c r="G505" s="3" t="n">
        <f aca="false">IF(A505="","",DATE(YEAR(F505)+1,MONTH(F505),DAY(F505)))</f>
        <v>37047</v>
      </c>
      <c r="H505" s="10" t="n">
        <f aca="false">IF(A505="","",IF(G505&gt;F505,(B505-F505)/(G505-F505),0))</f>
        <v>0.986301369863014</v>
      </c>
      <c r="I505" s="10" t="n">
        <f aca="false">IF(A505="","",IFERROR(INDEX(CV_RATES!$I:$I,MATCH(D505,CV_RATES!$C:$C,0)),0))</f>
        <v>674.115498948252</v>
      </c>
      <c r="J505" s="10" t="n">
        <f aca="false">IF(A505="","",IFERROR(IF(E505=MAX(MORTALITY!$A:$A),1000,INDEX(CV_RATES!$J:$J,MATCH(D505,CV_RATES!$C:$C,0))),0))</f>
        <v>684.339516263492</v>
      </c>
      <c r="K505" s="10" t="n">
        <f aca="false">IF(A505="","",IFERROR(I505+H505*(J505-I505),0))</f>
        <v>684.199461231776</v>
      </c>
      <c r="L505" s="10" t="n">
        <f aca="false">IF(A505="","",IFERROR(K505*Inputs!$B$9,0))</f>
        <v>34209.9730615888</v>
      </c>
      <c r="M505" s="10" t="n">
        <f aca="false">IF(A505="","",IFERROR(K505*Inputs!$B$10,0))</f>
        <v>109469.8611987</v>
      </c>
      <c r="N505" s="10" t="n">
        <f aca="false">IF(A505="","",Z504)</f>
        <v>0</v>
      </c>
      <c r="O505" s="6" t="n">
        <f aca="false">IF(A505="","",Inputs!$B$18+N505)</f>
        <v>50000</v>
      </c>
      <c r="P505" s="5" t="n">
        <f aca="false">IF(A505="","",VLOOKUP(D505,DIvidend_Assumption!$A$3:$CX$103,($E$2+2),0)/12)</f>
        <v>0</v>
      </c>
      <c r="Q505" s="10" t="n">
        <f aca="false">IF(A505="","",IFERROR(AB504*P505,""))</f>
        <v>0</v>
      </c>
      <c r="R505" s="10" t="n">
        <f aca="false">IF(A505="","",IFERROR(IF(Inputs!$B$22="Accumulate",T505+Q505,IF(Inputs!$B$22="Premium Offset",MAX(0,T505+Q505-Inputs!$B$25),T505)),""))</f>
        <v>0</v>
      </c>
      <c r="S505" s="10" t="n">
        <f aca="false">IF(A505="","",R504)</f>
        <v>0</v>
      </c>
      <c r="T505" s="10" t="n">
        <f aca="false">IF(A505="","",IFERROR(S505*(1+Inputs!$B$23/12),""))</f>
        <v>0</v>
      </c>
      <c r="U505" s="6" t="n">
        <f aca="false">IF(A505="","",IF(D505&lt;=Inputs!$B$8,IF(Inputs!$B$22="Premium Offset",MAX(0,Inputs!$B$25-(Q505+T505)),Inputs!$B$25),0))</f>
        <v>0</v>
      </c>
      <c r="V505" s="10" t="n">
        <f aca="false">IF(A505="","",IF(Inputs!$B$22="Cash",Q505,0))</f>
        <v>0</v>
      </c>
      <c r="W505" s="10" t="n">
        <f aca="false">IF(A505="","",IF(Inputs!$B$22="PUA",Q505,0))</f>
        <v>0</v>
      </c>
      <c r="X505" s="12" t="n">
        <f aca="false">IF(A505="","",IFERROR(INDEX(PUA_TABLE!$D$4:$D$105,MATCH(E505,PUA_TABLE!$C$4:$C$105,1)),0))</f>
        <v>0.674115498948252</v>
      </c>
      <c r="Y505" s="10" t="n">
        <f aca="false">IF(A505="","",IF(W505&gt;0,IF(X505&gt;0,W505/X505,0),0))</f>
        <v>0</v>
      </c>
      <c r="Z505" s="10" t="n">
        <f aca="false">IF(A505="","",N505+Y505)</f>
        <v>0</v>
      </c>
      <c r="AA505" s="10" t="n">
        <f aca="false">IF(A505="","",IFERROR(Z505*INDEX(PUA_TABLE!$I$4:$I$105,MATCH(E505,PUA_TABLE!$C$4:$C$105,1))/1000,0))</f>
        <v>0</v>
      </c>
      <c r="AB505" s="10" t="n">
        <f aca="false">IF(A505="","",IFERROR(L505+AA505,0))</f>
        <v>34209.9730615888</v>
      </c>
      <c r="AC505" s="10" t="n">
        <f aca="false">IF(A505="","",IF(Inputs!$B$22="Premium Offset",MIN(Inputs!$B$25,Q505+T505),0))</f>
        <v>0</v>
      </c>
    </row>
    <row r="506" customFormat="false" ht="15" hidden="false" customHeight="false" outlineLevel="0" collapsed="false">
      <c r="A506" s="1" t="n">
        <f aca="false">IF(A505="","",IF(INT((C505+1)/12)+Inputs!$B$7&gt;MAX(MORTALITY!$A:$A),"",Inputs!$B$4))</f>
        <v>34</v>
      </c>
      <c r="B506" s="3" t="n">
        <f aca="false">IF(A506="","",EOMONTH(B505,1))</f>
        <v>37072</v>
      </c>
      <c r="C506" s="1" t="n">
        <f aca="false">IF(A506="","",C505+1)</f>
        <v>504</v>
      </c>
      <c r="D506" s="1" t="n">
        <f aca="false">IF(A506="","",INT(C506/12))</f>
        <v>42</v>
      </c>
      <c r="E506" s="1" t="n">
        <f aca="false">IF(A506="","",D506+Inputs!$B$7)</f>
        <v>58</v>
      </c>
      <c r="F506" s="3" t="n">
        <f aca="false">IF(A506="","",DATE(YEAR(B$2)+D506,MONTH(B$2),DAY(B$2)))</f>
        <v>37047</v>
      </c>
      <c r="G506" s="3" t="n">
        <f aca="false">IF(A506="","",DATE(YEAR(F506)+1,MONTH(F506),DAY(F506)))</f>
        <v>37412</v>
      </c>
      <c r="H506" s="10" t="n">
        <f aca="false">IF(A506="","",IF(G506&gt;F506,(B506-F506)/(G506-F506),0))</f>
        <v>0.0684931506849315</v>
      </c>
      <c r="I506" s="10" t="n">
        <f aca="false">IF(A506="","",IFERROR(INDEX(CV_RATES!$I:$I,MATCH(D506,CV_RATES!$C:$C,0)),0))</f>
        <v>684.339516263492</v>
      </c>
      <c r="J506" s="10" t="n">
        <f aca="false">IF(A506="","",IFERROR(IF(E506=MAX(MORTALITY!$A:$A),1000,INDEX(CV_RATES!$J:$J,MATCH(D506,CV_RATES!$C:$C,0))),0))</f>
        <v>694.510333851855</v>
      </c>
      <c r="K506" s="10" t="n">
        <f aca="false">IF(A506="","",IFERROR(I506+H506*(J506-I506),0))</f>
        <v>685.03614760516</v>
      </c>
      <c r="L506" s="10" t="n">
        <f aca="false">IF(A506="","",IFERROR(K506*Inputs!$B$9,0))</f>
        <v>34251.807380258</v>
      </c>
      <c r="M506" s="10" t="n">
        <f aca="false">IF(A506="","",IFERROR(K506*Inputs!$B$10,0))</f>
        <v>109603.728508383</v>
      </c>
      <c r="N506" s="10" t="n">
        <f aca="false">IF(A506="","",Z505)</f>
        <v>0</v>
      </c>
      <c r="O506" s="6" t="n">
        <f aca="false">IF(A506="","",Inputs!$B$18+N506)</f>
        <v>50000</v>
      </c>
      <c r="P506" s="5" t="n">
        <f aca="false">IF(A506="","",VLOOKUP(D506,DIvidend_Assumption!$A$3:$CX$103,($E$2+2),0)/12)</f>
        <v>0</v>
      </c>
      <c r="Q506" s="10" t="n">
        <f aca="false">IF(A506="","",IFERROR(AB505*P506,""))</f>
        <v>0</v>
      </c>
      <c r="R506" s="10" t="n">
        <f aca="false">IF(A506="","",IFERROR(IF(Inputs!$B$22="Accumulate",T506+Q506,IF(Inputs!$B$22="Premium Offset",MAX(0,T506+Q506-Inputs!$B$25),T506)),""))</f>
        <v>0</v>
      </c>
      <c r="S506" s="10" t="n">
        <f aca="false">IF(A506="","",R505)</f>
        <v>0</v>
      </c>
      <c r="T506" s="10" t="n">
        <f aca="false">IF(A506="","",IFERROR(S506*(1+Inputs!$B$23/12),""))</f>
        <v>0</v>
      </c>
      <c r="U506" s="6" t="n">
        <f aca="false">IF(A506="","",IF(D506&lt;=Inputs!$B$8,IF(Inputs!$B$22="Premium Offset",MAX(0,Inputs!$B$25-(Q506+T506)),Inputs!$B$25),0))</f>
        <v>0</v>
      </c>
      <c r="V506" s="10" t="n">
        <f aca="false">IF(A506="","",IF(Inputs!$B$22="Cash",Q506,0))</f>
        <v>0</v>
      </c>
      <c r="W506" s="10" t="n">
        <f aca="false">IF(A506="","",IF(Inputs!$B$22="PUA",Q506,0))</f>
        <v>0</v>
      </c>
      <c r="X506" s="12" t="n">
        <f aca="false">IF(A506="","",IFERROR(INDEX(PUA_TABLE!$D$4:$D$105,MATCH(E506,PUA_TABLE!$C$4:$C$105,1)),0))</f>
        <v>0.684339516263492</v>
      </c>
      <c r="Y506" s="10" t="n">
        <f aca="false">IF(A506="","",IF(W506&gt;0,IF(X506&gt;0,W506/X506,0),0))</f>
        <v>0</v>
      </c>
      <c r="Z506" s="10" t="n">
        <f aca="false">IF(A506="","",N506+Y506)</f>
        <v>0</v>
      </c>
      <c r="AA506" s="10" t="n">
        <f aca="false">IF(A506="","",IFERROR(Z506*INDEX(PUA_TABLE!$I$4:$I$105,MATCH(E506,PUA_TABLE!$C$4:$C$105,1))/1000,0))</f>
        <v>0</v>
      </c>
      <c r="AB506" s="10" t="n">
        <f aca="false">IF(A506="","",IFERROR(L506+AA506,0))</f>
        <v>34251.807380258</v>
      </c>
      <c r="AC506" s="10" t="n">
        <f aca="false">IF(A506="","",IF(Inputs!$B$22="Premium Offset",MIN(Inputs!$B$25,Q506+T506),0))</f>
        <v>0</v>
      </c>
    </row>
    <row r="507" customFormat="false" ht="15" hidden="false" customHeight="false" outlineLevel="0" collapsed="false">
      <c r="A507" s="1" t="n">
        <f aca="false">IF(A506="","",IF(INT((C506+1)/12)+Inputs!$B$7&gt;MAX(MORTALITY!$A:$A),"",Inputs!$B$4))</f>
        <v>34</v>
      </c>
      <c r="B507" s="3" t="n">
        <f aca="false">IF(A507="","",EOMONTH(B506,1))</f>
        <v>37103</v>
      </c>
      <c r="C507" s="1" t="n">
        <f aca="false">IF(A507="","",C506+1)</f>
        <v>505</v>
      </c>
      <c r="D507" s="1" t="n">
        <f aca="false">IF(A507="","",INT(C507/12))</f>
        <v>42</v>
      </c>
      <c r="E507" s="1" t="n">
        <f aca="false">IF(A507="","",D507+Inputs!$B$7)</f>
        <v>58</v>
      </c>
      <c r="F507" s="3" t="n">
        <f aca="false">IF(A507="","",DATE(YEAR(B$2)+D507,MONTH(B$2),DAY(B$2)))</f>
        <v>37047</v>
      </c>
      <c r="G507" s="3" t="n">
        <f aca="false">IF(A507="","",DATE(YEAR(F507)+1,MONTH(F507),DAY(F507)))</f>
        <v>37412</v>
      </c>
      <c r="H507" s="10" t="n">
        <f aca="false">IF(A507="","",IF(G507&gt;F507,(B507-F507)/(G507-F507),0))</f>
        <v>0.153424657534247</v>
      </c>
      <c r="I507" s="10" t="n">
        <f aca="false">IF(A507="","",IFERROR(INDEX(CV_RATES!$I:$I,MATCH(D507,CV_RATES!$C:$C,0)),0))</f>
        <v>684.339516263492</v>
      </c>
      <c r="J507" s="10" t="n">
        <f aca="false">IF(A507="","",IFERROR(IF(E507=MAX(MORTALITY!$A:$A),1000,INDEX(CV_RATES!$J:$J,MATCH(D507,CV_RATES!$C:$C,0))),0))</f>
        <v>694.510333851855</v>
      </c>
      <c r="K507" s="10" t="n">
        <f aca="false">IF(A507="","",IFERROR(I507+H507*(J507-I507),0))</f>
        <v>685.89997046883</v>
      </c>
      <c r="L507" s="10" t="n">
        <f aca="false">IF(A507="","",IFERROR(K507*Inputs!$B$9,0))</f>
        <v>34294.9985234415</v>
      </c>
      <c r="M507" s="10" t="n">
        <f aca="false">IF(A507="","",IFERROR(K507*Inputs!$B$10,0))</f>
        <v>109741.937575101</v>
      </c>
      <c r="N507" s="10" t="n">
        <f aca="false">IF(A507="","",Z506)</f>
        <v>0</v>
      </c>
      <c r="O507" s="6" t="n">
        <f aca="false">IF(A507="","",Inputs!$B$18+N507)</f>
        <v>50000</v>
      </c>
      <c r="P507" s="5" t="n">
        <f aca="false">IF(A507="","",VLOOKUP(D507,DIvidend_Assumption!$A$3:$CX$103,($E$2+2),0)/12)</f>
        <v>0</v>
      </c>
      <c r="Q507" s="10" t="n">
        <f aca="false">IF(A507="","",IFERROR(AB506*P507,""))</f>
        <v>0</v>
      </c>
      <c r="R507" s="10" t="n">
        <f aca="false">IF(A507="","",IFERROR(IF(Inputs!$B$22="Accumulate",T507+Q507,IF(Inputs!$B$22="Premium Offset",MAX(0,T507+Q507-Inputs!$B$25),T507)),""))</f>
        <v>0</v>
      </c>
      <c r="S507" s="10" t="n">
        <f aca="false">IF(A507="","",R506)</f>
        <v>0</v>
      </c>
      <c r="T507" s="10" t="n">
        <f aca="false">IF(A507="","",IFERROR(S507*(1+Inputs!$B$23/12),""))</f>
        <v>0</v>
      </c>
      <c r="U507" s="6" t="n">
        <f aca="false">IF(A507="","",IF(D507&lt;=Inputs!$B$8,IF(Inputs!$B$22="Premium Offset",MAX(0,Inputs!$B$25-(Q507+T507)),Inputs!$B$25),0))</f>
        <v>0</v>
      </c>
      <c r="V507" s="10" t="n">
        <f aca="false">IF(A507="","",IF(Inputs!$B$22="Cash",Q507,0))</f>
        <v>0</v>
      </c>
      <c r="W507" s="10" t="n">
        <f aca="false">IF(A507="","",IF(Inputs!$B$22="PUA",Q507,0))</f>
        <v>0</v>
      </c>
      <c r="X507" s="12" t="n">
        <f aca="false">IF(A507="","",IFERROR(INDEX(PUA_TABLE!$D$4:$D$105,MATCH(E507,PUA_TABLE!$C$4:$C$105,1)),0))</f>
        <v>0.684339516263492</v>
      </c>
      <c r="Y507" s="10" t="n">
        <f aca="false">IF(A507="","",IF(W507&gt;0,IF(X507&gt;0,W507/X507,0),0))</f>
        <v>0</v>
      </c>
      <c r="Z507" s="10" t="n">
        <f aca="false">IF(A507="","",N507+Y507)</f>
        <v>0</v>
      </c>
      <c r="AA507" s="10" t="n">
        <f aca="false">IF(A507="","",IFERROR(Z507*INDEX(PUA_TABLE!$I$4:$I$105,MATCH(E507,PUA_TABLE!$C$4:$C$105,1))/1000,0))</f>
        <v>0</v>
      </c>
      <c r="AB507" s="10" t="n">
        <f aca="false">IF(A507="","",IFERROR(L507+AA507,0))</f>
        <v>34294.9985234415</v>
      </c>
      <c r="AC507" s="10" t="n">
        <f aca="false">IF(A507="","",IF(Inputs!$B$22="Premium Offset",MIN(Inputs!$B$25,Q507+T507),0))</f>
        <v>0</v>
      </c>
    </row>
    <row r="508" customFormat="false" ht="15" hidden="false" customHeight="false" outlineLevel="0" collapsed="false">
      <c r="A508" s="1" t="n">
        <f aca="false">IF(A507="","",IF(INT((C507+1)/12)+Inputs!$B$7&gt;MAX(MORTALITY!$A:$A),"",Inputs!$B$4))</f>
        <v>34</v>
      </c>
      <c r="B508" s="3" t="n">
        <f aca="false">IF(A508="","",EOMONTH(B507,1))</f>
        <v>37134</v>
      </c>
      <c r="C508" s="1" t="n">
        <f aca="false">IF(A508="","",C507+1)</f>
        <v>506</v>
      </c>
      <c r="D508" s="1" t="n">
        <f aca="false">IF(A508="","",INT(C508/12))</f>
        <v>42</v>
      </c>
      <c r="E508" s="1" t="n">
        <f aca="false">IF(A508="","",D508+Inputs!$B$7)</f>
        <v>58</v>
      </c>
      <c r="F508" s="3" t="n">
        <f aca="false">IF(A508="","",DATE(YEAR(B$2)+D508,MONTH(B$2),DAY(B$2)))</f>
        <v>37047</v>
      </c>
      <c r="G508" s="3" t="n">
        <f aca="false">IF(A508="","",DATE(YEAR(F508)+1,MONTH(F508),DAY(F508)))</f>
        <v>37412</v>
      </c>
      <c r="H508" s="10" t="n">
        <f aca="false">IF(A508="","",IF(G508&gt;F508,(B508-F508)/(G508-F508),0))</f>
        <v>0.238356164383562</v>
      </c>
      <c r="I508" s="10" t="n">
        <f aca="false">IF(A508="","",IFERROR(INDEX(CV_RATES!$I:$I,MATCH(D508,CV_RATES!$C:$C,0)),0))</f>
        <v>684.339516263492</v>
      </c>
      <c r="J508" s="10" t="n">
        <f aca="false">IF(A508="","",IFERROR(IF(E508=MAX(MORTALITY!$A:$A),1000,INDEX(CV_RATES!$J:$J,MATCH(D508,CV_RATES!$C:$C,0))),0))</f>
        <v>694.510333851855</v>
      </c>
      <c r="K508" s="10" t="n">
        <f aca="false">IF(A508="","",IFERROR(I508+H508*(J508-I508),0))</f>
        <v>686.763793332499</v>
      </c>
      <c r="L508" s="10" t="n">
        <f aca="false">IF(A508="","",IFERROR(K508*Inputs!$B$9,0))</f>
        <v>34338.1896666249</v>
      </c>
      <c r="M508" s="10" t="n">
        <f aca="false">IF(A508="","",IFERROR(K508*Inputs!$B$10,0))</f>
        <v>109880.14664182</v>
      </c>
      <c r="N508" s="10" t="n">
        <f aca="false">IF(A508="","",Z507)</f>
        <v>0</v>
      </c>
      <c r="O508" s="6" t="n">
        <f aca="false">IF(A508="","",Inputs!$B$18+N508)</f>
        <v>50000</v>
      </c>
      <c r="P508" s="5" t="n">
        <f aca="false">IF(A508="","",VLOOKUP(D508,DIvidend_Assumption!$A$3:$CX$103,($E$2+2),0)/12)</f>
        <v>0</v>
      </c>
      <c r="Q508" s="10" t="n">
        <f aca="false">IF(A508="","",IFERROR(AB507*P508,""))</f>
        <v>0</v>
      </c>
      <c r="R508" s="10" t="n">
        <f aca="false">IF(A508="","",IFERROR(IF(Inputs!$B$22="Accumulate",T508+Q508,IF(Inputs!$B$22="Premium Offset",MAX(0,T508+Q508-Inputs!$B$25),T508)),""))</f>
        <v>0</v>
      </c>
      <c r="S508" s="10" t="n">
        <f aca="false">IF(A508="","",R507)</f>
        <v>0</v>
      </c>
      <c r="T508" s="10" t="n">
        <f aca="false">IF(A508="","",IFERROR(S508*(1+Inputs!$B$23/12),""))</f>
        <v>0</v>
      </c>
      <c r="U508" s="6" t="n">
        <f aca="false">IF(A508="","",IF(D508&lt;=Inputs!$B$8,IF(Inputs!$B$22="Premium Offset",MAX(0,Inputs!$B$25-(Q508+T508)),Inputs!$B$25),0))</f>
        <v>0</v>
      </c>
      <c r="V508" s="10" t="n">
        <f aca="false">IF(A508="","",IF(Inputs!$B$22="Cash",Q508,0))</f>
        <v>0</v>
      </c>
      <c r="W508" s="10" t="n">
        <f aca="false">IF(A508="","",IF(Inputs!$B$22="PUA",Q508,0))</f>
        <v>0</v>
      </c>
      <c r="X508" s="12" t="n">
        <f aca="false">IF(A508="","",IFERROR(INDEX(PUA_TABLE!$D$4:$D$105,MATCH(E508,PUA_TABLE!$C$4:$C$105,1)),0))</f>
        <v>0.684339516263492</v>
      </c>
      <c r="Y508" s="10" t="n">
        <f aca="false">IF(A508="","",IF(W508&gt;0,IF(X508&gt;0,W508/X508,0),0))</f>
        <v>0</v>
      </c>
      <c r="Z508" s="10" t="n">
        <f aca="false">IF(A508="","",N508+Y508)</f>
        <v>0</v>
      </c>
      <c r="AA508" s="10" t="n">
        <f aca="false">IF(A508="","",IFERROR(Z508*INDEX(PUA_TABLE!$I$4:$I$105,MATCH(E508,PUA_TABLE!$C$4:$C$105,1))/1000,0))</f>
        <v>0</v>
      </c>
      <c r="AB508" s="10" t="n">
        <f aca="false">IF(A508="","",IFERROR(L508+AA508,0))</f>
        <v>34338.1896666249</v>
      </c>
      <c r="AC508" s="10" t="n">
        <f aca="false">IF(A508="","",IF(Inputs!$B$22="Premium Offset",MIN(Inputs!$B$25,Q508+T508),0))</f>
        <v>0</v>
      </c>
    </row>
    <row r="509" customFormat="false" ht="15" hidden="false" customHeight="false" outlineLevel="0" collapsed="false">
      <c r="A509" s="1" t="n">
        <f aca="false">IF(A508="","",IF(INT((C508+1)/12)+Inputs!$B$7&gt;MAX(MORTALITY!$A:$A),"",Inputs!$B$4))</f>
        <v>34</v>
      </c>
      <c r="B509" s="3" t="n">
        <f aca="false">IF(A509="","",EOMONTH(B508,1))</f>
        <v>37164</v>
      </c>
      <c r="C509" s="1" t="n">
        <f aca="false">IF(A509="","",C508+1)</f>
        <v>507</v>
      </c>
      <c r="D509" s="1" t="n">
        <f aca="false">IF(A509="","",INT(C509/12))</f>
        <v>42</v>
      </c>
      <c r="E509" s="1" t="n">
        <f aca="false">IF(A509="","",D509+Inputs!$B$7)</f>
        <v>58</v>
      </c>
      <c r="F509" s="3" t="n">
        <f aca="false">IF(A509="","",DATE(YEAR(B$2)+D509,MONTH(B$2),DAY(B$2)))</f>
        <v>37047</v>
      </c>
      <c r="G509" s="3" t="n">
        <f aca="false">IF(A509="","",DATE(YEAR(F509)+1,MONTH(F509),DAY(F509)))</f>
        <v>37412</v>
      </c>
      <c r="H509" s="10" t="n">
        <f aca="false">IF(A509="","",IF(G509&gt;F509,(B509-F509)/(G509-F509),0))</f>
        <v>0.320547945205479</v>
      </c>
      <c r="I509" s="10" t="n">
        <f aca="false">IF(A509="","",IFERROR(INDEX(CV_RATES!$I:$I,MATCH(D509,CV_RATES!$C:$C,0)),0))</f>
        <v>684.339516263492</v>
      </c>
      <c r="J509" s="10" t="n">
        <f aca="false">IF(A509="","",IFERROR(IF(E509=MAX(MORTALITY!$A:$A),1000,INDEX(CV_RATES!$J:$J,MATCH(D509,CV_RATES!$C:$C,0))),0))</f>
        <v>694.510333851855</v>
      </c>
      <c r="K509" s="10" t="n">
        <f aca="false">IF(A509="","",IFERROR(I509+H509*(J509-I509),0))</f>
        <v>687.599750942501</v>
      </c>
      <c r="L509" s="10" t="n">
        <f aca="false">IF(A509="","",IFERROR(K509*Inputs!$B$9,0))</f>
        <v>34379.9875471251</v>
      </c>
      <c r="M509" s="10" t="n">
        <f aca="false">IF(A509="","",IFERROR(K509*Inputs!$B$10,0))</f>
        <v>110013.897351547</v>
      </c>
      <c r="N509" s="10" t="n">
        <f aca="false">IF(A509="","",Z508)</f>
        <v>0</v>
      </c>
      <c r="O509" s="6" t="n">
        <f aca="false">IF(A509="","",Inputs!$B$18+N509)</f>
        <v>50000</v>
      </c>
      <c r="P509" s="5" t="n">
        <f aca="false">IF(A509="","",VLOOKUP(D509,DIvidend_Assumption!$A$3:$CX$103,($E$2+2),0)/12)</f>
        <v>0</v>
      </c>
      <c r="Q509" s="10" t="n">
        <f aca="false">IF(A509="","",IFERROR(AB508*P509,""))</f>
        <v>0</v>
      </c>
      <c r="R509" s="10" t="n">
        <f aca="false">IF(A509="","",IFERROR(IF(Inputs!$B$22="Accumulate",T509+Q509,IF(Inputs!$B$22="Premium Offset",MAX(0,T509+Q509-Inputs!$B$25),T509)),""))</f>
        <v>0</v>
      </c>
      <c r="S509" s="10" t="n">
        <f aca="false">IF(A509="","",R508)</f>
        <v>0</v>
      </c>
      <c r="T509" s="10" t="n">
        <f aca="false">IF(A509="","",IFERROR(S509*(1+Inputs!$B$23/12),""))</f>
        <v>0</v>
      </c>
      <c r="U509" s="6" t="n">
        <f aca="false">IF(A509="","",IF(D509&lt;=Inputs!$B$8,IF(Inputs!$B$22="Premium Offset",MAX(0,Inputs!$B$25-(Q509+T509)),Inputs!$B$25),0))</f>
        <v>0</v>
      </c>
      <c r="V509" s="10" t="n">
        <f aca="false">IF(A509="","",IF(Inputs!$B$22="Cash",Q509,0))</f>
        <v>0</v>
      </c>
      <c r="W509" s="10" t="n">
        <f aca="false">IF(A509="","",IF(Inputs!$B$22="PUA",Q509,0))</f>
        <v>0</v>
      </c>
      <c r="X509" s="12" t="n">
        <f aca="false">IF(A509="","",IFERROR(INDEX(PUA_TABLE!$D$4:$D$105,MATCH(E509,PUA_TABLE!$C$4:$C$105,1)),0))</f>
        <v>0.684339516263492</v>
      </c>
      <c r="Y509" s="10" t="n">
        <f aca="false">IF(A509="","",IF(W509&gt;0,IF(X509&gt;0,W509/X509,0),0))</f>
        <v>0</v>
      </c>
      <c r="Z509" s="10" t="n">
        <f aca="false">IF(A509="","",N509+Y509)</f>
        <v>0</v>
      </c>
      <c r="AA509" s="10" t="n">
        <f aca="false">IF(A509="","",IFERROR(Z509*INDEX(PUA_TABLE!$I$4:$I$105,MATCH(E509,PUA_TABLE!$C$4:$C$105,1))/1000,0))</f>
        <v>0</v>
      </c>
      <c r="AB509" s="10" t="n">
        <f aca="false">IF(A509="","",IFERROR(L509+AA509,0))</f>
        <v>34379.9875471251</v>
      </c>
      <c r="AC509" s="10" t="n">
        <f aca="false">IF(A509="","",IF(Inputs!$B$22="Premium Offset",MIN(Inputs!$B$25,Q509+T509),0))</f>
        <v>0</v>
      </c>
    </row>
    <row r="510" customFormat="false" ht="15" hidden="false" customHeight="false" outlineLevel="0" collapsed="false">
      <c r="A510" s="1" t="n">
        <f aca="false">IF(A509="","",IF(INT((C509+1)/12)+Inputs!$B$7&gt;MAX(MORTALITY!$A:$A),"",Inputs!$B$4))</f>
        <v>34</v>
      </c>
      <c r="B510" s="3" t="n">
        <f aca="false">IF(A510="","",EOMONTH(B509,1))</f>
        <v>37195</v>
      </c>
      <c r="C510" s="1" t="n">
        <f aca="false">IF(A510="","",C509+1)</f>
        <v>508</v>
      </c>
      <c r="D510" s="1" t="n">
        <f aca="false">IF(A510="","",INT(C510/12))</f>
        <v>42</v>
      </c>
      <c r="E510" s="1" t="n">
        <f aca="false">IF(A510="","",D510+Inputs!$B$7)</f>
        <v>58</v>
      </c>
      <c r="F510" s="3" t="n">
        <f aca="false">IF(A510="","",DATE(YEAR(B$2)+D510,MONTH(B$2),DAY(B$2)))</f>
        <v>37047</v>
      </c>
      <c r="G510" s="3" t="n">
        <f aca="false">IF(A510="","",DATE(YEAR(F510)+1,MONTH(F510),DAY(F510)))</f>
        <v>37412</v>
      </c>
      <c r="H510" s="10" t="n">
        <f aca="false">IF(A510="","",IF(G510&gt;F510,(B510-F510)/(G510-F510),0))</f>
        <v>0.405479452054795</v>
      </c>
      <c r="I510" s="10" t="n">
        <f aca="false">IF(A510="","",IFERROR(INDEX(CV_RATES!$I:$I,MATCH(D510,CV_RATES!$C:$C,0)),0))</f>
        <v>684.339516263492</v>
      </c>
      <c r="J510" s="10" t="n">
        <f aca="false">IF(A510="","",IFERROR(IF(E510=MAX(MORTALITY!$A:$A),1000,INDEX(CV_RATES!$J:$J,MATCH(D510,CV_RATES!$C:$C,0))),0))</f>
        <v>694.510333851855</v>
      </c>
      <c r="K510" s="10" t="n">
        <f aca="false">IF(A510="","",IFERROR(I510+H510*(J510-I510),0))</f>
        <v>688.46357380617</v>
      </c>
      <c r="L510" s="10" t="n">
        <f aca="false">IF(A510="","",IFERROR(K510*Inputs!$B$9,0))</f>
        <v>34423.1786903085</v>
      </c>
      <c r="M510" s="10" t="n">
        <f aca="false">IF(A510="","",IFERROR(K510*Inputs!$B$10,0))</f>
        <v>110152.106418266</v>
      </c>
      <c r="N510" s="10" t="n">
        <f aca="false">IF(A510="","",Z509)</f>
        <v>0</v>
      </c>
      <c r="O510" s="6" t="n">
        <f aca="false">IF(A510="","",Inputs!$B$18+N510)</f>
        <v>50000</v>
      </c>
      <c r="P510" s="5" t="n">
        <f aca="false">IF(A510="","",VLOOKUP(D510,DIvidend_Assumption!$A$3:$CX$103,($E$2+2),0)/12)</f>
        <v>0</v>
      </c>
      <c r="Q510" s="10" t="n">
        <f aca="false">IF(A510="","",IFERROR(AB509*P510,""))</f>
        <v>0</v>
      </c>
      <c r="R510" s="10" t="n">
        <f aca="false">IF(A510="","",IFERROR(IF(Inputs!$B$22="Accumulate",T510+Q510,IF(Inputs!$B$22="Premium Offset",MAX(0,T510+Q510-Inputs!$B$25),T510)),""))</f>
        <v>0</v>
      </c>
      <c r="S510" s="10" t="n">
        <f aca="false">IF(A510="","",R509)</f>
        <v>0</v>
      </c>
      <c r="T510" s="10" t="n">
        <f aca="false">IF(A510="","",IFERROR(S510*(1+Inputs!$B$23/12),""))</f>
        <v>0</v>
      </c>
      <c r="U510" s="6" t="n">
        <f aca="false">IF(A510="","",IF(D510&lt;=Inputs!$B$8,IF(Inputs!$B$22="Premium Offset",MAX(0,Inputs!$B$25-(Q510+T510)),Inputs!$B$25),0))</f>
        <v>0</v>
      </c>
      <c r="V510" s="10" t="n">
        <f aca="false">IF(A510="","",IF(Inputs!$B$22="Cash",Q510,0))</f>
        <v>0</v>
      </c>
      <c r="W510" s="10" t="n">
        <f aca="false">IF(A510="","",IF(Inputs!$B$22="PUA",Q510,0))</f>
        <v>0</v>
      </c>
      <c r="X510" s="12" t="n">
        <f aca="false">IF(A510="","",IFERROR(INDEX(PUA_TABLE!$D$4:$D$105,MATCH(E510,PUA_TABLE!$C$4:$C$105,1)),0))</f>
        <v>0.684339516263492</v>
      </c>
      <c r="Y510" s="10" t="n">
        <f aca="false">IF(A510="","",IF(W510&gt;0,IF(X510&gt;0,W510/X510,0),0))</f>
        <v>0</v>
      </c>
      <c r="Z510" s="10" t="n">
        <f aca="false">IF(A510="","",N510+Y510)</f>
        <v>0</v>
      </c>
      <c r="AA510" s="10" t="n">
        <f aca="false">IF(A510="","",IFERROR(Z510*INDEX(PUA_TABLE!$I$4:$I$105,MATCH(E510,PUA_TABLE!$C$4:$C$105,1))/1000,0))</f>
        <v>0</v>
      </c>
      <c r="AB510" s="10" t="n">
        <f aca="false">IF(A510="","",IFERROR(L510+AA510,0))</f>
        <v>34423.1786903085</v>
      </c>
      <c r="AC510" s="10" t="n">
        <f aca="false">IF(A510="","",IF(Inputs!$B$22="Premium Offset",MIN(Inputs!$B$25,Q510+T510),0))</f>
        <v>0</v>
      </c>
    </row>
    <row r="511" customFormat="false" ht="15" hidden="false" customHeight="false" outlineLevel="0" collapsed="false">
      <c r="A511" s="1" t="n">
        <f aca="false">IF(A510="","",IF(INT((C510+1)/12)+Inputs!$B$7&gt;MAX(MORTALITY!$A:$A),"",Inputs!$B$4))</f>
        <v>34</v>
      </c>
      <c r="B511" s="3" t="n">
        <f aca="false">IF(A511="","",EOMONTH(B510,1))</f>
        <v>37225</v>
      </c>
      <c r="C511" s="1" t="n">
        <f aca="false">IF(A511="","",C510+1)</f>
        <v>509</v>
      </c>
      <c r="D511" s="1" t="n">
        <f aca="false">IF(A511="","",INT(C511/12))</f>
        <v>42</v>
      </c>
      <c r="E511" s="1" t="n">
        <f aca="false">IF(A511="","",D511+Inputs!$B$7)</f>
        <v>58</v>
      </c>
      <c r="F511" s="3" t="n">
        <f aca="false">IF(A511="","",DATE(YEAR(B$2)+D511,MONTH(B$2),DAY(B$2)))</f>
        <v>37047</v>
      </c>
      <c r="G511" s="3" t="n">
        <f aca="false">IF(A511="","",DATE(YEAR(F511)+1,MONTH(F511),DAY(F511)))</f>
        <v>37412</v>
      </c>
      <c r="H511" s="10" t="n">
        <f aca="false">IF(A511="","",IF(G511&gt;F511,(B511-F511)/(G511-F511),0))</f>
        <v>0.487671232876712</v>
      </c>
      <c r="I511" s="10" t="n">
        <f aca="false">IF(A511="","",IFERROR(INDEX(CV_RATES!$I:$I,MATCH(D511,CV_RATES!$C:$C,0)),0))</f>
        <v>684.339516263492</v>
      </c>
      <c r="J511" s="10" t="n">
        <f aca="false">IF(A511="","",IFERROR(IF(E511=MAX(MORTALITY!$A:$A),1000,INDEX(CV_RATES!$J:$J,MATCH(D511,CV_RATES!$C:$C,0))),0))</f>
        <v>694.510333851855</v>
      </c>
      <c r="K511" s="10" t="n">
        <f aca="false">IF(A511="","",IFERROR(I511+H511*(J511-I511),0))</f>
        <v>689.299531416173</v>
      </c>
      <c r="L511" s="10" t="n">
        <f aca="false">IF(A511="","",IFERROR(K511*Inputs!$B$9,0))</f>
        <v>34464.9765708086</v>
      </c>
      <c r="M511" s="10" t="n">
        <f aca="false">IF(A511="","",IFERROR(K511*Inputs!$B$10,0))</f>
        <v>110285.857127993</v>
      </c>
      <c r="N511" s="10" t="n">
        <f aca="false">IF(A511="","",Z510)</f>
        <v>0</v>
      </c>
      <c r="O511" s="6" t="n">
        <f aca="false">IF(A511="","",Inputs!$B$18+N511)</f>
        <v>50000</v>
      </c>
      <c r="P511" s="5" t="n">
        <f aca="false">IF(A511="","",VLOOKUP(D511,DIvidend_Assumption!$A$3:$CX$103,($E$2+2),0)/12)</f>
        <v>0</v>
      </c>
      <c r="Q511" s="10" t="n">
        <f aca="false">IF(A511="","",IFERROR(AB510*P511,""))</f>
        <v>0</v>
      </c>
      <c r="R511" s="10" t="n">
        <f aca="false">IF(A511="","",IFERROR(IF(Inputs!$B$22="Accumulate",T511+Q511,IF(Inputs!$B$22="Premium Offset",MAX(0,T511+Q511-Inputs!$B$25),T511)),""))</f>
        <v>0</v>
      </c>
      <c r="S511" s="10" t="n">
        <f aca="false">IF(A511="","",R510)</f>
        <v>0</v>
      </c>
      <c r="T511" s="10" t="n">
        <f aca="false">IF(A511="","",IFERROR(S511*(1+Inputs!$B$23/12),""))</f>
        <v>0</v>
      </c>
      <c r="U511" s="6" t="n">
        <f aca="false">IF(A511="","",IF(D511&lt;=Inputs!$B$8,IF(Inputs!$B$22="Premium Offset",MAX(0,Inputs!$B$25-(Q511+T511)),Inputs!$B$25),0))</f>
        <v>0</v>
      </c>
      <c r="V511" s="10" t="n">
        <f aca="false">IF(A511="","",IF(Inputs!$B$22="Cash",Q511,0))</f>
        <v>0</v>
      </c>
      <c r="W511" s="10" t="n">
        <f aca="false">IF(A511="","",IF(Inputs!$B$22="PUA",Q511,0))</f>
        <v>0</v>
      </c>
      <c r="X511" s="12" t="n">
        <f aca="false">IF(A511="","",IFERROR(INDEX(PUA_TABLE!$D$4:$D$105,MATCH(E511,PUA_TABLE!$C$4:$C$105,1)),0))</f>
        <v>0.684339516263492</v>
      </c>
      <c r="Y511" s="10" t="n">
        <f aca="false">IF(A511="","",IF(W511&gt;0,IF(X511&gt;0,W511/X511,0),0))</f>
        <v>0</v>
      </c>
      <c r="Z511" s="10" t="n">
        <f aca="false">IF(A511="","",N511+Y511)</f>
        <v>0</v>
      </c>
      <c r="AA511" s="10" t="n">
        <f aca="false">IF(A511="","",IFERROR(Z511*INDEX(PUA_TABLE!$I$4:$I$105,MATCH(E511,PUA_TABLE!$C$4:$C$105,1))/1000,0))</f>
        <v>0</v>
      </c>
      <c r="AB511" s="10" t="n">
        <f aca="false">IF(A511="","",IFERROR(L511+AA511,0))</f>
        <v>34464.9765708086</v>
      </c>
      <c r="AC511" s="10" t="n">
        <f aca="false">IF(A511="","",IF(Inputs!$B$22="Premium Offset",MIN(Inputs!$B$25,Q511+T511),0))</f>
        <v>0</v>
      </c>
    </row>
    <row r="512" customFormat="false" ht="15" hidden="false" customHeight="false" outlineLevel="0" collapsed="false">
      <c r="A512" s="1" t="n">
        <f aca="false">IF(A511="","",IF(INT((C511+1)/12)+Inputs!$B$7&gt;MAX(MORTALITY!$A:$A),"",Inputs!$B$4))</f>
        <v>34</v>
      </c>
      <c r="B512" s="3" t="n">
        <f aca="false">IF(A512="","",EOMONTH(B511,1))</f>
        <v>37256</v>
      </c>
      <c r="C512" s="1" t="n">
        <f aca="false">IF(A512="","",C511+1)</f>
        <v>510</v>
      </c>
      <c r="D512" s="1" t="n">
        <f aca="false">IF(A512="","",INT(C512/12))</f>
        <v>42</v>
      </c>
      <c r="E512" s="1" t="n">
        <f aca="false">IF(A512="","",D512+Inputs!$B$7)</f>
        <v>58</v>
      </c>
      <c r="F512" s="3" t="n">
        <f aca="false">IF(A512="","",DATE(YEAR(B$2)+D512,MONTH(B$2),DAY(B$2)))</f>
        <v>37047</v>
      </c>
      <c r="G512" s="3" t="n">
        <f aca="false">IF(A512="","",DATE(YEAR(F512)+1,MONTH(F512),DAY(F512)))</f>
        <v>37412</v>
      </c>
      <c r="H512" s="10" t="n">
        <f aca="false">IF(A512="","",IF(G512&gt;F512,(B512-F512)/(G512-F512),0))</f>
        <v>0.572602739726027</v>
      </c>
      <c r="I512" s="10" t="n">
        <f aca="false">IF(A512="","",IFERROR(INDEX(CV_RATES!$I:$I,MATCH(D512,CV_RATES!$C:$C,0)),0))</f>
        <v>684.339516263492</v>
      </c>
      <c r="J512" s="10" t="n">
        <f aca="false">IF(A512="","",IFERROR(IF(E512=MAX(MORTALITY!$A:$A),1000,INDEX(CV_RATES!$J:$J,MATCH(D512,CV_RATES!$C:$C,0))),0))</f>
        <v>694.510333851855</v>
      </c>
      <c r="K512" s="10" t="n">
        <f aca="false">IF(A512="","",IFERROR(I512+H512*(J512-I512),0))</f>
        <v>690.163354279842</v>
      </c>
      <c r="L512" s="10" t="n">
        <f aca="false">IF(A512="","",IFERROR(K512*Inputs!$B$9,0))</f>
        <v>34508.1677139921</v>
      </c>
      <c r="M512" s="10" t="n">
        <f aca="false">IF(A512="","",IFERROR(K512*Inputs!$B$10,0))</f>
        <v>110424.066194712</v>
      </c>
      <c r="N512" s="10" t="n">
        <f aca="false">IF(A512="","",Z511)</f>
        <v>0</v>
      </c>
      <c r="O512" s="6" t="n">
        <f aca="false">IF(A512="","",Inputs!$B$18+N512)</f>
        <v>50000</v>
      </c>
      <c r="P512" s="5" t="n">
        <f aca="false">IF(A512="","",VLOOKUP(D512,DIvidend_Assumption!$A$3:$CX$103,($E$2+2),0)/12)</f>
        <v>0</v>
      </c>
      <c r="Q512" s="10" t="n">
        <f aca="false">IF(A512="","",IFERROR(AB511*P512,""))</f>
        <v>0</v>
      </c>
      <c r="R512" s="10" t="n">
        <f aca="false">IF(A512="","",IFERROR(IF(Inputs!$B$22="Accumulate",T512+Q512,IF(Inputs!$B$22="Premium Offset",MAX(0,T512+Q512-Inputs!$B$25),T512)),""))</f>
        <v>0</v>
      </c>
      <c r="S512" s="10" t="n">
        <f aca="false">IF(A512="","",R511)</f>
        <v>0</v>
      </c>
      <c r="T512" s="10" t="n">
        <f aca="false">IF(A512="","",IFERROR(S512*(1+Inputs!$B$23/12),""))</f>
        <v>0</v>
      </c>
      <c r="U512" s="6" t="n">
        <f aca="false">IF(A512="","",IF(D512&lt;=Inputs!$B$8,IF(Inputs!$B$22="Premium Offset",MAX(0,Inputs!$B$25-(Q512+T512)),Inputs!$B$25),0))</f>
        <v>0</v>
      </c>
      <c r="V512" s="10" t="n">
        <f aca="false">IF(A512="","",IF(Inputs!$B$22="Cash",Q512,0))</f>
        <v>0</v>
      </c>
      <c r="W512" s="10" t="n">
        <f aca="false">IF(A512="","",IF(Inputs!$B$22="PUA",Q512,0))</f>
        <v>0</v>
      </c>
      <c r="X512" s="12" t="n">
        <f aca="false">IF(A512="","",IFERROR(INDEX(PUA_TABLE!$D$4:$D$105,MATCH(E512,PUA_TABLE!$C$4:$C$105,1)),0))</f>
        <v>0.684339516263492</v>
      </c>
      <c r="Y512" s="10" t="n">
        <f aca="false">IF(A512="","",IF(W512&gt;0,IF(X512&gt;0,W512/X512,0),0))</f>
        <v>0</v>
      </c>
      <c r="Z512" s="10" t="n">
        <f aca="false">IF(A512="","",N512+Y512)</f>
        <v>0</v>
      </c>
      <c r="AA512" s="10" t="n">
        <f aca="false">IF(A512="","",IFERROR(Z512*INDEX(PUA_TABLE!$I$4:$I$105,MATCH(E512,PUA_TABLE!$C$4:$C$105,1))/1000,0))</f>
        <v>0</v>
      </c>
      <c r="AB512" s="10" t="n">
        <f aca="false">IF(A512="","",IFERROR(L512+AA512,0))</f>
        <v>34508.1677139921</v>
      </c>
      <c r="AC512" s="10" t="n">
        <f aca="false">IF(A512="","",IF(Inputs!$B$22="Premium Offset",MIN(Inputs!$B$25,Q512+T512),0))</f>
        <v>0</v>
      </c>
    </row>
    <row r="513" customFormat="false" ht="15" hidden="false" customHeight="false" outlineLevel="0" collapsed="false">
      <c r="A513" s="1" t="n">
        <f aca="false">IF(A512="","",IF(INT((C512+1)/12)+Inputs!$B$7&gt;MAX(MORTALITY!$A:$A),"",Inputs!$B$4))</f>
        <v>34</v>
      </c>
      <c r="B513" s="3" t="n">
        <f aca="false">IF(A513="","",EOMONTH(B512,1))</f>
        <v>37287</v>
      </c>
      <c r="C513" s="1" t="n">
        <f aca="false">IF(A513="","",C512+1)</f>
        <v>511</v>
      </c>
      <c r="D513" s="1" t="n">
        <f aca="false">IF(A513="","",INT(C513/12))</f>
        <v>42</v>
      </c>
      <c r="E513" s="1" t="n">
        <f aca="false">IF(A513="","",D513+Inputs!$B$7)</f>
        <v>58</v>
      </c>
      <c r="F513" s="3" t="n">
        <f aca="false">IF(A513="","",DATE(YEAR(B$2)+D513,MONTH(B$2),DAY(B$2)))</f>
        <v>37047</v>
      </c>
      <c r="G513" s="3" t="n">
        <f aca="false">IF(A513="","",DATE(YEAR(F513)+1,MONTH(F513),DAY(F513)))</f>
        <v>37412</v>
      </c>
      <c r="H513" s="10" t="n">
        <f aca="false">IF(A513="","",IF(G513&gt;F513,(B513-F513)/(G513-F513),0))</f>
        <v>0.657534246575342</v>
      </c>
      <c r="I513" s="10" t="n">
        <f aca="false">IF(A513="","",IFERROR(INDEX(CV_RATES!$I:$I,MATCH(D513,CV_RATES!$C:$C,0)),0))</f>
        <v>684.339516263492</v>
      </c>
      <c r="J513" s="10" t="n">
        <f aca="false">IF(A513="","",IFERROR(IF(E513=MAX(MORTALITY!$A:$A),1000,INDEX(CV_RATES!$J:$J,MATCH(D513,CV_RATES!$C:$C,0))),0))</f>
        <v>694.510333851855</v>
      </c>
      <c r="K513" s="10" t="n">
        <f aca="false">IF(A513="","",IFERROR(I513+H513*(J513-I513),0))</f>
        <v>691.027177143511</v>
      </c>
      <c r="L513" s="10" t="n">
        <f aca="false">IF(A513="","",IFERROR(K513*Inputs!$B$9,0))</f>
        <v>34551.3588571756</v>
      </c>
      <c r="M513" s="10" t="n">
        <f aca="false">IF(A513="","",IFERROR(K513*Inputs!$B$10,0))</f>
        <v>110562.27526143</v>
      </c>
      <c r="N513" s="10" t="n">
        <f aca="false">IF(A513="","",Z512)</f>
        <v>0</v>
      </c>
      <c r="O513" s="6" t="n">
        <f aca="false">IF(A513="","",Inputs!$B$18+N513)</f>
        <v>50000</v>
      </c>
      <c r="P513" s="5" t="n">
        <f aca="false">IF(A513="","",VLOOKUP(D513,DIvidend_Assumption!$A$3:$CX$103,($E$2+2),0)/12)</f>
        <v>0</v>
      </c>
      <c r="Q513" s="10" t="n">
        <f aca="false">IF(A513="","",IFERROR(AB512*P513,""))</f>
        <v>0</v>
      </c>
      <c r="R513" s="10" t="n">
        <f aca="false">IF(A513="","",IFERROR(IF(Inputs!$B$22="Accumulate",T513+Q513,IF(Inputs!$B$22="Premium Offset",MAX(0,T513+Q513-Inputs!$B$25),T513)),""))</f>
        <v>0</v>
      </c>
      <c r="S513" s="10" t="n">
        <f aca="false">IF(A513="","",R512)</f>
        <v>0</v>
      </c>
      <c r="T513" s="10" t="n">
        <f aca="false">IF(A513="","",IFERROR(S513*(1+Inputs!$B$23/12),""))</f>
        <v>0</v>
      </c>
      <c r="U513" s="6" t="n">
        <f aca="false">IF(A513="","",IF(D513&lt;=Inputs!$B$8,IF(Inputs!$B$22="Premium Offset",MAX(0,Inputs!$B$25-(Q513+T513)),Inputs!$B$25),0))</f>
        <v>0</v>
      </c>
      <c r="V513" s="10" t="n">
        <f aca="false">IF(A513="","",IF(Inputs!$B$22="Cash",Q513,0))</f>
        <v>0</v>
      </c>
      <c r="W513" s="10" t="n">
        <f aca="false">IF(A513="","",IF(Inputs!$B$22="PUA",Q513,0))</f>
        <v>0</v>
      </c>
      <c r="X513" s="12" t="n">
        <f aca="false">IF(A513="","",IFERROR(INDEX(PUA_TABLE!$D$4:$D$105,MATCH(E513,PUA_TABLE!$C$4:$C$105,1)),0))</f>
        <v>0.684339516263492</v>
      </c>
      <c r="Y513" s="10" t="n">
        <f aca="false">IF(A513="","",IF(W513&gt;0,IF(X513&gt;0,W513/X513,0),0))</f>
        <v>0</v>
      </c>
      <c r="Z513" s="10" t="n">
        <f aca="false">IF(A513="","",N513+Y513)</f>
        <v>0</v>
      </c>
      <c r="AA513" s="10" t="n">
        <f aca="false">IF(A513="","",IFERROR(Z513*INDEX(PUA_TABLE!$I$4:$I$105,MATCH(E513,PUA_TABLE!$C$4:$C$105,1))/1000,0))</f>
        <v>0</v>
      </c>
      <c r="AB513" s="10" t="n">
        <f aca="false">IF(A513="","",IFERROR(L513+AA513,0))</f>
        <v>34551.3588571756</v>
      </c>
      <c r="AC513" s="10" t="n">
        <f aca="false">IF(A513="","",IF(Inputs!$B$22="Premium Offset",MIN(Inputs!$B$25,Q513+T513),0))</f>
        <v>0</v>
      </c>
    </row>
    <row r="514" customFormat="false" ht="15" hidden="false" customHeight="false" outlineLevel="0" collapsed="false">
      <c r="A514" s="1" t="n">
        <f aca="false">IF(A513="","",IF(INT((C513+1)/12)+Inputs!$B$7&gt;MAX(MORTALITY!$A:$A),"",Inputs!$B$4))</f>
        <v>34</v>
      </c>
      <c r="B514" s="3" t="n">
        <f aca="false">IF(A514="","",EOMONTH(B513,1))</f>
        <v>37315</v>
      </c>
      <c r="C514" s="1" t="n">
        <f aca="false">IF(A514="","",C513+1)</f>
        <v>512</v>
      </c>
      <c r="D514" s="1" t="n">
        <f aca="false">IF(A514="","",INT(C514/12))</f>
        <v>42</v>
      </c>
      <c r="E514" s="1" t="n">
        <f aca="false">IF(A514="","",D514+Inputs!$B$7)</f>
        <v>58</v>
      </c>
      <c r="F514" s="3" t="n">
        <f aca="false">IF(A514="","",DATE(YEAR(B$2)+D514,MONTH(B$2),DAY(B$2)))</f>
        <v>37047</v>
      </c>
      <c r="G514" s="3" t="n">
        <f aca="false">IF(A514="","",DATE(YEAR(F514)+1,MONTH(F514),DAY(F514)))</f>
        <v>37412</v>
      </c>
      <c r="H514" s="10" t="n">
        <f aca="false">IF(A514="","",IF(G514&gt;F514,(B514-F514)/(G514-F514),0))</f>
        <v>0.734246575342466</v>
      </c>
      <c r="I514" s="10" t="n">
        <f aca="false">IF(A514="","",IFERROR(INDEX(CV_RATES!$I:$I,MATCH(D514,CV_RATES!$C:$C,0)),0))</f>
        <v>684.339516263492</v>
      </c>
      <c r="J514" s="10" t="n">
        <f aca="false">IF(A514="","",IFERROR(IF(E514=MAX(MORTALITY!$A:$A),1000,INDEX(CV_RATES!$J:$J,MATCH(D514,CV_RATES!$C:$C,0))),0))</f>
        <v>694.510333851855</v>
      </c>
      <c r="K514" s="10" t="n">
        <f aca="false">IF(A514="","",IFERROR(I514+H514*(J514-I514),0))</f>
        <v>691.80740424618</v>
      </c>
      <c r="L514" s="10" t="n">
        <f aca="false">IF(A514="","",IFERROR(K514*Inputs!$B$9,0))</f>
        <v>34590.370212309</v>
      </c>
      <c r="M514" s="10" t="n">
        <f aca="false">IF(A514="","",IFERROR(K514*Inputs!$B$10,0))</f>
        <v>110687.109257176</v>
      </c>
      <c r="N514" s="10" t="n">
        <f aca="false">IF(A514="","",Z513)</f>
        <v>0</v>
      </c>
      <c r="O514" s="6" t="n">
        <f aca="false">IF(A514="","",Inputs!$B$18+N514)</f>
        <v>50000</v>
      </c>
      <c r="P514" s="5" t="n">
        <f aca="false">IF(A514="","",VLOOKUP(D514,DIvidend_Assumption!$A$3:$CX$103,($E$2+2),0)/12)</f>
        <v>0</v>
      </c>
      <c r="Q514" s="10" t="n">
        <f aca="false">IF(A514="","",IFERROR(AB513*P514,""))</f>
        <v>0</v>
      </c>
      <c r="R514" s="10" t="n">
        <f aca="false">IF(A514="","",IFERROR(IF(Inputs!$B$22="Accumulate",T514+Q514,IF(Inputs!$B$22="Premium Offset",MAX(0,T514+Q514-Inputs!$B$25),T514)),""))</f>
        <v>0</v>
      </c>
      <c r="S514" s="10" t="n">
        <f aca="false">IF(A514="","",R513)</f>
        <v>0</v>
      </c>
      <c r="T514" s="10" t="n">
        <f aca="false">IF(A514="","",IFERROR(S514*(1+Inputs!$B$23/12),""))</f>
        <v>0</v>
      </c>
      <c r="U514" s="6" t="n">
        <f aca="false">IF(A514="","",IF(D514&lt;=Inputs!$B$8,IF(Inputs!$B$22="Premium Offset",MAX(0,Inputs!$B$25-(Q514+T514)),Inputs!$B$25),0))</f>
        <v>0</v>
      </c>
      <c r="V514" s="10" t="n">
        <f aca="false">IF(A514="","",IF(Inputs!$B$22="Cash",Q514,0))</f>
        <v>0</v>
      </c>
      <c r="W514" s="10" t="n">
        <f aca="false">IF(A514="","",IF(Inputs!$B$22="PUA",Q514,0))</f>
        <v>0</v>
      </c>
      <c r="X514" s="12" t="n">
        <f aca="false">IF(A514="","",IFERROR(INDEX(PUA_TABLE!$D$4:$D$105,MATCH(E514,PUA_TABLE!$C$4:$C$105,1)),0))</f>
        <v>0.684339516263492</v>
      </c>
      <c r="Y514" s="10" t="n">
        <f aca="false">IF(A514="","",IF(W514&gt;0,IF(X514&gt;0,W514/X514,0),0))</f>
        <v>0</v>
      </c>
      <c r="Z514" s="10" t="n">
        <f aca="false">IF(A514="","",N514+Y514)</f>
        <v>0</v>
      </c>
      <c r="AA514" s="10" t="n">
        <f aca="false">IF(A514="","",IFERROR(Z514*INDEX(PUA_TABLE!$I$4:$I$105,MATCH(E514,PUA_TABLE!$C$4:$C$105,1))/1000,0))</f>
        <v>0</v>
      </c>
      <c r="AB514" s="10" t="n">
        <f aca="false">IF(A514="","",IFERROR(L514+AA514,0))</f>
        <v>34590.370212309</v>
      </c>
      <c r="AC514" s="10" t="n">
        <f aca="false">IF(A514="","",IF(Inputs!$B$22="Premium Offset",MIN(Inputs!$B$25,Q514+T514),0))</f>
        <v>0</v>
      </c>
    </row>
    <row r="515" customFormat="false" ht="15" hidden="false" customHeight="false" outlineLevel="0" collapsed="false">
      <c r="A515" s="1" t="n">
        <f aca="false">IF(A514="","",IF(INT((C514+1)/12)+Inputs!$B$7&gt;MAX(MORTALITY!$A:$A),"",Inputs!$B$4))</f>
        <v>34</v>
      </c>
      <c r="B515" s="3" t="n">
        <f aca="false">IF(A515="","",EOMONTH(B514,1))</f>
        <v>37346</v>
      </c>
      <c r="C515" s="1" t="n">
        <f aca="false">IF(A515="","",C514+1)</f>
        <v>513</v>
      </c>
      <c r="D515" s="1" t="n">
        <f aca="false">IF(A515="","",INT(C515/12))</f>
        <v>42</v>
      </c>
      <c r="E515" s="1" t="n">
        <f aca="false">IF(A515="","",D515+Inputs!$B$7)</f>
        <v>58</v>
      </c>
      <c r="F515" s="3" t="n">
        <f aca="false">IF(A515="","",DATE(YEAR(B$2)+D515,MONTH(B$2),DAY(B$2)))</f>
        <v>37047</v>
      </c>
      <c r="G515" s="3" t="n">
        <f aca="false">IF(A515="","",DATE(YEAR(F515)+1,MONTH(F515),DAY(F515)))</f>
        <v>37412</v>
      </c>
      <c r="H515" s="10" t="n">
        <f aca="false">IF(A515="","",IF(G515&gt;F515,(B515-F515)/(G515-F515),0))</f>
        <v>0.819178082191781</v>
      </c>
      <c r="I515" s="10" t="n">
        <f aca="false">IF(A515="","",IFERROR(INDEX(CV_RATES!$I:$I,MATCH(D515,CV_RATES!$C:$C,0)),0))</f>
        <v>684.339516263492</v>
      </c>
      <c r="J515" s="10" t="n">
        <f aca="false">IF(A515="","",IFERROR(IF(E515=MAX(MORTALITY!$A:$A),1000,INDEX(CV_RATES!$J:$J,MATCH(D515,CV_RATES!$C:$C,0))),0))</f>
        <v>694.510333851855</v>
      </c>
      <c r="K515" s="10" t="n">
        <f aca="false">IF(A515="","",IFERROR(I515+H515*(J515-I515),0))</f>
        <v>692.671227109849</v>
      </c>
      <c r="L515" s="10" t="n">
        <f aca="false">IF(A515="","",IFERROR(K515*Inputs!$B$9,0))</f>
        <v>34633.5613554925</v>
      </c>
      <c r="M515" s="10" t="n">
        <f aca="false">IF(A515="","",IFERROR(K515*Inputs!$B$10,0))</f>
        <v>110825.318323895</v>
      </c>
      <c r="N515" s="10" t="n">
        <f aca="false">IF(A515="","",Z514)</f>
        <v>0</v>
      </c>
      <c r="O515" s="6" t="n">
        <f aca="false">IF(A515="","",Inputs!$B$18+N515)</f>
        <v>50000</v>
      </c>
      <c r="P515" s="5" t="n">
        <f aca="false">IF(A515="","",VLOOKUP(D515,DIvidend_Assumption!$A$3:$CX$103,($E$2+2),0)/12)</f>
        <v>0</v>
      </c>
      <c r="Q515" s="10" t="n">
        <f aca="false">IF(A515="","",IFERROR(AB514*P515,""))</f>
        <v>0</v>
      </c>
      <c r="R515" s="10" t="n">
        <f aca="false">IF(A515="","",IFERROR(IF(Inputs!$B$22="Accumulate",T515+Q515,IF(Inputs!$B$22="Premium Offset",MAX(0,T515+Q515-Inputs!$B$25),T515)),""))</f>
        <v>0</v>
      </c>
      <c r="S515" s="10" t="n">
        <f aca="false">IF(A515="","",R514)</f>
        <v>0</v>
      </c>
      <c r="T515" s="10" t="n">
        <f aca="false">IF(A515="","",IFERROR(S515*(1+Inputs!$B$23/12),""))</f>
        <v>0</v>
      </c>
      <c r="U515" s="6" t="n">
        <f aca="false">IF(A515="","",IF(D515&lt;=Inputs!$B$8,IF(Inputs!$B$22="Premium Offset",MAX(0,Inputs!$B$25-(Q515+T515)),Inputs!$B$25),0))</f>
        <v>0</v>
      </c>
      <c r="V515" s="10" t="n">
        <f aca="false">IF(A515="","",IF(Inputs!$B$22="Cash",Q515,0))</f>
        <v>0</v>
      </c>
      <c r="W515" s="10" t="n">
        <f aca="false">IF(A515="","",IF(Inputs!$B$22="PUA",Q515,0))</f>
        <v>0</v>
      </c>
      <c r="X515" s="12" t="n">
        <f aca="false">IF(A515="","",IFERROR(INDEX(PUA_TABLE!$D$4:$D$105,MATCH(E515,PUA_TABLE!$C$4:$C$105,1)),0))</f>
        <v>0.684339516263492</v>
      </c>
      <c r="Y515" s="10" t="n">
        <f aca="false">IF(A515="","",IF(W515&gt;0,IF(X515&gt;0,W515/X515,0),0))</f>
        <v>0</v>
      </c>
      <c r="Z515" s="10" t="n">
        <f aca="false">IF(A515="","",N515+Y515)</f>
        <v>0</v>
      </c>
      <c r="AA515" s="10" t="n">
        <f aca="false">IF(A515="","",IFERROR(Z515*INDEX(PUA_TABLE!$I$4:$I$105,MATCH(E515,PUA_TABLE!$C$4:$C$105,1))/1000,0))</f>
        <v>0</v>
      </c>
      <c r="AB515" s="10" t="n">
        <f aca="false">IF(A515="","",IFERROR(L515+AA515,0))</f>
        <v>34633.5613554925</v>
      </c>
      <c r="AC515" s="10" t="n">
        <f aca="false">IF(A515="","",IF(Inputs!$B$22="Premium Offset",MIN(Inputs!$B$25,Q515+T515),0))</f>
        <v>0</v>
      </c>
    </row>
    <row r="516" customFormat="false" ht="15" hidden="false" customHeight="false" outlineLevel="0" collapsed="false">
      <c r="A516" s="1" t="n">
        <f aca="false">IF(A515="","",IF(INT((C515+1)/12)+Inputs!$B$7&gt;MAX(MORTALITY!$A:$A),"",Inputs!$B$4))</f>
        <v>34</v>
      </c>
      <c r="B516" s="3" t="n">
        <f aca="false">IF(A516="","",EOMONTH(B515,1))</f>
        <v>37376</v>
      </c>
      <c r="C516" s="1" t="n">
        <f aca="false">IF(A516="","",C515+1)</f>
        <v>514</v>
      </c>
      <c r="D516" s="1" t="n">
        <f aca="false">IF(A516="","",INT(C516/12))</f>
        <v>42</v>
      </c>
      <c r="E516" s="1" t="n">
        <f aca="false">IF(A516="","",D516+Inputs!$B$7)</f>
        <v>58</v>
      </c>
      <c r="F516" s="3" t="n">
        <f aca="false">IF(A516="","",DATE(YEAR(B$2)+D516,MONTH(B$2),DAY(B$2)))</f>
        <v>37047</v>
      </c>
      <c r="G516" s="3" t="n">
        <f aca="false">IF(A516="","",DATE(YEAR(F516)+1,MONTH(F516),DAY(F516)))</f>
        <v>37412</v>
      </c>
      <c r="H516" s="10" t="n">
        <f aca="false">IF(A516="","",IF(G516&gt;F516,(B516-F516)/(G516-F516),0))</f>
        <v>0.901369863013699</v>
      </c>
      <c r="I516" s="10" t="n">
        <f aca="false">IF(A516="","",IFERROR(INDEX(CV_RATES!$I:$I,MATCH(D516,CV_RATES!$C:$C,0)),0))</f>
        <v>684.339516263492</v>
      </c>
      <c r="J516" s="10" t="n">
        <f aca="false">IF(A516="","",IFERROR(IF(E516=MAX(MORTALITY!$A:$A),1000,INDEX(CV_RATES!$J:$J,MATCH(D516,CV_RATES!$C:$C,0))),0))</f>
        <v>694.510333851855</v>
      </c>
      <c r="K516" s="10" t="n">
        <f aca="false">IF(A516="","",IFERROR(I516+H516*(J516-I516),0))</f>
        <v>693.507184719852</v>
      </c>
      <c r="L516" s="10" t="n">
        <f aca="false">IF(A516="","",IFERROR(K516*Inputs!$B$9,0))</f>
        <v>34675.3592359926</v>
      </c>
      <c r="M516" s="10" t="n">
        <f aca="false">IF(A516="","",IFERROR(K516*Inputs!$B$10,0))</f>
        <v>110959.069033622</v>
      </c>
      <c r="N516" s="10" t="n">
        <f aca="false">IF(A516="","",Z515)</f>
        <v>0</v>
      </c>
      <c r="O516" s="6" t="n">
        <f aca="false">IF(A516="","",Inputs!$B$18+N516)</f>
        <v>50000</v>
      </c>
      <c r="P516" s="5" t="n">
        <f aca="false">IF(A516="","",VLOOKUP(D516,DIvidend_Assumption!$A$3:$CX$103,($E$2+2),0)/12)</f>
        <v>0</v>
      </c>
      <c r="Q516" s="10" t="n">
        <f aca="false">IF(A516="","",IFERROR(AB515*P516,""))</f>
        <v>0</v>
      </c>
      <c r="R516" s="10" t="n">
        <f aca="false">IF(A516="","",IFERROR(IF(Inputs!$B$22="Accumulate",T516+Q516,IF(Inputs!$B$22="Premium Offset",MAX(0,T516+Q516-Inputs!$B$25),T516)),""))</f>
        <v>0</v>
      </c>
      <c r="S516" s="10" t="n">
        <f aca="false">IF(A516="","",R515)</f>
        <v>0</v>
      </c>
      <c r="T516" s="10" t="n">
        <f aca="false">IF(A516="","",IFERROR(S516*(1+Inputs!$B$23/12),""))</f>
        <v>0</v>
      </c>
      <c r="U516" s="6" t="n">
        <f aca="false">IF(A516="","",IF(D516&lt;=Inputs!$B$8,IF(Inputs!$B$22="Premium Offset",MAX(0,Inputs!$B$25-(Q516+T516)),Inputs!$B$25),0))</f>
        <v>0</v>
      </c>
      <c r="V516" s="10" t="n">
        <f aca="false">IF(A516="","",IF(Inputs!$B$22="Cash",Q516,0))</f>
        <v>0</v>
      </c>
      <c r="W516" s="10" t="n">
        <f aca="false">IF(A516="","",IF(Inputs!$B$22="PUA",Q516,0))</f>
        <v>0</v>
      </c>
      <c r="X516" s="12" t="n">
        <f aca="false">IF(A516="","",IFERROR(INDEX(PUA_TABLE!$D$4:$D$105,MATCH(E516,PUA_TABLE!$C$4:$C$105,1)),0))</f>
        <v>0.684339516263492</v>
      </c>
      <c r="Y516" s="10" t="n">
        <f aca="false">IF(A516="","",IF(W516&gt;0,IF(X516&gt;0,W516/X516,0),0))</f>
        <v>0</v>
      </c>
      <c r="Z516" s="10" t="n">
        <f aca="false">IF(A516="","",N516+Y516)</f>
        <v>0</v>
      </c>
      <c r="AA516" s="10" t="n">
        <f aca="false">IF(A516="","",IFERROR(Z516*INDEX(PUA_TABLE!$I$4:$I$105,MATCH(E516,PUA_TABLE!$C$4:$C$105,1))/1000,0))</f>
        <v>0</v>
      </c>
      <c r="AB516" s="10" t="n">
        <f aca="false">IF(A516="","",IFERROR(L516+AA516,0))</f>
        <v>34675.3592359926</v>
      </c>
      <c r="AC516" s="10" t="n">
        <f aca="false">IF(A516="","",IF(Inputs!$B$22="Premium Offset",MIN(Inputs!$B$25,Q516+T516),0))</f>
        <v>0</v>
      </c>
    </row>
    <row r="517" customFormat="false" ht="15" hidden="false" customHeight="false" outlineLevel="0" collapsed="false">
      <c r="A517" s="1" t="n">
        <f aca="false">IF(A516="","",IF(INT((C516+1)/12)+Inputs!$B$7&gt;MAX(MORTALITY!$A:$A),"",Inputs!$B$4))</f>
        <v>34</v>
      </c>
      <c r="B517" s="3" t="n">
        <f aca="false">IF(A517="","",EOMONTH(B516,1))</f>
        <v>37407</v>
      </c>
      <c r="C517" s="1" t="n">
        <f aca="false">IF(A517="","",C516+1)</f>
        <v>515</v>
      </c>
      <c r="D517" s="1" t="n">
        <f aca="false">IF(A517="","",INT(C517/12))</f>
        <v>42</v>
      </c>
      <c r="E517" s="1" t="n">
        <f aca="false">IF(A517="","",D517+Inputs!$B$7)</f>
        <v>58</v>
      </c>
      <c r="F517" s="3" t="n">
        <f aca="false">IF(A517="","",DATE(YEAR(B$2)+D517,MONTH(B$2),DAY(B$2)))</f>
        <v>37047</v>
      </c>
      <c r="G517" s="3" t="n">
        <f aca="false">IF(A517="","",DATE(YEAR(F517)+1,MONTH(F517),DAY(F517)))</f>
        <v>37412</v>
      </c>
      <c r="H517" s="10" t="n">
        <f aca="false">IF(A517="","",IF(G517&gt;F517,(B517-F517)/(G517-F517),0))</f>
        <v>0.986301369863014</v>
      </c>
      <c r="I517" s="10" t="n">
        <f aca="false">IF(A517="","",IFERROR(INDEX(CV_RATES!$I:$I,MATCH(D517,CV_RATES!$C:$C,0)),0))</f>
        <v>684.339516263492</v>
      </c>
      <c r="J517" s="10" t="n">
        <f aca="false">IF(A517="","",IFERROR(IF(E517=MAX(MORTALITY!$A:$A),1000,INDEX(CV_RATES!$J:$J,MATCH(D517,CV_RATES!$C:$C,0))),0))</f>
        <v>694.510333851855</v>
      </c>
      <c r="K517" s="10" t="n">
        <f aca="false">IF(A517="","",IFERROR(I517+H517*(J517-I517),0))</f>
        <v>694.371007583521</v>
      </c>
      <c r="L517" s="10" t="n">
        <f aca="false">IF(A517="","",IFERROR(K517*Inputs!$B$9,0))</f>
        <v>34718.550379176</v>
      </c>
      <c r="M517" s="10" t="n">
        <f aca="false">IF(A517="","",IFERROR(K517*Inputs!$B$10,0))</f>
        <v>111097.278100341</v>
      </c>
      <c r="N517" s="10" t="n">
        <f aca="false">IF(A517="","",Z516)</f>
        <v>0</v>
      </c>
      <c r="O517" s="6" t="n">
        <f aca="false">IF(A517="","",Inputs!$B$18+N517)</f>
        <v>50000</v>
      </c>
      <c r="P517" s="5" t="n">
        <f aca="false">IF(A517="","",VLOOKUP(D517,DIvidend_Assumption!$A$3:$CX$103,($E$2+2),0)/12)</f>
        <v>0</v>
      </c>
      <c r="Q517" s="10" t="n">
        <f aca="false">IF(A517="","",IFERROR(AB516*P517,""))</f>
        <v>0</v>
      </c>
      <c r="R517" s="10" t="n">
        <f aca="false">IF(A517="","",IFERROR(IF(Inputs!$B$22="Accumulate",T517+Q517,IF(Inputs!$B$22="Premium Offset",MAX(0,T517+Q517-Inputs!$B$25),T517)),""))</f>
        <v>0</v>
      </c>
      <c r="S517" s="10" t="n">
        <f aca="false">IF(A517="","",R516)</f>
        <v>0</v>
      </c>
      <c r="T517" s="10" t="n">
        <f aca="false">IF(A517="","",IFERROR(S517*(1+Inputs!$B$23/12),""))</f>
        <v>0</v>
      </c>
      <c r="U517" s="6" t="n">
        <f aca="false">IF(A517="","",IF(D517&lt;=Inputs!$B$8,IF(Inputs!$B$22="Premium Offset",MAX(0,Inputs!$B$25-(Q517+T517)),Inputs!$B$25),0))</f>
        <v>0</v>
      </c>
      <c r="V517" s="10" t="n">
        <f aca="false">IF(A517="","",IF(Inputs!$B$22="Cash",Q517,0))</f>
        <v>0</v>
      </c>
      <c r="W517" s="10" t="n">
        <f aca="false">IF(A517="","",IF(Inputs!$B$22="PUA",Q517,0))</f>
        <v>0</v>
      </c>
      <c r="X517" s="12" t="n">
        <f aca="false">IF(A517="","",IFERROR(INDEX(PUA_TABLE!$D$4:$D$105,MATCH(E517,PUA_TABLE!$C$4:$C$105,1)),0))</f>
        <v>0.684339516263492</v>
      </c>
      <c r="Y517" s="10" t="n">
        <f aca="false">IF(A517="","",IF(W517&gt;0,IF(X517&gt;0,W517/X517,0),0))</f>
        <v>0</v>
      </c>
      <c r="Z517" s="10" t="n">
        <f aca="false">IF(A517="","",N517+Y517)</f>
        <v>0</v>
      </c>
      <c r="AA517" s="10" t="n">
        <f aca="false">IF(A517="","",IFERROR(Z517*INDEX(PUA_TABLE!$I$4:$I$105,MATCH(E517,PUA_TABLE!$C$4:$C$105,1))/1000,0))</f>
        <v>0</v>
      </c>
      <c r="AB517" s="10" t="n">
        <f aca="false">IF(A517="","",IFERROR(L517+AA517,0))</f>
        <v>34718.550379176</v>
      </c>
      <c r="AC517" s="10" t="n">
        <f aca="false">IF(A517="","",IF(Inputs!$B$22="Premium Offset",MIN(Inputs!$B$25,Q517+T517),0))</f>
        <v>0</v>
      </c>
    </row>
    <row r="518" customFormat="false" ht="15" hidden="false" customHeight="false" outlineLevel="0" collapsed="false">
      <c r="A518" s="1" t="n">
        <f aca="false">IF(A517="","",IF(INT((C517+1)/12)+Inputs!$B$7&gt;MAX(MORTALITY!$A:$A),"",Inputs!$B$4))</f>
        <v>34</v>
      </c>
      <c r="B518" s="3" t="n">
        <f aca="false">IF(A518="","",EOMONTH(B517,1))</f>
        <v>37437</v>
      </c>
      <c r="C518" s="1" t="n">
        <f aca="false">IF(A518="","",C517+1)</f>
        <v>516</v>
      </c>
      <c r="D518" s="1" t="n">
        <f aca="false">IF(A518="","",INT(C518/12))</f>
        <v>43</v>
      </c>
      <c r="E518" s="1" t="n">
        <f aca="false">IF(A518="","",D518+Inputs!$B$7)</f>
        <v>59</v>
      </c>
      <c r="F518" s="3" t="n">
        <f aca="false">IF(A518="","",DATE(YEAR(B$2)+D518,MONTH(B$2),DAY(B$2)))</f>
        <v>37412</v>
      </c>
      <c r="G518" s="3" t="n">
        <f aca="false">IF(A518="","",DATE(YEAR(F518)+1,MONTH(F518),DAY(F518)))</f>
        <v>37777</v>
      </c>
      <c r="H518" s="10" t="n">
        <f aca="false">IF(A518="","",IF(G518&gt;F518,(B518-F518)/(G518-F518),0))</f>
        <v>0.0684931506849315</v>
      </c>
      <c r="I518" s="10" t="n">
        <f aca="false">IF(A518="","",IFERROR(INDEX(CV_RATES!$I:$I,MATCH(D518,CV_RATES!$C:$C,0)),0))</f>
        <v>694.510333851855</v>
      </c>
      <c r="J518" s="10" t="n">
        <f aca="false">IF(A518="","",IFERROR(IF(E518=MAX(MORTALITY!$A:$A),1000,INDEX(CV_RATES!$J:$J,MATCH(D518,CV_RATES!$C:$C,0))),0))</f>
        <v>704.615494908041</v>
      </c>
      <c r="K518" s="10" t="n">
        <f aca="false">IF(A518="","",IFERROR(I518+H518*(J518-I518),0))</f>
        <v>695.202468170772</v>
      </c>
      <c r="L518" s="10" t="n">
        <f aca="false">IF(A518="","",IFERROR(K518*Inputs!$B$9,0))</f>
        <v>34760.1234085386</v>
      </c>
      <c r="M518" s="10" t="n">
        <f aca="false">IF(A518="","",IFERROR(K518*Inputs!$B$10,0))</f>
        <v>111230.309299919</v>
      </c>
      <c r="N518" s="10" t="n">
        <f aca="false">IF(A518="","",Z517)</f>
        <v>0</v>
      </c>
      <c r="O518" s="6" t="n">
        <f aca="false">IF(A518="","",Inputs!$B$18+N518)</f>
        <v>50000</v>
      </c>
      <c r="P518" s="5" t="n">
        <f aca="false">IF(A518="","",VLOOKUP(D518,DIvidend_Assumption!$A$3:$CX$103,($E$2+2),0)/12)</f>
        <v>0</v>
      </c>
      <c r="Q518" s="10" t="n">
        <f aca="false">IF(A518="","",IFERROR(AB517*P518,""))</f>
        <v>0</v>
      </c>
      <c r="R518" s="10" t="n">
        <f aca="false">IF(A518="","",IFERROR(IF(Inputs!$B$22="Accumulate",T518+Q518,IF(Inputs!$B$22="Premium Offset",MAX(0,T518+Q518-Inputs!$B$25),T518)),""))</f>
        <v>0</v>
      </c>
      <c r="S518" s="10" t="n">
        <f aca="false">IF(A518="","",R517)</f>
        <v>0</v>
      </c>
      <c r="T518" s="10" t="n">
        <f aca="false">IF(A518="","",IFERROR(S518*(1+Inputs!$B$23/12),""))</f>
        <v>0</v>
      </c>
      <c r="U518" s="6" t="n">
        <f aca="false">IF(A518="","",IF(D518&lt;=Inputs!$B$8,IF(Inputs!$B$22="Premium Offset",MAX(0,Inputs!$B$25-(Q518+T518)),Inputs!$B$25),0))</f>
        <v>0</v>
      </c>
      <c r="V518" s="10" t="n">
        <f aca="false">IF(A518="","",IF(Inputs!$B$22="Cash",Q518,0))</f>
        <v>0</v>
      </c>
      <c r="W518" s="10" t="n">
        <f aca="false">IF(A518="","",IF(Inputs!$B$22="PUA",Q518,0))</f>
        <v>0</v>
      </c>
      <c r="X518" s="12" t="n">
        <f aca="false">IF(A518="","",IFERROR(INDEX(PUA_TABLE!$D$4:$D$105,MATCH(E518,PUA_TABLE!$C$4:$C$105,1)),0))</f>
        <v>0.694510333851855</v>
      </c>
      <c r="Y518" s="10" t="n">
        <f aca="false">IF(A518="","",IF(W518&gt;0,IF(X518&gt;0,W518/X518,0),0))</f>
        <v>0</v>
      </c>
      <c r="Z518" s="10" t="n">
        <f aca="false">IF(A518="","",N518+Y518)</f>
        <v>0</v>
      </c>
      <c r="AA518" s="10" t="n">
        <f aca="false">IF(A518="","",IFERROR(Z518*INDEX(PUA_TABLE!$I$4:$I$105,MATCH(E518,PUA_TABLE!$C$4:$C$105,1))/1000,0))</f>
        <v>0</v>
      </c>
      <c r="AB518" s="10" t="n">
        <f aca="false">IF(A518="","",IFERROR(L518+AA518,0))</f>
        <v>34760.1234085386</v>
      </c>
      <c r="AC518" s="10" t="n">
        <f aca="false">IF(A518="","",IF(Inputs!$B$22="Premium Offset",MIN(Inputs!$B$25,Q518+T518),0))</f>
        <v>0</v>
      </c>
    </row>
    <row r="519" customFormat="false" ht="15" hidden="false" customHeight="false" outlineLevel="0" collapsed="false">
      <c r="A519" s="1" t="n">
        <f aca="false">IF(A518="","",IF(INT((C518+1)/12)+Inputs!$B$7&gt;MAX(MORTALITY!$A:$A),"",Inputs!$B$4))</f>
        <v>34</v>
      </c>
      <c r="B519" s="3" t="n">
        <f aca="false">IF(A519="","",EOMONTH(B518,1))</f>
        <v>37468</v>
      </c>
      <c r="C519" s="1" t="n">
        <f aca="false">IF(A519="","",C518+1)</f>
        <v>517</v>
      </c>
      <c r="D519" s="1" t="n">
        <f aca="false">IF(A519="","",INT(C519/12))</f>
        <v>43</v>
      </c>
      <c r="E519" s="1" t="n">
        <f aca="false">IF(A519="","",D519+Inputs!$B$7)</f>
        <v>59</v>
      </c>
      <c r="F519" s="3" t="n">
        <f aca="false">IF(A519="","",DATE(YEAR(B$2)+D519,MONTH(B$2),DAY(B$2)))</f>
        <v>37412</v>
      </c>
      <c r="G519" s="3" t="n">
        <f aca="false">IF(A519="","",DATE(YEAR(F519)+1,MONTH(F519),DAY(F519)))</f>
        <v>37777</v>
      </c>
      <c r="H519" s="10" t="n">
        <f aca="false">IF(A519="","",IF(G519&gt;F519,(B519-F519)/(G519-F519),0))</f>
        <v>0.153424657534247</v>
      </c>
      <c r="I519" s="10" t="n">
        <f aca="false">IF(A519="","",IFERROR(INDEX(CV_RATES!$I:$I,MATCH(D519,CV_RATES!$C:$C,0)),0))</f>
        <v>694.510333851855</v>
      </c>
      <c r="J519" s="10" t="n">
        <f aca="false">IF(A519="","",IFERROR(IF(E519=MAX(MORTALITY!$A:$A),1000,INDEX(CV_RATES!$J:$J,MATCH(D519,CV_RATES!$C:$C,0))),0))</f>
        <v>704.615494908041</v>
      </c>
      <c r="K519" s="10" t="n">
        <f aca="false">IF(A519="","",IFERROR(I519+H519*(J519-I519),0))</f>
        <v>696.060714726228</v>
      </c>
      <c r="L519" s="10" t="n">
        <f aca="false">IF(A519="","",IFERROR(K519*Inputs!$B$9,0))</f>
        <v>34803.0357363114</v>
      </c>
      <c r="M519" s="10" t="n">
        <f aca="false">IF(A519="","",IFERROR(K519*Inputs!$B$10,0))</f>
        <v>111367.626174052</v>
      </c>
      <c r="N519" s="10" t="n">
        <f aca="false">IF(A519="","",Z518)</f>
        <v>0</v>
      </c>
      <c r="O519" s="6" t="n">
        <f aca="false">IF(A519="","",Inputs!$B$18+N519)</f>
        <v>50000</v>
      </c>
      <c r="P519" s="5" t="n">
        <f aca="false">IF(A519="","",VLOOKUP(D519,DIvidend_Assumption!$A$3:$CX$103,($E$2+2),0)/12)</f>
        <v>0</v>
      </c>
      <c r="Q519" s="10" t="n">
        <f aca="false">IF(A519="","",IFERROR(AB518*P519,""))</f>
        <v>0</v>
      </c>
      <c r="R519" s="10" t="n">
        <f aca="false">IF(A519="","",IFERROR(IF(Inputs!$B$22="Accumulate",T519+Q519,IF(Inputs!$B$22="Premium Offset",MAX(0,T519+Q519-Inputs!$B$25),T519)),""))</f>
        <v>0</v>
      </c>
      <c r="S519" s="10" t="n">
        <f aca="false">IF(A519="","",R518)</f>
        <v>0</v>
      </c>
      <c r="T519" s="10" t="n">
        <f aca="false">IF(A519="","",IFERROR(S519*(1+Inputs!$B$23/12),""))</f>
        <v>0</v>
      </c>
      <c r="U519" s="6" t="n">
        <f aca="false">IF(A519="","",IF(D519&lt;=Inputs!$B$8,IF(Inputs!$B$22="Premium Offset",MAX(0,Inputs!$B$25-(Q519+T519)),Inputs!$B$25),0))</f>
        <v>0</v>
      </c>
      <c r="V519" s="10" t="n">
        <f aca="false">IF(A519="","",IF(Inputs!$B$22="Cash",Q519,0))</f>
        <v>0</v>
      </c>
      <c r="W519" s="10" t="n">
        <f aca="false">IF(A519="","",IF(Inputs!$B$22="PUA",Q519,0))</f>
        <v>0</v>
      </c>
      <c r="X519" s="12" t="n">
        <f aca="false">IF(A519="","",IFERROR(INDEX(PUA_TABLE!$D$4:$D$105,MATCH(E519,PUA_TABLE!$C$4:$C$105,1)),0))</f>
        <v>0.694510333851855</v>
      </c>
      <c r="Y519" s="10" t="n">
        <f aca="false">IF(A519="","",IF(W519&gt;0,IF(X519&gt;0,W519/X519,0),0))</f>
        <v>0</v>
      </c>
      <c r="Z519" s="10" t="n">
        <f aca="false">IF(A519="","",N519+Y519)</f>
        <v>0</v>
      </c>
      <c r="AA519" s="10" t="n">
        <f aca="false">IF(A519="","",IFERROR(Z519*INDEX(PUA_TABLE!$I$4:$I$105,MATCH(E519,PUA_TABLE!$C$4:$C$105,1))/1000,0))</f>
        <v>0</v>
      </c>
      <c r="AB519" s="10" t="n">
        <f aca="false">IF(A519="","",IFERROR(L519+AA519,0))</f>
        <v>34803.0357363114</v>
      </c>
      <c r="AC519" s="10" t="n">
        <f aca="false">IF(A519="","",IF(Inputs!$B$22="Premium Offset",MIN(Inputs!$B$25,Q519+T519),0))</f>
        <v>0</v>
      </c>
    </row>
    <row r="520" customFormat="false" ht="15" hidden="false" customHeight="false" outlineLevel="0" collapsed="false">
      <c r="A520" s="1" t="n">
        <f aca="false">IF(A519="","",IF(INT((C519+1)/12)+Inputs!$B$7&gt;MAX(MORTALITY!$A:$A),"",Inputs!$B$4))</f>
        <v>34</v>
      </c>
      <c r="B520" s="3" t="n">
        <f aca="false">IF(A520="","",EOMONTH(B519,1))</f>
        <v>37499</v>
      </c>
      <c r="C520" s="1" t="n">
        <f aca="false">IF(A520="","",C519+1)</f>
        <v>518</v>
      </c>
      <c r="D520" s="1" t="n">
        <f aca="false">IF(A520="","",INT(C520/12))</f>
        <v>43</v>
      </c>
      <c r="E520" s="1" t="n">
        <f aca="false">IF(A520="","",D520+Inputs!$B$7)</f>
        <v>59</v>
      </c>
      <c r="F520" s="3" t="n">
        <f aca="false">IF(A520="","",DATE(YEAR(B$2)+D520,MONTH(B$2),DAY(B$2)))</f>
        <v>37412</v>
      </c>
      <c r="G520" s="3" t="n">
        <f aca="false">IF(A520="","",DATE(YEAR(F520)+1,MONTH(F520),DAY(F520)))</f>
        <v>37777</v>
      </c>
      <c r="H520" s="10" t="n">
        <f aca="false">IF(A520="","",IF(G520&gt;F520,(B520-F520)/(G520-F520),0))</f>
        <v>0.238356164383562</v>
      </c>
      <c r="I520" s="10" t="n">
        <f aca="false">IF(A520="","",IFERROR(INDEX(CV_RATES!$I:$I,MATCH(D520,CV_RATES!$C:$C,0)),0))</f>
        <v>694.510333851855</v>
      </c>
      <c r="J520" s="10" t="n">
        <f aca="false">IF(A520="","",IFERROR(IF(E520=MAX(MORTALITY!$A:$A),1000,INDEX(CV_RATES!$J:$J,MATCH(D520,CV_RATES!$C:$C,0))),0))</f>
        <v>704.615494908041</v>
      </c>
      <c r="K520" s="10" t="n">
        <f aca="false">IF(A520="","",IFERROR(I520+H520*(J520-I520),0))</f>
        <v>696.918961281685</v>
      </c>
      <c r="L520" s="10" t="n">
        <f aca="false">IF(A520="","",IFERROR(K520*Inputs!$B$9,0))</f>
        <v>34845.9480640843</v>
      </c>
      <c r="M520" s="10" t="n">
        <f aca="false">IF(A520="","",IFERROR(K520*Inputs!$B$10,0))</f>
        <v>111504.943048186</v>
      </c>
      <c r="N520" s="10" t="n">
        <f aca="false">IF(A520="","",Z519)</f>
        <v>0</v>
      </c>
      <c r="O520" s="6" t="n">
        <f aca="false">IF(A520="","",Inputs!$B$18+N520)</f>
        <v>50000</v>
      </c>
      <c r="P520" s="5" t="n">
        <f aca="false">IF(A520="","",VLOOKUP(D520,DIvidend_Assumption!$A$3:$CX$103,($E$2+2),0)/12)</f>
        <v>0</v>
      </c>
      <c r="Q520" s="10" t="n">
        <f aca="false">IF(A520="","",IFERROR(AB519*P520,""))</f>
        <v>0</v>
      </c>
      <c r="R520" s="10" t="n">
        <f aca="false">IF(A520="","",IFERROR(IF(Inputs!$B$22="Accumulate",T520+Q520,IF(Inputs!$B$22="Premium Offset",MAX(0,T520+Q520-Inputs!$B$25),T520)),""))</f>
        <v>0</v>
      </c>
      <c r="S520" s="10" t="n">
        <f aca="false">IF(A520="","",R519)</f>
        <v>0</v>
      </c>
      <c r="T520" s="10" t="n">
        <f aca="false">IF(A520="","",IFERROR(S520*(1+Inputs!$B$23/12),""))</f>
        <v>0</v>
      </c>
      <c r="U520" s="6" t="n">
        <f aca="false">IF(A520="","",IF(D520&lt;=Inputs!$B$8,IF(Inputs!$B$22="Premium Offset",MAX(0,Inputs!$B$25-(Q520+T520)),Inputs!$B$25),0))</f>
        <v>0</v>
      </c>
      <c r="V520" s="10" t="n">
        <f aca="false">IF(A520="","",IF(Inputs!$B$22="Cash",Q520,0))</f>
        <v>0</v>
      </c>
      <c r="W520" s="10" t="n">
        <f aca="false">IF(A520="","",IF(Inputs!$B$22="PUA",Q520,0))</f>
        <v>0</v>
      </c>
      <c r="X520" s="12" t="n">
        <f aca="false">IF(A520="","",IFERROR(INDEX(PUA_TABLE!$D$4:$D$105,MATCH(E520,PUA_TABLE!$C$4:$C$105,1)),0))</f>
        <v>0.694510333851855</v>
      </c>
      <c r="Y520" s="10" t="n">
        <f aca="false">IF(A520="","",IF(W520&gt;0,IF(X520&gt;0,W520/X520,0),0))</f>
        <v>0</v>
      </c>
      <c r="Z520" s="10" t="n">
        <f aca="false">IF(A520="","",N520+Y520)</f>
        <v>0</v>
      </c>
      <c r="AA520" s="10" t="n">
        <f aca="false">IF(A520="","",IFERROR(Z520*INDEX(PUA_TABLE!$I$4:$I$105,MATCH(E520,PUA_TABLE!$C$4:$C$105,1))/1000,0))</f>
        <v>0</v>
      </c>
      <c r="AB520" s="10" t="n">
        <f aca="false">IF(A520="","",IFERROR(L520+AA520,0))</f>
        <v>34845.9480640843</v>
      </c>
      <c r="AC520" s="10" t="n">
        <f aca="false">IF(A520="","",IF(Inputs!$B$22="Premium Offset",MIN(Inputs!$B$25,Q520+T520),0))</f>
        <v>0</v>
      </c>
    </row>
    <row r="521" customFormat="false" ht="15" hidden="false" customHeight="false" outlineLevel="0" collapsed="false">
      <c r="A521" s="1" t="n">
        <f aca="false">IF(A520="","",IF(INT((C520+1)/12)+Inputs!$B$7&gt;MAX(MORTALITY!$A:$A),"",Inputs!$B$4))</f>
        <v>34</v>
      </c>
      <c r="B521" s="3" t="n">
        <f aca="false">IF(A521="","",EOMONTH(B520,1))</f>
        <v>37529</v>
      </c>
      <c r="C521" s="1" t="n">
        <f aca="false">IF(A521="","",C520+1)</f>
        <v>519</v>
      </c>
      <c r="D521" s="1" t="n">
        <f aca="false">IF(A521="","",INT(C521/12))</f>
        <v>43</v>
      </c>
      <c r="E521" s="1" t="n">
        <f aca="false">IF(A521="","",D521+Inputs!$B$7)</f>
        <v>59</v>
      </c>
      <c r="F521" s="3" t="n">
        <f aca="false">IF(A521="","",DATE(YEAR(B$2)+D521,MONTH(B$2),DAY(B$2)))</f>
        <v>37412</v>
      </c>
      <c r="G521" s="3" t="n">
        <f aca="false">IF(A521="","",DATE(YEAR(F521)+1,MONTH(F521),DAY(F521)))</f>
        <v>37777</v>
      </c>
      <c r="H521" s="10" t="n">
        <f aca="false">IF(A521="","",IF(G521&gt;F521,(B521-F521)/(G521-F521),0))</f>
        <v>0.320547945205479</v>
      </c>
      <c r="I521" s="10" t="n">
        <f aca="false">IF(A521="","",IFERROR(INDEX(CV_RATES!$I:$I,MATCH(D521,CV_RATES!$C:$C,0)),0))</f>
        <v>694.510333851855</v>
      </c>
      <c r="J521" s="10" t="n">
        <f aca="false">IF(A521="","",IFERROR(IF(E521=MAX(MORTALITY!$A:$A),1000,INDEX(CV_RATES!$J:$J,MATCH(D521,CV_RATES!$C:$C,0))),0))</f>
        <v>704.615494908041</v>
      </c>
      <c r="K521" s="10" t="n">
        <f aca="false">IF(A521="","",IFERROR(I521+H521*(J521-I521),0))</f>
        <v>697.749522464386</v>
      </c>
      <c r="L521" s="10" t="n">
        <f aca="false">IF(A521="","",IFERROR(K521*Inputs!$B$9,0))</f>
        <v>34887.4761232193</v>
      </c>
      <c r="M521" s="10" t="n">
        <f aca="false">IF(A521="","",IFERROR(K521*Inputs!$B$10,0))</f>
        <v>111637.830345734</v>
      </c>
      <c r="N521" s="10" t="n">
        <f aca="false">IF(A521="","",Z520)</f>
        <v>0</v>
      </c>
      <c r="O521" s="6" t="n">
        <f aca="false">IF(A521="","",Inputs!$B$18+N521)</f>
        <v>50000</v>
      </c>
      <c r="P521" s="5" t="n">
        <f aca="false">IF(A521="","",VLOOKUP(D521,DIvidend_Assumption!$A$3:$CX$103,($E$2+2),0)/12)</f>
        <v>0</v>
      </c>
      <c r="Q521" s="10" t="n">
        <f aca="false">IF(A521="","",IFERROR(AB520*P521,""))</f>
        <v>0</v>
      </c>
      <c r="R521" s="10" t="n">
        <f aca="false">IF(A521="","",IFERROR(IF(Inputs!$B$22="Accumulate",T521+Q521,IF(Inputs!$B$22="Premium Offset",MAX(0,T521+Q521-Inputs!$B$25),T521)),""))</f>
        <v>0</v>
      </c>
      <c r="S521" s="10" t="n">
        <f aca="false">IF(A521="","",R520)</f>
        <v>0</v>
      </c>
      <c r="T521" s="10" t="n">
        <f aca="false">IF(A521="","",IFERROR(S521*(1+Inputs!$B$23/12),""))</f>
        <v>0</v>
      </c>
      <c r="U521" s="6" t="n">
        <f aca="false">IF(A521="","",IF(D521&lt;=Inputs!$B$8,IF(Inputs!$B$22="Premium Offset",MAX(0,Inputs!$B$25-(Q521+T521)),Inputs!$B$25),0))</f>
        <v>0</v>
      </c>
      <c r="V521" s="10" t="n">
        <f aca="false">IF(A521="","",IF(Inputs!$B$22="Cash",Q521,0))</f>
        <v>0</v>
      </c>
      <c r="W521" s="10" t="n">
        <f aca="false">IF(A521="","",IF(Inputs!$B$22="PUA",Q521,0))</f>
        <v>0</v>
      </c>
      <c r="X521" s="12" t="n">
        <f aca="false">IF(A521="","",IFERROR(INDEX(PUA_TABLE!$D$4:$D$105,MATCH(E521,PUA_TABLE!$C$4:$C$105,1)),0))</f>
        <v>0.694510333851855</v>
      </c>
      <c r="Y521" s="10" t="n">
        <f aca="false">IF(A521="","",IF(W521&gt;0,IF(X521&gt;0,W521/X521,0),0))</f>
        <v>0</v>
      </c>
      <c r="Z521" s="10" t="n">
        <f aca="false">IF(A521="","",N521+Y521)</f>
        <v>0</v>
      </c>
      <c r="AA521" s="10" t="n">
        <f aca="false">IF(A521="","",IFERROR(Z521*INDEX(PUA_TABLE!$I$4:$I$105,MATCH(E521,PUA_TABLE!$C$4:$C$105,1))/1000,0))</f>
        <v>0</v>
      </c>
      <c r="AB521" s="10" t="n">
        <f aca="false">IF(A521="","",IFERROR(L521+AA521,0))</f>
        <v>34887.4761232193</v>
      </c>
      <c r="AC521" s="10" t="n">
        <f aca="false">IF(A521="","",IF(Inputs!$B$22="Premium Offset",MIN(Inputs!$B$25,Q521+T521),0))</f>
        <v>0</v>
      </c>
    </row>
    <row r="522" customFormat="false" ht="15" hidden="false" customHeight="false" outlineLevel="0" collapsed="false">
      <c r="A522" s="1" t="n">
        <f aca="false">IF(A521="","",IF(INT((C521+1)/12)+Inputs!$B$7&gt;MAX(MORTALITY!$A:$A),"",Inputs!$B$4))</f>
        <v>34</v>
      </c>
      <c r="B522" s="3" t="n">
        <f aca="false">IF(A522="","",EOMONTH(B521,1))</f>
        <v>37560</v>
      </c>
      <c r="C522" s="1" t="n">
        <f aca="false">IF(A522="","",C521+1)</f>
        <v>520</v>
      </c>
      <c r="D522" s="1" t="n">
        <f aca="false">IF(A522="","",INT(C522/12))</f>
        <v>43</v>
      </c>
      <c r="E522" s="1" t="n">
        <f aca="false">IF(A522="","",D522+Inputs!$B$7)</f>
        <v>59</v>
      </c>
      <c r="F522" s="3" t="n">
        <f aca="false">IF(A522="","",DATE(YEAR(B$2)+D522,MONTH(B$2),DAY(B$2)))</f>
        <v>37412</v>
      </c>
      <c r="G522" s="3" t="n">
        <f aca="false">IF(A522="","",DATE(YEAR(F522)+1,MONTH(F522),DAY(F522)))</f>
        <v>37777</v>
      </c>
      <c r="H522" s="10" t="n">
        <f aca="false">IF(A522="","",IF(G522&gt;F522,(B522-F522)/(G522-F522),0))</f>
        <v>0.405479452054795</v>
      </c>
      <c r="I522" s="10" t="n">
        <f aca="false">IF(A522="","",IFERROR(INDEX(CV_RATES!$I:$I,MATCH(D522,CV_RATES!$C:$C,0)),0))</f>
        <v>694.510333851855</v>
      </c>
      <c r="J522" s="10" t="n">
        <f aca="false">IF(A522="","",IFERROR(IF(E522=MAX(MORTALITY!$A:$A),1000,INDEX(CV_RATES!$J:$J,MATCH(D522,CV_RATES!$C:$C,0))),0))</f>
        <v>704.615494908041</v>
      </c>
      <c r="K522" s="10" t="n">
        <f aca="false">IF(A522="","",IFERROR(I522+H522*(J522-I522),0))</f>
        <v>698.607769019843</v>
      </c>
      <c r="L522" s="10" t="n">
        <f aca="false">IF(A522="","",IFERROR(K522*Inputs!$B$9,0))</f>
        <v>34930.3884509921</v>
      </c>
      <c r="M522" s="10" t="n">
        <f aca="false">IF(A522="","",IFERROR(K522*Inputs!$B$10,0))</f>
        <v>111775.147219868</v>
      </c>
      <c r="N522" s="10" t="n">
        <f aca="false">IF(A522="","",Z521)</f>
        <v>0</v>
      </c>
      <c r="O522" s="6" t="n">
        <f aca="false">IF(A522="","",Inputs!$B$18+N522)</f>
        <v>50000</v>
      </c>
      <c r="P522" s="5" t="n">
        <f aca="false">IF(A522="","",VLOOKUP(D522,DIvidend_Assumption!$A$3:$CX$103,($E$2+2),0)/12)</f>
        <v>0</v>
      </c>
      <c r="Q522" s="10" t="n">
        <f aca="false">IF(A522="","",IFERROR(AB521*P522,""))</f>
        <v>0</v>
      </c>
      <c r="R522" s="10" t="n">
        <f aca="false">IF(A522="","",IFERROR(IF(Inputs!$B$22="Accumulate",T522+Q522,IF(Inputs!$B$22="Premium Offset",MAX(0,T522+Q522-Inputs!$B$25),T522)),""))</f>
        <v>0</v>
      </c>
      <c r="S522" s="10" t="n">
        <f aca="false">IF(A522="","",R521)</f>
        <v>0</v>
      </c>
      <c r="T522" s="10" t="n">
        <f aca="false">IF(A522="","",IFERROR(S522*(1+Inputs!$B$23/12),""))</f>
        <v>0</v>
      </c>
      <c r="U522" s="6" t="n">
        <f aca="false">IF(A522="","",IF(D522&lt;=Inputs!$B$8,IF(Inputs!$B$22="Premium Offset",MAX(0,Inputs!$B$25-(Q522+T522)),Inputs!$B$25),0))</f>
        <v>0</v>
      </c>
      <c r="V522" s="10" t="n">
        <f aca="false">IF(A522="","",IF(Inputs!$B$22="Cash",Q522,0))</f>
        <v>0</v>
      </c>
      <c r="W522" s="10" t="n">
        <f aca="false">IF(A522="","",IF(Inputs!$B$22="PUA",Q522,0))</f>
        <v>0</v>
      </c>
      <c r="X522" s="12" t="n">
        <f aca="false">IF(A522="","",IFERROR(INDEX(PUA_TABLE!$D$4:$D$105,MATCH(E522,PUA_TABLE!$C$4:$C$105,1)),0))</f>
        <v>0.694510333851855</v>
      </c>
      <c r="Y522" s="10" t="n">
        <f aca="false">IF(A522="","",IF(W522&gt;0,IF(X522&gt;0,W522/X522,0),0))</f>
        <v>0</v>
      </c>
      <c r="Z522" s="10" t="n">
        <f aca="false">IF(A522="","",N522+Y522)</f>
        <v>0</v>
      </c>
      <c r="AA522" s="10" t="n">
        <f aca="false">IF(A522="","",IFERROR(Z522*INDEX(PUA_TABLE!$I$4:$I$105,MATCH(E522,PUA_TABLE!$C$4:$C$105,1))/1000,0))</f>
        <v>0</v>
      </c>
      <c r="AB522" s="10" t="n">
        <f aca="false">IF(A522="","",IFERROR(L522+AA522,0))</f>
        <v>34930.3884509921</v>
      </c>
      <c r="AC522" s="10" t="n">
        <f aca="false">IF(A522="","",IF(Inputs!$B$22="Premium Offset",MIN(Inputs!$B$25,Q522+T522),0))</f>
        <v>0</v>
      </c>
    </row>
    <row r="523" customFormat="false" ht="15" hidden="false" customHeight="false" outlineLevel="0" collapsed="false">
      <c r="A523" s="1" t="n">
        <f aca="false">IF(A522="","",IF(INT((C522+1)/12)+Inputs!$B$7&gt;MAX(MORTALITY!$A:$A),"",Inputs!$B$4))</f>
        <v>34</v>
      </c>
      <c r="B523" s="3" t="n">
        <f aca="false">IF(A523="","",EOMONTH(B522,1))</f>
        <v>37590</v>
      </c>
      <c r="C523" s="1" t="n">
        <f aca="false">IF(A523="","",C522+1)</f>
        <v>521</v>
      </c>
      <c r="D523" s="1" t="n">
        <f aca="false">IF(A523="","",INT(C523/12))</f>
        <v>43</v>
      </c>
      <c r="E523" s="1" t="n">
        <f aca="false">IF(A523="","",D523+Inputs!$B$7)</f>
        <v>59</v>
      </c>
      <c r="F523" s="3" t="n">
        <f aca="false">IF(A523="","",DATE(YEAR(B$2)+D523,MONTH(B$2),DAY(B$2)))</f>
        <v>37412</v>
      </c>
      <c r="G523" s="3" t="n">
        <f aca="false">IF(A523="","",DATE(YEAR(F523)+1,MONTH(F523),DAY(F523)))</f>
        <v>37777</v>
      </c>
      <c r="H523" s="10" t="n">
        <f aca="false">IF(A523="","",IF(G523&gt;F523,(B523-F523)/(G523-F523),0))</f>
        <v>0.487671232876712</v>
      </c>
      <c r="I523" s="10" t="n">
        <f aca="false">IF(A523="","",IFERROR(INDEX(CV_RATES!$I:$I,MATCH(D523,CV_RATES!$C:$C,0)),0))</f>
        <v>694.510333851855</v>
      </c>
      <c r="J523" s="10" t="n">
        <f aca="false">IF(A523="","",IFERROR(IF(E523=MAX(MORTALITY!$A:$A),1000,INDEX(CV_RATES!$J:$J,MATCH(D523,CV_RATES!$C:$C,0))),0))</f>
        <v>704.615494908041</v>
      </c>
      <c r="K523" s="10" t="n">
        <f aca="false">IF(A523="","",IFERROR(I523+H523*(J523-I523),0))</f>
        <v>699.438330202543</v>
      </c>
      <c r="L523" s="10" t="n">
        <f aca="false">IF(A523="","",IFERROR(K523*Inputs!$B$9,0))</f>
        <v>34971.9165101271</v>
      </c>
      <c r="M523" s="10" t="n">
        <f aca="false">IF(A523="","",IFERROR(K523*Inputs!$B$10,0))</f>
        <v>111908.034517416</v>
      </c>
      <c r="N523" s="10" t="n">
        <f aca="false">IF(A523="","",Z522)</f>
        <v>0</v>
      </c>
      <c r="O523" s="6" t="n">
        <f aca="false">IF(A523="","",Inputs!$B$18+N523)</f>
        <v>50000</v>
      </c>
      <c r="P523" s="5" t="n">
        <f aca="false">IF(A523="","",VLOOKUP(D523,DIvidend_Assumption!$A$3:$CX$103,($E$2+2),0)/12)</f>
        <v>0</v>
      </c>
      <c r="Q523" s="10" t="n">
        <f aca="false">IF(A523="","",IFERROR(AB522*P523,""))</f>
        <v>0</v>
      </c>
      <c r="R523" s="10" t="n">
        <f aca="false">IF(A523="","",IFERROR(IF(Inputs!$B$22="Accumulate",T523+Q523,IF(Inputs!$B$22="Premium Offset",MAX(0,T523+Q523-Inputs!$B$25),T523)),""))</f>
        <v>0</v>
      </c>
      <c r="S523" s="10" t="n">
        <f aca="false">IF(A523="","",R522)</f>
        <v>0</v>
      </c>
      <c r="T523" s="10" t="n">
        <f aca="false">IF(A523="","",IFERROR(S523*(1+Inputs!$B$23/12),""))</f>
        <v>0</v>
      </c>
      <c r="U523" s="6" t="n">
        <f aca="false">IF(A523="","",IF(D523&lt;=Inputs!$B$8,IF(Inputs!$B$22="Premium Offset",MAX(0,Inputs!$B$25-(Q523+T523)),Inputs!$B$25),0))</f>
        <v>0</v>
      </c>
      <c r="V523" s="10" t="n">
        <f aca="false">IF(A523="","",IF(Inputs!$B$22="Cash",Q523,0))</f>
        <v>0</v>
      </c>
      <c r="W523" s="10" t="n">
        <f aca="false">IF(A523="","",IF(Inputs!$B$22="PUA",Q523,0))</f>
        <v>0</v>
      </c>
      <c r="X523" s="12" t="n">
        <f aca="false">IF(A523="","",IFERROR(INDEX(PUA_TABLE!$D$4:$D$105,MATCH(E523,PUA_TABLE!$C$4:$C$105,1)),0))</f>
        <v>0.694510333851855</v>
      </c>
      <c r="Y523" s="10" t="n">
        <f aca="false">IF(A523="","",IF(W523&gt;0,IF(X523&gt;0,W523/X523,0),0))</f>
        <v>0</v>
      </c>
      <c r="Z523" s="10" t="n">
        <f aca="false">IF(A523="","",N523+Y523)</f>
        <v>0</v>
      </c>
      <c r="AA523" s="10" t="n">
        <f aca="false">IF(A523="","",IFERROR(Z523*INDEX(PUA_TABLE!$I$4:$I$105,MATCH(E523,PUA_TABLE!$C$4:$C$105,1))/1000,0))</f>
        <v>0</v>
      </c>
      <c r="AB523" s="10" t="n">
        <f aca="false">IF(A523="","",IFERROR(L523+AA523,0))</f>
        <v>34971.9165101271</v>
      </c>
      <c r="AC523" s="10" t="n">
        <f aca="false">IF(A523="","",IF(Inputs!$B$22="Premium Offset",MIN(Inputs!$B$25,Q523+T523),0))</f>
        <v>0</v>
      </c>
    </row>
    <row r="524" customFormat="false" ht="15" hidden="false" customHeight="false" outlineLevel="0" collapsed="false">
      <c r="A524" s="1" t="n">
        <f aca="false">IF(A523="","",IF(INT((C523+1)/12)+Inputs!$B$7&gt;MAX(MORTALITY!$A:$A),"",Inputs!$B$4))</f>
        <v>34</v>
      </c>
      <c r="B524" s="3" t="n">
        <f aca="false">IF(A524="","",EOMONTH(B523,1))</f>
        <v>37621</v>
      </c>
      <c r="C524" s="1" t="n">
        <f aca="false">IF(A524="","",C523+1)</f>
        <v>522</v>
      </c>
      <c r="D524" s="1" t="n">
        <f aca="false">IF(A524="","",INT(C524/12))</f>
        <v>43</v>
      </c>
      <c r="E524" s="1" t="n">
        <f aca="false">IF(A524="","",D524+Inputs!$B$7)</f>
        <v>59</v>
      </c>
      <c r="F524" s="3" t="n">
        <f aca="false">IF(A524="","",DATE(YEAR(B$2)+D524,MONTH(B$2),DAY(B$2)))</f>
        <v>37412</v>
      </c>
      <c r="G524" s="3" t="n">
        <f aca="false">IF(A524="","",DATE(YEAR(F524)+1,MONTH(F524),DAY(F524)))</f>
        <v>37777</v>
      </c>
      <c r="H524" s="10" t="n">
        <f aca="false">IF(A524="","",IF(G524&gt;F524,(B524-F524)/(G524-F524),0))</f>
        <v>0.572602739726027</v>
      </c>
      <c r="I524" s="10" t="n">
        <f aca="false">IF(A524="","",IFERROR(INDEX(CV_RATES!$I:$I,MATCH(D524,CV_RATES!$C:$C,0)),0))</f>
        <v>694.510333851855</v>
      </c>
      <c r="J524" s="10" t="n">
        <f aca="false">IF(A524="","",IFERROR(IF(E524=MAX(MORTALITY!$A:$A),1000,INDEX(CV_RATES!$J:$J,MATCH(D524,CV_RATES!$C:$C,0))),0))</f>
        <v>704.615494908041</v>
      </c>
      <c r="K524" s="10" t="n">
        <f aca="false">IF(A524="","",IFERROR(I524+H524*(J524-I524),0))</f>
        <v>700.296576758</v>
      </c>
      <c r="L524" s="10" t="n">
        <f aca="false">IF(A524="","",IFERROR(K524*Inputs!$B$9,0))</f>
        <v>35014.8288379</v>
      </c>
      <c r="M524" s="10" t="n">
        <f aca="false">IF(A524="","",IFERROR(K524*Inputs!$B$10,0))</f>
        <v>112045.35139155</v>
      </c>
      <c r="N524" s="10" t="n">
        <f aca="false">IF(A524="","",Z523)</f>
        <v>0</v>
      </c>
      <c r="O524" s="6" t="n">
        <f aca="false">IF(A524="","",Inputs!$B$18+N524)</f>
        <v>50000</v>
      </c>
      <c r="P524" s="5" t="n">
        <f aca="false">IF(A524="","",VLOOKUP(D524,DIvidend_Assumption!$A$3:$CX$103,($E$2+2),0)/12)</f>
        <v>0</v>
      </c>
      <c r="Q524" s="10" t="n">
        <f aca="false">IF(A524="","",IFERROR(AB523*P524,""))</f>
        <v>0</v>
      </c>
      <c r="R524" s="10" t="n">
        <f aca="false">IF(A524="","",IFERROR(IF(Inputs!$B$22="Accumulate",T524+Q524,IF(Inputs!$B$22="Premium Offset",MAX(0,T524+Q524-Inputs!$B$25),T524)),""))</f>
        <v>0</v>
      </c>
      <c r="S524" s="10" t="n">
        <f aca="false">IF(A524="","",R523)</f>
        <v>0</v>
      </c>
      <c r="T524" s="10" t="n">
        <f aca="false">IF(A524="","",IFERROR(S524*(1+Inputs!$B$23/12),""))</f>
        <v>0</v>
      </c>
      <c r="U524" s="6" t="n">
        <f aca="false">IF(A524="","",IF(D524&lt;=Inputs!$B$8,IF(Inputs!$B$22="Premium Offset",MAX(0,Inputs!$B$25-(Q524+T524)),Inputs!$B$25),0))</f>
        <v>0</v>
      </c>
      <c r="V524" s="10" t="n">
        <f aca="false">IF(A524="","",IF(Inputs!$B$22="Cash",Q524,0))</f>
        <v>0</v>
      </c>
      <c r="W524" s="10" t="n">
        <f aca="false">IF(A524="","",IF(Inputs!$B$22="PUA",Q524,0))</f>
        <v>0</v>
      </c>
      <c r="X524" s="12" t="n">
        <f aca="false">IF(A524="","",IFERROR(INDEX(PUA_TABLE!$D$4:$D$105,MATCH(E524,PUA_TABLE!$C$4:$C$105,1)),0))</f>
        <v>0.694510333851855</v>
      </c>
      <c r="Y524" s="10" t="n">
        <f aca="false">IF(A524="","",IF(W524&gt;0,IF(X524&gt;0,W524/X524,0),0))</f>
        <v>0</v>
      </c>
      <c r="Z524" s="10" t="n">
        <f aca="false">IF(A524="","",N524+Y524)</f>
        <v>0</v>
      </c>
      <c r="AA524" s="10" t="n">
        <f aca="false">IF(A524="","",IFERROR(Z524*INDEX(PUA_TABLE!$I$4:$I$105,MATCH(E524,PUA_TABLE!$C$4:$C$105,1))/1000,0))</f>
        <v>0</v>
      </c>
      <c r="AB524" s="10" t="n">
        <f aca="false">IF(A524="","",IFERROR(L524+AA524,0))</f>
        <v>35014.8288379</v>
      </c>
      <c r="AC524" s="10" t="n">
        <f aca="false">IF(A524="","",IF(Inputs!$B$22="Premium Offset",MIN(Inputs!$B$25,Q524+T524),0))</f>
        <v>0</v>
      </c>
    </row>
    <row r="525" customFormat="false" ht="15" hidden="false" customHeight="false" outlineLevel="0" collapsed="false">
      <c r="A525" s="1" t="n">
        <f aca="false">IF(A524="","",IF(INT((C524+1)/12)+Inputs!$B$7&gt;MAX(MORTALITY!$A:$A),"",Inputs!$B$4))</f>
        <v>34</v>
      </c>
      <c r="B525" s="3" t="n">
        <f aca="false">IF(A525="","",EOMONTH(B524,1))</f>
        <v>37652</v>
      </c>
      <c r="C525" s="1" t="n">
        <f aca="false">IF(A525="","",C524+1)</f>
        <v>523</v>
      </c>
      <c r="D525" s="1" t="n">
        <f aca="false">IF(A525="","",INT(C525/12))</f>
        <v>43</v>
      </c>
      <c r="E525" s="1" t="n">
        <f aca="false">IF(A525="","",D525+Inputs!$B$7)</f>
        <v>59</v>
      </c>
      <c r="F525" s="3" t="n">
        <f aca="false">IF(A525="","",DATE(YEAR(B$2)+D525,MONTH(B$2),DAY(B$2)))</f>
        <v>37412</v>
      </c>
      <c r="G525" s="3" t="n">
        <f aca="false">IF(A525="","",DATE(YEAR(F525)+1,MONTH(F525),DAY(F525)))</f>
        <v>37777</v>
      </c>
      <c r="H525" s="10" t="n">
        <f aca="false">IF(A525="","",IF(G525&gt;F525,(B525-F525)/(G525-F525),0))</f>
        <v>0.657534246575342</v>
      </c>
      <c r="I525" s="10" t="n">
        <f aca="false">IF(A525="","",IFERROR(INDEX(CV_RATES!$I:$I,MATCH(D525,CV_RATES!$C:$C,0)),0))</f>
        <v>694.510333851855</v>
      </c>
      <c r="J525" s="10" t="n">
        <f aca="false">IF(A525="","",IFERROR(IF(E525=MAX(MORTALITY!$A:$A),1000,INDEX(CV_RATES!$J:$J,MATCH(D525,CV_RATES!$C:$C,0))),0))</f>
        <v>704.615494908041</v>
      </c>
      <c r="K525" s="10" t="n">
        <f aca="false">IF(A525="","",IFERROR(I525+H525*(J525-I525),0))</f>
        <v>701.154823313457</v>
      </c>
      <c r="L525" s="10" t="n">
        <f aca="false">IF(A525="","",IFERROR(K525*Inputs!$B$9,0))</f>
        <v>35057.7411656728</v>
      </c>
      <c r="M525" s="10" t="n">
        <f aca="false">IF(A525="","",IFERROR(K525*Inputs!$B$10,0))</f>
        <v>112182.668265683</v>
      </c>
      <c r="N525" s="10" t="n">
        <f aca="false">IF(A525="","",Z524)</f>
        <v>0</v>
      </c>
      <c r="O525" s="6" t="n">
        <f aca="false">IF(A525="","",Inputs!$B$18+N525)</f>
        <v>50000</v>
      </c>
      <c r="P525" s="5" t="n">
        <f aca="false">IF(A525="","",VLOOKUP(D525,DIvidend_Assumption!$A$3:$CX$103,($E$2+2),0)/12)</f>
        <v>0</v>
      </c>
      <c r="Q525" s="10" t="n">
        <f aca="false">IF(A525="","",IFERROR(AB524*P525,""))</f>
        <v>0</v>
      </c>
      <c r="R525" s="10" t="n">
        <f aca="false">IF(A525="","",IFERROR(IF(Inputs!$B$22="Accumulate",T525+Q525,IF(Inputs!$B$22="Premium Offset",MAX(0,T525+Q525-Inputs!$B$25),T525)),""))</f>
        <v>0</v>
      </c>
      <c r="S525" s="10" t="n">
        <f aca="false">IF(A525="","",R524)</f>
        <v>0</v>
      </c>
      <c r="T525" s="10" t="n">
        <f aca="false">IF(A525="","",IFERROR(S525*(1+Inputs!$B$23/12),""))</f>
        <v>0</v>
      </c>
      <c r="U525" s="6" t="n">
        <f aca="false">IF(A525="","",IF(D525&lt;=Inputs!$B$8,IF(Inputs!$B$22="Premium Offset",MAX(0,Inputs!$B$25-(Q525+T525)),Inputs!$B$25),0))</f>
        <v>0</v>
      </c>
      <c r="V525" s="10" t="n">
        <f aca="false">IF(A525="","",IF(Inputs!$B$22="Cash",Q525,0))</f>
        <v>0</v>
      </c>
      <c r="W525" s="10" t="n">
        <f aca="false">IF(A525="","",IF(Inputs!$B$22="PUA",Q525,0))</f>
        <v>0</v>
      </c>
      <c r="X525" s="12" t="n">
        <f aca="false">IF(A525="","",IFERROR(INDEX(PUA_TABLE!$D$4:$D$105,MATCH(E525,PUA_TABLE!$C$4:$C$105,1)),0))</f>
        <v>0.694510333851855</v>
      </c>
      <c r="Y525" s="10" t="n">
        <f aca="false">IF(A525="","",IF(W525&gt;0,IF(X525&gt;0,W525/X525,0),0))</f>
        <v>0</v>
      </c>
      <c r="Z525" s="10" t="n">
        <f aca="false">IF(A525="","",N525+Y525)</f>
        <v>0</v>
      </c>
      <c r="AA525" s="10" t="n">
        <f aca="false">IF(A525="","",IFERROR(Z525*INDEX(PUA_TABLE!$I$4:$I$105,MATCH(E525,PUA_TABLE!$C$4:$C$105,1))/1000,0))</f>
        <v>0</v>
      </c>
      <c r="AB525" s="10" t="n">
        <f aca="false">IF(A525="","",IFERROR(L525+AA525,0))</f>
        <v>35057.7411656728</v>
      </c>
      <c r="AC525" s="10" t="n">
        <f aca="false">IF(A525="","",IF(Inputs!$B$22="Premium Offset",MIN(Inputs!$B$25,Q525+T525),0))</f>
        <v>0</v>
      </c>
    </row>
    <row r="526" customFormat="false" ht="15" hidden="false" customHeight="false" outlineLevel="0" collapsed="false">
      <c r="A526" s="1" t="n">
        <f aca="false">IF(A525="","",IF(INT((C525+1)/12)+Inputs!$B$7&gt;MAX(MORTALITY!$A:$A),"",Inputs!$B$4))</f>
        <v>34</v>
      </c>
      <c r="B526" s="3" t="n">
        <f aca="false">IF(A526="","",EOMONTH(B525,1))</f>
        <v>37680</v>
      </c>
      <c r="C526" s="1" t="n">
        <f aca="false">IF(A526="","",C525+1)</f>
        <v>524</v>
      </c>
      <c r="D526" s="1" t="n">
        <f aca="false">IF(A526="","",INT(C526/12))</f>
        <v>43</v>
      </c>
      <c r="E526" s="1" t="n">
        <f aca="false">IF(A526="","",D526+Inputs!$B$7)</f>
        <v>59</v>
      </c>
      <c r="F526" s="3" t="n">
        <f aca="false">IF(A526="","",DATE(YEAR(B$2)+D526,MONTH(B$2),DAY(B$2)))</f>
        <v>37412</v>
      </c>
      <c r="G526" s="3" t="n">
        <f aca="false">IF(A526="","",DATE(YEAR(F526)+1,MONTH(F526),DAY(F526)))</f>
        <v>37777</v>
      </c>
      <c r="H526" s="10" t="n">
        <f aca="false">IF(A526="","",IF(G526&gt;F526,(B526-F526)/(G526-F526),0))</f>
        <v>0.734246575342466</v>
      </c>
      <c r="I526" s="10" t="n">
        <f aca="false">IF(A526="","",IFERROR(INDEX(CV_RATES!$I:$I,MATCH(D526,CV_RATES!$C:$C,0)),0))</f>
        <v>694.510333851855</v>
      </c>
      <c r="J526" s="10" t="n">
        <f aca="false">IF(A526="","",IFERROR(IF(E526=MAX(MORTALITY!$A:$A),1000,INDEX(CV_RATES!$J:$J,MATCH(D526,CV_RATES!$C:$C,0))),0))</f>
        <v>704.615494908041</v>
      </c>
      <c r="K526" s="10" t="n">
        <f aca="false">IF(A526="","",IFERROR(I526+H526*(J526-I526),0))</f>
        <v>701.930013750644</v>
      </c>
      <c r="L526" s="10" t="n">
        <f aca="false">IF(A526="","",IFERROR(K526*Inputs!$B$9,0))</f>
        <v>35096.5006875322</v>
      </c>
      <c r="M526" s="10" t="n">
        <f aca="false">IF(A526="","",IFERROR(K526*Inputs!$B$10,0))</f>
        <v>112306.696410062</v>
      </c>
      <c r="N526" s="10" t="n">
        <f aca="false">IF(A526="","",Z525)</f>
        <v>0</v>
      </c>
      <c r="O526" s="6" t="n">
        <f aca="false">IF(A526="","",Inputs!$B$18+N526)</f>
        <v>50000</v>
      </c>
      <c r="P526" s="5" t="n">
        <f aca="false">IF(A526="","",VLOOKUP(D526,DIvidend_Assumption!$A$3:$CX$103,($E$2+2),0)/12)</f>
        <v>0</v>
      </c>
      <c r="Q526" s="10" t="n">
        <f aca="false">IF(A526="","",IFERROR(AB525*P526,""))</f>
        <v>0</v>
      </c>
      <c r="R526" s="10" t="n">
        <f aca="false">IF(A526="","",IFERROR(IF(Inputs!$B$22="Accumulate",T526+Q526,IF(Inputs!$B$22="Premium Offset",MAX(0,T526+Q526-Inputs!$B$25),T526)),""))</f>
        <v>0</v>
      </c>
      <c r="S526" s="10" t="n">
        <f aca="false">IF(A526="","",R525)</f>
        <v>0</v>
      </c>
      <c r="T526" s="10" t="n">
        <f aca="false">IF(A526="","",IFERROR(S526*(1+Inputs!$B$23/12),""))</f>
        <v>0</v>
      </c>
      <c r="U526" s="6" t="n">
        <f aca="false">IF(A526="","",IF(D526&lt;=Inputs!$B$8,IF(Inputs!$B$22="Premium Offset",MAX(0,Inputs!$B$25-(Q526+T526)),Inputs!$B$25),0))</f>
        <v>0</v>
      </c>
      <c r="V526" s="10" t="n">
        <f aca="false">IF(A526="","",IF(Inputs!$B$22="Cash",Q526,0))</f>
        <v>0</v>
      </c>
      <c r="W526" s="10" t="n">
        <f aca="false">IF(A526="","",IF(Inputs!$B$22="PUA",Q526,0))</f>
        <v>0</v>
      </c>
      <c r="X526" s="12" t="n">
        <f aca="false">IF(A526="","",IFERROR(INDEX(PUA_TABLE!$D$4:$D$105,MATCH(E526,PUA_TABLE!$C$4:$C$105,1)),0))</f>
        <v>0.694510333851855</v>
      </c>
      <c r="Y526" s="10" t="n">
        <f aca="false">IF(A526="","",IF(W526&gt;0,IF(X526&gt;0,W526/X526,0),0))</f>
        <v>0</v>
      </c>
      <c r="Z526" s="10" t="n">
        <f aca="false">IF(A526="","",N526+Y526)</f>
        <v>0</v>
      </c>
      <c r="AA526" s="10" t="n">
        <f aca="false">IF(A526="","",IFERROR(Z526*INDEX(PUA_TABLE!$I$4:$I$105,MATCH(E526,PUA_TABLE!$C$4:$C$105,1))/1000,0))</f>
        <v>0</v>
      </c>
      <c r="AB526" s="10" t="n">
        <f aca="false">IF(A526="","",IFERROR(L526+AA526,0))</f>
        <v>35096.5006875322</v>
      </c>
      <c r="AC526" s="10" t="n">
        <f aca="false">IF(A526="","",IF(Inputs!$B$22="Premium Offset",MIN(Inputs!$B$25,Q526+T526),0))</f>
        <v>0</v>
      </c>
    </row>
    <row r="527" customFormat="false" ht="15" hidden="false" customHeight="false" outlineLevel="0" collapsed="false">
      <c r="A527" s="1" t="n">
        <f aca="false">IF(A526="","",IF(INT((C526+1)/12)+Inputs!$B$7&gt;MAX(MORTALITY!$A:$A),"",Inputs!$B$4))</f>
        <v>34</v>
      </c>
      <c r="B527" s="3" t="n">
        <f aca="false">IF(A527="","",EOMONTH(B526,1))</f>
        <v>37711</v>
      </c>
      <c r="C527" s="1" t="n">
        <f aca="false">IF(A527="","",C526+1)</f>
        <v>525</v>
      </c>
      <c r="D527" s="1" t="n">
        <f aca="false">IF(A527="","",INT(C527/12))</f>
        <v>43</v>
      </c>
      <c r="E527" s="1" t="n">
        <f aca="false">IF(A527="","",D527+Inputs!$B$7)</f>
        <v>59</v>
      </c>
      <c r="F527" s="3" t="n">
        <f aca="false">IF(A527="","",DATE(YEAR(B$2)+D527,MONTH(B$2),DAY(B$2)))</f>
        <v>37412</v>
      </c>
      <c r="G527" s="3" t="n">
        <f aca="false">IF(A527="","",DATE(YEAR(F527)+1,MONTH(F527),DAY(F527)))</f>
        <v>37777</v>
      </c>
      <c r="H527" s="10" t="n">
        <f aca="false">IF(A527="","",IF(G527&gt;F527,(B527-F527)/(G527-F527),0))</f>
        <v>0.819178082191781</v>
      </c>
      <c r="I527" s="10" t="n">
        <f aca="false">IF(A527="","",IFERROR(INDEX(CV_RATES!$I:$I,MATCH(D527,CV_RATES!$C:$C,0)),0))</f>
        <v>694.510333851855</v>
      </c>
      <c r="J527" s="10" t="n">
        <f aca="false">IF(A527="","",IFERROR(IF(E527=MAX(MORTALITY!$A:$A),1000,INDEX(CV_RATES!$J:$J,MATCH(D527,CV_RATES!$C:$C,0))),0))</f>
        <v>704.615494908041</v>
      </c>
      <c r="K527" s="10" t="n">
        <f aca="false">IF(A527="","",IFERROR(I527+H527*(J527-I527),0))</f>
        <v>702.788260306101</v>
      </c>
      <c r="L527" s="10" t="n">
        <f aca="false">IF(A527="","",IFERROR(K527*Inputs!$B$9,0))</f>
        <v>35139.413015305</v>
      </c>
      <c r="M527" s="10" t="n">
        <f aca="false">IF(A527="","",IFERROR(K527*Inputs!$B$10,0))</f>
        <v>112444.013284195</v>
      </c>
      <c r="N527" s="10" t="n">
        <f aca="false">IF(A527="","",Z526)</f>
        <v>0</v>
      </c>
      <c r="O527" s="6" t="n">
        <f aca="false">IF(A527="","",Inputs!$B$18+N527)</f>
        <v>50000</v>
      </c>
      <c r="P527" s="5" t="n">
        <f aca="false">IF(A527="","",VLOOKUP(D527,DIvidend_Assumption!$A$3:$CX$103,($E$2+2),0)/12)</f>
        <v>0</v>
      </c>
      <c r="Q527" s="10" t="n">
        <f aca="false">IF(A527="","",IFERROR(AB526*P527,""))</f>
        <v>0</v>
      </c>
      <c r="R527" s="10" t="n">
        <f aca="false">IF(A527="","",IFERROR(IF(Inputs!$B$22="Accumulate",T527+Q527,IF(Inputs!$B$22="Premium Offset",MAX(0,T527+Q527-Inputs!$B$25),T527)),""))</f>
        <v>0</v>
      </c>
      <c r="S527" s="10" t="n">
        <f aca="false">IF(A527="","",R526)</f>
        <v>0</v>
      </c>
      <c r="T527" s="10" t="n">
        <f aca="false">IF(A527="","",IFERROR(S527*(1+Inputs!$B$23/12),""))</f>
        <v>0</v>
      </c>
      <c r="U527" s="6" t="n">
        <f aca="false">IF(A527="","",IF(D527&lt;=Inputs!$B$8,IF(Inputs!$B$22="Premium Offset",MAX(0,Inputs!$B$25-(Q527+T527)),Inputs!$B$25),0))</f>
        <v>0</v>
      </c>
      <c r="V527" s="10" t="n">
        <f aca="false">IF(A527="","",IF(Inputs!$B$22="Cash",Q527,0))</f>
        <v>0</v>
      </c>
      <c r="W527" s="10" t="n">
        <f aca="false">IF(A527="","",IF(Inputs!$B$22="PUA",Q527,0))</f>
        <v>0</v>
      </c>
      <c r="X527" s="12" t="n">
        <f aca="false">IF(A527="","",IFERROR(INDEX(PUA_TABLE!$D$4:$D$105,MATCH(E527,PUA_TABLE!$C$4:$C$105,1)),0))</f>
        <v>0.694510333851855</v>
      </c>
      <c r="Y527" s="10" t="n">
        <f aca="false">IF(A527="","",IF(W527&gt;0,IF(X527&gt;0,W527/X527,0),0))</f>
        <v>0</v>
      </c>
      <c r="Z527" s="10" t="n">
        <f aca="false">IF(A527="","",N527+Y527)</f>
        <v>0</v>
      </c>
      <c r="AA527" s="10" t="n">
        <f aca="false">IF(A527="","",IFERROR(Z527*INDEX(PUA_TABLE!$I$4:$I$105,MATCH(E527,PUA_TABLE!$C$4:$C$105,1))/1000,0))</f>
        <v>0</v>
      </c>
      <c r="AB527" s="10" t="n">
        <f aca="false">IF(A527="","",IFERROR(L527+AA527,0))</f>
        <v>35139.413015305</v>
      </c>
      <c r="AC527" s="10" t="n">
        <f aca="false">IF(A527="","",IF(Inputs!$B$22="Premium Offset",MIN(Inputs!$B$25,Q527+T527),0))</f>
        <v>0</v>
      </c>
    </row>
    <row r="528" customFormat="false" ht="15" hidden="false" customHeight="false" outlineLevel="0" collapsed="false">
      <c r="A528" s="1" t="n">
        <f aca="false">IF(A527="","",IF(INT((C527+1)/12)+Inputs!$B$7&gt;MAX(MORTALITY!$A:$A),"",Inputs!$B$4))</f>
        <v>34</v>
      </c>
      <c r="B528" s="3" t="n">
        <f aca="false">IF(A528="","",EOMONTH(B527,1))</f>
        <v>37741</v>
      </c>
      <c r="C528" s="1" t="n">
        <f aca="false">IF(A528="","",C527+1)</f>
        <v>526</v>
      </c>
      <c r="D528" s="1" t="n">
        <f aca="false">IF(A528="","",INT(C528/12))</f>
        <v>43</v>
      </c>
      <c r="E528" s="1" t="n">
        <f aca="false">IF(A528="","",D528+Inputs!$B$7)</f>
        <v>59</v>
      </c>
      <c r="F528" s="3" t="n">
        <f aca="false">IF(A528="","",DATE(YEAR(B$2)+D528,MONTH(B$2),DAY(B$2)))</f>
        <v>37412</v>
      </c>
      <c r="G528" s="3" t="n">
        <f aca="false">IF(A528="","",DATE(YEAR(F528)+1,MONTH(F528),DAY(F528)))</f>
        <v>37777</v>
      </c>
      <c r="H528" s="10" t="n">
        <f aca="false">IF(A528="","",IF(G528&gt;F528,(B528-F528)/(G528-F528),0))</f>
        <v>0.901369863013699</v>
      </c>
      <c r="I528" s="10" t="n">
        <f aca="false">IF(A528="","",IFERROR(INDEX(CV_RATES!$I:$I,MATCH(D528,CV_RATES!$C:$C,0)),0))</f>
        <v>694.510333851855</v>
      </c>
      <c r="J528" s="10" t="n">
        <f aca="false">IF(A528="","",IFERROR(IF(E528=MAX(MORTALITY!$A:$A),1000,INDEX(CV_RATES!$J:$J,MATCH(D528,CV_RATES!$C:$C,0))),0))</f>
        <v>704.615494908041</v>
      </c>
      <c r="K528" s="10" t="n">
        <f aca="false">IF(A528="","",IFERROR(I528+H528*(J528-I528),0))</f>
        <v>703.618821488801</v>
      </c>
      <c r="L528" s="10" t="n">
        <f aca="false">IF(A528="","",IFERROR(K528*Inputs!$B$9,0))</f>
        <v>35180.94107444</v>
      </c>
      <c r="M528" s="10" t="n">
        <f aca="false">IF(A528="","",IFERROR(K528*Inputs!$B$10,0))</f>
        <v>112576.900581744</v>
      </c>
      <c r="N528" s="10" t="n">
        <f aca="false">IF(A528="","",Z527)</f>
        <v>0</v>
      </c>
      <c r="O528" s="6" t="n">
        <f aca="false">IF(A528="","",Inputs!$B$18+N528)</f>
        <v>50000</v>
      </c>
      <c r="P528" s="5" t="n">
        <f aca="false">IF(A528="","",VLOOKUP(D528,DIvidend_Assumption!$A$3:$CX$103,($E$2+2),0)/12)</f>
        <v>0</v>
      </c>
      <c r="Q528" s="10" t="n">
        <f aca="false">IF(A528="","",IFERROR(AB527*P528,""))</f>
        <v>0</v>
      </c>
      <c r="R528" s="10" t="n">
        <f aca="false">IF(A528="","",IFERROR(IF(Inputs!$B$22="Accumulate",T528+Q528,IF(Inputs!$B$22="Premium Offset",MAX(0,T528+Q528-Inputs!$B$25),T528)),""))</f>
        <v>0</v>
      </c>
      <c r="S528" s="10" t="n">
        <f aca="false">IF(A528="","",R527)</f>
        <v>0</v>
      </c>
      <c r="T528" s="10" t="n">
        <f aca="false">IF(A528="","",IFERROR(S528*(1+Inputs!$B$23/12),""))</f>
        <v>0</v>
      </c>
      <c r="U528" s="6" t="n">
        <f aca="false">IF(A528="","",IF(D528&lt;=Inputs!$B$8,IF(Inputs!$B$22="Premium Offset",MAX(0,Inputs!$B$25-(Q528+T528)),Inputs!$B$25),0))</f>
        <v>0</v>
      </c>
      <c r="V528" s="10" t="n">
        <f aca="false">IF(A528="","",IF(Inputs!$B$22="Cash",Q528,0))</f>
        <v>0</v>
      </c>
      <c r="W528" s="10" t="n">
        <f aca="false">IF(A528="","",IF(Inputs!$B$22="PUA",Q528,0))</f>
        <v>0</v>
      </c>
      <c r="X528" s="12" t="n">
        <f aca="false">IF(A528="","",IFERROR(INDEX(PUA_TABLE!$D$4:$D$105,MATCH(E528,PUA_TABLE!$C$4:$C$105,1)),0))</f>
        <v>0.694510333851855</v>
      </c>
      <c r="Y528" s="10" t="n">
        <f aca="false">IF(A528="","",IF(W528&gt;0,IF(X528&gt;0,W528/X528,0),0))</f>
        <v>0</v>
      </c>
      <c r="Z528" s="10" t="n">
        <f aca="false">IF(A528="","",N528+Y528)</f>
        <v>0</v>
      </c>
      <c r="AA528" s="10" t="n">
        <f aca="false">IF(A528="","",IFERROR(Z528*INDEX(PUA_TABLE!$I$4:$I$105,MATCH(E528,PUA_TABLE!$C$4:$C$105,1))/1000,0))</f>
        <v>0</v>
      </c>
      <c r="AB528" s="10" t="n">
        <f aca="false">IF(A528="","",IFERROR(L528+AA528,0))</f>
        <v>35180.94107444</v>
      </c>
      <c r="AC528" s="10" t="n">
        <f aca="false">IF(A528="","",IF(Inputs!$B$22="Premium Offset",MIN(Inputs!$B$25,Q528+T528),0))</f>
        <v>0</v>
      </c>
    </row>
    <row r="529" customFormat="false" ht="15" hidden="false" customHeight="false" outlineLevel="0" collapsed="false">
      <c r="A529" s="1" t="n">
        <f aca="false">IF(A528="","",IF(INT((C528+1)/12)+Inputs!$B$7&gt;MAX(MORTALITY!$A:$A),"",Inputs!$B$4))</f>
        <v>34</v>
      </c>
      <c r="B529" s="3" t="n">
        <f aca="false">IF(A529="","",EOMONTH(B528,1))</f>
        <v>37772</v>
      </c>
      <c r="C529" s="1" t="n">
        <f aca="false">IF(A529="","",C528+1)</f>
        <v>527</v>
      </c>
      <c r="D529" s="1" t="n">
        <f aca="false">IF(A529="","",INT(C529/12))</f>
        <v>43</v>
      </c>
      <c r="E529" s="1" t="n">
        <f aca="false">IF(A529="","",D529+Inputs!$B$7)</f>
        <v>59</v>
      </c>
      <c r="F529" s="3" t="n">
        <f aca="false">IF(A529="","",DATE(YEAR(B$2)+D529,MONTH(B$2),DAY(B$2)))</f>
        <v>37412</v>
      </c>
      <c r="G529" s="3" t="n">
        <f aca="false">IF(A529="","",DATE(YEAR(F529)+1,MONTH(F529),DAY(F529)))</f>
        <v>37777</v>
      </c>
      <c r="H529" s="10" t="n">
        <f aca="false">IF(A529="","",IF(G529&gt;F529,(B529-F529)/(G529-F529),0))</f>
        <v>0.986301369863014</v>
      </c>
      <c r="I529" s="10" t="n">
        <f aca="false">IF(A529="","",IFERROR(INDEX(CV_RATES!$I:$I,MATCH(D529,CV_RATES!$C:$C,0)),0))</f>
        <v>694.510333851855</v>
      </c>
      <c r="J529" s="10" t="n">
        <f aca="false">IF(A529="","",IFERROR(IF(E529=MAX(MORTALITY!$A:$A),1000,INDEX(CV_RATES!$J:$J,MATCH(D529,CV_RATES!$C:$C,0))),0))</f>
        <v>704.615494908041</v>
      </c>
      <c r="K529" s="10" t="n">
        <f aca="false">IF(A529="","",IFERROR(I529+H529*(J529-I529),0))</f>
        <v>704.477068044258</v>
      </c>
      <c r="L529" s="10" t="n">
        <f aca="false">IF(A529="","",IFERROR(K529*Inputs!$B$9,0))</f>
        <v>35223.8534022129</v>
      </c>
      <c r="M529" s="10" t="n">
        <f aca="false">IF(A529="","",IFERROR(K529*Inputs!$B$10,0))</f>
        <v>112714.217455877</v>
      </c>
      <c r="N529" s="10" t="n">
        <f aca="false">IF(A529="","",Z528)</f>
        <v>0</v>
      </c>
      <c r="O529" s="6" t="n">
        <f aca="false">IF(A529="","",Inputs!$B$18+N529)</f>
        <v>50000</v>
      </c>
      <c r="P529" s="5" t="n">
        <f aca="false">IF(A529="","",VLOOKUP(D529,DIvidend_Assumption!$A$3:$CX$103,($E$2+2),0)/12)</f>
        <v>0</v>
      </c>
      <c r="Q529" s="10" t="n">
        <f aca="false">IF(A529="","",IFERROR(AB528*P529,""))</f>
        <v>0</v>
      </c>
      <c r="R529" s="10" t="n">
        <f aca="false">IF(A529="","",IFERROR(IF(Inputs!$B$22="Accumulate",T529+Q529,IF(Inputs!$B$22="Premium Offset",MAX(0,T529+Q529-Inputs!$B$25),T529)),""))</f>
        <v>0</v>
      </c>
      <c r="S529" s="10" t="n">
        <f aca="false">IF(A529="","",R528)</f>
        <v>0</v>
      </c>
      <c r="T529" s="10" t="n">
        <f aca="false">IF(A529="","",IFERROR(S529*(1+Inputs!$B$23/12),""))</f>
        <v>0</v>
      </c>
      <c r="U529" s="6" t="n">
        <f aca="false">IF(A529="","",IF(D529&lt;=Inputs!$B$8,IF(Inputs!$B$22="Premium Offset",MAX(0,Inputs!$B$25-(Q529+T529)),Inputs!$B$25),0))</f>
        <v>0</v>
      </c>
      <c r="V529" s="10" t="n">
        <f aca="false">IF(A529="","",IF(Inputs!$B$22="Cash",Q529,0))</f>
        <v>0</v>
      </c>
      <c r="W529" s="10" t="n">
        <f aca="false">IF(A529="","",IF(Inputs!$B$22="PUA",Q529,0))</f>
        <v>0</v>
      </c>
      <c r="X529" s="12" t="n">
        <f aca="false">IF(A529="","",IFERROR(INDEX(PUA_TABLE!$D$4:$D$105,MATCH(E529,PUA_TABLE!$C$4:$C$105,1)),0))</f>
        <v>0.694510333851855</v>
      </c>
      <c r="Y529" s="10" t="n">
        <f aca="false">IF(A529="","",IF(W529&gt;0,IF(X529&gt;0,W529/X529,0),0))</f>
        <v>0</v>
      </c>
      <c r="Z529" s="10" t="n">
        <f aca="false">IF(A529="","",N529+Y529)</f>
        <v>0</v>
      </c>
      <c r="AA529" s="10" t="n">
        <f aca="false">IF(A529="","",IFERROR(Z529*INDEX(PUA_TABLE!$I$4:$I$105,MATCH(E529,PUA_TABLE!$C$4:$C$105,1))/1000,0))</f>
        <v>0</v>
      </c>
      <c r="AB529" s="10" t="n">
        <f aca="false">IF(A529="","",IFERROR(L529+AA529,0))</f>
        <v>35223.8534022129</v>
      </c>
      <c r="AC529" s="10" t="n">
        <f aca="false">IF(A529="","",IF(Inputs!$B$22="Premium Offset",MIN(Inputs!$B$25,Q529+T529),0))</f>
        <v>0</v>
      </c>
    </row>
    <row r="530" customFormat="false" ht="15" hidden="false" customHeight="false" outlineLevel="0" collapsed="false">
      <c r="A530" s="1" t="n">
        <f aca="false">IF(A529="","",IF(INT((C529+1)/12)+Inputs!$B$7&gt;MAX(MORTALITY!$A:$A),"",Inputs!$B$4))</f>
        <v>34</v>
      </c>
      <c r="B530" s="3" t="n">
        <f aca="false">IF(A530="","",EOMONTH(B529,1))</f>
        <v>37802</v>
      </c>
      <c r="C530" s="1" t="n">
        <f aca="false">IF(A530="","",C529+1)</f>
        <v>528</v>
      </c>
      <c r="D530" s="1" t="n">
        <f aca="false">IF(A530="","",INT(C530/12))</f>
        <v>44</v>
      </c>
      <c r="E530" s="1" t="n">
        <f aca="false">IF(A530="","",D530+Inputs!$B$7)</f>
        <v>60</v>
      </c>
      <c r="F530" s="3" t="n">
        <f aca="false">IF(A530="","",DATE(YEAR(B$2)+D530,MONTH(B$2),DAY(B$2)))</f>
        <v>37777</v>
      </c>
      <c r="G530" s="3" t="n">
        <f aca="false">IF(A530="","",DATE(YEAR(F530)+1,MONTH(F530),DAY(F530)))</f>
        <v>38143</v>
      </c>
      <c r="H530" s="10" t="n">
        <f aca="false">IF(A530="","",IF(G530&gt;F530,(B530-F530)/(G530-F530),0))</f>
        <v>0.0683060109289618</v>
      </c>
      <c r="I530" s="10" t="n">
        <f aca="false">IF(A530="","",IFERROR(INDEX(CV_RATES!$I:$I,MATCH(D530,CV_RATES!$C:$C,0)),0))</f>
        <v>704.615494908041</v>
      </c>
      <c r="J530" s="10" t="n">
        <f aca="false">IF(A530="","",IFERROR(IF(E530=MAX(MORTALITY!$A:$A),1000,INDEX(CV_RATES!$J:$J,MATCH(D530,CV_RATES!$C:$C,0))),0))</f>
        <v>714.643246197124</v>
      </c>
      <c r="K530" s="10" t="n">
        <f aca="false">IF(A530="","",IFERROR(I530+H530*(J530-I530),0))</f>
        <v>705.300450597186</v>
      </c>
      <c r="L530" s="10" t="n">
        <f aca="false">IF(A530="","",IFERROR(K530*Inputs!$B$9,0))</f>
        <v>35265.0225298593</v>
      </c>
      <c r="M530" s="10" t="n">
        <f aca="false">IF(A530="","",IFERROR(K530*Inputs!$B$10,0))</f>
        <v>112845.956194198</v>
      </c>
      <c r="N530" s="10" t="n">
        <f aca="false">IF(A530="","",Z529)</f>
        <v>0</v>
      </c>
      <c r="O530" s="6" t="n">
        <f aca="false">IF(A530="","",Inputs!$B$18+N530)</f>
        <v>50000</v>
      </c>
      <c r="P530" s="5" t="n">
        <f aca="false">IF(A530="","",VLOOKUP(D530,DIvidend_Assumption!$A$3:$CX$103,($E$2+2),0)/12)</f>
        <v>0</v>
      </c>
      <c r="Q530" s="10" t="n">
        <f aca="false">IF(A530="","",IFERROR(AB529*P530,""))</f>
        <v>0</v>
      </c>
      <c r="R530" s="10" t="n">
        <f aca="false">IF(A530="","",IFERROR(IF(Inputs!$B$22="Accumulate",T530+Q530,IF(Inputs!$B$22="Premium Offset",MAX(0,T530+Q530-Inputs!$B$25),T530)),""))</f>
        <v>0</v>
      </c>
      <c r="S530" s="10" t="n">
        <f aca="false">IF(A530="","",R529)</f>
        <v>0</v>
      </c>
      <c r="T530" s="10" t="n">
        <f aca="false">IF(A530="","",IFERROR(S530*(1+Inputs!$B$23/12),""))</f>
        <v>0</v>
      </c>
      <c r="U530" s="6" t="n">
        <f aca="false">IF(A530="","",IF(D530&lt;=Inputs!$B$8,IF(Inputs!$B$22="Premium Offset",MAX(0,Inputs!$B$25-(Q530+T530)),Inputs!$B$25),0))</f>
        <v>0</v>
      </c>
      <c r="V530" s="10" t="n">
        <f aca="false">IF(A530="","",IF(Inputs!$B$22="Cash",Q530,0))</f>
        <v>0</v>
      </c>
      <c r="W530" s="10" t="n">
        <f aca="false">IF(A530="","",IF(Inputs!$B$22="PUA",Q530,0))</f>
        <v>0</v>
      </c>
      <c r="X530" s="12" t="n">
        <f aca="false">IF(A530="","",IFERROR(INDEX(PUA_TABLE!$D$4:$D$105,MATCH(E530,PUA_TABLE!$C$4:$C$105,1)),0))</f>
        <v>0.704615494908041</v>
      </c>
      <c r="Y530" s="10" t="n">
        <f aca="false">IF(A530="","",IF(W530&gt;0,IF(X530&gt;0,W530/X530,0),0))</f>
        <v>0</v>
      </c>
      <c r="Z530" s="10" t="n">
        <f aca="false">IF(A530="","",N530+Y530)</f>
        <v>0</v>
      </c>
      <c r="AA530" s="10" t="n">
        <f aca="false">IF(A530="","",IFERROR(Z530*INDEX(PUA_TABLE!$I$4:$I$105,MATCH(E530,PUA_TABLE!$C$4:$C$105,1))/1000,0))</f>
        <v>0</v>
      </c>
      <c r="AB530" s="10" t="n">
        <f aca="false">IF(A530="","",IFERROR(L530+AA530,0))</f>
        <v>35265.0225298593</v>
      </c>
      <c r="AC530" s="10" t="n">
        <f aca="false">IF(A530="","",IF(Inputs!$B$22="Premium Offset",MIN(Inputs!$B$25,Q530+T530),0))</f>
        <v>0</v>
      </c>
    </row>
    <row r="531" customFormat="false" ht="15" hidden="false" customHeight="false" outlineLevel="0" collapsed="false">
      <c r="A531" s="1" t="n">
        <f aca="false">IF(A530="","",IF(INT((C530+1)/12)+Inputs!$B$7&gt;MAX(MORTALITY!$A:$A),"",Inputs!$B$4))</f>
        <v>34</v>
      </c>
      <c r="B531" s="3" t="n">
        <f aca="false">IF(A531="","",EOMONTH(B530,1))</f>
        <v>37833</v>
      </c>
      <c r="C531" s="1" t="n">
        <f aca="false">IF(A531="","",C530+1)</f>
        <v>529</v>
      </c>
      <c r="D531" s="1" t="n">
        <f aca="false">IF(A531="","",INT(C531/12))</f>
        <v>44</v>
      </c>
      <c r="E531" s="1" t="n">
        <f aca="false">IF(A531="","",D531+Inputs!$B$7)</f>
        <v>60</v>
      </c>
      <c r="F531" s="3" t="n">
        <f aca="false">IF(A531="","",DATE(YEAR(B$2)+D531,MONTH(B$2),DAY(B$2)))</f>
        <v>37777</v>
      </c>
      <c r="G531" s="3" t="n">
        <f aca="false">IF(A531="","",DATE(YEAR(F531)+1,MONTH(F531),DAY(F531)))</f>
        <v>38143</v>
      </c>
      <c r="H531" s="10" t="n">
        <f aca="false">IF(A531="","",IF(G531&gt;F531,(B531-F531)/(G531-F531),0))</f>
        <v>0.153005464480874</v>
      </c>
      <c r="I531" s="10" t="n">
        <f aca="false">IF(A531="","",IFERROR(INDEX(CV_RATES!$I:$I,MATCH(D531,CV_RATES!$C:$C,0)),0))</f>
        <v>704.615494908041</v>
      </c>
      <c r="J531" s="10" t="n">
        <f aca="false">IF(A531="","",IFERROR(IF(E531=MAX(MORTALITY!$A:$A),1000,INDEX(CV_RATES!$J:$J,MATCH(D531,CV_RATES!$C:$C,0))),0))</f>
        <v>714.643246197124</v>
      </c>
      <c r="K531" s="10" t="n">
        <f aca="false">IF(A531="","",IFERROR(I531+H531*(J531-I531),0))</f>
        <v>706.149795651726</v>
      </c>
      <c r="L531" s="10" t="n">
        <f aca="false">IF(A531="","",IFERROR(K531*Inputs!$B$9,0))</f>
        <v>35307.4897825863</v>
      </c>
      <c r="M531" s="10" t="n">
        <f aca="false">IF(A531="","",IFERROR(K531*Inputs!$B$10,0))</f>
        <v>112981.848854889</v>
      </c>
      <c r="N531" s="10" t="n">
        <f aca="false">IF(A531="","",Z530)</f>
        <v>0</v>
      </c>
      <c r="O531" s="6" t="n">
        <f aca="false">IF(A531="","",Inputs!$B$18+N531)</f>
        <v>50000</v>
      </c>
      <c r="P531" s="5" t="n">
        <f aca="false">IF(A531="","",VLOOKUP(D531,DIvidend_Assumption!$A$3:$CX$103,($E$2+2),0)/12)</f>
        <v>0</v>
      </c>
      <c r="Q531" s="10" t="n">
        <f aca="false">IF(A531="","",IFERROR(AB530*P531,""))</f>
        <v>0</v>
      </c>
      <c r="R531" s="10" t="n">
        <f aca="false">IF(A531="","",IFERROR(IF(Inputs!$B$22="Accumulate",T531+Q531,IF(Inputs!$B$22="Premium Offset",MAX(0,T531+Q531-Inputs!$B$25),T531)),""))</f>
        <v>0</v>
      </c>
      <c r="S531" s="10" t="n">
        <f aca="false">IF(A531="","",R530)</f>
        <v>0</v>
      </c>
      <c r="T531" s="10" t="n">
        <f aca="false">IF(A531="","",IFERROR(S531*(1+Inputs!$B$23/12),""))</f>
        <v>0</v>
      </c>
      <c r="U531" s="6" t="n">
        <f aca="false">IF(A531="","",IF(D531&lt;=Inputs!$B$8,IF(Inputs!$B$22="Premium Offset",MAX(0,Inputs!$B$25-(Q531+T531)),Inputs!$B$25),0))</f>
        <v>0</v>
      </c>
      <c r="V531" s="10" t="n">
        <f aca="false">IF(A531="","",IF(Inputs!$B$22="Cash",Q531,0))</f>
        <v>0</v>
      </c>
      <c r="W531" s="10" t="n">
        <f aca="false">IF(A531="","",IF(Inputs!$B$22="PUA",Q531,0))</f>
        <v>0</v>
      </c>
      <c r="X531" s="12" t="n">
        <f aca="false">IF(A531="","",IFERROR(INDEX(PUA_TABLE!$D$4:$D$105,MATCH(E531,PUA_TABLE!$C$4:$C$105,1)),0))</f>
        <v>0.704615494908041</v>
      </c>
      <c r="Y531" s="10" t="n">
        <f aca="false">IF(A531="","",IF(W531&gt;0,IF(X531&gt;0,W531/X531,0),0))</f>
        <v>0</v>
      </c>
      <c r="Z531" s="10" t="n">
        <f aca="false">IF(A531="","",N531+Y531)</f>
        <v>0</v>
      </c>
      <c r="AA531" s="10" t="n">
        <f aca="false">IF(A531="","",IFERROR(Z531*INDEX(PUA_TABLE!$I$4:$I$105,MATCH(E531,PUA_TABLE!$C$4:$C$105,1))/1000,0))</f>
        <v>0</v>
      </c>
      <c r="AB531" s="10" t="n">
        <f aca="false">IF(A531="","",IFERROR(L531+AA531,0))</f>
        <v>35307.4897825863</v>
      </c>
      <c r="AC531" s="10" t="n">
        <f aca="false">IF(A531="","",IF(Inputs!$B$22="Premium Offset",MIN(Inputs!$B$25,Q531+T531),0))</f>
        <v>0</v>
      </c>
    </row>
    <row r="532" customFormat="false" ht="15" hidden="false" customHeight="false" outlineLevel="0" collapsed="false">
      <c r="A532" s="1" t="n">
        <f aca="false">IF(A531="","",IF(INT((C531+1)/12)+Inputs!$B$7&gt;MAX(MORTALITY!$A:$A),"",Inputs!$B$4))</f>
        <v>34</v>
      </c>
      <c r="B532" s="3" t="n">
        <f aca="false">IF(A532="","",EOMONTH(B531,1))</f>
        <v>37864</v>
      </c>
      <c r="C532" s="1" t="n">
        <f aca="false">IF(A532="","",C531+1)</f>
        <v>530</v>
      </c>
      <c r="D532" s="1" t="n">
        <f aca="false">IF(A532="","",INT(C532/12))</f>
        <v>44</v>
      </c>
      <c r="E532" s="1" t="n">
        <f aca="false">IF(A532="","",D532+Inputs!$B$7)</f>
        <v>60</v>
      </c>
      <c r="F532" s="3" t="n">
        <f aca="false">IF(A532="","",DATE(YEAR(B$2)+D532,MONTH(B$2),DAY(B$2)))</f>
        <v>37777</v>
      </c>
      <c r="G532" s="3" t="n">
        <f aca="false">IF(A532="","",DATE(YEAR(F532)+1,MONTH(F532),DAY(F532)))</f>
        <v>38143</v>
      </c>
      <c r="H532" s="10" t="n">
        <f aca="false">IF(A532="","",IF(G532&gt;F532,(B532-F532)/(G532-F532),0))</f>
        <v>0.237704918032787</v>
      </c>
      <c r="I532" s="10" t="n">
        <f aca="false">IF(A532="","",IFERROR(INDEX(CV_RATES!$I:$I,MATCH(D532,CV_RATES!$C:$C,0)),0))</f>
        <v>704.615494908041</v>
      </c>
      <c r="J532" s="10" t="n">
        <f aca="false">IF(A532="","",IFERROR(IF(E532=MAX(MORTALITY!$A:$A),1000,INDEX(CV_RATES!$J:$J,MATCH(D532,CV_RATES!$C:$C,0))),0))</f>
        <v>714.643246197124</v>
      </c>
      <c r="K532" s="10" t="n">
        <f aca="false">IF(A532="","",IFERROR(I532+H532*(J532-I532),0))</f>
        <v>706.999140706266</v>
      </c>
      <c r="L532" s="10" t="n">
        <f aca="false">IF(A532="","",IFERROR(K532*Inputs!$B$9,0))</f>
        <v>35349.9570353133</v>
      </c>
      <c r="M532" s="10" t="n">
        <f aca="false">IF(A532="","",IFERROR(K532*Inputs!$B$10,0))</f>
        <v>113117.74151558</v>
      </c>
      <c r="N532" s="10" t="n">
        <f aca="false">IF(A532="","",Z531)</f>
        <v>0</v>
      </c>
      <c r="O532" s="6" t="n">
        <f aca="false">IF(A532="","",Inputs!$B$18+N532)</f>
        <v>50000</v>
      </c>
      <c r="P532" s="5" t="n">
        <f aca="false">IF(A532="","",VLOOKUP(D532,DIvidend_Assumption!$A$3:$CX$103,($E$2+2),0)/12)</f>
        <v>0</v>
      </c>
      <c r="Q532" s="10" t="n">
        <f aca="false">IF(A532="","",IFERROR(AB531*P532,""))</f>
        <v>0</v>
      </c>
      <c r="R532" s="10" t="n">
        <f aca="false">IF(A532="","",IFERROR(IF(Inputs!$B$22="Accumulate",T532+Q532,IF(Inputs!$B$22="Premium Offset",MAX(0,T532+Q532-Inputs!$B$25),T532)),""))</f>
        <v>0</v>
      </c>
      <c r="S532" s="10" t="n">
        <f aca="false">IF(A532="","",R531)</f>
        <v>0</v>
      </c>
      <c r="T532" s="10" t="n">
        <f aca="false">IF(A532="","",IFERROR(S532*(1+Inputs!$B$23/12),""))</f>
        <v>0</v>
      </c>
      <c r="U532" s="6" t="n">
        <f aca="false">IF(A532="","",IF(D532&lt;=Inputs!$B$8,IF(Inputs!$B$22="Premium Offset",MAX(0,Inputs!$B$25-(Q532+T532)),Inputs!$B$25),0))</f>
        <v>0</v>
      </c>
      <c r="V532" s="10" t="n">
        <f aca="false">IF(A532="","",IF(Inputs!$B$22="Cash",Q532,0))</f>
        <v>0</v>
      </c>
      <c r="W532" s="10" t="n">
        <f aca="false">IF(A532="","",IF(Inputs!$B$22="PUA",Q532,0))</f>
        <v>0</v>
      </c>
      <c r="X532" s="12" t="n">
        <f aca="false">IF(A532="","",IFERROR(INDEX(PUA_TABLE!$D$4:$D$105,MATCH(E532,PUA_TABLE!$C$4:$C$105,1)),0))</f>
        <v>0.704615494908041</v>
      </c>
      <c r="Y532" s="10" t="n">
        <f aca="false">IF(A532="","",IF(W532&gt;0,IF(X532&gt;0,W532/X532,0),0))</f>
        <v>0</v>
      </c>
      <c r="Z532" s="10" t="n">
        <f aca="false">IF(A532="","",N532+Y532)</f>
        <v>0</v>
      </c>
      <c r="AA532" s="10" t="n">
        <f aca="false">IF(A532="","",IFERROR(Z532*INDEX(PUA_TABLE!$I$4:$I$105,MATCH(E532,PUA_TABLE!$C$4:$C$105,1))/1000,0))</f>
        <v>0</v>
      </c>
      <c r="AB532" s="10" t="n">
        <f aca="false">IF(A532="","",IFERROR(L532+AA532,0))</f>
        <v>35349.9570353133</v>
      </c>
      <c r="AC532" s="10" t="n">
        <f aca="false">IF(A532="","",IF(Inputs!$B$22="Premium Offset",MIN(Inputs!$B$25,Q532+T532),0))</f>
        <v>0</v>
      </c>
    </row>
    <row r="533" customFormat="false" ht="15" hidden="false" customHeight="false" outlineLevel="0" collapsed="false">
      <c r="A533" s="1" t="n">
        <f aca="false">IF(A532="","",IF(INT((C532+1)/12)+Inputs!$B$7&gt;MAX(MORTALITY!$A:$A),"",Inputs!$B$4))</f>
        <v>34</v>
      </c>
      <c r="B533" s="3" t="n">
        <f aca="false">IF(A533="","",EOMONTH(B532,1))</f>
        <v>37894</v>
      </c>
      <c r="C533" s="1" t="n">
        <f aca="false">IF(A533="","",C532+1)</f>
        <v>531</v>
      </c>
      <c r="D533" s="1" t="n">
        <f aca="false">IF(A533="","",INT(C533/12))</f>
        <v>44</v>
      </c>
      <c r="E533" s="1" t="n">
        <f aca="false">IF(A533="","",D533+Inputs!$B$7)</f>
        <v>60</v>
      </c>
      <c r="F533" s="3" t="n">
        <f aca="false">IF(A533="","",DATE(YEAR(B$2)+D533,MONTH(B$2),DAY(B$2)))</f>
        <v>37777</v>
      </c>
      <c r="G533" s="3" t="n">
        <f aca="false">IF(A533="","",DATE(YEAR(F533)+1,MONTH(F533),DAY(F533)))</f>
        <v>38143</v>
      </c>
      <c r="H533" s="10" t="n">
        <f aca="false">IF(A533="","",IF(G533&gt;F533,(B533-F533)/(G533-F533),0))</f>
        <v>0.319672131147541</v>
      </c>
      <c r="I533" s="10" t="n">
        <f aca="false">IF(A533="","",IFERROR(INDEX(CV_RATES!$I:$I,MATCH(D533,CV_RATES!$C:$C,0)),0))</f>
        <v>704.615494908041</v>
      </c>
      <c r="J533" s="10" t="n">
        <f aca="false">IF(A533="","",IFERROR(IF(E533=MAX(MORTALITY!$A:$A),1000,INDEX(CV_RATES!$J:$J,MATCH(D533,CV_RATES!$C:$C,0))),0))</f>
        <v>714.643246197124</v>
      </c>
      <c r="K533" s="10" t="n">
        <f aca="false">IF(A533="","",IFERROR(I533+H533*(J533-I533),0))</f>
        <v>707.82108753324</v>
      </c>
      <c r="L533" s="10" t="n">
        <f aca="false">IF(A533="","",IFERROR(K533*Inputs!$B$9,0))</f>
        <v>35391.054376662</v>
      </c>
      <c r="M533" s="10" t="n">
        <f aca="false">IF(A533="","",IFERROR(K533*Inputs!$B$10,0))</f>
        <v>113249.250542056</v>
      </c>
      <c r="N533" s="10" t="n">
        <f aca="false">IF(A533="","",Z532)</f>
        <v>0</v>
      </c>
      <c r="O533" s="6" t="n">
        <f aca="false">IF(A533="","",Inputs!$B$18+N533)</f>
        <v>50000</v>
      </c>
      <c r="P533" s="5" t="n">
        <f aca="false">IF(A533="","",VLOOKUP(D533,DIvidend_Assumption!$A$3:$CX$103,($E$2+2),0)/12)</f>
        <v>0</v>
      </c>
      <c r="Q533" s="10" t="n">
        <f aca="false">IF(A533="","",IFERROR(AB532*P533,""))</f>
        <v>0</v>
      </c>
      <c r="R533" s="10" t="n">
        <f aca="false">IF(A533="","",IFERROR(IF(Inputs!$B$22="Accumulate",T533+Q533,IF(Inputs!$B$22="Premium Offset",MAX(0,T533+Q533-Inputs!$B$25),T533)),""))</f>
        <v>0</v>
      </c>
      <c r="S533" s="10" t="n">
        <f aca="false">IF(A533="","",R532)</f>
        <v>0</v>
      </c>
      <c r="T533" s="10" t="n">
        <f aca="false">IF(A533="","",IFERROR(S533*(1+Inputs!$B$23/12),""))</f>
        <v>0</v>
      </c>
      <c r="U533" s="6" t="n">
        <f aca="false">IF(A533="","",IF(D533&lt;=Inputs!$B$8,IF(Inputs!$B$22="Premium Offset",MAX(0,Inputs!$B$25-(Q533+T533)),Inputs!$B$25),0))</f>
        <v>0</v>
      </c>
      <c r="V533" s="10" t="n">
        <f aca="false">IF(A533="","",IF(Inputs!$B$22="Cash",Q533,0))</f>
        <v>0</v>
      </c>
      <c r="W533" s="10" t="n">
        <f aca="false">IF(A533="","",IF(Inputs!$B$22="PUA",Q533,0))</f>
        <v>0</v>
      </c>
      <c r="X533" s="12" t="n">
        <f aca="false">IF(A533="","",IFERROR(INDEX(PUA_TABLE!$D$4:$D$105,MATCH(E533,PUA_TABLE!$C$4:$C$105,1)),0))</f>
        <v>0.704615494908041</v>
      </c>
      <c r="Y533" s="10" t="n">
        <f aca="false">IF(A533="","",IF(W533&gt;0,IF(X533&gt;0,W533/X533,0),0))</f>
        <v>0</v>
      </c>
      <c r="Z533" s="10" t="n">
        <f aca="false">IF(A533="","",N533+Y533)</f>
        <v>0</v>
      </c>
      <c r="AA533" s="10" t="n">
        <f aca="false">IF(A533="","",IFERROR(Z533*INDEX(PUA_TABLE!$I$4:$I$105,MATCH(E533,PUA_TABLE!$C$4:$C$105,1))/1000,0))</f>
        <v>0</v>
      </c>
      <c r="AB533" s="10" t="n">
        <f aca="false">IF(A533="","",IFERROR(L533+AA533,0))</f>
        <v>35391.054376662</v>
      </c>
      <c r="AC533" s="10" t="n">
        <f aca="false">IF(A533="","",IF(Inputs!$B$22="Premium Offset",MIN(Inputs!$B$25,Q533+T533),0))</f>
        <v>0</v>
      </c>
    </row>
    <row r="534" customFormat="false" ht="15" hidden="false" customHeight="false" outlineLevel="0" collapsed="false">
      <c r="A534" s="1" t="n">
        <f aca="false">IF(A533="","",IF(INT((C533+1)/12)+Inputs!$B$7&gt;MAX(MORTALITY!$A:$A),"",Inputs!$B$4))</f>
        <v>34</v>
      </c>
      <c r="B534" s="3" t="n">
        <f aca="false">IF(A534="","",EOMONTH(B533,1))</f>
        <v>37925</v>
      </c>
      <c r="C534" s="1" t="n">
        <f aca="false">IF(A534="","",C533+1)</f>
        <v>532</v>
      </c>
      <c r="D534" s="1" t="n">
        <f aca="false">IF(A534="","",INT(C534/12))</f>
        <v>44</v>
      </c>
      <c r="E534" s="1" t="n">
        <f aca="false">IF(A534="","",D534+Inputs!$B$7)</f>
        <v>60</v>
      </c>
      <c r="F534" s="3" t="n">
        <f aca="false">IF(A534="","",DATE(YEAR(B$2)+D534,MONTH(B$2),DAY(B$2)))</f>
        <v>37777</v>
      </c>
      <c r="G534" s="3" t="n">
        <f aca="false">IF(A534="","",DATE(YEAR(F534)+1,MONTH(F534),DAY(F534)))</f>
        <v>38143</v>
      </c>
      <c r="H534" s="10" t="n">
        <f aca="false">IF(A534="","",IF(G534&gt;F534,(B534-F534)/(G534-F534),0))</f>
        <v>0.404371584699454</v>
      </c>
      <c r="I534" s="10" t="n">
        <f aca="false">IF(A534="","",IFERROR(INDEX(CV_RATES!$I:$I,MATCH(D534,CV_RATES!$C:$C,0)),0))</f>
        <v>704.615494908041</v>
      </c>
      <c r="J534" s="10" t="n">
        <f aca="false">IF(A534="","",IFERROR(IF(E534=MAX(MORTALITY!$A:$A),1000,INDEX(CV_RATES!$J:$J,MATCH(D534,CV_RATES!$C:$C,0))),0))</f>
        <v>714.643246197124</v>
      </c>
      <c r="K534" s="10" t="n">
        <f aca="false">IF(A534="","",IFERROR(I534+H534*(J534-I534),0))</f>
        <v>708.67043258778</v>
      </c>
      <c r="L534" s="10" t="n">
        <f aca="false">IF(A534="","",IFERROR(K534*Inputs!$B$9,0))</f>
        <v>35433.521629389</v>
      </c>
      <c r="M534" s="10" t="n">
        <f aca="false">IF(A534="","",IFERROR(K534*Inputs!$B$10,0))</f>
        <v>113385.143202747</v>
      </c>
      <c r="N534" s="10" t="n">
        <f aca="false">IF(A534="","",Z533)</f>
        <v>0</v>
      </c>
      <c r="O534" s="6" t="n">
        <f aca="false">IF(A534="","",Inputs!$B$18+N534)</f>
        <v>50000</v>
      </c>
      <c r="P534" s="5" t="n">
        <f aca="false">IF(A534="","",VLOOKUP(D534,DIvidend_Assumption!$A$3:$CX$103,($E$2+2),0)/12)</f>
        <v>0</v>
      </c>
      <c r="Q534" s="10" t="n">
        <f aca="false">IF(A534="","",IFERROR(AB533*P534,""))</f>
        <v>0</v>
      </c>
      <c r="R534" s="10" t="n">
        <f aca="false">IF(A534="","",IFERROR(IF(Inputs!$B$22="Accumulate",T534+Q534,IF(Inputs!$B$22="Premium Offset",MAX(0,T534+Q534-Inputs!$B$25),T534)),""))</f>
        <v>0</v>
      </c>
      <c r="S534" s="10" t="n">
        <f aca="false">IF(A534="","",R533)</f>
        <v>0</v>
      </c>
      <c r="T534" s="10" t="n">
        <f aca="false">IF(A534="","",IFERROR(S534*(1+Inputs!$B$23/12),""))</f>
        <v>0</v>
      </c>
      <c r="U534" s="6" t="n">
        <f aca="false">IF(A534="","",IF(D534&lt;=Inputs!$B$8,IF(Inputs!$B$22="Premium Offset",MAX(0,Inputs!$B$25-(Q534+T534)),Inputs!$B$25),0))</f>
        <v>0</v>
      </c>
      <c r="V534" s="10" t="n">
        <f aca="false">IF(A534="","",IF(Inputs!$B$22="Cash",Q534,0))</f>
        <v>0</v>
      </c>
      <c r="W534" s="10" t="n">
        <f aca="false">IF(A534="","",IF(Inputs!$B$22="PUA",Q534,0))</f>
        <v>0</v>
      </c>
      <c r="X534" s="12" t="n">
        <f aca="false">IF(A534="","",IFERROR(INDEX(PUA_TABLE!$D$4:$D$105,MATCH(E534,PUA_TABLE!$C$4:$C$105,1)),0))</f>
        <v>0.704615494908041</v>
      </c>
      <c r="Y534" s="10" t="n">
        <f aca="false">IF(A534="","",IF(W534&gt;0,IF(X534&gt;0,W534/X534,0),0))</f>
        <v>0</v>
      </c>
      <c r="Z534" s="10" t="n">
        <f aca="false">IF(A534="","",N534+Y534)</f>
        <v>0</v>
      </c>
      <c r="AA534" s="10" t="n">
        <f aca="false">IF(A534="","",IFERROR(Z534*INDEX(PUA_TABLE!$I$4:$I$105,MATCH(E534,PUA_TABLE!$C$4:$C$105,1))/1000,0))</f>
        <v>0</v>
      </c>
      <c r="AB534" s="10" t="n">
        <f aca="false">IF(A534="","",IFERROR(L534+AA534,0))</f>
        <v>35433.521629389</v>
      </c>
      <c r="AC534" s="10" t="n">
        <f aca="false">IF(A534="","",IF(Inputs!$B$22="Premium Offset",MIN(Inputs!$B$25,Q534+T534),0))</f>
        <v>0</v>
      </c>
    </row>
    <row r="535" customFormat="false" ht="15" hidden="false" customHeight="false" outlineLevel="0" collapsed="false">
      <c r="A535" s="1" t="n">
        <f aca="false">IF(A534="","",IF(INT((C534+1)/12)+Inputs!$B$7&gt;MAX(MORTALITY!$A:$A),"",Inputs!$B$4))</f>
        <v>34</v>
      </c>
      <c r="B535" s="3" t="n">
        <f aca="false">IF(A535="","",EOMONTH(B534,1))</f>
        <v>37955</v>
      </c>
      <c r="C535" s="1" t="n">
        <f aca="false">IF(A535="","",C534+1)</f>
        <v>533</v>
      </c>
      <c r="D535" s="1" t="n">
        <f aca="false">IF(A535="","",INT(C535/12))</f>
        <v>44</v>
      </c>
      <c r="E535" s="1" t="n">
        <f aca="false">IF(A535="","",D535+Inputs!$B$7)</f>
        <v>60</v>
      </c>
      <c r="F535" s="3" t="n">
        <f aca="false">IF(A535="","",DATE(YEAR(B$2)+D535,MONTH(B$2),DAY(B$2)))</f>
        <v>37777</v>
      </c>
      <c r="G535" s="3" t="n">
        <f aca="false">IF(A535="","",DATE(YEAR(F535)+1,MONTH(F535),DAY(F535)))</f>
        <v>38143</v>
      </c>
      <c r="H535" s="10" t="n">
        <f aca="false">IF(A535="","",IF(G535&gt;F535,(B535-F535)/(G535-F535),0))</f>
        <v>0.486338797814208</v>
      </c>
      <c r="I535" s="10" t="n">
        <f aca="false">IF(A535="","",IFERROR(INDEX(CV_RATES!$I:$I,MATCH(D535,CV_RATES!$C:$C,0)),0))</f>
        <v>704.615494908041</v>
      </c>
      <c r="J535" s="10" t="n">
        <f aca="false">IF(A535="","",IFERROR(IF(E535=MAX(MORTALITY!$A:$A),1000,INDEX(CV_RATES!$J:$J,MATCH(D535,CV_RATES!$C:$C,0))),0))</f>
        <v>714.643246197124</v>
      </c>
      <c r="K535" s="10" t="n">
        <f aca="false">IF(A535="","",IFERROR(I535+H535*(J535-I535),0))</f>
        <v>709.492379414754</v>
      </c>
      <c r="L535" s="10" t="n">
        <f aca="false">IF(A535="","",IFERROR(K535*Inputs!$B$9,0))</f>
        <v>35474.6189707377</v>
      </c>
      <c r="M535" s="10" t="n">
        <f aca="false">IF(A535="","",IFERROR(K535*Inputs!$B$10,0))</f>
        <v>113516.652229222</v>
      </c>
      <c r="N535" s="10" t="n">
        <f aca="false">IF(A535="","",Z534)</f>
        <v>0</v>
      </c>
      <c r="O535" s="6" t="n">
        <f aca="false">IF(A535="","",Inputs!$B$18+N535)</f>
        <v>50000</v>
      </c>
      <c r="P535" s="5" t="n">
        <f aca="false">IF(A535="","",VLOOKUP(D535,DIvidend_Assumption!$A$3:$CX$103,($E$2+2),0)/12)</f>
        <v>0</v>
      </c>
      <c r="Q535" s="10" t="n">
        <f aca="false">IF(A535="","",IFERROR(AB534*P535,""))</f>
        <v>0</v>
      </c>
      <c r="R535" s="10" t="n">
        <f aca="false">IF(A535="","",IFERROR(IF(Inputs!$B$22="Accumulate",T535+Q535,IF(Inputs!$B$22="Premium Offset",MAX(0,T535+Q535-Inputs!$B$25),T535)),""))</f>
        <v>0</v>
      </c>
      <c r="S535" s="10" t="n">
        <f aca="false">IF(A535="","",R534)</f>
        <v>0</v>
      </c>
      <c r="T535" s="10" t="n">
        <f aca="false">IF(A535="","",IFERROR(S535*(1+Inputs!$B$23/12),""))</f>
        <v>0</v>
      </c>
      <c r="U535" s="6" t="n">
        <f aca="false">IF(A535="","",IF(D535&lt;=Inputs!$B$8,IF(Inputs!$B$22="Premium Offset",MAX(0,Inputs!$B$25-(Q535+T535)),Inputs!$B$25),0))</f>
        <v>0</v>
      </c>
      <c r="V535" s="10" t="n">
        <f aca="false">IF(A535="","",IF(Inputs!$B$22="Cash",Q535,0))</f>
        <v>0</v>
      </c>
      <c r="W535" s="10" t="n">
        <f aca="false">IF(A535="","",IF(Inputs!$B$22="PUA",Q535,0))</f>
        <v>0</v>
      </c>
      <c r="X535" s="12" t="n">
        <f aca="false">IF(A535="","",IFERROR(INDEX(PUA_TABLE!$D$4:$D$105,MATCH(E535,PUA_TABLE!$C$4:$C$105,1)),0))</f>
        <v>0.704615494908041</v>
      </c>
      <c r="Y535" s="10" t="n">
        <f aca="false">IF(A535="","",IF(W535&gt;0,IF(X535&gt;0,W535/X535,0),0))</f>
        <v>0</v>
      </c>
      <c r="Z535" s="10" t="n">
        <f aca="false">IF(A535="","",N535+Y535)</f>
        <v>0</v>
      </c>
      <c r="AA535" s="10" t="n">
        <f aca="false">IF(A535="","",IFERROR(Z535*INDEX(PUA_TABLE!$I$4:$I$105,MATCH(E535,PUA_TABLE!$C$4:$C$105,1))/1000,0))</f>
        <v>0</v>
      </c>
      <c r="AB535" s="10" t="n">
        <f aca="false">IF(A535="","",IFERROR(L535+AA535,0))</f>
        <v>35474.6189707377</v>
      </c>
      <c r="AC535" s="10" t="n">
        <f aca="false">IF(A535="","",IF(Inputs!$B$22="Premium Offset",MIN(Inputs!$B$25,Q535+T535),0))</f>
        <v>0</v>
      </c>
    </row>
    <row r="536" customFormat="false" ht="15" hidden="false" customHeight="false" outlineLevel="0" collapsed="false">
      <c r="A536" s="1" t="n">
        <f aca="false">IF(A535="","",IF(INT((C535+1)/12)+Inputs!$B$7&gt;MAX(MORTALITY!$A:$A),"",Inputs!$B$4))</f>
        <v>34</v>
      </c>
      <c r="B536" s="3" t="n">
        <f aca="false">IF(A536="","",EOMONTH(B535,1))</f>
        <v>37986</v>
      </c>
      <c r="C536" s="1" t="n">
        <f aca="false">IF(A536="","",C535+1)</f>
        <v>534</v>
      </c>
      <c r="D536" s="1" t="n">
        <f aca="false">IF(A536="","",INT(C536/12))</f>
        <v>44</v>
      </c>
      <c r="E536" s="1" t="n">
        <f aca="false">IF(A536="","",D536+Inputs!$B$7)</f>
        <v>60</v>
      </c>
      <c r="F536" s="3" t="n">
        <f aca="false">IF(A536="","",DATE(YEAR(B$2)+D536,MONTH(B$2),DAY(B$2)))</f>
        <v>37777</v>
      </c>
      <c r="G536" s="3" t="n">
        <f aca="false">IF(A536="","",DATE(YEAR(F536)+1,MONTH(F536),DAY(F536)))</f>
        <v>38143</v>
      </c>
      <c r="H536" s="10" t="n">
        <f aca="false">IF(A536="","",IF(G536&gt;F536,(B536-F536)/(G536-F536),0))</f>
        <v>0.57103825136612</v>
      </c>
      <c r="I536" s="10" t="n">
        <f aca="false">IF(A536="","",IFERROR(INDEX(CV_RATES!$I:$I,MATCH(D536,CV_RATES!$C:$C,0)),0))</f>
        <v>704.615494908041</v>
      </c>
      <c r="J536" s="10" t="n">
        <f aca="false">IF(A536="","",IFERROR(IF(E536=MAX(MORTALITY!$A:$A),1000,INDEX(CV_RATES!$J:$J,MATCH(D536,CV_RATES!$C:$C,0))),0))</f>
        <v>714.643246197124</v>
      </c>
      <c r="K536" s="10" t="n">
        <f aca="false">IF(A536="","",IFERROR(I536+H536*(J536-I536),0))</f>
        <v>710.341724469293</v>
      </c>
      <c r="L536" s="10" t="n">
        <f aca="false">IF(A536="","",IFERROR(K536*Inputs!$B$9,0))</f>
        <v>35517.0862234647</v>
      </c>
      <c r="M536" s="10" t="n">
        <f aca="false">IF(A536="","",IFERROR(K536*Inputs!$B$10,0))</f>
        <v>113652.544889914</v>
      </c>
      <c r="N536" s="10" t="n">
        <f aca="false">IF(A536="","",Z535)</f>
        <v>0</v>
      </c>
      <c r="O536" s="6" t="n">
        <f aca="false">IF(A536="","",Inputs!$B$18+N536)</f>
        <v>50000</v>
      </c>
      <c r="P536" s="5" t="n">
        <f aca="false">IF(A536="","",VLOOKUP(D536,DIvidend_Assumption!$A$3:$CX$103,($E$2+2),0)/12)</f>
        <v>0</v>
      </c>
      <c r="Q536" s="10" t="n">
        <f aca="false">IF(A536="","",IFERROR(AB535*P536,""))</f>
        <v>0</v>
      </c>
      <c r="R536" s="10" t="n">
        <f aca="false">IF(A536="","",IFERROR(IF(Inputs!$B$22="Accumulate",T536+Q536,IF(Inputs!$B$22="Premium Offset",MAX(0,T536+Q536-Inputs!$B$25),T536)),""))</f>
        <v>0</v>
      </c>
      <c r="S536" s="10" t="n">
        <f aca="false">IF(A536="","",R535)</f>
        <v>0</v>
      </c>
      <c r="T536" s="10" t="n">
        <f aca="false">IF(A536="","",IFERROR(S536*(1+Inputs!$B$23/12),""))</f>
        <v>0</v>
      </c>
      <c r="U536" s="6" t="n">
        <f aca="false">IF(A536="","",IF(D536&lt;=Inputs!$B$8,IF(Inputs!$B$22="Premium Offset",MAX(0,Inputs!$B$25-(Q536+T536)),Inputs!$B$25),0))</f>
        <v>0</v>
      </c>
      <c r="V536" s="10" t="n">
        <f aca="false">IF(A536="","",IF(Inputs!$B$22="Cash",Q536,0))</f>
        <v>0</v>
      </c>
      <c r="W536" s="10" t="n">
        <f aca="false">IF(A536="","",IF(Inputs!$B$22="PUA",Q536,0))</f>
        <v>0</v>
      </c>
      <c r="X536" s="12" t="n">
        <f aca="false">IF(A536="","",IFERROR(INDEX(PUA_TABLE!$D$4:$D$105,MATCH(E536,PUA_TABLE!$C$4:$C$105,1)),0))</f>
        <v>0.704615494908041</v>
      </c>
      <c r="Y536" s="10" t="n">
        <f aca="false">IF(A536="","",IF(W536&gt;0,IF(X536&gt;0,W536/X536,0),0))</f>
        <v>0</v>
      </c>
      <c r="Z536" s="10" t="n">
        <f aca="false">IF(A536="","",N536+Y536)</f>
        <v>0</v>
      </c>
      <c r="AA536" s="10" t="n">
        <f aca="false">IF(A536="","",IFERROR(Z536*INDEX(PUA_TABLE!$I$4:$I$105,MATCH(E536,PUA_TABLE!$C$4:$C$105,1))/1000,0))</f>
        <v>0</v>
      </c>
      <c r="AB536" s="10" t="n">
        <f aca="false">IF(A536="","",IFERROR(L536+AA536,0))</f>
        <v>35517.0862234647</v>
      </c>
      <c r="AC536" s="10" t="n">
        <f aca="false">IF(A536="","",IF(Inputs!$B$22="Premium Offset",MIN(Inputs!$B$25,Q536+T536),0))</f>
        <v>0</v>
      </c>
    </row>
    <row r="537" customFormat="false" ht="15" hidden="false" customHeight="false" outlineLevel="0" collapsed="false">
      <c r="A537" s="1" t="n">
        <f aca="false">IF(A536="","",IF(INT((C536+1)/12)+Inputs!$B$7&gt;MAX(MORTALITY!$A:$A),"",Inputs!$B$4))</f>
        <v>34</v>
      </c>
      <c r="B537" s="3" t="n">
        <f aca="false">IF(A537="","",EOMONTH(B536,1))</f>
        <v>38017</v>
      </c>
      <c r="C537" s="1" t="n">
        <f aca="false">IF(A537="","",C536+1)</f>
        <v>535</v>
      </c>
      <c r="D537" s="1" t="n">
        <f aca="false">IF(A537="","",INT(C537/12))</f>
        <v>44</v>
      </c>
      <c r="E537" s="1" t="n">
        <f aca="false">IF(A537="","",D537+Inputs!$B$7)</f>
        <v>60</v>
      </c>
      <c r="F537" s="3" t="n">
        <f aca="false">IF(A537="","",DATE(YEAR(B$2)+D537,MONTH(B$2),DAY(B$2)))</f>
        <v>37777</v>
      </c>
      <c r="G537" s="3" t="n">
        <f aca="false">IF(A537="","",DATE(YEAR(F537)+1,MONTH(F537),DAY(F537)))</f>
        <v>38143</v>
      </c>
      <c r="H537" s="10" t="n">
        <f aca="false">IF(A537="","",IF(G537&gt;F537,(B537-F537)/(G537-F537),0))</f>
        <v>0.655737704918033</v>
      </c>
      <c r="I537" s="10" t="n">
        <f aca="false">IF(A537="","",IFERROR(INDEX(CV_RATES!$I:$I,MATCH(D537,CV_RATES!$C:$C,0)),0))</f>
        <v>704.615494908041</v>
      </c>
      <c r="J537" s="10" t="n">
        <f aca="false">IF(A537="","",IFERROR(IF(E537=MAX(MORTALITY!$A:$A),1000,INDEX(CV_RATES!$J:$J,MATCH(D537,CV_RATES!$C:$C,0))),0))</f>
        <v>714.643246197124</v>
      </c>
      <c r="K537" s="10" t="n">
        <f aca="false">IF(A537="","",IFERROR(I537+H537*(J537-I537),0))</f>
        <v>711.191069523833</v>
      </c>
      <c r="L537" s="10" t="n">
        <f aca="false">IF(A537="","",IFERROR(K537*Inputs!$B$9,0))</f>
        <v>35559.5534761917</v>
      </c>
      <c r="M537" s="10" t="n">
        <f aca="false">IF(A537="","",IFERROR(K537*Inputs!$B$10,0))</f>
        <v>113788.437550605</v>
      </c>
      <c r="N537" s="10" t="n">
        <f aca="false">IF(A537="","",Z536)</f>
        <v>0</v>
      </c>
      <c r="O537" s="6" t="n">
        <f aca="false">IF(A537="","",Inputs!$B$18+N537)</f>
        <v>50000</v>
      </c>
      <c r="P537" s="5" t="n">
        <f aca="false">IF(A537="","",VLOOKUP(D537,DIvidend_Assumption!$A$3:$CX$103,($E$2+2),0)/12)</f>
        <v>0</v>
      </c>
      <c r="Q537" s="10" t="n">
        <f aca="false">IF(A537="","",IFERROR(AB536*P537,""))</f>
        <v>0</v>
      </c>
      <c r="R537" s="10" t="n">
        <f aca="false">IF(A537="","",IFERROR(IF(Inputs!$B$22="Accumulate",T537+Q537,IF(Inputs!$B$22="Premium Offset",MAX(0,T537+Q537-Inputs!$B$25),T537)),""))</f>
        <v>0</v>
      </c>
      <c r="S537" s="10" t="n">
        <f aca="false">IF(A537="","",R536)</f>
        <v>0</v>
      </c>
      <c r="T537" s="10" t="n">
        <f aca="false">IF(A537="","",IFERROR(S537*(1+Inputs!$B$23/12),""))</f>
        <v>0</v>
      </c>
      <c r="U537" s="6" t="n">
        <f aca="false">IF(A537="","",IF(D537&lt;=Inputs!$B$8,IF(Inputs!$B$22="Premium Offset",MAX(0,Inputs!$B$25-(Q537+T537)),Inputs!$B$25),0))</f>
        <v>0</v>
      </c>
      <c r="V537" s="10" t="n">
        <f aca="false">IF(A537="","",IF(Inputs!$B$22="Cash",Q537,0))</f>
        <v>0</v>
      </c>
      <c r="W537" s="10" t="n">
        <f aca="false">IF(A537="","",IF(Inputs!$B$22="PUA",Q537,0))</f>
        <v>0</v>
      </c>
      <c r="X537" s="12" t="n">
        <f aca="false">IF(A537="","",IFERROR(INDEX(PUA_TABLE!$D$4:$D$105,MATCH(E537,PUA_TABLE!$C$4:$C$105,1)),0))</f>
        <v>0.704615494908041</v>
      </c>
      <c r="Y537" s="10" t="n">
        <f aca="false">IF(A537="","",IF(W537&gt;0,IF(X537&gt;0,W537/X537,0),0))</f>
        <v>0</v>
      </c>
      <c r="Z537" s="10" t="n">
        <f aca="false">IF(A537="","",N537+Y537)</f>
        <v>0</v>
      </c>
      <c r="AA537" s="10" t="n">
        <f aca="false">IF(A537="","",IFERROR(Z537*INDEX(PUA_TABLE!$I$4:$I$105,MATCH(E537,PUA_TABLE!$C$4:$C$105,1))/1000,0))</f>
        <v>0</v>
      </c>
      <c r="AB537" s="10" t="n">
        <f aca="false">IF(A537="","",IFERROR(L537+AA537,0))</f>
        <v>35559.5534761917</v>
      </c>
      <c r="AC537" s="10" t="n">
        <f aca="false">IF(A537="","",IF(Inputs!$B$22="Premium Offset",MIN(Inputs!$B$25,Q537+T537),0))</f>
        <v>0</v>
      </c>
    </row>
    <row r="538" customFormat="false" ht="15" hidden="false" customHeight="false" outlineLevel="0" collapsed="false">
      <c r="A538" s="1" t="n">
        <f aca="false">IF(A537="","",IF(INT((C537+1)/12)+Inputs!$B$7&gt;MAX(MORTALITY!$A:$A),"",Inputs!$B$4))</f>
        <v>34</v>
      </c>
      <c r="B538" s="3" t="n">
        <f aca="false">IF(A538="","",EOMONTH(B537,1))</f>
        <v>38046</v>
      </c>
      <c r="C538" s="1" t="n">
        <f aca="false">IF(A538="","",C537+1)</f>
        <v>536</v>
      </c>
      <c r="D538" s="1" t="n">
        <f aca="false">IF(A538="","",INT(C538/12))</f>
        <v>44</v>
      </c>
      <c r="E538" s="1" t="n">
        <f aca="false">IF(A538="","",D538+Inputs!$B$7)</f>
        <v>60</v>
      </c>
      <c r="F538" s="3" t="n">
        <f aca="false">IF(A538="","",DATE(YEAR(B$2)+D538,MONTH(B$2),DAY(B$2)))</f>
        <v>37777</v>
      </c>
      <c r="G538" s="3" t="n">
        <f aca="false">IF(A538="","",DATE(YEAR(F538)+1,MONTH(F538),DAY(F538)))</f>
        <v>38143</v>
      </c>
      <c r="H538" s="10" t="n">
        <f aca="false">IF(A538="","",IF(G538&gt;F538,(B538-F538)/(G538-F538),0))</f>
        <v>0.734972677595629</v>
      </c>
      <c r="I538" s="10" t="n">
        <f aca="false">IF(A538="","",IFERROR(INDEX(CV_RATES!$I:$I,MATCH(D538,CV_RATES!$C:$C,0)),0))</f>
        <v>704.615494908041</v>
      </c>
      <c r="J538" s="10" t="n">
        <f aca="false">IF(A538="","",IFERROR(IF(E538=MAX(MORTALITY!$A:$A),1000,INDEX(CV_RATES!$J:$J,MATCH(D538,CV_RATES!$C:$C,0))),0))</f>
        <v>714.643246197124</v>
      </c>
      <c r="K538" s="10" t="n">
        <f aca="false">IF(A538="","",IFERROR(I538+H538*(J538-I538),0))</f>
        <v>711.985618123241</v>
      </c>
      <c r="L538" s="10" t="n">
        <f aca="false">IF(A538="","",IFERROR(K538*Inputs!$B$9,0))</f>
        <v>35599.2809061621</v>
      </c>
      <c r="M538" s="10" t="n">
        <f aca="false">IF(A538="","",IFERROR(K538*Inputs!$B$10,0))</f>
        <v>113915.562942864</v>
      </c>
      <c r="N538" s="10" t="n">
        <f aca="false">IF(A538="","",Z537)</f>
        <v>0</v>
      </c>
      <c r="O538" s="6" t="n">
        <f aca="false">IF(A538="","",Inputs!$B$18+N538)</f>
        <v>50000</v>
      </c>
      <c r="P538" s="5" t="n">
        <f aca="false">IF(A538="","",VLOOKUP(D538,DIvidend_Assumption!$A$3:$CX$103,($E$2+2),0)/12)</f>
        <v>0</v>
      </c>
      <c r="Q538" s="10" t="n">
        <f aca="false">IF(A538="","",IFERROR(AB537*P538,""))</f>
        <v>0</v>
      </c>
      <c r="R538" s="10" t="n">
        <f aca="false">IF(A538="","",IFERROR(IF(Inputs!$B$22="Accumulate",T538+Q538,IF(Inputs!$B$22="Premium Offset",MAX(0,T538+Q538-Inputs!$B$25),T538)),""))</f>
        <v>0</v>
      </c>
      <c r="S538" s="10" t="n">
        <f aca="false">IF(A538="","",R537)</f>
        <v>0</v>
      </c>
      <c r="T538" s="10" t="n">
        <f aca="false">IF(A538="","",IFERROR(S538*(1+Inputs!$B$23/12),""))</f>
        <v>0</v>
      </c>
      <c r="U538" s="6" t="n">
        <f aca="false">IF(A538="","",IF(D538&lt;=Inputs!$B$8,IF(Inputs!$B$22="Premium Offset",MAX(0,Inputs!$B$25-(Q538+T538)),Inputs!$B$25),0))</f>
        <v>0</v>
      </c>
      <c r="V538" s="10" t="n">
        <f aca="false">IF(A538="","",IF(Inputs!$B$22="Cash",Q538,0))</f>
        <v>0</v>
      </c>
      <c r="W538" s="10" t="n">
        <f aca="false">IF(A538="","",IF(Inputs!$B$22="PUA",Q538,0))</f>
        <v>0</v>
      </c>
      <c r="X538" s="12" t="n">
        <f aca="false">IF(A538="","",IFERROR(INDEX(PUA_TABLE!$D$4:$D$105,MATCH(E538,PUA_TABLE!$C$4:$C$105,1)),0))</f>
        <v>0.704615494908041</v>
      </c>
      <c r="Y538" s="10" t="n">
        <f aca="false">IF(A538="","",IF(W538&gt;0,IF(X538&gt;0,W538/X538,0),0))</f>
        <v>0</v>
      </c>
      <c r="Z538" s="10" t="n">
        <f aca="false">IF(A538="","",N538+Y538)</f>
        <v>0</v>
      </c>
      <c r="AA538" s="10" t="n">
        <f aca="false">IF(A538="","",IFERROR(Z538*INDEX(PUA_TABLE!$I$4:$I$105,MATCH(E538,PUA_TABLE!$C$4:$C$105,1))/1000,0))</f>
        <v>0</v>
      </c>
      <c r="AB538" s="10" t="n">
        <f aca="false">IF(A538="","",IFERROR(L538+AA538,0))</f>
        <v>35599.2809061621</v>
      </c>
      <c r="AC538" s="10" t="n">
        <f aca="false">IF(A538="","",IF(Inputs!$B$22="Premium Offset",MIN(Inputs!$B$25,Q538+T538),0))</f>
        <v>0</v>
      </c>
    </row>
    <row r="539" customFormat="false" ht="15" hidden="false" customHeight="false" outlineLevel="0" collapsed="false">
      <c r="A539" s="1" t="n">
        <f aca="false">IF(A538="","",IF(INT((C538+1)/12)+Inputs!$B$7&gt;MAX(MORTALITY!$A:$A),"",Inputs!$B$4))</f>
        <v>34</v>
      </c>
      <c r="B539" s="3" t="n">
        <f aca="false">IF(A539="","",EOMONTH(B538,1))</f>
        <v>38077</v>
      </c>
      <c r="C539" s="1" t="n">
        <f aca="false">IF(A539="","",C538+1)</f>
        <v>537</v>
      </c>
      <c r="D539" s="1" t="n">
        <f aca="false">IF(A539="","",INT(C539/12))</f>
        <v>44</v>
      </c>
      <c r="E539" s="1" t="n">
        <f aca="false">IF(A539="","",D539+Inputs!$B$7)</f>
        <v>60</v>
      </c>
      <c r="F539" s="3" t="n">
        <f aca="false">IF(A539="","",DATE(YEAR(B$2)+D539,MONTH(B$2),DAY(B$2)))</f>
        <v>37777</v>
      </c>
      <c r="G539" s="3" t="n">
        <f aca="false">IF(A539="","",DATE(YEAR(F539)+1,MONTH(F539),DAY(F539)))</f>
        <v>38143</v>
      </c>
      <c r="H539" s="10" t="n">
        <f aca="false">IF(A539="","",IF(G539&gt;F539,(B539-F539)/(G539-F539),0))</f>
        <v>0.819672131147541</v>
      </c>
      <c r="I539" s="10" t="n">
        <f aca="false">IF(A539="","",IFERROR(INDEX(CV_RATES!$I:$I,MATCH(D539,CV_RATES!$C:$C,0)),0))</f>
        <v>704.615494908041</v>
      </c>
      <c r="J539" s="10" t="n">
        <f aca="false">IF(A539="","",IFERROR(IF(E539=MAX(MORTALITY!$A:$A),1000,INDEX(CV_RATES!$J:$J,MATCH(D539,CV_RATES!$C:$C,0))),0))</f>
        <v>714.643246197124</v>
      </c>
      <c r="K539" s="10" t="n">
        <f aca="false">IF(A539="","",IFERROR(I539+H539*(J539-I539),0))</f>
        <v>712.834963177781</v>
      </c>
      <c r="L539" s="10" t="n">
        <f aca="false">IF(A539="","",IFERROR(K539*Inputs!$B$9,0))</f>
        <v>35641.7481588891</v>
      </c>
      <c r="M539" s="10" t="n">
        <f aca="false">IF(A539="","",IFERROR(K539*Inputs!$B$10,0))</f>
        <v>114051.455603555</v>
      </c>
      <c r="N539" s="10" t="n">
        <f aca="false">IF(A539="","",Z538)</f>
        <v>0</v>
      </c>
      <c r="O539" s="6" t="n">
        <f aca="false">IF(A539="","",Inputs!$B$18+N539)</f>
        <v>50000</v>
      </c>
      <c r="P539" s="5" t="n">
        <f aca="false">IF(A539="","",VLOOKUP(D539,DIvidend_Assumption!$A$3:$CX$103,($E$2+2),0)/12)</f>
        <v>0</v>
      </c>
      <c r="Q539" s="10" t="n">
        <f aca="false">IF(A539="","",IFERROR(AB538*P539,""))</f>
        <v>0</v>
      </c>
      <c r="R539" s="10" t="n">
        <f aca="false">IF(A539="","",IFERROR(IF(Inputs!$B$22="Accumulate",T539+Q539,IF(Inputs!$B$22="Premium Offset",MAX(0,T539+Q539-Inputs!$B$25),T539)),""))</f>
        <v>0</v>
      </c>
      <c r="S539" s="10" t="n">
        <f aca="false">IF(A539="","",R538)</f>
        <v>0</v>
      </c>
      <c r="T539" s="10" t="n">
        <f aca="false">IF(A539="","",IFERROR(S539*(1+Inputs!$B$23/12),""))</f>
        <v>0</v>
      </c>
      <c r="U539" s="6" t="n">
        <f aca="false">IF(A539="","",IF(D539&lt;=Inputs!$B$8,IF(Inputs!$B$22="Premium Offset",MAX(0,Inputs!$B$25-(Q539+T539)),Inputs!$B$25),0))</f>
        <v>0</v>
      </c>
      <c r="V539" s="10" t="n">
        <f aca="false">IF(A539="","",IF(Inputs!$B$22="Cash",Q539,0))</f>
        <v>0</v>
      </c>
      <c r="W539" s="10" t="n">
        <f aca="false">IF(A539="","",IF(Inputs!$B$22="PUA",Q539,0))</f>
        <v>0</v>
      </c>
      <c r="X539" s="12" t="n">
        <f aca="false">IF(A539="","",IFERROR(INDEX(PUA_TABLE!$D$4:$D$105,MATCH(E539,PUA_TABLE!$C$4:$C$105,1)),0))</f>
        <v>0.704615494908041</v>
      </c>
      <c r="Y539" s="10" t="n">
        <f aca="false">IF(A539="","",IF(W539&gt;0,IF(X539&gt;0,W539/X539,0),0))</f>
        <v>0</v>
      </c>
      <c r="Z539" s="10" t="n">
        <f aca="false">IF(A539="","",N539+Y539)</f>
        <v>0</v>
      </c>
      <c r="AA539" s="10" t="n">
        <f aca="false">IF(A539="","",IFERROR(Z539*INDEX(PUA_TABLE!$I$4:$I$105,MATCH(E539,PUA_TABLE!$C$4:$C$105,1))/1000,0))</f>
        <v>0</v>
      </c>
      <c r="AB539" s="10" t="n">
        <f aca="false">IF(A539="","",IFERROR(L539+AA539,0))</f>
        <v>35641.7481588891</v>
      </c>
      <c r="AC539" s="10" t="n">
        <f aca="false">IF(A539="","",IF(Inputs!$B$22="Premium Offset",MIN(Inputs!$B$25,Q539+T539),0))</f>
        <v>0</v>
      </c>
    </row>
    <row r="540" customFormat="false" ht="15" hidden="false" customHeight="false" outlineLevel="0" collapsed="false">
      <c r="A540" s="1" t="n">
        <f aca="false">IF(A539="","",IF(INT((C539+1)/12)+Inputs!$B$7&gt;MAX(MORTALITY!$A:$A),"",Inputs!$B$4))</f>
        <v>34</v>
      </c>
      <c r="B540" s="3" t="n">
        <f aca="false">IF(A540="","",EOMONTH(B539,1))</f>
        <v>38107</v>
      </c>
      <c r="C540" s="1" t="n">
        <f aca="false">IF(A540="","",C539+1)</f>
        <v>538</v>
      </c>
      <c r="D540" s="1" t="n">
        <f aca="false">IF(A540="","",INT(C540/12))</f>
        <v>44</v>
      </c>
      <c r="E540" s="1" t="n">
        <f aca="false">IF(A540="","",D540+Inputs!$B$7)</f>
        <v>60</v>
      </c>
      <c r="F540" s="3" t="n">
        <f aca="false">IF(A540="","",DATE(YEAR(B$2)+D540,MONTH(B$2),DAY(B$2)))</f>
        <v>37777</v>
      </c>
      <c r="G540" s="3" t="n">
        <f aca="false">IF(A540="","",DATE(YEAR(F540)+1,MONTH(F540),DAY(F540)))</f>
        <v>38143</v>
      </c>
      <c r="H540" s="10" t="n">
        <f aca="false">IF(A540="","",IF(G540&gt;F540,(B540-F540)/(G540-F540),0))</f>
        <v>0.901639344262295</v>
      </c>
      <c r="I540" s="10" t="n">
        <f aca="false">IF(A540="","",IFERROR(INDEX(CV_RATES!$I:$I,MATCH(D540,CV_RATES!$C:$C,0)),0))</f>
        <v>704.615494908041</v>
      </c>
      <c r="J540" s="10" t="n">
        <f aca="false">IF(A540="","",IFERROR(IF(E540=MAX(MORTALITY!$A:$A),1000,INDEX(CV_RATES!$J:$J,MATCH(D540,CV_RATES!$C:$C,0))),0))</f>
        <v>714.643246197124</v>
      </c>
      <c r="K540" s="10" t="n">
        <f aca="false">IF(A540="","",IFERROR(I540+H540*(J540-I540),0))</f>
        <v>713.656910004755</v>
      </c>
      <c r="L540" s="10" t="n">
        <f aca="false">IF(A540="","",IFERROR(K540*Inputs!$B$9,0))</f>
        <v>35682.8455002378</v>
      </c>
      <c r="M540" s="10" t="n">
        <f aca="false">IF(A540="","",IFERROR(K540*Inputs!$B$10,0))</f>
        <v>114182.964630031</v>
      </c>
      <c r="N540" s="10" t="n">
        <f aca="false">IF(A540="","",Z539)</f>
        <v>0</v>
      </c>
      <c r="O540" s="6" t="n">
        <f aca="false">IF(A540="","",Inputs!$B$18+N540)</f>
        <v>50000</v>
      </c>
      <c r="P540" s="5" t="n">
        <f aca="false">IF(A540="","",VLOOKUP(D540,DIvidend_Assumption!$A$3:$CX$103,($E$2+2),0)/12)</f>
        <v>0</v>
      </c>
      <c r="Q540" s="10" t="n">
        <f aca="false">IF(A540="","",IFERROR(AB539*P540,""))</f>
        <v>0</v>
      </c>
      <c r="R540" s="10" t="n">
        <f aca="false">IF(A540="","",IFERROR(IF(Inputs!$B$22="Accumulate",T540+Q540,IF(Inputs!$B$22="Premium Offset",MAX(0,T540+Q540-Inputs!$B$25),T540)),""))</f>
        <v>0</v>
      </c>
      <c r="S540" s="10" t="n">
        <f aca="false">IF(A540="","",R539)</f>
        <v>0</v>
      </c>
      <c r="T540" s="10" t="n">
        <f aca="false">IF(A540="","",IFERROR(S540*(1+Inputs!$B$23/12),""))</f>
        <v>0</v>
      </c>
      <c r="U540" s="6" t="n">
        <f aca="false">IF(A540="","",IF(D540&lt;=Inputs!$B$8,IF(Inputs!$B$22="Premium Offset",MAX(0,Inputs!$B$25-(Q540+T540)),Inputs!$B$25),0))</f>
        <v>0</v>
      </c>
      <c r="V540" s="10" t="n">
        <f aca="false">IF(A540="","",IF(Inputs!$B$22="Cash",Q540,0))</f>
        <v>0</v>
      </c>
      <c r="W540" s="10" t="n">
        <f aca="false">IF(A540="","",IF(Inputs!$B$22="PUA",Q540,0))</f>
        <v>0</v>
      </c>
      <c r="X540" s="12" t="n">
        <f aca="false">IF(A540="","",IFERROR(INDEX(PUA_TABLE!$D$4:$D$105,MATCH(E540,PUA_TABLE!$C$4:$C$105,1)),0))</f>
        <v>0.704615494908041</v>
      </c>
      <c r="Y540" s="10" t="n">
        <f aca="false">IF(A540="","",IF(W540&gt;0,IF(X540&gt;0,W540/X540,0),0))</f>
        <v>0</v>
      </c>
      <c r="Z540" s="10" t="n">
        <f aca="false">IF(A540="","",N540+Y540)</f>
        <v>0</v>
      </c>
      <c r="AA540" s="10" t="n">
        <f aca="false">IF(A540="","",IFERROR(Z540*INDEX(PUA_TABLE!$I$4:$I$105,MATCH(E540,PUA_TABLE!$C$4:$C$105,1))/1000,0))</f>
        <v>0</v>
      </c>
      <c r="AB540" s="10" t="n">
        <f aca="false">IF(A540="","",IFERROR(L540+AA540,0))</f>
        <v>35682.8455002378</v>
      </c>
      <c r="AC540" s="10" t="n">
        <f aca="false">IF(A540="","",IF(Inputs!$B$22="Premium Offset",MIN(Inputs!$B$25,Q540+T540),0))</f>
        <v>0</v>
      </c>
    </row>
    <row r="541" customFormat="false" ht="15" hidden="false" customHeight="false" outlineLevel="0" collapsed="false">
      <c r="A541" s="1" t="n">
        <f aca="false">IF(A540="","",IF(INT((C540+1)/12)+Inputs!$B$7&gt;MAX(MORTALITY!$A:$A),"",Inputs!$B$4))</f>
        <v>34</v>
      </c>
      <c r="B541" s="3" t="n">
        <f aca="false">IF(A541="","",EOMONTH(B540,1))</f>
        <v>38138</v>
      </c>
      <c r="C541" s="1" t="n">
        <f aca="false">IF(A541="","",C540+1)</f>
        <v>539</v>
      </c>
      <c r="D541" s="1" t="n">
        <f aca="false">IF(A541="","",INT(C541/12))</f>
        <v>44</v>
      </c>
      <c r="E541" s="1" t="n">
        <f aca="false">IF(A541="","",D541+Inputs!$B$7)</f>
        <v>60</v>
      </c>
      <c r="F541" s="3" t="n">
        <f aca="false">IF(A541="","",DATE(YEAR(B$2)+D541,MONTH(B$2),DAY(B$2)))</f>
        <v>37777</v>
      </c>
      <c r="G541" s="3" t="n">
        <f aca="false">IF(A541="","",DATE(YEAR(F541)+1,MONTH(F541),DAY(F541)))</f>
        <v>38143</v>
      </c>
      <c r="H541" s="10" t="n">
        <f aca="false">IF(A541="","",IF(G541&gt;F541,(B541-F541)/(G541-F541),0))</f>
        <v>0.986338797814208</v>
      </c>
      <c r="I541" s="10" t="n">
        <f aca="false">IF(A541="","",IFERROR(INDEX(CV_RATES!$I:$I,MATCH(D541,CV_RATES!$C:$C,0)),0))</f>
        <v>704.615494908041</v>
      </c>
      <c r="J541" s="10" t="n">
        <f aca="false">IF(A541="","",IFERROR(IF(E541=MAX(MORTALITY!$A:$A),1000,INDEX(CV_RATES!$J:$J,MATCH(D541,CV_RATES!$C:$C,0))),0))</f>
        <v>714.643246197124</v>
      </c>
      <c r="K541" s="10" t="n">
        <f aca="false">IF(A541="","",IFERROR(I541+H541*(J541-I541),0))</f>
        <v>714.506255059295</v>
      </c>
      <c r="L541" s="10" t="n">
        <f aca="false">IF(A541="","",IFERROR(K541*Inputs!$B$9,0))</f>
        <v>35725.3127529647</v>
      </c>
      <c r="M541" s="10" t="n">
        <f aca="false">IF(A541="","",IFERROR(K541*Inputs!$B$10,0))</f>
        <v>114318.857290722</v>
      </c>
      <c r="N541" s="10" t="n">
        <f aca="false">IF(A541="","",Z540)</f>
        <v>0</v>
      </c>
      <c r="O541" s="6" t="n">
        <f aca="false">IF(A541="","",Inputs!$B$18+N541)</f>
        <v>50000</v>
      </c>
      <c r="P541" s="5" t="n">
        <f aca="false">IF(A541="","",VLOOKUP(D541,DIvidend_Assumption!$A$3:$CX$103,($E$2+2),0)/12)</f>
        <v>0</v>
      </c>
      <c r="Q541" s="10" t="n">
        <f aca="false">IF(A541="","",IFERROR(AB540*P541,""))</f>
        <v>0</v>
      </c>
      <c r="R541" s="10" t="n">
        <f aca="false">IF(A541="","",IFERROR(IF(Inputs!$B$22="Accumulate",T541+Q541,IF(Inputs!$B$22="Premium Offset",MAX(0,T541+Q541-Inputs!$B$25),T541)),""))</f>
        <v>0</v>
      </c>
      <c r="S541" s="10" t="n">
        <f aca="false">IF(A541="","",R540)</f>
        <v>0</v>
      </c>
      <c r="T541" s="10" t="n">
        <f aca="false">IF(A541="","",IFERROR(S541*(1+Inputs!$B$23/12),""))</f>
        <v>0</v>
      </c>
      <c r="U541" s="6" t="n">
        <f aca="false">IF(A541="","",IF(D541&lt;=Inputs!$B$8,IF(Inputs!$B$22="Premium Offset",MAX(0,Inputs!$B$25-(Q541+T541)),Inputs!$B$25),0))</f>
        <v>0</v>
      </c>
      <c r="V541" s="10" t="n">
        <f aca="false">IF(A541="","",IF(Inputs!$B$22="Cash",Q541,0))</f>
        <v>0</v>
      </c>
      <c r="W541" s="10" t="n">
        <f aca="false">IF(A541="","",IF(Inputs!$B$22="PUA",Q541,0))</f>
        <v>0</v>
      </c>
      <c r="X541" s="12" t="n">
        <f aca="false">IF(A541="","",IFERROR(INDEX(PUA_TABLE!$D$4:$D$105,MATCH(E541,PUA_TABLE!$C$4:$C$105,1)),0))</f>
        <v>0.704615494908041</v>
      </c>
      <c r="Y541" s="10" t="n">
        <f aca="false">IF(A541="","",IF(W541&gt;0,IF(X541&gt;0,W541/X541,0),0))</f>
        <v>0</v>
      </c>
      <c r="Z541" s="10" t="n">
        <f aca="false">IF(A541="","",N541+Y541)</f>
        <v>0</v>
      </c>
      <c r="AA541" s="10" t="n">
        <f aca="false">IF(A541="","",IFERROR(Z541*INDEX(PUA_TABLE!$I$4:$I$105,MATCH(E541,PUA_TABLE!$C$4:$C$105,1))/1000,0))</f>
        <v>0</v>
      </c>
      <c r="AB541" s="10" t="n">
        <f aca="false">IF(A541="","",IFERROR(L541+AA541,0))</f>
        <v>35725.3127529647</v>
      </c>
      <c r="AC541" s="10" t="n">
        <f aca="false">IF(A541="","",IF(Inputs!$B$22="Premium Offset",MIN(Inputs!$B$25,Q541+T541),0))</f>
        <v>0</v>
      </c>
    </row>
    <row r="542" customFormat="false" ht="15" hidden="false" customHeight="false" outlineLevel="0" collapsed="false">
      <c r="A542" s="1" t="n">
        <f aca="false">IF(A541="","",IF(INT((C541+1)/12)+Inputs!$B$7&gt;MAX(MORTALITY!$A:$A),"",Inputs!$B$4))</f>
        <v>34</v>
      </c>
      <c r="B542" s="3" t="n">
        <f aca="false">IF(A542="","",EOMONTH(B541,1))</f>
        <v>38168</v>
      </c>
      <c r="C542" s="1" t="n">
        <f aca="false">IF(A542="","",C541+1)</f>
        <v>540</v>
      </c>
      <c r="D542" s="1" t="n">
        <f aca="false">IF(A542="","",INT(C542/12))</f>
        <v>45</v>
      </c>
      <c r="E542" s="1" t="n">
        <f aca="false">IF(A542="","",D542+Inputs!$B$7)</f>
        <v>61</v>
      </c>
      <c r="F542" s="3" t="n">
        <f aca="false">IF(A542="","",DATE(YEAR(B$2)+D542,MONTH(B$2),DAY(B$2)))</f>
        <v>38143</v>
      </c>
      <c r="G542" s="3" t="n">
        <f aca="false">IF(A542="","",DATE(YEAR(F542)+1,MONTH(F542),DAY(F542)))</f>
        <v>38508</v>
      </c>
      <c r="H542" s="10" t="n">
        <f aca="false">IF(A542="","",IF(G542&gt;F542,(B542-F542)/(G542-F542),0))</f>
        <v>0.0684931506849315</v>
      </c>
      <c r="I542" s="10" t="n">
        <f aca="false">IF(A542="","",IFERROR(INDEX(CV_RATES!$I:$I,MATCH(D542,CV_RATES!$C:$C,0)),0))</f>
        <v>714.643246197124</v>
      </c>
      <c r="J542" s="10" t="n">
        <f aca="false">IF(A542="","",IFERROR(IF(E542=MAX(MORTALITY!$A:$A),1000,INDEX(CV_RATES!$J:$J,MATCH(D542,CV_RATES!$C:$C,0))),0))</f>
        <v>724.582820938667</v>
      </c>
      <c r="K542" s="10" t="n">
        <f aca="false">IF(A542="","",IFERROR(I542+H542*(J542-I542),0))</f>
        <v>715.32403898764</v>
      </c>
      <c r="L542" s="10" t="n">
        <f aca="false">IF(A542="","",IFERROR(K542*Inputs!$B$9,0))</f>
        <v>35766.201949382</v>
      </c>
      <c r="M542" s="10" t="n">
        <f aca="false">IF(A542="","",IFERROR(K542*Inputs!$B$10,0))</f>
        <v>114449.700265906</v>
      </c>
      <c r="N542" s="10" t="n">
        <f aca="false">IF(A542="","",Z541)</f>
        <v>0</v>
      </c>
      <c r="O542" s="6" t="n">
        <f aca="false">IF(A542="","",Inputs!$B$18+N542)</f>
        <v>50000</v>
      </c>
      <c r="P542" s="5" t="n">
        <f aca="false">IF(A542="","",VLOOKUP(D542,DIvidend_Assumption!$A$3:$CX$103,($E$2+2),0)/12)</f>
        <v>0</v>
      </c>
      <c r="Q542" s="10" t="n">
        <f aca="false">IF(A542="","",IFERROR(AB541*P542,""))</f>
        <v>0</v>
      </c>
      <c r="R542" s="10" t="n">
        <f aca="false">IF(A542="","",IFERROR(IF(Inputs!$B$22="Accumulate",T542+Q542,IF(Inputs!$B$22="Premium Offset",MAX(0,T542+Q542-Inputs!$B$25),T542)),""))</f>
        <v>0</v>
      </c>
      <c r="S542" s="10" t="n">
        <f aca="false">IF(A542="","",R541)</f>
        <v>0</v>
      </c>
      <c r="T542" s="10" t="n">
        <f aca="false">IF(A542="","",IFERROR(S542*(1+Inputs!$B$23/12),""))</f>
        <v>0</v>
      </c>
      <c r="U542" s="6" t="n">
        <f aca="false">IF(A542="","",IF(D542&lt;=Inputs!$B$8,IF(Inputs!$B$22="Premium Offset",MAX(0,Inputs!$B$25-(Q542+T542)),Inputs!$B$25),0))</f>
        <v>0</v>
      </c>
      <c r="V542" s="10" t="n">
        <f aca="false">IF(A542="","",IF(Inputs!$B$22="Cash",Q542,0))</f>
        <v>0</v>
      </c>
      <c r="W542" s="10" t="n">
        <f aca="false">IF(A542="","",IF(Inputs!$B$22="PUA",Q542,0))</f>
        <v>0</v>
      </c>
      <c r="X542" s="12" t="n">
        <f aca="false">IF(A542="","",IFERROR(INDEX(PUA_TABLE!$D$4:$D$105,MATCH(E542,PUA_TABLE!$C$4:$C$105,1)),0))</f>
        <v>0.714643246197124</v>
      </c>
      <c r="Y542" s="10" t="n">
        <f aca="false">IF(A542="","",IF(W542&gt;0,IF(X542&gt;0,W542/X542,0),0))</f>
        <v>0</v>
      </c>
      <c r="Z542" s="10" t="n">
        <f aca="false">IF(A542="","",N542+Y542)</f>
        <v>0</v>
      </c>
      <c r="AA542" s="10" t="n">
        <f aca="false">IF(A542="","",IFERROR(Z542*INDEX(PUA_TABLE!$I$4:$I$105,MATCH(E542,PUA_TABLE!$C$4:$C$105,1))/1000,0))</f>
        <v>0</v>
      </c>
      <c r="AB542" s="10" t="n">
        <f aca="false">IF(A542="","",IFERROR(L542+AA542,0))</f>
        <v>35766.201949382</v>
      </c>
      <c r="AC542" s="10" t="n">
        <f aca="false">IF(A542="","",IF(Inputs!$B$22="Premium Offset",MIN(Inputs!$B$25,Q542+T542),0))</f>
        <v>0</v>
      </c>
    </row>
    <row r="543" customFormat="false" ht="15" hidden="false" customHeight="false" outlineLevel="0" collapsed="false">
      <c r="A543" s="1" t="n">
        <f aca="false">IF(A542="","",IF(INT((C542+1)/12)+Inputs!$B$7&gt;MAX(MORTALITY!$A:$A),"",Inputs!$B$4))</f>
        <v>34</v>
      </c>
      <c r="B543" s="3" t="n">
        <f aca="false">IF(A543="","",EOMONTH(B542,1))</f>
        <v>38199</v>
      </c>
      <c r="C543" s="1" t="n">
        <f aca="false">IF(A543="","",C542+1)</f>
        <v>541</v>
      </c>
      <c r="D543" s="1" t="n">
        <f aca="false">IF(A543="","",INT(C543/12))</f>
        <v>45</v>
      </c>
      <c r="E543" s="1" t="n">
        <f aca="false">IF(A543="","",D543+Inputs!$B$7)</f>
        <v>61</v>
      </c>
      <c r="F543" s="3" t="n">
        <f aca="false">IF(A543="","",DATE(YEAR(B$2)+D543,MONTH(B$2),DAY(B$2)))</f>
        <v>38143</v>
      </c>
      <c r="G543" s="3" t="n">
        <f aca="false">IF(A543="","",DATE(YEAR(F543)+1,MONTH(F543),DAY(F543)))</f>
        <v>38508</v>
      </c>
      <c r="H543" s="10" t="n">
        <f aca="false">IF(A543="","",IF(G543&gt;F543,(B543-F543)/(G543-F543),0))</f>
        <v>0.153424657534247</v>
      </c>
      <c r="I543" s="10" t="n">
        <f aca="false">IF(A543="","",IFERROR(INDEX(CV_RATES!$I:$I,MATCH(D543,CV_RATES!$C:$C,0)),0))</f>
        <v>714.643246197124</v>
      </c>
      <c r="J543" s="10" t="n">
        <f aca="false">IF(A543="","",IFERROR(IF(E543=MAX(MORTALITY!$A:$A),1000,INDEX(CV_RATES!$J:$J,MATCH(D543,CV_RATES!$C:$C,0))),0))</f>
        <v>724.582820938667</v>
      </c>
      <c r="K543" s="10" t="n">
        <f aca="false">IF(A543="","",IFERROR(I543+H543*(J543-I543),0))</f>
        <v>716.168222047881</v>
      </c>
      <c r="L543" s="10" t="n">
        <f aca="false">IF(A543="","",IFERROR(K543*Inputs!$B$9,0))</f>
        <v>35808.4111023941</v>
      </c>
      <c r="M543" s="10" t="n">
        <f aca="false">IF(A543="","",IFERROR(K543*Inputs!$B$10,0))</f>
        <v>114584.767022995</v>
      </c>
      <c r="N543" s="10" t="n">
        <f aca="false">IF(A543="","",Z542)</f>
        <v>0</v>
      </c>
      <c r="O543" s="6" t="n">
        <f aca="false">IF(A543="","",Inputs!$B$18+N543)</f>
        <v>50000</v>
      </c>
      <c r="P543" s="5" t="n">
        <f aca="false">IF(A543="","",VLOOKUP(D543,DIvidend_Assumption!$A$3:$CX$103,($E$2+2),0)/12)</f>
        <v>0</v>
      </c>
      <c r="Q543" s="10" t="n">
        <f aca="false">IF(A543="","",IFERROR(AB542*P543,""))</f>
        <v>0</v>
      </c>
      <c r="R543" s="10" t="n">
        <f aca="false">IF(A543="","",IFERROR(IF(Inputs!$B$22="Accumulate",T543+Q543,IF(Inputs!$B$22="Premium Offset",MAX(0,T543+Q543-Inputs!$B$25),T543)),""))</f>
        <v>0</v>
      </c>
      <c r="S543" s="10" t="n">
        <f aca="false">IF(A543="","",R542)</f>
        <v>0</v>
      </c>
      <c r="T543" s="10" t="n">
        <f aca="false">IF(A543="","",IFERROR(S543*(1+Inputs!$B$23/12),""))</f>
        <v>0</v>
      </c>
      <c r="U543" s="6" t="n">
        <f aca="false">IF(A543="","",IF(D543&lt;=Inputs!$B$8,IF(Inputs!$B$22="Premium Offset",MAX(0,Inputs!$B$25-(Q543+T543)),Inputs!$B$25),0))</f>
        <v>0</v>
      </c>
      <c r="V543" s="10" t="n">
        <f aca="false">IF(A543="","",IF(Inputs!$B$22="Cash",Q543,0))</f>
        <v>0</v>
      </c>
      <c r="W543" s="10" t="n">
        <f aca="false">IF(A543="","",IF(Inputs!$B$22="PUA",Q543,0))</f>
        <v>0</v>
      </c>
      <c r="X543" s="12" t="n">
        <f aca="false">IF(A543="","",IFERROR(INDEX(PUA_TABLE!$D$4:$D$105,MATCH(E543,PUA_TABLE!$C$4:$C$105,1)),0))</f>
        <v>0.714643246197124</v>
      </c>
      <c r="Y543" s="10" t="n">
        <f aca="false">IF(A543="","",IF(W543&gt;0,IF(X543&gt;0,W543/X543,0),0))</f>
        <v>0</v>
      </c>
      <c r="Z543" s="10" t="n">
        <f aca="false">IF(A543="","",N543+Y543)</f>
        <v>0</v>
      </c>
      <c r="AA543" s="10" t="n">
        <f aca="false">IF(A543="","",IFERROR(Z543*INDEX(PUA_TABLE!$I$4:$I$105,MATCH(E543,PUA_TABLE!$C$4:$C$105,1))/1000,0))</f>
        <v>0</v>
      </c>
      <c r="AB543" s="10" t="n">
        <f aca="false">IF(A543="","",IFERROR(L543+AA543,0))</f>
        <v>35808.4111023941</v>
      </c>
      <c r="AC543" s="10" t="n">
        <f aca="false">IF(A543="","",IF(Inputs!$B$22="Premium Offset",MIN(Inputs!$B$25,Q543+T543),0))</f>
        <v>0</v>
      </c>
    </row>
    <row r="544" customFormat="false" ht="15" hidden="false" customHeight="false" outlineLevel="0" collapsed="false">
      <c r="A544" s="1" t="n">
        <f aca="false">IF(A543="","",IF(INT((C543+1)/12)+Inputs!$B$7&gt;MAX(MORTALITY!$A:$A),"",Inputs!$B$4))</f>
        <v>34</v>
      </c>
      <c r="B544" s="3" t="n">
        <f aca="false">IF(A544="","",EOMONTH(B543,1))</f>
        <v>38230</v>
      </c>
      <c r="C544" s="1" t="n">
        <f aca="false">IF(A544="","",C543+1)</f>
        <v>542</v>
      </c>
      <c r="D544" s="1" t="n">
        <f aca="false">IF(A544="","",INT(C544/12))</f>
        <v>45</v>
      </c>
      <c r="E544" s="1" t="n">
        <f aca="false">IF(A544="","",D544+Inputs!$B$7)</f>
        <v>61</v>
      </c>
      <c r="F544" s="3" t="n">
        <f aca="false">IF(A544="","",DATE(YEAR(B$2)+D544,MONTH(B$2),DAY(B$2)))</f>
        <v>38143</v>
      </c>
      <c r="G544" s="3" t="n">
        <f aca="false">IF(A544="","",DATE(YEAR(F544)+1,MONTH(F544),DAY(F544)))</f>
        <v>38508</v>
      </c>
      <c r="H544" s="10" t="n">
        <f aca="false">IF(A544="","",IF(G544&gt;F544,(B544-F544)/(G544-F544),0))</f>
        <v>0.238356164383562</v>
      </c>
      <c r="I544" s="10" t="n">
        <f aca="false">IF(A544="","",IFERROR(INDEX(CV_RATES!$I:$I,MATCH(D544,CV_RATES!$C:$C,0)),0))</f>
        <v>714.643246197124</v>
      </c>
      <c r="J544" s="10" t="n">
        <f aca="false">IF(A544="","",IFERROR(IF(E544=MAX(MORTALITY!$A:$A),1000,INDEX(CV_RATES!$J:$J,MATCH(D544,CV_RATES!$C:$C,0))),0))</f>
        <v>724.582820938667</v>
      </c>
      <c r="K544" s="10" t="n">
        <f aca="false">IF(A544="","",IFERROR(I544+H544*(J544-I544),0))</f>
        <v>717.012405108122</v>
      </c>
      <c r="L544" s="10" t="n">
        <f aca="false">IF(A544="","",IFERROR(K544*Inputs!$B$9,0))</f>
        <v>35850.6202554061</v>
      </c>
      <c r="M544" s="10" t="n">
        <f aca="false">IF(A544="","",IFERROR(K544*Inputs!$B$10,0))</f>
        <v>114719.833780084</v>
      </c>
      <c r="N544" s="10" t="n">
        <f aca="false">IF(A544="","",Z543)</f>
        <v>0</v>
      </c>
      <c r="O544" s="6" t="n">
        <f aca="false">IF(A544="","",Inputs!$B$18+N544)</f>
        <v>50000</v>
      </c>
      <c r="P544" s="5" t="n">
        <f aca="false">IF(A544="","",VLOOKUP(D544,DIvidend_Assumption!$A$3:$CX$103,($E$2+2),0)/12)</f>
        <v>0</v>
      </c>
      <c r="Q544" s="10" t="n">
        <f aca="false">IF(A544="","",IFERROR(AB543*P544,""))</f>
        <v>0</v>
      </c>
      <c r="R544" s="10" t="n">
        <f aca="false">IF(A544="","",IFERROR(IF(Inputs!$B$22="Accumulate",T544+Q544,IF(Inputs!$B$22="Premium Offset",MAX(0,T544+Q544-Inputs!$B$25),T544)),""))</f>
        <v>0</v>
      </c>
      <c r="S544" s="10" t="n">
        <f aca="false">IF(A544="","",R543)</f>
        <v>0</v>
      </c>
      <c r="T544" s="10" t="n">
        <f aca="false">IF(A544="","",IFERROR(S544*(1+Inputs!$B$23/12),""))</f>
        <v>0</v>
      </c>
      <c r="U544" s="6" t="n">
        <f aca="false">IF(A544="","",IF(D544&lt;=Inputs!$B$8,IF(Inputs!$B$22="Premium Offset",MAX(0,Inputs!$B$25-(Q544+T544)),Inputs!$B$25),0))</f>
        <v>0</v>
      </c>
      <c r="V544" s="10" t="n">
        <f aca="false">IF(A544="","",IF(Inputs!$B$22="Cash",Q544,0))</f>
        <v>0</v>
      </c>
      <c r="W544" s="10" t="n">
        <f aca="false">IF(A544="","",IF(Inputs!$B$22="PUA",Q544,0))</f>
        <v>0</v>
      </c>
      <c r="X544" s="12" t="n">
        <f aca="false">IF(A544="","",IFERROR(INDEX(PUA_TABLE!$D$4:$D$105,MATCH(E544,PUA_TABLE!$C$4:$C$105,1)),0))</f>
        <v>0.714643246197124</v>
      </c>
      <c r="Y544" s="10" t="n">
        <f aca="false">IF(A544="","",IF(W544&gt;0,IF(X544&gt;0,W544/X544,0),0))</f>
        <v>0</v>
      </c>
      <c r="Z544" s="10" t="n">
        <f aca="false">IF(A544="","",N544+Y544)</f>
        <v>0</v>
      </c>
      <c r="AA544" s="10" t="n">
        <f aca="false">IF(A544="","",IFERROR(Z544*INDEX(PUA_TABLE!$I$4:$I$105,MATCH(E544,PUA_TABLE!$C$4:$C$105,1))/1000,0))</f>
        <v>0</v>
      </c>
      <c r="AB544" s="10" t="n">
        <f aca="false">IF(A544="","",IFERROR(L544+AA544,0))</f>
        <v>35850.6202554061</v>
      </c>
      <c r="AC544" s="10" t="n">
        <f aca="false">IF(A544="","",IF(Inputs!$B$22="Premium Offset",MIN(Inputs!$B$25,Q544+T544),0))</f>
        <v>0</v>
      </c>
    </row>
    <row r="545" customFormat="false" ht="15" hidden="false" customHeight="false" outlineLevel="0" collapsed="false">
      <c r="A545" s="1" t="n">
        <f aca="false">IF(A544="","",IF(INT((C544+1)/12)+Inputs!$B$7&gt;MAX(MORTALITY!$A:$A),"",Inputs!$B$4))</f>
        <v>34</v>
      </c>
      <c r="B545" s="3" t="n">
        <f aca="false">IF(A545="","",EOMONTH(B544,1))</f>
        <v>38260</v>
      </c>
      <c r="C545" s="1" t="n">
        <f aca="false">IF(A545="","",C544+1)</f>
        <v>543</v>
      </c>
      <c r="D545" s="1" t="n">
        <f aca="false">IF(A545="","",INT(C545/12))</f>
        <v>45</v>
      </c>
      <c r="E545" s="1" t="n">
        <f aca="false">IF(A545="","",D545+Inputs!$B$7)</f>
        <v>61</v>
      </c>
      <c r="F545" s="3" t="n">
        <f aca="false">IF(A545="","",DATE(YEAR(B$2)+D545,MONTH(B$2),DAY(B$2)))</f>
        <v>38143</v>
      </c>
      <c r="G545" s="3" t="n">
        <f aca="false">IF(A545="","",DATE(YEAR(F545)+1,MONTH(F545),DAY(F545)))</f>
        <v>38508</v>
      </c>
      <c r="H545" s="10" t="n">
        <f aca="false">IF(A545="","",IF(G545&gt;F545,(B545-F545)/(G545-F545),0))</f>
        <v>0.320547945205479</v>
      </c>
      <c r="I545" s="10" t="n">
        <f aca="false">IF(A545="","",IFERROR(INDEX(CV_RATES!$I:$I,MATCH(D545,CV_RATES!$C:$C,0)),0))</f>
        <v>714.643246197124</v>
      </c>
      <c r="J545" s="10" t="n">
        <f aca="false">IF(A545="","",IFERROR(IF(E545=MAX(MORTALITY!$A:$A),1000,INDEX(CV_RATES!$J:$J,MATCH(D545,CV_RATES!$C:$C,0))),0))</f>
        <v>724.582820938667</v>
      </c>
      <c r="K545" s="10" t="n">
        <f aca="false">IF(A545="","",IFERROR(I545+H545*(J545-I545),0))</f>
        <v>717.829356456742</v>
      </c>
      <c r="L545" s="10" t="n">
        <f aca="false">IF(A545="","",IFERROR(K545*Inputs!$B$9,0))</f>
        <v>35891.4678228371</v>
      </c>
      <c r="M545" s="10" t="n">
        <f aca="false">IF(A545="","",IFERROR(K545*Inputs!$B$10,0))</f>
        <v>114850.543545009</v>
      </c>
      <c r="N545" s="10" t="n">
        <f aca="false">IF(A545="","",Z544)</f>
        <v>0</v>
      </c>
      <c r="O545" s="6" t="n">
        <f aca="false">IF(A545="","",Inputs!$B$18+N545)</f>
        <v>50000</v>
      </c>
      <c r="P545" s="5" t="n">
        <f aca="false">IF(A545="","",VLOOKUP(D545,DIvidend_Assumption!$A$3:$CX$103,($E$2+2),0)/12)</f>
        <v>0</v>
      </c>
      <c r="Q545" s="10" t="n">
        <f aca="false">IF(A545="","",IFERROR(AB544*P545,""))</f>
        <v>0</v>
      </c>
      <c r="R545" s="10" t="n">
        <f aca="false">IF(A545="","",IFERROR(IF(Inputs!$B$22="Accumulate",T545+Q545,IF(Inputs!$B$22="Premium Offset",MAX(0,T545+Q545-Inputs!$B$25),T545)),""))</f>
        <v>0</v>
      </c>
      <c r="S545" s="10" t="n">
        <f aca="false">IF(A545="","",R544)</f>
        <v>0</v>
      </c>
      <c r="T545" s="10" t="n">
        <f aca="false">IF(A545="","",IFERROR(S545*(1+Inputs!$B$23/12),""))</f>
        <v>0</v>
      </c>
      <c r="U545" s="6" t="n">
        <f aca="false">IF(A545="","",IF(D545&lt;=Inputs!$B$8,IF(Inputs!$B$22="Premium Offset",MAX(0,Inputs!$B$25-(Q545+T545)),Inputs!$B$25),0))</f>
        <v>0</v>
      </c>
      <c r="V545" s="10" t="n">
        <f aca="false">IF(A545="","",IF(Inputs!$B$22="Cash",Q545,0))</f>
        <v>0</v>
      </c>
      <c r="W545" s="10" t="n">
        <f aca="false">IF(A545="","",IF(Inputs!$B$22="PUA",Q545,0))</f>
        <v>0</v>
      </c>
      <c r="X545" s="12" t="n">
        <f aca="false">IF(A545="","",IFERROR(INDEX(PUA_TABLE!$D$4:$D$105,MATCH(E545,PUA_TABLE!$C$4:$C$105,1)),0))</f>
        <v>0.714643246197124</v>
      </c>
      <c r="Y545" s="10" t="n">
        <f aca="false">IF(A545="","",IF(W545&gt;0,IF(X545&gt;0,W545/X545,0),0))</f>
        <v>0</v>
      </c>
      <c r="Z545" s="10" t="n">
        <f aca="false">IF(A545="","",N545+Y545)</f>
        <v>0</v>
      </c>
      <c r="AA545" s="10" t="n">
        <f aca="false">IF(A545="","",IFERROR(Z545*INDEX(PUA_TABLE!$I$4:$I$105,MATCH(E545,PUA_TABLE!$C$4:$C$105,1))/1000,0))</f>
        <v>0</v>
      </c>
      <c r="AB545" s="10" t="n">
        <f aca="false">IF(A545="","",IFERROR(L545+AA545,0))</f>
        <v>35891.4678228371</v>
      </c>
      <c r="AC545" s="10" t="n">
        <f aca="false">IF(A545="","",IF(Inputs!$B$22="Premium Offset",MIN(Inputs!$B$25,Q545+T545),0))</f>
        <v>0</v>
      </c>
    </row>
    <row r="546" customFormat="false" ht="15" hidden="false" customHeight="false" outlineLevel="0" collapsed="false">
      <c r="A546" s="1" t="n">
        <f aca="false">IF(A545="","",IF(INT((C545+1)/12)+Inputs!$B$7&gt;MAX(MORTALITY!$A:$A),"",Inputs!$B$4))</f>
        <v>34</v>
      </c>
      <c r="B546" s="3" t="n">
        <f aca="false">IF(A546="","",EOMONTH(B545,1))</f>
        <v>38291</v>
      </c>
      <c r="C546" s="1" t="n">
        <f aca="false">IF(A546="","",C545+1)</f>
        <v>544</v>
      </c>
      <c r="D546" s="1" t="n">
        <f aca="false">IF(A546="","",INT(C546/12))</f>
        <v>45</v>
      </c>
      <c r="E546" s="1" t="n">
        <f aca="false">IF(A546="","",D546+Inputs!$B$7)</f>
        <v>61</v>
      </c>
      <c r="F546" s="3" t="n">
        <f aca="false">IF(A546="","",DATE(YEAR(B$2)+D546,MONTH(B$2),DAY(B$2)))</f>
        <v>38143</v>
      </c>
      <c r="G546" s="3" t="n">
        <f aca="false">IF(A546="","",DATE(YEAR(F546)+1,MONTH(F546),DAY(F546)))</f>
        <v>38508</v>
      </c>
      <c r="H546" s="10" t="n">
        <f aca="false">IF(A546="","",IF(G546&gt;F546,(B546-F546)/(G546-F546),0))</f>
        <v>0.405479452054795</v>
      </c>
      <c r="I546" s="10" t="n">
        <f aca="false">IF(A546="","",IFERROR(INDEX(CV_RATES!$I:$I,MATCH(D546,CV_RATES!$C:$C,0)),0))</f>
        <v>714.643246197124</v>
      </c>
      <c r="J546" s="10" t="n">
        <f aca="false">IF(A546="","",IFERROR(IF(E546=MAX(MORTALITY!$A:$A),1000,INDEX(CV_RATES!$J:$J,MATCH(D546,CV_RATES!$C:$C,0))),0))</f>
        <v>724.582820938667</v>
      </c>
      <c r="K546" s="10" t="n">
        <f aca="false">IF(A546="","",IFERROR(I546+H546*(J546-I546),0))</f>
        <v>718.673539516982</v>
      </c>
      <c r="L546" s="10" t="n">
        <f aca="false">IF(A546="","",IFERROR(K546*Inputs!$B$9,0))</f>
        <v>35933.6769758491</v>
      </c>
      <c r="M546" s="10" t="n">
        <f aca="false">IF(A546="","",IFERROR(K546*Inputs!$B$10,0))</f>
        <v>114985.610302099</v>
      </c>
      <c r="N546" s="10" t="n">
        <f aca="false">IF(A546="","",Z545)</f>
        <v>0</v>
      </c>
      <c r="O546" s="6" t="n">
        <f aca="false">IF(A546="","",Inputs!$B$18+N546)</f>
        <v>50000</v>
      </c>
      <c r="P546" s="5" t="n">
        <f aca="false">IF(A546="","",VLOOKUP(D546,DIvidend_Assumption!$A$3:$CX$103,($E$2+2),0)/12)</f>
        <v>0</v>
      </c>
      <c r="Q546" s="10" t="n">
        <f aca="false">IF(A546="","",IFERROR(AB545*P546,""))</f>
        <v>0</v>
      </c>
      <c r="R546" s="10" t="n">
        <f aca="false">IF(A546="","",IFERROR(IF(Inputs!$B$22="Accumulate",T546+Q546,IF(Inputs!$B$22="Premium Offset",MAX(0,T546+Q546-Inputs!$B$25),T546)),""))</f>
        <v>0</v>
      </c>
      <c r="S546" s="10" t="n">
        <f aca="false">IF(A546="","",R545)</f>
        <v>0</v>
      </c>
      <c r="T546" s="10" t="n">
        <f aca="false">IF(A546="","",IFERROR(S546*(1+Inputs!$B$23/12),""))</f>
        <v>0</v>
      </c>
      <c r="U546" s="6" t="n">
        <f aca="false">IF(A546="","",IF(D546&lt;=Inputs!$B$8,IF(Inputs!$B$22="Premium Offset",MAX(0,Inputs!$B$25-(Q546+T546)),Inputs!$B$25),0))</f>
        <v>0</v>
      </c>
      <c r="V546" s="10" t="n">
        <f aca="false">IF(A546="","",IF(Inputs!$B$22="Cash",Q546,0))</f>
        <v>0</v>
      </c>
      <c r="W546" s="10" t="n">
        <f aca="false">IF(A546="","",IF(Inputs!$B$22="PUA",Q546,0))</f>
        <v>0</v>
      </c>
      <c r="X546" s="12" t="n">
        <f aca="false">IF(A546="","",IFERROR(INDEX(PUA_TABLE!$D$4:$D$105,MATCH(E546,PUA_TABLE!$C$4:$C$105,1)),0))</f>
        <v>0.714643246197124</v>
      </c>
      <c r="Y546" s="10" t="n">
        <f aca="false">IF(A546="","",IF(W546&gt;0,IF(X546&gt;0,W546/X546,0),0))</f>
        <v>0</v>
      </c>
      <c r="Z546" s="10" t="n">
        <f aca="false">IF(A546="","",N546+Y546)</f>
        <v>0</v>
      </c>
      <c r="AA546" s="10" t="n">
        <f aca="false">IF(A546="","",IFERROR(Z546*INDEX(PUA_TABLE!$I$4:$I$105,MATCH(E546,PUA_TABLE!$C$4:$C$105,1))/1000,0))</f>
        <v>0</v>
      </c>
      <c r="AB546" s="10" t="n">
        <f aca="false">IF(A546="","",IFERROR(L546+AA546,0))</f>
        <v>35933.6769758491</v>
      </c>
      <c r="AC546" s="10" t="n">
        <f aca="false">IF(A546="","",IF(Inputs!$B$22="Premium Offset",MIN(Inputs!$B$25,Q546+T546),0))</f>
        <v>0</v>
      </c>
    </row>
    <row r="547" customFormat="false" ht="15" hidden="false" customHeight="false" outlineLevel="0" collapsed="false">
      <c r="A547" s="1" t="n">
        <f aca="false">IF(A546="","",IF(INT((C546+1)/12)+Inputs!$B$7&gt;MAX(MORTALITY!$A:$A),"",Inputs!$B$4))</f>
        <v>34</v>
      </c>
      <c r="B547" s="3" t="n">
        <f aca="false">IF(A547="","",EOMONTH(B546,1))</f>
        <v>38321</v>
      </c>
      <c r="C547" s="1" t="n">
        <f aca="false">IF(A547="","",C546+1)</f>
        <v>545</v>
      </c>
      <c r="D547" s="1" t="n">
        <f aca="false">IF(A547="","",INT(C547/12))</f>
        <v>45</v>
      </c>
      <c r="E547" s="1" t="n">
        <f aca="false">IF(A547="","",D547+Inputs!$B$7)</f>
        <v>61</v>
      </c>
      <c r="F547" s="3" t="n">
        <f aca="false">IF(A547="","",DATE(YEAR(B$2)+D547,MONTH(B$2),DAY(B$2)))</f>
        <v>38143</v>
      </c>
      <c r="G547" s="3" t="n">
        <f aca="false">IF(A547="","",DATE(YEAR(F547)+1,MONTH(F547),DAY(F547)))</f>
        <v>38508</v>
      </c>
      <c r="H547" s="10" t="n">
        <f aca="false">IF(A547="","",IF(G547&gt;F547,(B547-F547)/(G547-F547),0))</f>
        <v>0.487671232876712</v>
      </c>
      <c r="I547" s="10" t="n">
        <f aca="false">IF(A547="","",IFERROR(INDEX(CV_RATES!$I:$I,MATCH(D547,CV_RATES!$C:$C,0)),0))</f>
        <v>714.643246197124</v>
      </c>
      <c r="J547" s="10" t="n">
        <f aca="false">IF(A547="","",IFERROR(IF(E547=MAX(MORTALITY!$A:$A),1000,INDEX(CV_RATES!$J:$J,MATCH(D547,CV_RATES!$C:$C,0))),0))</f>
        <v>724.582820938667</v>
      </c>
      <c r="K547" s="10" t="n">
        <f aca="false">IF(A547="","",IFERROR(I547+H547*(J547-I547),0))</f>
        <v>719.490490865602</v>
      </c>
      <c r="L547" s="10" t="n">
        <f aca="false">IF(A547="","",IFERROR(K547*Inputs!$B$9,0))</f>
        <v>35974.5245432801</v>
      </c>
      <c r="M547" s="10" t="n">
        <f aca="false">IF(A547="","",IFERROR(K547*Inputs!$B$10,0))</f>
        <v>115116.320067024</v>
      </c>
      <c r="N547" s="10" t="n">
        <f aca="false">IF(A547="","",Z546)</f>
        <v>0</v>
      </c>
      <c r="O547" s="6" t="n">
        <f aca="false">IF(A547="","",Inputs!$B$18+N547)</f>
        <v>50000</v>
      </c>
      <c r="P547" s="5" t="n">
        <f aca="false">IF(A547="","",VLOOKUP(D547,DIvidend_Assumption!$A$3:$CX$103,($E$2+2),0)/12)</f>
        <v>0</v>
      </c>
      <c r="Q547" s="10" t="n">
        <f aca="false">IF(A547="","",IFERROR(AB546*P547,""))</f>
        <v>0</v>
      </c>
      <c r="R547" s="10" t="n">
        <f aca="false">IF(A547="","",IFERROR(IF(Inputs!$B$22="Accumulate",T547+Q547,IF(Inputs!$B$22="Premium Offset",MAX(0,T547+Q547-Inputs!$B$25),T547)),""))</f>
        <v>0</v>
      </c>
      <c r="S547" s="10" t="n">
        <f aca="false">IF(A547="","",R546)</f>
        <v>0</v>
      </c>
      <c r="T547" s="10" t="n">
        <f aca="false">IF(A547="","",IFERROR(S547*(1+Inputs!$B$23/12),""))</f>
        <v>0</v>
      </c>
      <c r="U547" s="6" t="n">
        <f aca="false">IF(A547="","",IF(D547&lt;=Inputs!$B$8,IF(Inputs!$B$22="Premium Offset",MAX(0,Inputs!$B$25-(Q547+T547)),Inputs!$B$25),0))</f>
        <v>0</v>
      </c>
      <c r="V547" s="10" t="n">
        <f aca="false">IF(A547="","",IF(Inputs!$B$22="Cash",Q547,0))</f>
        <v>0</v>
      </c>
      <c r="W547" s="10" t="n">
        <f aca="false">IF(A547="","",IF(Inputs!$B$22="PUA",Q547,0))</f>
        <v>0</v>
      </c>
      <c r="X547" s="12" t="n">
        <f aca="false">IF(A547="","",IFERROR(INDEX(PUA_TABLE!$D$4:$D$105,MATCH(E547,PUA_TABLE!$C$4:$C$105,1)),0))</f>
        <v>0.714643246197124</v>
      </c>
      <c r="Y547" s="10" t="n">
        <f aca="false">IF(A547="","",IF(W547&gt;0,IF(X547&gt;0,W547/X547,0),0))</f>
        <v>0</v>
      </c>
      <c r="Z547" s="10" t="n">
        <f aca="false">IF(A547="","",N547+Y547)</f>
        <v>0</v>
      </c>
      <c r="AA547" s="10" t="n">
        <f aca="false">IF(A547="","",IFERROR(Z547*INDEX(PUA_TABLE!$I$4:$I$105,MATCH(E547,PUA_TABLE!$C$4:$C$105,1))/1000,0))</f>
        <v>0</v>
      </c>
      <c r="AB547" s="10" t="n">
        <f aca="false">IF(A547="","",IFERROR(L547+AA547,0))</f>
        <v>35974.5245432801</v>
      </c>
      <c r="AC547" s="10" t="n">
        <f aca="false">IF(A547="","",IF(Inputs!$B$22="Premium Offset",MIN(Inputs!$B$25,Q547+T547),0))</f>
        <v>0</v>
      </c>
    </row>
    <row r="548" customFormat="false" ht="15" hidden="false" customHeight="false" outlineLevel="0" collapsed="false">
      <c r="A548" s="1" t="n">
        <f aca="false">IF(A547="","",IF(INT((C547+1)/12)+Inputs!$B$7&gt;MAX(MORTALITY!$A:$A),"",Inputs!$B$4))</f>
        <v>34</v>
      </c>
      <c r="B548" s="3" t="n">
        <f aca="false">IF(A548="","",EOMONTH(B547,1))</f>
        <v>38352</v>
      </c>
      <c r="C548" s="1" t="n">
        <f aca="false">IF(A548="","",C547+1)</f>
        <v>546</v>
      </c>
      <c r="D548" s="1" t="n">
        <f aca="false">IF(A548="","",INT(C548/12))</f>
        <v>45</v>
      </c>
      <c r="E548" s="1" t="n">
        <f aca="false">IF(A548="","",D548+Inputs!$B$7)</f>
        <v>61</v>
      </c>
      <c r="F548" s="3" t="n">
        <f aca="false">IF(A548="","",DATE(YEAR(B$2)+D548,MONTH(B$2),DAY(B$2)))</f>
        <v>38143</v>
      </c>
      <c r="G548" s="3" t="n">
        <f aca="false">IF(A548="","",DATE(YEAR(F548)+1,MONTH(F548),DAY(F548)))</f>
        <v>38508</v>
      </c>
      <c r="H548" s="10" t="n">
        <f aca="false">IF(A548="","",IF(G548&gt;F548,(B548-F548)/(G548-F548),0))</f>
        <v>0.572602739726027</v>
      </c>
      <c r="I548" s="10" t="n">
        <f aca="false">IF(A548="","",IFERROR(INDEX(CV_RATES!$I:$I,MATCH(D548,CV_RATES!$C:$C,0)),0))</f>
        <v>714.643246197124</v>
      </c>
      <c r="J548" s="10" t="n">
        <f aca="false">IF(A548="","",IFERROR(IF(E548=MAX(MORTALITY!$A:$A),1000,INDEX(CV_RATES!$J:$J,MATCH(D548,CV_RATES!$C:$C,0))),0))</f>
        <v>724.582820938667</v>
      </c>
      <c r="K548" s="10" t="n">
        <f aca="false">IF(A548="","",IFERROR(I548+H548*(J548-I548),0))</f>
        <v>720.334673925843</v>
      </c>
      <c r="L548" s="10" t="n">
        <f aca="false">IF(A548="","",IFERROR(K548*Inputs!$B$9,0))</f>
        <v>36016.7336962921</v>
      </c>
      <c r="M548" s="10" t="n">
        <f aca="false">IF(A548="","",IFERROR(K548*Inputs!$B$10,0))</f>
        <v>115251.386824113</v>
      </c>
      <c r="N548" s="10" t="n">
        <f aca="false">IF(A548="","",Z547)</f>
        <v>0</v>
      </c>
      <c r="O548" s="6" t="n">
        <f aca="false">IF(A548="","",Inputs!$B$18+N548)</f>
        <v>50000</v>
      </c>
      <c r="P548" s="5" t="n">
        <f aca="false">IF(A548="","",VLOOKUP(D548,DIvidend_Assumption!$A$3:$CX$103,($E$2+2),0)/12)</f>
        <v>0</v>
      </c>
      <c r="Q548" s="10" t="n">
        <f aca="false">IF(A548="","",IFERROR(AB547*P548,""))</f>
        <v>0</v>
      </c>
      <c r="R548" s="10" t="n">
        <f aca="false">IF(A548="","",IFERROR(IF(Inputs!$B$22="Accumulate",T548+Q548,IF(Inputs!$B$22="Premium Offset",MAX(0,T548+Q548-Inputs!$B$25),T548)),""))</f>
        <v>0</v>
      </c>
      <c r="S548" s="10" t="n">
        <f aca="false">IF(A548="","",R547)</f>
        <v>0</v>
      </c>
      <c r="T548" s="10" t="n">
        <f aca="false">IF(A548="","",IFERROR(S548*(1+Inputs!$B$23/12),""))</f>
        <v>0</v>
      </c>
      <c r="U548" s="6" t="n">
        <f aca="false">IF(A548="","",IF(D548&lt;=Inputs!$B$8,IF(Inputs!$B$22="Premium Offset",MAX(0,Inputs!$B$25-(Q548+T548)),Inputs!$B$25),0))</f>
        <v>0</v>
      </c>
      <c r="V548" s="10" t="n">
        <f aca="false">IF(A548="","",IF(Inputs!$B$22="Cash",Q548,0))</f>
        <v>0</v>
      </c>
      <c r="W548" s="10" t="n">
        <f aca="false">IF(A548="","",IF(Inputs!$B$22="PUA",Q548,0))</f>
        <v>0</v>
      </c>
      <c r="X548" s="12" t="n">
        <f aca="false">IF(A548="","",IFERROR(INDEX(PUA_TABLE!$D$4:$D$105,MATCH(E548,PUA_TABLE!$C$4:$C$105,1)),0))</f>
        <v>0.714643246197124</v>
      </c>
      <c r="Y548" s="10" t="n">
        <f aca="false">IF(A548="","",IF(W548&gt;0,IF(X548&gt;0,W548/X548,0),0))</f>
        <v>0</v>
      </c>
      <c r="Z548" s="10" t="n">
        <f aca="false">IF(A548="","",N548+Y548)</f>
        <v>0</v>
      </c>
      <c r="AA548" s="10" t="n">
        <f aca="false">IF(A548="","",IFERROR(Z548*INDEX(PUA_TABLE!$I$4:$I$105,MATCH(E548,PUA_TABLE!$C$4:$C$105,1))/1000,0))</f>
        <v>0</v>
      </c>
      <c r="AB548" s="10" t="n">
        <f aca="false">IF(A548="","",IFERROR(L548+AA548,0))</f>
        <v>36016.7336962921</v>
      </c>
      <c r="AC548" s="10" t="n">
        <f aca="false">IF(A548="","",IF(Inputs!$B$22="Premium Offset",MIN(Inputs!$B$25,Q548+T548),0))</f>
        <v>0</v>
      </c>
    </row>
    <row r="549" customFormat="false" ht="15" hidden="false" customHeight="false" outlineLevel="0" collapsed="false">
      <c r="A549" s="1" t="n">
        <f aca="false">IF(A548="","",IF(INT((C548+1)/12)+Inputs!$B$7&gt;MAX(MORTALITY!$A:$A),"",Inputs!$B$4))</f>
        <v>34</v>
      </c>
      <c r="B549" s="3" t="n">
        <f aca="false">IF(A549="","",EOMONTH(B548,1))</f>
        <v>38383</v>
      </c>
      <c r="C549" s="1" t="n">
        <f aca="false">IF(A549="","",C548+1)</f>
        <v>547</v>
      </c>
      <c r="D549" s="1" t="n">
        <f aca="false">IF(A549="","",INT(C549/12))</f>
        <v>45</v>
      </c>
      <c r="E549" s="1" t="n">
        <f aca="false">IF(A549="","",D549+Inputs!$B$7)</f>
        <v>61</v>
      </c>
      <c r="F549" s="3" t="n">
        <f aca="false">IF(A549="","",DATE(YEAR(B$2)+D549,MONTH(B$2),DAY(B$2)))</f>
        <v>38143</v>
      </c>
      <c r="G549" s="3" t="n">
        <f aca="false">IF(A549="","",DATE(YEAR(F549)+1,MONTH(F549),DAY(F549)))</f>
        <v>38508</v>
      </c>
      <c r="H549" s="10" t="n">
        <f aca="false">IF(A549="","",IF(G549&gt;F549,(B549-F549)/(G549-F549),0))</f>
        <v>0.657534246575342</v>
      </c>
      <c r="I549" s="10" t="n">
        <f aca="false">IF(A549="","",IFERROR(INDEX(CV_RATES!$I:$I,MATCH(D549,CV_RATES!$C:$C,0)),0))</f>
        <v>714.643246197124</v>
      </c>
      <c r="J549" s="10" t="n">
        <f aca="false">IF(A549="","",IFERROR(IF(E549=MAX(MORTALITY!$A:$A),1000,INDEX(CV_RATES!$J:$J,MATCH(D549,CV_RATES!$C:$C,0))),0))</f>
        <v>724.582820938667</v>
      </c>
      <c r="K549" s="10" t="n">
        <f aca="false">IF(A549="","",IFERROR(I549+H549*(J549-I549),0))</f>
        <v>721.178856986084</v>
      </c>
      <c r="L549" s="10" t="n">
        <f aca="false">IF(A549="","",IFERROR(K549*Inputs!$B$9,0))</f>
        <v>36058.9428493042</v>
      </c>
      <c r="M549" s="10" t="n">
        <f aca="false">IF(A549="","",IFERROR(K549*Inputs!$B$10,0))</f>
        <v>115386.453581202</v>
      </c>
      <c r="N549" s="10" t="n">
        <f aca="false">IF(A549="","",Z548)</f>
        <v>0</v>
      </c>
      <c r="O549" s="6" t="n">
        <f aca="false">IF(A549="","",Inputs!$B$18+N549)</f>
        <v>50000</v>
      </c>
      <c r="P549" s="5" t="n">
        <f aca="false">IF(A549="","",VLOOKUP(D549,DIvidend_Assumption!$A$3:$CX$103,($E$2+2),0)/12)</f>
        <v>0</v>
      </c>
      <c r="Q549" s="10" t="n">
        <f aca="false">IF(A549="","",IFERROR(AB548*P549,""))</f>
        <v>0</v>
      </c>
      <c r="R549" s="10" t="n">
        <f aca="false">IF(A549="","",IFERROR(IF(Inputs!$B$22="Accumulate",T549+Q549,IF(Inputs!$B$22="Premium Offset",MAX(0,T549+Q549-Inputs!$B$25),T549)),""))</f>
        <v>0</v>
      </c>
      <c r="S549" s="10" t="n">
        <f aca="false">IF(A549="","",R548)</f>
        <v>0</v>
      </c>
      <c r="T549" s="10" t="n">
        <f aca="false">IF(A549="","",IFERROR(S549*(1+Inputs!$B$23/12),""))</f>
        <v>0</v>
      </c>
      <c r="U549" s="6" t="n">
        <f aca="false">IF(A549="","",IF(D549&lt;=Inputs!$B$8,IF(Inputs!$B$22="Premium Offset",MAX(0,Inputs!$B$25-(Q549+T549)),Inputs!$B$25),0))</f>
        <v>0</v>
      </c>
      <c r="V549" s="10" t="n">
        <f aca="false">IF(A549="","",IF(Inputs!$B$22="Cash",Q549,0))</f>
        <v>0</v>
      </c>
      <c r="W549" s="10" t="n">
        <f aca="false">IF(A549="","",IF(Inputs!$B$22="PUA",Q549,0))</f>
        <v>0</v>
      </c>
      <c r="X549" s="12" t="n">
        <f aca="false">IF(A549="","",IFERROR(INDEX(PUA_TABLE!$D$4:$D$105,MATCH(E549,PUA_TABLE!$C$4:$C$105,1)),0))</f>
        <v>0.714643246197124</v>
      </c>
      <c r="Y549" s="10" t="n">
        <f aca="false">IF(A549="","",IF(W549&gt;0,IF(X549&gt;0,W549/X549,0),0))</f>
        <v>0</v>
      </c>
      <c r="Z549" s="10" t="n">
        <f aca="false">IF(A549="","",N549+Y549)</f>
        <v>0</v>
      </c>
      <c r="AA549" s="10" t="n">
        <f aca="false">IF(A549="","",IFERROR(Z549*INDEX(PUA_TABLE!$I$4:$I$105,MATCH(E549,PUA_TABLE!$C$4:$C$105,1))/1000,0))</f>
        <v>0</v>
      </c>
      <c r="AB549" s="10" t="n">
        <f aca="false">IF(A549="","",IFERROR(L549+AA549,0))</f>
        <v>36058.9428493042</v>
      </c>
      <c r="AC549" s="10" t="n">
        <f aca="false">IF(A549="","",IF(Inputs!$B$22="Premium Offset",MIN(Inputs!$B$25,Q549+T549),0))</f>
        <v>0</v>
      </c>
    </row>
    <row r="550" customFormat="false" ht="15" hidden="false" customHeight="false" outlineLevel="0" collapsed="false">
      <c r="A550" s="1" t="n">
        <f aca="false">IF(A549="","",IF(INT((C549+1)/12)+Inputs!$B$7&gt;MAX(MORTALITY!$A:$A),"",Inputs!$B$4))</f>
        <v>34</v>
      </c>
      <c r="B550" s="3" t="n">
        <f aca="false">IF(A550="","",EOMONTH(B549,1))</f>
        <v>38411</v>
      </c>
      <c r="C550" s="1" t="n">
        <f aca="false">IF(A550="","",C549+1)</f>
        <v>548</v>
      </c>
      <c r="D550" s="1" t="n">
        <f aca="false">IF(A550="","",INT(C550/12))</f>
        <v>45</v>
      </c>
      <c r="E550" s="1" t="n">
        <f aca="false">IF(A550="","",D550+Inputs!$B$7)</f>
        <v>61</v>
      </c>
      <c r="F550" s="3" t="n">
        <f aca="false">IF(A550="","",DATE(YEAR(B$2)+D550,MONTH(B$2),DAY(B$2)))</f>
        <v>38143</v>
      </c>
      <c r="G550" s="3" t="n">
        <f aca="false">IF(A550="","",DATE(YEAR(F550)+1,MONTH(F550),DAY(F550)))</f>
        <v>38508</v>
      </c>
      <c r="H550" s="10" t="n">
        <f aca="false">IF(A550="","",IF(G550&gt;F550,(B550-F550)/(G550-F550),0))</f>
        <v>0.734246575342466</v>
      </c>
      <c r="I550" s="10" t="n">
        <f aca="false">IF(A550="","",IFERROR(INDEX(CV_RATES!$I:$I,MATCH(D550,CV_RATES!$C:$C,0)),0))</f>
        <v>714.643246197124</v>
      </c>
      <c r="J550" s="10" t="n">
        <f aca="false">IF(A550="","",IFERROR(IF(E550=MAX(MORTALITY!$A:$A),1000,INDEX(CV_RATES!$J:$J,MATCH(D550,CV_RATES!$C:$C,0))),0))</f>
        <v>724.582820938667</v>
      </c>
      <c r="K550" s="10" t="n">
        <f aca="false">IF(A550="","",IFERROR(I550+H550*(J550-I550),0))</f>
        <v>721.941344911462</v>
      </c>
      <c r="L550" s="10" t="n">
        <f aca="false">IF(A550="","",IFERROR(K550*Inputs!$B$9,0))</f>
        <v>36097.0672455731</v>
      </c>
      <c r="M550" s="10" t="n">
        <f aca="false">IF(A550="","",IFERROR(K550*Inputs!$B$10,0))</f>
        <v>115508.449361799</v>
      </c>
      <c r="N550" s="10" t="n">
        <f aca="false">IF(A550="","",Z549)</f>
        <v>0</v>
      </c>
      <c r="O550" s="6" t="n">
        <f aca="false">IF(A550="","",Inputs!$B$18+N550)</f>
        <v>50000</v>
      </c>
      <c r="P550" s="5" t="n">
        <f aca="false">IF(A550="","",VLOOKUP(D550,DIvidend_Assumption!$A$3:$CX$103,($E$2+2),0)/12)</f>
        <v>0</v>
      </c>
      <c r="Q550" s="10" t="n">
        <f aca="false">IF(A550="","",IFERROR(AB549*P550,""))</f>
        <v>0</v>
      </c>
      <c r="R550" s="10" t="n">
        <f aca="false">IF(A550="","",IFERROR(IF(Inputs!$B$22="Accumulate",T550+Q550,IF(Inputs!$B$22="Premium Offset",MAX(0,T550+Q550-Inputs!$B$25),T550)),""))</f>
        <v>0</v>
      </c>
      <c r="S550" s="10" t="n">
        <f aca="false">IF(A550="","",R549)</f>
        <v>0</v>
      </c>
      <c r="T550" s="10" t="n">
        <f aca="false">IF(A550="","",IFERROR(S550*(1+Inputs!$B$23/12),""))</f>
        <v>0</v>
      </c>
      <c r="U550" s="6" t="n">
        <f aca="false">IF(A550="","",IF(D550&lt;=Inputs!$B$8,IF(Inputs!$B$22="Premium Offset",MAX(0,Inputs!$B$25-(Q550+T550)),Inputs!$B$25),0))</f>
        <v>0</v>
      </c>
      <c r="V550" s="10" t="n">
        <f aca="false">IF(A550="","",IF(Inputs!$B$22="Cash",Q550,0))</f>
        <v>0</v>
      </c>
      <c r="W550" s="10" t="n">
        <f aca="false">IF(A550="","",IF(Inputs!$B$22="PUA",Q550,0))</f>
        <v>0</v>
      </c>
      <c r="X550" s="12" t="n">
        <f aca="false">IF(A550="","",IFERROR(INDEX(PUA_TABLE!$D$4:$D$105,MATCH(E550,PUA_TABLE!$C$4:$C$105,1)),0))</f>
        <v>0.714643246197124</v>
      </c>
      <c r="Y550" s="10" t="n">
        <f aca="false">IF(A550="","",IF(W550&gt;0,IF(X550&gt;0,W550/X550,0),0))</f>
        <v>0</v>
      </c>
      <c r="Z550" s="10" t="n">
        <f aca="false">IF(A550="","",N550+Y550)</f>
        <v>0</v>
      </c>
      <c r="AA550" s="10" t="n">
        <f aca="false">IF(A550="","",IFERROR(Z550*INDEX(PUA_TABLE!$I$4:$I$105,MATCH(E550,PUA_TABLE!$C$4:$C$105,1))/1000,0))</f>
        <v>0</v>
      </c>
      <c r="AB550" s="10" t="n">
        <f aca="false">IF(A550="","",IFERROR(L550+AA550,0))</f>
        <v>36097.0672455731</v>
      </c>
      <c r="AC550" s="10" t="n">
        <f aca="false">IF(A550="","",IF(Inputs!$B$22="Premium Offset",MIN(Inputs!$B$25,Q550+T550),0))</f>
        <v>0</v>
      </c>
    </row>
    <row r="551" customFormat="false" ht="15" hidden="false" customHeight="false" outlineLevel="0" collapsed="false">
      <c r="A551" s="1" t="n">
        <f aca="false">IF(A550="","",IF(INT((C550+1)/12)+Inputs!$B$7&gt;MAX(MORTALITY!$A:$A),"",Inputs!$B$4))</f>
        <v>34</v>
      </c>
      <c r="B551" s="3" t="n">
        <f aca="false">IF(A551="","",EOMONTH(B550,1))</f>
        <v>38442</v>
      </c>
      <c r="C551" s="1" t="n">
        <f aca="false">IF(A551="","",C550+1)</f>
        <v>549</v>
      </c>
      <c r="D551" s="1" t="n">
        <f aca="false">IF(A551="","",INT(C551/12))</f>
        <v>45</v>
      </c>
      <c r="E551" s="1" t="n">
        <f aca="false">IF(A551="","",D551+Inputs!$B$7)</f>
        <v>61</v>
      </c>
      <c r="F551" s="3" t="n">
        <f aca="false">IF(A551="","",DATE(YEAR(B$2)+D551,MONTH(B$2),DAY(B$2)))</f>
        <v>38143</v>
      </c>
      <c r="G551" s="3" t="n">
        <f aca="false">IF(A551="","",DATE(YEAR(F551)+1,MONTH(F551),DAY(F551)))</f>
        <v>38508</v>
      </c>
      <c r="H551" s="10" t="n">
        <f aca="false">IF(A551="","",IF(G551&gt;F551,(B551-F551)/(G551-F551),0))</f>
        <v>0.819178082191781</v>
      </c>
      <c r="I551" s="10" t="n">
        <f aca="false">IF(A551="","",IFERROR(INDEX(CV_RATES!$I:$I,MATCH(D551,CV_RATES!$C:$C,0)),0))</f>
        <v>714.643246197124</v>
      </c>
      <c r="J551" s="10" t="n">
        <f aca="false">IF(A551="","",IFERROR(IF(E551=MAX(MORTALITY!$A:$A),1000,INDEX(CV_RATES!$J:$J,MATCH(D551,CV_RATES!$C:$C,0))),0))</f>
        <v>724.582820938667</v>
      </c>
      <c r="K551" s="10" t="n">
        <f aca="false">IF(A551="","",IFERROR(I551+H551*(J551-I551),0))</f>
        <v>722.785527971703</v>
      </c>
      <c r="L551" s="10" t="n">
        <f aca="false">IF(A551="","",IFERROR(K551*Inputs!$B$9,0))</f>
        <v>36139.2763985851</v>
      </c>
      <c r="M551" s="10" t="n">
        <f aca="false">IF(A551="","",IFERROR(K551*Inputs!$B$10,0))</f>
        <v>115643.516118889</v>
      </c>
      <c r="N551" s="10" t="n">
        <f aca="false">IF(A551="","",Z550)</f>
        <v>0</v>
      </c>
      <c r="O551" s="6" t="n">
        <f aca="false">IF(A551="","",Inputs!$B$18+N551)</f>
        <v>50000</v>
      </c>
      <c r="P551" s="5" t="n">
        <f aca="false">IF(A551="","",VLOOKUP(D551,DIvidend_Assumption!$A$3:$CX$103,($E$2+2),0)/12)</f>
        <v>0</v>
      </c>
      <c r="Q551" s="10" t="n">
        <f aca="false">IF(A551="","",IFERROR(AB550*P551,""))</f>
        <v>0</v>
      </c>
      <c r="R551" s="10" t="n">
        <f aca="false">IF(A551="","",IFERROR(IF(Inputs!$B$22="Accumulate",T551+Q551,IF(Inputs!$B$22="Premium Offset",MAX(0,T551+Q551-Inputs!$B$25),T551)),""))</f>
        <v>0</v>
      </c>
      <c r="S551" s="10" t="n">
        <f aca="false">IF(A551="","",R550)</f>
        <v>0</v>
      </c>
      <c r="T551" s="10" t="n">
        <f aca="false">IF(A551="","",IFERROR(S551*(1+Inputs!$B$23/12),""))</f>
        <v>0</v>
      </c>
      <c r="U551" s="6" t="n">
        <f aca="false">IF(A551="","",IF(D551&lt;=Inputs!$B$8,IF(Inputs!$B$22="Premium Offset",MAX(0,Inputs!$B$25-(Q551+T551)),Inputs!$B$25),0))</f>
        <v>0</v>
      </c>
      <c r="V551" s="10" t="n">
        <f aca="false">IF(A551="","",IF(Inputs!$B$22="Cash",Q551,0))</f>
        <v>0</v>
      </c>
      <c r="W551" s="10" t="n">
        <f aca="false">IF(A551="","",IF(Inputs!$B$22="PUA",Q551,0))</f>
        <v>0</v>
      </c>
      <c r="X551" s="12" t="n">
        <f aca="false">IF(A551="","",IFERROR(INDEX(PUA_TABLE!$D$4:$D$105,MATCH(E551,PUA_TABLE!$C$4:$C$105,1)),0))</f>
        <v>0.714643246197124</v>
      </c>
      <c r="Y551" s="10" t="n">
        <f aca="false">IF(A551="","",IF(W551&gt;0,IF(X551&gt;0,W551/X551,0),0))</f>
        <v>0</v>
      </c>
      <c r="Z551" s="10" t="n">
        <f aca="false">IF(A551="","",N551+Y551)</f>
        <v>0</v>
      </c>
      <c r="AA551" s="10" t="n">
        <f aca="false">IF(A551="","",IFERROR(Z551*INDEX(PUA_TABLE!$I$4:$I$105,MATCH(E551,PUA_TABLE!$C$4:$C$105,1))/1000,0))</f>
        <v>0</v>
      </c>
      <c r="AB551" s="10" t="n">
        <f aca="false">IF(A551="","",IFERROR(L551+AA551,0))</f>
        <v>36139.2763985851</v>
      </c>
      <c r="AC551" s="10" t="n">
        <f aca="false">IF(A551="","",IF(Inputs!$B$22="Premium Offset",MIN(Inputs!$B$25,Q551+T551),0))</f>
        <v>0</v>
      </c>
    </row>
    <row r="552" customFormat="false" ht="15" hidden="false" customHeight="false" outlineLevel="0" collapsed="false">
      <c r="A552" s="1" t="n">
        <f aca="false">IF(A551="","",IF(INT((C551+1)/12)+Inputs!$B$7&gt;MAX(MORTALITY!$A:$A),"",Inputs!$B$4))</f>
        <v>34</v>
      </c>
      <c r="B552" s="3" t="n">
        <f aca="false">IF(A552="","",EOMONTH(B551,1))</f>
        <v>38472</v>
      </c>
      <c r="C552" s="1" t="n">
        <f aca="false">IF(A552="","",C551+1)</f>
        <v>550</v>
      </c>
      <c r="D552" s="1" t="n">
        <f aca="false">IF(A552="","",INT(C552/12))</f>
        <v>45</v>
      </c>
      <c r="E552" s="1" t="n">
        <f aca="false">IF(A552="","",D552+Inputs!$B$7)</f>
        <v>61</v>
      </c>
      <c r="F552" s="3" t="n">
        <f aca="false">IF(A552="","",DATE(YEAR(B$2)+D552,MONTH(B$2),DAY(B$2)))</f>
        <v>38143</v>
      </c>
      <c r="G552" s="3" t="n">
        <f aca="false">IF(A552="","",DATE(YEAR(F552)+1,MONTH(F552),DAY(F552)))</f>
        <v>38508</v>
      </c>
      <c r="H552" s="10" t="n">
        <f aca="false">IF(A552="","",IF(G552&gt;F552,(B552-F552)/(G552-F552),0))</f>
        <v>0.901369863013699</v>
      </c>
      <c r="I552" s="10" t="n">
        <f aca="false">IF(A552="","",IFERROR(INDEX(CV_RATES!$I:$I,MATCH(D552,CV_RATES!$C:$C,0)),0))</f>
        <v>714.643246197124</v>
      </c>
      <c r="J552" s="10" t="n">
        <f aca="false">IF(A552="","",IFERROR(IF(E552=MAX(MORTALITY!$A:$A),1000,INDEX(CV_RATES!$J:$J,MATCH(D552,CV_RATES!$C:$C,0))),0))</f>
        <v>724.582820938667</v>
      </c>
      <c r="K552" s="10" t="n">
        <f aca="false">IF(A552="","",IFERROR(I552+H552*(J552-I552),0))</f>
        <v>723.602479320323</v>
      </c>
      <c r="L552" s="10" t="n">
        <f aca="false">IF(A552="","",IFERROR(K552*Inputs!$B$9,0))</f>
        <v>36180.1239660161</v>
      </c>
      <c r="M552" s="10" t="n">
        <f aca="false">IF(A552="","",IFERROR(K552*Inputs!$B$10,0))</f>
        <v>115774.225883814</v>
      </c>
      <c r="N552" s="10" t="n">
        <f aca="false">IF(A552="","",Z551)</f>
        <v>0</v>
      </c>
      <c r="O552" s="6" t="n">
        <f aca="false">IF(A552="","",Inputs!$B$18+N552)</f>
        <v>50000</v>
      </c>
      <c r="P552" s="5" t="n">
        <f aca="false">IF(A552="","",VLOOKUP(D552,DIvidend_Assumption!$A$3:$CX$103,($E$2+2),0)/12)</f>
        <v>0</v>
      </c>
      <c r="Q552" s="10" t="n">
        <f aca="false">IF(A552="","",IFERROR(AB551*P552,""))</f>
        <v>0</v>
      </c>
      <c r="R552" s="10" t="n">
        <f aca="false">IF(A552="","",IFERROR(IF(Inputs!$B$22="Accumulate",T552+Q552,IF(Inputs!$B$22="Premium Offset",MAX(0,T552+Q552-Inputs!$B$25),T552)),""))</f>
        <v>0</v>
      </c>
      <c r="S552" s="10" t="n">
        <f aca="false">IF(A552="","",R551)</f>
        <v>0</v>
      </c>
      <c r="T552" s="10" t="n">
        <f aca="false">IF(A552="","",IFERROR(S552*(1+Inputs!$B$23/12),""))</f>
        <v>0</v>
      </c>
      <c r="U552" s="6" t="n">
        <f aca="false">IF(A552="","",IF(D552&lt;=Inputs!$B$8,IF(Inputs!$B$22="Premium Offset",MAX(0,Inputs!$B$25-(Q552+T552)),Inputs!$B$25),0))</f>
        <v>0</v>
      </c>
      <c r="V552" s="10" t="n">
        <f aca="false">IF(A552="","",IF(Inputs!$B$22="Cash",Q552,0))</f>
        <v>0</v>
      </c>
      <c r="W552" s="10" t="n">
        <f aca="false">IF(A552="","",IF(Inputs!$B$22="PUA",Q552,0))</f>
        <v>0</v>
      </c>
      <c r="X552" s="12" t="n">
        <f aca="false">IF(A552="","",IFERROR(INDEX(PUA_TABLE!$D$4:$D$105,MATCH(E552,PUA_TABLE!$C$4:$C$105,1)),0))</f>
        <v>0.714643246197124</v>
      </c>
      <c r="Y552" s="10" t="n">
        <f aca="false">IF(A552="","",IF(W552&gt;0,IF(X552&gt;0,W552/X552,0),0))</f>
        <v>0</v>
      </c>
      <c r="Z552" s="10" t="n">
        <f aca="false">IF(A552="","",N552+Y552)</f>
        <v>0</v>
      </c>
      <c r="AA552" s="10" t="n">
        <f aca="false">IF(A552="","",IFERROR(Z552*INDEX(PUA_TABLE!$I$4:$I$105,MATCH(E552,PUA_TABLE!$C$4:$C$105,1))/1000,0))</f>
        <v>0</v>
      </c>
      <c r="AB552" s="10" t="n">
        <f aca="false">IF(A552="","",IFERROR(L552+AA552,0))</f>
        <v>36180.1239660161</v>
      </c>
      <c r="AC552" s="10" t="n">
        <f aca="false">IF(A552="","",IF(Inputs!$B$22="Premium Offset",MIN(Inputs!$B$25,Q552+T552),0))</f>
        <v>0</v>
      </c>
    </row>
    <row r="553" customFormat="false" ht="15" hidden="false" customHeight="false" outlineLevel="0" collapsed="false">
      <c r="A553" s="1" t="n">
        <f aca="false">IF(A552="","",IF(INT((C552+1)/12)+Inputs!$B$7&gt;MAX(MORTALITY!$A:$A),"",Inputs!$B$4))</f>
        <v>34</v>
      </c>
      <c r="B553" s="3" t="n">
        <f aca="false">IF(A553="","",EOMONTH(B552,1))</f>
        <v>38503</v>
      </c>
      <c r="C553" s="1" t="n">
        <f aca="false">IF(A553="","",C552+1)</f>
        <v>551</v>
      </c>
      <c r="D553" s="1" t="n">
        <f aca="false">IF(A553="","",INT(C553/12))</f>
        <v>45</v>
      </c>
      <c r="E553" s="1" t="n">
        <f aca="false">IF(A553="","",D553+Inputs!$B$7)</f>
        <v>61</v>
      </c>
      <c r="F553" s="3" t="n">
        <f aca="false">IF(A553="","",DATE(YEAR(B$2)+D553,MONTH(B$2),DAY(B$2)))</f>
        <v>38143</v>
      </c>
      <c r="G553" s="3" t="n">
        <f aca="false">IF(A553="","",DATE(YEAR(F553)+1,MONTH(F553),DAY(F553)))</f>
        <v>38508</v>
      </c>
      <c r="H553" s="10" t="n">
        <f aca="false">IF(A553="","",IF(G553&gt;F553,(B553-F553)/(G553-F553),0))</f>
        <v>0.986301369863014</v>
      </c>
      <c r="I553" s="10" t="n">
        <f aca="false">IF(A553="","",IFERROR(INDEX(CV_RATES!$I:$I,MATCH(D553,CV_RATES!$C:$C,0)),0))</f>
        <v>714.643246197124</v>
      </c>
      <c r="J553" s="10" t="n">
        <f aca="false">IF(A553="","",IFERROR(IF(E553=MAX(MORTALITY!$A:$A),1000,INDEX(CV_RATES!$J:$J,MATCH(D553,CV_RATES!$C:$C,0))),0))</f>
        <v>724.582820938667</v>
      </c>
      <c r="K553" s="10" t="n">
        <f aca="false">IF(A553="","",IFERROR(I553+H553*(J553-I553),0))</f>
        <v>724.446662380563</v>
      </c>
      <c r="L553" s="10" t="n">
        <f aca="false">IF(A553="","",IFERROR(K553*Inputs!$B$9,0))</f>
        <v>36222.3331190282</v>
      </c>
      <c r="M553" s="10" t="n">
        <f aca="false">IF(A553="","",IFERROR(K553*Inputs!$B$10,0))</f>
        <v>115909.292640903</v>
      </c>
      <c r="N553" s="10" t="n">
        <f aca="false">IF(A553="","",Z552)</f>
        <v>0</v>
      </c>
      <c r="O553" s="6" t="n">
        <f aca="false">IF(A553="","",Inputs!$B$18+N553)</f>
        <v>50000</v>
      </c>
      <c r="P553" s="5" t="n">
        <f aca="false">IF(A553="","",VLOOKUP(D553,DIvidend_Assumption!$A$3:$CX$103,($E$2+2),0)/12)</f>
        <v>0</v>
      </c>
      <c r="Q553" s="10" t="n">
        <f aca="false">IF(A553="","",IFERROR(AB552*P553,""))</f>
        <v>0</v>
      </c>
      <c r="R553" s="10" t="n">
        <f aca="false">IF(A553="","",IFERROR(IF(Inputs!$B$22="Accumulate",T553+Q553,IF(Inputs!$B$22="Premium Offset",MAX(0,T553+Q553-Inputs!$B$25),T553)),""))</f>
        <v>0</v>
      </c>
      <c r="S553" s="10" t="n">
        <f aca="false">IF(A553="","",R552)</f>
        <v>0</v>
      </c>
      <c r="T553" s="10" t="n">
        <f aca="false">IF(A553="","",IFERROR(S553*(1+Inputs!$B$23/12),""))</f>
        <v>0</v>
      </c>
      <c r="U553" s="6" t="n">
        <f aca="false">IF(A553="","",IF(D553&lt;=Inputs!$B$8,IF(Inputs!$B$22="Premium Offset",MAX(0,Inputs!$B$25-(Q553+T553)),Inputs!$B$25),0))</f>
        <v>0</v>
      </c>
      <c r="V553" s="10" t="n">
        <f aca="false">IF(A553="","",IF(Inputs!$B$22="Cash",Q553,0))</f>
        <v>0</v>
      </c>
      <c r="W553" s="10" t="n">
        <f aca="false">IF(A553="","",IF(Inputs!$B$22="PUA",Q553,0))</f>
        <v>0</v>
      </c>
      <c r="X553" s="12" t="n">
        <f aca="false">IF(A553="","",IFERROR(INDEX(PUA_TABLE!$D$4:$D$105,MATCH(E553,PUA_TABLE!$C$4:$C$105,1)),0))</f>
        <v>0.714643246197124</v>
      </c>
      <c r="Y553" s="10" t="n">
        <f aca="false">IF(A553="","",IF(W553&gt;0,IF(X553&gt;0,W553/X553,0),0))</f>
        <v>0</v>
      </c>
      <c r="Z553" s="10" t="n">
        <f aca="false">IF(A553="","",N553+Y553)</f>
        <v>0</v>
      </c>
      <c r="AA553" s="10" t="n">
        <f aca="false">IF(A553="","",IFERROR(Z553*INDEX(PUA_TABLE!$I$4:$I$105,MATCH(E553,PUA_TABLE!$C$4:$C$105,1))/1000,0))</f>
        <v>0</v>
      </c>
      <c r="AB553" s="10" t="n">
        <f aca="false">IF(A553="","",IFERROR(L553+AA553,0))</f>
        <v>36222.3331190282</v>
      </c>
      <c r="AC553" s="10" t="n">
        <f aca="false">IF(A553="","",IF(Inputs!$B$22="Premium Offset",MIN(Inputs!$B$25,Q553+T553),0))</f>
        <v>0</v>
      </c>
    </row>
    <row r="554" customFormat="false" ht="15" hidden="false" customHeight="false" outlineLevel="0" collapsed="false">
      <c r="A554" s="1" t="n">
        <f aca="false">IF(A553="","",IF(INT((C553+1)/12)+Inputs!$B$7&gt;MAX(MORTALITY!$A:$A),"",Inputs!$B$4))</f>
        <v>34</v>
      </c>
      <c r="B554" s="3" t="n">
        <f aca="false">IF(A554="","",EOMONTH(B553,1))</f>
        <v>38533</v>
      </c>
      <c r="C554" s="1" t="n">
        <f aca="false">IF(A554="","",C553+1)</f>
        <v>552</v>
      </c>
      <c r="D554" s="1" t="n">
        <f aca="false">IF(A554="","",INT(C554/12))</f>
        <v>46</v>
      </c>
      <c r="E554" s="1" t="n">
        <f aca="false">IF(A554="","",D554+Inputs!$B$7)</f>
        <v>62</v>
      </c>
      <c r="F554" s="3" t="n">
        <f aca="false">IF(A554="","",DATE(YEAR(B$2)+D554,MONTH(B$2),DAY(B$2)))</f>
        <v>38508</v>
      </c>
      <c r="G554" s="3" t="n">
        <f aca="false">IF(A554="","",DATE(YEAR(F554)+1,MONTH(F554),DAY(F554)))</f>
        <v>38873</v>
      </c>
      <c r="H554" s="10" t="n">
        <f aca="false">IF(A554="","",IF(G554&gt;F554,(B554-F554)/(G554-F554),0))</f>
        <v>0.0684931506849315</v>
      </c>
      <c r="I554" s="10" t="n">
        <f aca="false">IF(A554="","",IFERROR(INDEX(CV_RATES!$I:$I,MATCH(D554,CV_RATES!$C:$C,0)),0))</f>
        <v>724.582820938667</v>
      </c>
      <c r="J554" s="10" t="n">
        <f aca="false">IF(A554="","",IFERROR(IF(E554=MAX(MORTALITY!$A:$A),1000,INDEX(CV_RATES!$J:$J,MATCH(D554,CV_RATES!$C:$C,0))),0))</f>
        <v>734.416497865582</v>
      </c>
      <c r="K554" s="10" t="n">
        <f aca="false">IF(A554="","",IFERROR(I554+H554*(J554-I554),0))</f>
        <v>725.256360454209</v>
      </c>
      <c r="L554" s="10" t="n">
        <f aca="false">IF(A554="","",IFERROR(K554*Inputs!$B$9,0))</f>
        <v>36262.8180227104</v>
      </c>
      <c r="M554" s="10" t="n">
        <f aca="false">IF(A554="","",IFERROR(K554*Inputs!$B$10,0))</f>
        <v>116038.841903592</v>
      </c>
      <c r="N554" s="10" t="n">
        <f aca="false">IF(A554="","",Z553)</f>
        <v>0</v>
      </c>
      <c r="O554" s="6" t="n">
        <f aca="false">IF(A554="","",Inputs!$B$18+N554)</f>
        <v>50000</v>
      </c>
      <c r="P554" s="5" t="n">
        <f aca="false">IF(A554="","",VLOOKUP(D554,DIvidend_Assumption!$A$3:$CX$103,($E$2+2),0)/12)</f>
        <v>0</v>
      </c>
      <c r="Q554" s="10" t="n">
        <f aca="false">IF(A554="","",IFERROR(AB553*P554,""))</f>
        <v>0</v>
      </c>
      <c r="R554" s="10" t="n">
        <f aca="false">IF(A554="","",IFERROR(IF(Inputs!$B$22="Accumulate",T554+Q554,IF(Inputs!$B$22="Premium Offset",MAX(0,T554+Q554-Inputs!$B$25),T554)),""))</f>
        <v>0</v>
      </c>
      <c r="S554" s="10" t="n">
        <f aca="false">IF(A554="","",R553)</f>
        <v>0</v>
      </c>
      <c r="T554" s="10" t="n">
        <f aca="false">IF(A554="","",IFERROR(S554*(1+Inputs!$B$23/12),""))</f>
        <v>0</v>
      </c>
      <c r="U554" s="6" t="n">
        <f aca="false">IF(A554="","",IF(D554&lt;=Inputs!$B$8,IF(Inputs!$B$22="Premium Offset",MAX(0,Inputs!$B$25-(Q554+T554)),Inputs!$B$25),0))</f>
        <v>0</v>
      </c>
      <c r="V554" s="10" t="n">
        <f aca="false">IF(A554="","",IF(Inputs!$B$22="Cash",Q554,0))</f>
        <v>0</v>
      </c>
      <c r="W554" s="10" t="n">
        <f aca="false">IF(A554="","",IF(Inputs!$B$22="PUA",Q554,0))</f>
        <v>0</v>
      </c>
      <c r="X554" s="12" t="n">
        <f aca="false">IF(A554="","",IFERROR(INDEX(PUA_TABLE!$D$4:$D$105,MATCH(E554,PUA_TABLE!$C$4:$C$105,1)),0))</f>
        <v>0.724582820938667</v>
      </c>
      <c r="Y554" s="10" t="n">
        <f aca="false">IF(A554="","",IF(W554&gt;0,IF(X554&gt;0,W554/X554,0),0))</f>
        <v>0</v>
      </c>
      <c r="Z554" s="10" t="n">
        <f aca="false">IF(A554="","",N554+Y554)</f>
        <v>0</v>
      </c>
      <c r="AA554" s="10" t="n">
        <f aca="false">IF(A554="","",IFERROR(Z554*INDEX(PUA_TABLE!$I$4:$I$105,MATCH(E554,PUA_TABLE!$C$4:$C$105,1))/1000,0))</f>
        <v>0</v>
      </c>
      <c r="AB554" s="10" t="n">
        <f aca="false">IF(A554="","",IFERROR(L554+AA554,0))</f>
        <v>36262.8180227104</v>
      </c>
      <c r="AC554" s="10" t="n">
        <f aca="false">IF(A554="","",IF(Inputs!$B$22="Premium Offset",MIN(Inputs!$B$25,Q554+T554),0))</f>
        <v>0</v>
      </c>
    </row>
    <row r="555" customFormat="false" ht="15" hidden="false" customHeight="false" outlineLevel="0" collapsed="false">
      <c r="A555" s="1" t="n">
        <f aca="false">IF(A554="","",IF(INT((C554+1)/12)+Inputs!$B$7&gt;MAX(MORTALITY!$A:$A),"",Inputs!$B$4))</f>
        <v>34</v>
      </c>
      <c r="B555" s="3" t="n">
        <f aca="false">IF(A555="","",EOMONTH(B554,1))</f>
        <v>38564</v>
      </c>
      <c r="C555" s="1" t="n">
        <f aca="false">IF(A555="","",C554+1)</f>
        <v>553</v>
      </c>
      <c r="D555" s="1" t="n">
        <f aca="false">IF(A555="","",INT(C555/12))</f>
        <v>46</v>
      </c>
      <c r="E555" s="1" t="n">
        <f aca="false">IF(A555="","",D555+Inputs!$B$7)</f>
        <v>62</v>
      </c>
      <c r="F555" s="3" t="n">
        <f aca="false">IF(A555="","",DATE(YEAR(B$2)+D555,MONTH(B$2),DAY(B$2)))</f>
        <v>38508</v>
      </c>
      <c r="G555" s="3" t="n">
        <f aca="false">IF(A555="","",DATE(YEAR(F555)+1,MONTH(F555),DAY(F555)))</f>
        <v>38873</v>
      </c>
      <c r="H555" s="10" t="n">
        <f aca="false">IF(A555="","",IF(G555&gt;F555,(B555-F555)/(G555-F555),0))</f>
        <v>0.153424657534247</v>
      </c>
      <c r="I555" s="10" t="n">
        <f aca="false">IF(A555="","",IFERROR(INDEX(CV_RATES!$I:$I,MATCH(D555,CV_RATES!$C:$C,0)),0))</f>
        <v>724.582820938667</v>
      </c>
      <c r="J555" s="10" t="n">
        <f aca="false">IF(A555="","",IFERROR(IF(E555=MAX(MORTALITY!$A:$A),1000,INDEX(CV_RATES!$J:$J,MATCH(D555,CV_RATES!$C:$C,0))),0))</f>
        <v>734.416497865582</v>
      </c>
      <c r="K555" s="10" t="n">
        <f aca="false">IF(A555="","",IFERROR(I555+H555*(J555-I555),0))</f>
        <v>726.091549453481</v>
      </c>
      <c r="L555" s="10" t="n">
        <f aca="false">IF(A555="","",IFERROR(K555*Inputs!$B$9,0))</f>
        <v>36304.5774726741</v>
      </c>
      <c r="M555" s="10" t="n">
        <f aca="false">IF(A555="","",IFERROR(K555*Inputs!$B$10,0))</f>
        <v>116172.469637909</v>
      </c>
      <c r="N555" s="10" t="n">
        <f aca="false">IF(A555="","",Z554)</f>
        <v>0</v>
      </c>
      <c r="O555" s="6" t="n">
        <f aca="false">IF(A555="","",Inputs!$B$18+N555)</f>
        <v>50000</v>
      </c>
      <c r="P555" s="5" t="n">
        <f aca="false">IF(A555="","",VLOOKUP(D555,DIvidend_Assumption!$A$3:$CX$103,($E$2+2),0)/12)</f>
        <v>0</v>
      </c>
      <c r="Q555" s="10" t="n">
        <f aca="false">IF(A555="","",IFERROR(AB554*P555,""))</f>
        <v>0</v>
      </c>
      <c r="R555" s="10" t="n">
        <f aca="false">IF(A555="","",IFERROR(IF(Inputs!$B$22="Accumulate",T555+Q555,IF(Inputs!$B$22="Premium Offset",MAX(0,T555+Q555-Inputs!$B$25),T555)),""))</f>
        <v>0</v>
      </c>
      <c r="S555" s="10" t="n">
        <f aca="false">IF(A555="","",R554)</f>
        <v>0</v>
      </c>
      <c r="T555" s="10" t="n">
        <f aca="false">IF(A555="","",IFERROR(S555*(1+Inputs!$B$23/12),""))</f>
        <v>0</v>
      </c>
      <c r="U555" s="6" t="n">
        <f aca="false">IF(A555="","",IF(D555&lt;=Inputs!$B$8,IF(Inputs!$B$22="Premium Offset",MAX(0,Inputs!$B$25-(Q555+T555)),Inputs!$B$25),0))</f>
        <v>0</v>
      </c>
      <c r="V555" s="10" t="n">
        <f aca="false">IF(A555="","",IF(Inputs!$B$22="Cash",Q555,0))</f>
        <v>0</v>
      </c>
      <c r="W555" s="10" t="n">
        <f aca="false">IF(A555="","",IF(Inputs!$B$22="PUA",Q555,0))</f>
        <v>0</v>
      </c>
      <c r="X555" s="12" t="n">
        <f aca="false">IF(A555="","",IFERROR(INDEX(PUA_TABLE!$D$4:$D$105,MATCH(E555,PUA_TABLE!$C$4:$C$105,1)),0))</f>
        <v>0.724582820938667</v>
      </c>
      <c r="Y555" s="10" t="n">
        <f aca="false">IF(A555="","",IF(W555&gt;0,IF(X555&gt;0,W555/X555,0),0))</f>
        <v>0</v>
      </c>
      <c r="Z555" s="10" t="n">
        <f aca="false">IF(A555="","",N555+Y555)</f>
        <v>0</v>
      </c>
      <c r="AA555" s="10" t="n">
        <f aca="false">IF(A555="","",IFERROR(Z555*INDEX(PUA_TABLE!$I$4:$I$105,MATCH(E555,PUA_TABLE!$C$4:$C$105,1))/1000,0))</f>
        <v>0</v>
      </c>
      <c r="AB555" s="10" t="n">
        <f aca="false">IF(A555="","",IFERROR(L555+AA555,0))</f>
        <v>36304.5774726741</v>
      </c>
      <c r="AC555" s="10" t="n">
        <f aca="false">IF(A555="","",IF(Inputs!$B$22="Premium Offset",MIN(Inputs!$B$25,Q555+T555),0))</f>
        <v>0</v>
      </c>
    </row>
    <row r="556" customFormat="false" ht="15" hidden="false" customHeight="false" outlineLevel="0" collapsed="false">
      <c r="A556" s="1" t="n">
        <f aca="false">IF(A555="","",IF(INT((C555+1)/12)+Inputs!$B$7&gt;MAX(MORTALITY!$A:$A),"",Inputs!$B$4))</f>
        <v>34</v>
      </c>
      <c r="B556" s="3" t="n">
        <f aca="false">IF(A556="","",EOMONTH(B555,1))</f>
        <v>38595</v>
      </c>
      <c r="C556" s="1" t="n">
        <f aca="false">IF(A556="","",C555+1)</f>
        <v>554</v>
      </c>
      <c r="D556" s="1" t="n">
        <f aca="false">IF(A556="","",INT(C556/12))</f>
        <v>46</v>
      </c>
      <c r="E556" s="1" t="n">
        <f aca="false">IF(A556="","",D556+Inputs!$B$7)</f>
        <v>62</v>
      </c>
      <c r="F556" s="3" t="n">
        <f aca="false">IF(A556="","",DATE(YEAR(B$2)+D556,MONTH(B$2),DAY(B$2)))</f>
        <v>38508</v>
      </c>
      <c r="G556" s="3" t="n">
        <f aca="false">IF(A556="","",DATE(YEAR(F556)+1,MONTH(F556),DAY(F556)))</f>
        <v>38873</v>
      </c>
      <c r="H556" s="10" t="n">
        <f aca="false">IF(A556="","",IF(G556&gt;F556,(B556-F556)/(G556-F556),0))</f>
        <v>0.238356164383562</v>
      </c>
      <c r="I556" s="10" t="n">
        <f aca="false">IF(A556="","",IFERROR(INDEX(CV_RATES!$I:$I,MATCH(D556,CV_RATES!$C:$C,0)),0))</f>
        <v>724.582820938667</v>
      </c>
      <c r="J556" s="10" t="n">
        <f aca="false">IF(A556="","",IFERROR(IF(E556=MAX(MORTALITY!$A:$A),1000,INDEX(CV_RATES!$J:$J,MATCH(D556,CV_RATES!$C:$C,0))),0))</f>
        <v>734.416497865582</v>
      </c>
      <c r="K556" s="10" t="n">
        <f aca="false">IF(A556="","",IFERROR(I556+H556*(J556-I556),0))</f>
        <v>726.926738452753</v>
      </c>
      <c r="L556" s="10" t="n">
        <f aca="false">IF(A556="","",IFERROR(K556*Inputs!$B$9,0))</f>
        <v>36346.3369226377</v>
      </c>
      <c r="M556" s="10" t="n">
        <f aca="false">IF(A556="","",IFERROR(K556*Inputs!$B$10,0))</f>
        <v>116306.097372225</v>
      </c>
      <c r="N556" s="10" t="n">
        <f aca="false">IF(A556="","",Z555)</f>
        <v>0</v>
      </c>
      <c r="O556" s="6" t="n">
        <f aca="false">IF(A556="","",Inputs!$B$18+N556)</f>
        <v>50000</v>
      </c>
      <c r="P556" s="5" t="n">
        <f aca="false">IF(A556="","",VLOOKUP(D556,DIvidend_Assumption!$A$3:$CX$103,($E$2+2),0)/12)</f>
        <v>0</v>
      </c>
      <c r="Q556" s="10" t="n">
        <f aca="false">IF(A556="","",IFERROR(AB555*P556,""))</f>
        <v>0</v>
      </c>
      <c r="R556" s="10" t="n">
        <f aca="false">IF(A556="","",IFERROR(IF(Inputs!$B$22="Accumulate",T556+Q556,IF(Inputs!$B$22="Premium Offset",MAX(0,T556+Q556-Inputs!$B$25),T556)),""))</f>
        <v>0</v>
      </c>
      <c r="S556" s="10" t="n">
        <f aca="false">IF(A556="","",R555)</f>
        <v>0</v>
      </c>
      <c r="T556" s="10" t="n">
        <f aca="false">IF(A556="","",IFERROR(S556*(1+Inputs!$B$23/12),""))</f>
        <v>0</v>
      </c>
      <c r="U556" s="6" t="n">
        <f aca="false">IF(A556="","",IF(D556&lt;=Inputs!$B$8,IF(Inputs!$B$22="Premium Offset",MAX(0,Inputs!$B$25-(Q556+T556)),Inputs!$B$25),0))</f>
        <v>0</v>
      </c>
      <c r="V556" s="10" t="n">
        <f aca="false">IF(A556="","",IF(Inputs!$B$22="Cash",Q556,0))</f>
        <v>0</v>
      </c>
      <c r="W556" s="10" t="n">
        <f aca="false">IF(A556="","",IF(Inputs!$B$22="PUA",Q556,0))</f>
        <v>0</v>
      </c>
      <c r="X556" s="12" t="n">
        <f aca="false">IF(A556="","",IFERROR(INDEX(PUA_TABLE!$D$4:$D$105,MATCH(E556,PUA_TABLE!$C$4:$C$105,1)),0))</f>
        <v>0.724582820938667</v>
      </c>
      <c r="Y556" s="10" t="n">
        <f aca="false">IF(A556="","",IF(W556&gt;0,IF(X556&gt;0,W556/X556,0),0))</f>
        <v>0</v>
      </c>
      <c r="Z556" s="10" t="n">
        <f aca="false">IF(A556="","",N556+Y556)</f>
        <v>0</v>
      </c>
      <c r="AA556" s="10" t="n">
        <f aca="false">IF(A556="","",IFERROR(Z556*INDEX(PUA_TABLE!$I$4:$I$105,MATCH(E556,PUA_TABLE!$C$4:$C$105,1))/1000,0))</f>
        <v>0</v>
      </c>
      <c r="AB556" s="10" t="n">
        <f aca="false">IF(A556="","",IFERROR(L556+AA556,0))</f>
        <v>36346.3369226377</v>
      </c>
      <c r="AC556" s="10" t="n">
        <f aca="false">IF(A556="","",IF(Inputs!$B$22="Premium Offset",MIN(Inputs!$B$25,Q556+T556),0))</f>
        <v>0</v>
      </c>
    </row>
    <row r="557" customFormat="false" ht="15" hidden="false" customHeight="false" outlineLevel="0" collapsed="false">
      <c r="A557" s="1" t="n">
        <f aca="false">IF(A556="","",IF(INT((C556+1)/12)+Inputs!$B$7&gt;MAX(MORTALITY!$A:$A),"",Inputs!$B$4))</f>
        <v>34</v>
      </c>
      <c r="B557" s="3" t="n">
        <f aca="false">IF(A557="","",EOMONTH(B556,1))</f>
        <v>38625</v>
      </c>
      <c r="C557" s="1" t="n">
        <f aca="false">IF(A557="","",C556+1)</f>
        <v>555</v>
      </c>
      <c r="D557" s="1" t="n">
        <f aca="false">IF(A557="","",INT(C557/12))</f>
        <v>46</v>
      </c>
      <c r="E557" s="1" t="n">
        <f aca="false">IF(A557="","",D557+Inputs!$B$7)</f>
        <v>62</v>
      </c>
      <c r="F557" s="3" t="n">
        <f aca="false">IF(A557="","",DATE(YEAR(B$2)+D557,MONTH(B$2),DAY(B$2)))</f>
        <v>38508</v>
      </c>
      <c r="G557" s="3" t="n">
        <f aca="false">IF(A557="","",DATE(YEAR(F557)+1,MONTH(F557),DAY(F557)))</f>
        <v>38873</v>
      </c>
      <c r="H557" s="10" t="n">
        <f aca="false">IF(A557="","",IF(G557&gt;F557,(B557-F557)/(G557-F557),0))</f>
        <v>0.320547945205479</v>
      </c>
      <c r="I557" s="10" t="n">
        <f aca="false">IF(A557="","",IFERROR(INDEX(CV_RATES!$I:$I,MATCH(D557,CV_RATES!$C:$C,0)),0))</f>
        <v>724.582820938667</v>
      </c>
      <c r="J557" s="10" t="n">
        <f aca="false">IF(A557="","",IFERROR(IF(E557=MAX(MORTALITY!$A:$A),1000,INDEX(CV_RATES!$J:$J,MATCH(D557,CV_RATES!$C:$C,0))),0))</f>
        <v>734.416497865582</v>
      </c>
      <c r="K557" s="10" t="n">
        <f aca="false">IF(A557="","",IFERROR(I557+H557*(J557-I557),0))</f>
        <v>727.734985871404</v>
      </c>
      <c r="L557" s="10" t="n">
        <f aca="false">IF(A557="","",IFERROR(K557*Inputs!$B$9,0))</f>
        <v>36386.7492935702</v>
      </c>
      <c r="M557" s="10" t="n">
        <f aca="false">IF(A557="","",IFERROR(K557*Inputs!$B$10,0))</f>
        <v>116435.414534467</v>
      </c>
      <c r="N557" s="10" t="n">
        <f aca="false">IF(A557="","",Z556)</f>
        <v>0</v>
      </c>
      <c r="O557" s="6" t="n">
        <f aca="false">IF(A557="","",Inputs!$B$18+N557)</f>
        <v>50000</v>
      </c>
      <c r="P557" s="5" t="n">
        <f aca="false">IF(A557="","",VLOOKUP(D557,DIvidend_Assumption!$A$3:$CX$103,($E$2+2),0)/12)</f>
        <v>0</v>
      </c>
      <c r="Q557" s="10" t="n">
        <f aca="false">IF(A557="","",IFERROR(AB556*P557,""))</f>
        <v>0</v>
      </c>
      <c r="R557" s="10" t="n">
        <f aca="false">IF(A557="","",IFERROR(IF(Inputs!$B$22="Accumulate",T557+Q557,IF(Inputs!$B$22="Premium Offset",MAX(0,T557+Q557-Inputs!$B$25),T557)),""))</f>
        <v>0</v>
      </c>
      <c r="S557" s="10" t="n">
        <f aca="false">IF(A557="","",R556)</f>
        <v>0</v>
      </c>
      <c r="T557" s="10" t="n">
        <f aca="false">IF(A557="","",IFERROR(S557*(1+Inputs!$B$23/12),""))</f>
        <v>0</v>
      </c>
      <c r="U557" s="6" t="n">
        <f aca="false">IF(A557="","",IF(D557&lt;=Inputs!$B$8,IF(Inputs!$B$22="Premium Offset",MAX(0,Inputs!$B$25-(Q557+T557)),Inputs!$B$25),0))</f>
        <v>0</v>
      </c>
      <c r="V557" s="10" t="n">
        <f aca="false">IF(A557="","",IF(Inputs!$B$22="Cash",Q557,0))</f>
        <v>0</v>
      </c>
      <c r="W557" s="10" t="n">
        <f aca="false">IF(A557="","",IF(Inputs!$B$22="PUA",Q557,0))</f>
        <v>0</v>
      </c>
      <c r="X557" s="12" t="n">
        <f aca="false">IF(A557="","",IFERROR(INDEX(PUA_TABLE!$D$4:$D$105,MATCH(E557,PUA_TABLE!$C$4:$C$105,1)),0))</f>
        <v>0.724582820938667</v>
      </c>
      <c r="Y557" s="10" t="n">
        <f aca="false">IF(A557="","",IF(W557&gt;0,IF(X557&gt;0,W557/X557,0),0))</f>
        <v>0</v>
      </c>
      <c r="Z557" s="10" t="n">
        <f aca="false">IF(A557="","",N557+Y557)</f>
        <v>0</v>
      </c>
      <c r="AA557" s="10" t="n">
        <f aca="false">IF(A557="","",IFERROR(Z557*INDEX(PUA_TABLE!$I$4:$I$105,MATCH(E557,PUA_TABLE!$C$4:$C$105,1))/1000,0))</f>
        <v>0</v>
      </c>
      <c r="AB557" s="10" t="n">
        <f aca="false">IF(A557="","",IFERROR(L557+AA557,0))</f>
        <v>36386.7492935702</v>
      </c>
      <c r="AC557" s="10" t="n">
        <f aca="false">IF(A557="","",IF(Inputs!$B$22="Premium Offset",MIN(Inputs!$B$25,Q557+T557),0))</f>
        <v>0</v>
      </c>
    </row>
    <row r="558" customFormat="false" ht="15" hidden="false" customHeight="false" outlineLevel="0" collapsed="false">
      <c r="A558" s="1" t="n">
        <f aca="false">IF(A557="","",IF(INT((C557+1)/12)+Inputs!$B$7&gt;MAX(MORTALITY!$A:$A),"",Inputs!$B$4))</f>
        <v>34</v>
      </c>
      <c r="B558" s="3" t="n">
        <f aca="false">IF(A558="","",EOMONTH(B557,1))</f>
        <v>38656</v>
      </c>
      <c r="C558" s="1" t="n">
        <f aca="false">IF(A558="","",C557+1)</f>
        <v>556</v>
      </c>
      <c r="D558" s="1" t="n">
        <f aca="false">IF(A558="","",INT(C558/12))</f>
        <v>46</v>
      </c>
      <c r="E558" s="1" t="n">
        <f aca="false">IF(A558="","",D558+Inputs!$B$7)</f>
        <v>62</v>
      </c>
      <c r="F558" s="3" t="n">
        <f aca="false">IF(A558="","",DATE(YEAR(B$2)+D558,MONTH(B$2),DAY(B$2)))</f>
        <v>38508</v>
      </c>
      <c r="G558" s="3" t="n">
        <f aca="false">IF(A558="","",DATE(YEAR(F558)+1,MONTH(F558),DAY(F558)))</f>
        <v>38873</v>
      </c>
      <c r="H558" s="10" t="n">
        <f aca="false">IF(A558="","",IF(G558&gt;F558,(B558-F558)/(G558-F558),0))</f>
        <v>0.405479452054795</v>
      </c>
      <c r="I558" s="10" t="n">
        <f aca="false">IF(A558="","",IFERROR(INDEX(CV_RATES!$I:$I,MATCH(D558,CV_RATES!$C:$C,0)),0))</f>
        <v>724.582820938667</v>
      </c>
      <c r="J558" s="10" t="n">
        <f aca="false">IF(A558="","",IFERROR(IF(E558=MAX(MORTALITY!$A:$A),1000,INDEX(CV_RATES!$J:$J,MATCH(D558,CV_RATES!$C:$C,0))),0))</f>
        <v>734.416497865582</v>
      </c>
      <c r="K558" s="10" t="n">
        <f aca="false">IF(A558="","",IFERROR(I558+H558*(J558-I558),0))</f>
        <v>728.570174870676</v>
      </c>
      <c r="L558" s="10" t="n">
        <f aca="false">IF(A558="","",IFERROR(K558*Inputs!$B$9,0))</f>
        <v>36428.5087435338</v>
      </c>
      <c r="M558" s="10" t="n">
        <f aca="false">IF(A558="","",IFERROR(K558*Inputs!$B$10,0))</f>
        <v>116569.042268784</v>
      </c>
      <c r="N558" s="10" t="n">
        <f aca="false">IF(A558="","",Z557)</f>
        <v>0</v>
      </c>
      <c r="O558" s="6" t="n">
        <f aca="false">IF(A558="","",Inputs!$B$18+N558)</f>
        <v>50000</v>
      </c>
      <c r="P558" s="5" t="n">
        <f aca="false">IF(A558="","",VLOOKUP(D558,DIvidend_Assumption!$A$3:$CX$103,($E$2+2),0)/12)</f>
        <v>0</v>
      </c>
      <c r="Q558" s="10" t="n">
        <f aca="false">IF(A558="","",IFERROR(AB557*P558,""))</f>
        <v>0</v>
      </c>
      <c r="R558" s="10" t="n">
        <f aca="false">IF(A558="","",IFERROR(IF(Inputs!$B$22="Accumulate",T558+Q558,IF(Inputs!$B$22="Premium Offset",MAX(0,T558+Q558-Inputs!$B$25),T558)),""))</f>
        <v>0</v>
      </c>
      <c r="S558" s="10" t="n">
        <f aca="false">IF(A558="","",R557)</f>
        <v>0</v>
      </c>
      <c r="T558" s="10" t="n">
        <f aca="false">IF(A558="","",IFERROR(S558*(1+Inputs!$B$23/12),""))</f>
        <v>0</v>
      </c>
      <c r="U558" s="6" t="n">
        <f aca="false">IF(A558="","",IF(D558&lt;=Inputs!$B$8,IF(Inputs!$B$22="Premium Offset",MAX(0,Inputs!$B$25-(Q558+T558)),Inputs!$B$25),0))</f>
        <v>0</v>
      </c>
      <c r="V558" s="10" t="n">
        <f aca="false">IF(A558="","",IF(Inputs!$B$22="Cash",Q558,0))</f>
        <v>0</v>
      </c>
      <c r="W558" s="10" t="n">
        <f aca="false">IF(A558="","",IF(Inputs!$B$22="PUA",Q558,0))</f>
        <v>0</v>
      </c>
      <c r="X558" s="12" t="n">
        <f aca="false">IF(A558="","",IFERROR(INDEX(PUA_TABLE!$D$4:$D$105,MATCH(E558,PUA_TABLE!$C$4:$C$105,1)),0))</f>
        <v>0.724582820938667</v>
      </c>
      <c r="Y558" s="10" t="n">
        <f aca="false">IF(A558="","",IF(W558&gt;0,IF(X558&gt;0,W558/X558,0),0))</f>
        <v>0</v>
      </c>
      <c r="Z558" s="10" t="n">
        <f aca="false">IF(A558="","",N558+Y558)</f>
        <v>0</v>
      </c>
      <c r="AA558" s="10" t="n">
        <f aca="false">IF(A558="","",IFERROR(Z558*INDEX(PUA_TABLE!$I$4:$I$105,MATCH(E558,PUA_TABLE!$C$4:$C$105,1))/1000,0))</f>
        <v>0</v>
      </c>
      <c r="AB558" s="10" t="n">
        <f aca="false">IF(A558="","",IFERROR(L558+AA558,0))</f>
        <v>36428.5087435338</v>
      </c>
      <c r="AC558" s="10" t="n">
        <f aca="false">IF(A558="","",IF(Inputs!$B$22="Premium Offset",MIN(Inputs!$B$25,Q558+T558),0))</f>
        <v>0</v>
      </c>
    </row>
    <row r="559" customFormat="false" ht="15" hidden="false" customHeight="false" outlineLevel="0" collapsed="false">
      <c r="A559" s="1" t="n">
        <f aca="false">IF(A558="","",IF(INT((C558+1)/12)+Inputs!$B$7&gt;MAX(MORTALITY!$A:$A),"",Inputs!$B$4))</f>
        <v>34</v>
      </c>
      <c r="B559" s="3" t="n">
        <f aca="false">IF(A559="","",EOMONTH(B558,1))</f>
        <v>38686</v>
      </c>
      <c r="C559" s="1" t="n">
        <f aca="false">IF(A559="","",C558+1)</f>
        <v>557</v>
      </c>
      <c r="D559" s="1" t="n">
        <f aca="false">IF(A559="","",INT(C559/12))</f>
        <v>46</v>
      </c>
      <c r="E559" s="1" t="n">
        <f aca="false">IF(A559="","",D559+Inputs!$B$7)</f>
        <v>62</v>
      </c>
      <c r="F559" s="3" t="n">
        <f aca="false">IF(A559="","",DATE(YEAR(B$2)+D559,MONTH(B$2),DAY(B$2)))</f>
        <v>38508</v>
      </c>
      <c r="G559" s="3" t="n">
        <f aca="false">IF(A559="","",DATE(YEAR(F559)+1,MONTH(F559),DAY(F559)))</f>
        <v>38873</v>
      </c>
      <c r="H559" s="10" t="n">
        <f aca="false">IF(A559="","",IF(G559&gt;F559,(B559-F559)/(G559-F559),0))</f>
        <v>0.487671232876712</v>
      </c>
      <c r="I559" s="10" t="n">
        <f aca="false">IF(A559="","",IFERROR(INDEX(CV_RATES!$I:$I,MATCH(D559,CV_RATES!$C:$C,0)),0))</f>
        <v>724.582820938667</v>
      </c>
      <c r="J559" s="10" t="n">
        <f aca="false">IF(A559="","",IFERROR(IF(E559=MAX(MORTALITY!$A:$A),1000,INDEX(CV_RATES!$J:$J,MATCH(D559,CV_RATES!$C:$C,0))),0))</f>
        <v>734.416497865582</v>
      </c>
      <c r="K559" s="10" t="n">
        <f aca="false">IF(A559="","",IFERROR(I559+H559*(J559-I559),0))</f>
        <v>729.378422289327</v>
      </c>
      <c r="L559" s="10" t="n">
        <f aca="false">IF(A559="","",IFERROR(K559*Inputs!$B$9,0))</f>
        <v>36468.9211144663</v>
      </c>
      <c r="M559" s="10" t="n">
        <f aca="false">IF(A559="","",IFERROR(K559*Inputs!$B$10,0))</f>
        <v>116698.359431025</v>
      </c>
      <c r="N559" s="10" t="n">
        <f aca="false">IF(A559="","",Z558)</f>
        <v>0</v>
      </c>
      <c r="O559" s="6" t="n">
        <f aca="false">IF(A559="","",Inputs!$B$18+N559)</f>
        <v>50000</v>
      </c>
      <c r="P559" s="5" t="n">
        <f aca="false">IF(A559="","",VLOOKUP(D559,DIvidend_Assumption!$A$3:$CX$103,($E$2+2),0)/12)</f>
        <v>0</v>
      </c>
      <c r="Q559" s="10" t="n">
        <f aca="false">IF(A559="","",IFERROR(AB558*P559,""))</f>
        <v>0</v>
      </c>
      <c r="R559" s="10" t="n">
        <f aca="false">IF(A559="","",IFERROR(IF(Inputs!$B$22="Accumulate",T559+Q559,IF(Inputs!$B$22="Premium Offset",MAX(0,T559+Q559-Inputs!$B$25),T559)),""))</f>
        <v>0</v>
      </c>
      <c r="S559" s="10" t="n">
        <f aca="false">IF(A559="","",R558)</f>
        <v>0</v>
      </c>
      <c r="T559" s="10" t="n">
        <f aca="false">IF(A559="","",IFERROR(S559*(1+Inputs!$B$23/12),""))</f>
        <v>0</v>
      </c>
      <c r="U559" s="6" t="n">
        <f aca="false">IF(A559="","",IF(D559&lt;=Inputs!$B$8,IF(Inputs!$B$22="Premium Offset",MAX(0,Inputs!$B$25-(Q559+T559)),Inputs!$B$25),0))</f>
        <v>0</v>
      </c>
      <c r="V559" s="10" t="n">
        <f aca="false">IF(A559="","",IF(Inputs!$B$22="Cash",Q559,0))</f>
        <v>0</v>
      </c>
      <c r="W559" s="10" t="n">
        <f aca="false">IF(A559="","",IF(Inputs!$B$22="PUA",Q559,0))</f>
        <v>0</v>
      </c>
      <c r="X559" s="12" t="n">
        <f aca="false">IF(A559="","",IFERROR(INDEX(PUA_TABLE!$D$4:$D$105,MATCH(E559,PUA_TABLE!$C$4:$C$105,1)),0))</f>
        <v>0.724582820938667</v>
      </c>
      <c r="Y559" s="10" t="n">
        <f aca="false">IF(A559="","",IF(W559&gt;0,IF(X559&gt;0,W559/X559,0),0))</f>
        <v>0</v>
      </c>
      <c r="Z559" s="10" t="n">
        <f aca="false">IF(A559="","",N559+Y559)</f>
        <v>0</v>
      </c>
      <c r="AA559" s="10" t="n">
        <f aca="false">IF(A559="","",IFERROR(Z559*INDEX(PUA_TABLE!$I$4:$I$105,MATCH(E559,PUA_TABLE!$C$4:$C$105,1))/1000,0))</f>
        <v>0</v>
      </c>
      <c r="AB559" s="10" t="n">
        <f aca="false">IF(A559="","",IFERROR(L559+AA559,0))</f>
        <v>36468.9211144663</v>
      </c>
      <c r="AC559" s="10" t="n">
        <f aca="false">IF(A559="","",IF(Inputs!$B$22="Premium Offset",MIN(Inputs!$B$25,Q559+T559),0))</f>
        <v>0</v>
      </c>
    </row>
    <row r="560" customFormat="false" ht="15" hidden="false" customHeight="false" outlineLevel="0" collapsed="false">
      <c r="A560" s="1" t="n">
        <f aca="false">IF(A559="","",IF(INT((C559+1)/12)+Inputs!$B$7&gt;MAX(MORTALITY!$A:$A),"",Inputs!$B$4))</f>
        <v>34</v>
      </c>
      <c r="B560" s="3" t="n">
        <f aca="false">IF(A560="","",EOMONTH(B559,1))</f>
        <v>38717</v>
      </c>
      <c r="C560" s="1" t="n">
        <f aca="false">IF(A560="","",C559+1)</f>
        <v>558</v>
      </c>
      <c r="D560" s="1" t="n">
        <f aca="false">IF(A560="","",INT(C560/12))</f>
        <v>46</v>
      </c>
      <c r="E560" s="1" t="n">
        <f aca="false">IF(A560="","",D560+Inputs!$B$7)</f>
        <v>62</v>
      </c>
      <c r="F560" s="3" t="n">
        <f aca="false">IF(A560="","",DATE(YEAR(B$2)+D560,MONTH(B$2),DAY(B$2)))</f>
        <v>38508</v>
      </c>
      <c r="G560" s="3" t="n">
        <f aca="false">IF(A560="","",DATE(YEAR(F560)+1,MONTH(F560),DAY(F560)))</f>
        <v>38873</v>
      </c>
      <c r="H560" s="10" t="n">
        <f aca="false">IF(A560="","",IF(G560&gt;F560,(B560-F560)/(G560-F560),0))</f>
        <v>0.572602739726027</v>
      </c>
      <c r="I560" s="10" t="n">
        <f aca="false">IF(A560="","",IFERROR(INDEX(CV_RATES!$I:$I,MATCH(D560,CV_RATES!$C:$C,0)),0))</f>
        <v>724.582820938667</v>
      </c>
      <c r="J560" s="10" t="n">
        <f aca="false">IF(A560="","",IFERROR(IF(E560=MAX(MORTALITY!$A:$A),1000,INDEX(CV_RATES!$J:$J,MATCH(D560,CV_RATES!$C:$C,0))),0))</f>
        <v>734.416497865582</v>
      </c>
      <c r="K560" s="10" t="n">
        <f aca="false">IF(A560="","",IFERROR(I560+H560*(J560-I560),0))</f>
        <v>730.213611288599</v>
      </c>
      <c r="L560" s="10" t="n">
        <f aca="false">IF(A560="","",IFERROR(K560*Inputs!$B$9,0))</f>
        <v>36510.6805644299</v>
      </c>
      <c r="M560" s="10" t="n">
        <f aca="false">IF(A560="","",IFERROR(K560*Inputs!$B$10,0))</f>
        <v>116831.987165342</v>
      </c>
      <c r="N560" s="10" t="n">
        <f aca="false">IF(A560="","",Z559)</f>
        <v>0</v>
      </c>
      <c r="O560" s="6" t="n">
        <f aca="false">IF(A560="","",Inputs!$B$18+N560)</f>
        <v>50000</v>
      </c>
      <c r="P560" s="5" t="n">
        <f aca="false">IF(A560="","",VLOOKUP(D560,DIvidend_Assumption!$A$3:$CX$103,($E$2+2),0)/12)</f>
        <v>0</v>
      </c>
      <c r="Q560" s="10" t="n">
        <f aca="false">IF(A560="","",IFERROR(AB559*P560,""))</f>
        <v>0</v>
      </c>
      <c r="R560" s="10" t="n">
        <f aca="false">IF(A560="","",IFERROR(IF(Inputs!$B$22="Accumulate",T560+Q560,IF(Inputs!$B$22="Premium Offset",MAX(0,T560+Q560-Inputs!$B$25),T560)),""))</f>
        <v>0</v>
      </c>
      <c r="S560" s="10" t="n">
        <f aca="false">IF(A560="","",R559)</f>
        <v>0</v>
      </c>
      <c r="T560" s="10" t="n">
        <f aca="false">IF(A560="","",IFERROR(S560*(1+Inputs!$B$23/12),""))</f>
        <v>0</v>
      </c>
      <c r="U560" s="6" t="n">
        <f aca="false">IF(A560="","",IF(D560&lt;=Inputs!$B$8,IF(Inputs!$B$22="Premium Offset",MAX(0,Inputs!$B$25-(Q560+T560)),Inputs!$B$25),0))</f>
        <v>0</v>
      </c>
      <c r="V560" s="10" t="n">
        <f aca="false">IF(A560="","",IF(Inputs!$B$22="Cash",Q560,0))</f>
        <v>0</v>
      </c>
      <c r="W560" s="10" t="n">
        <f aca="false">IF(A560="","",IF(Inputs!$B$22="PUA",Q560,0))</f>
        <v>0</v>
      </c>
      <c r="X560" s="12" t="n">
        <f aca="false">IF(A560="","",IFERROR(INDEX(PUA_TABLE!$D$4:$D$105,MATCH(E560,PUA_TABLE!$C$4:$C$105,1)),0))</f>
        <v>0.724582820938667</v>
      </c>
      <c r="Y560" s="10" t="n">
        <f aca="false">IF(A560="","",IF(W560&gt;0,IF(X560&gt;0,W560/X560,0),0))</f>
        <v>0</v>
      </c>
      <c r="Z560" s="10" t="n">
        <f aca="false">IF(A560="","",N560+Y560)</f>
        <v>0</v>
      </c>
      <c r="AA560" s="10" t="n">
        <f aca="false">IF(A560="","",IFERROR(Z560*INDEX(PUA_TABLE!$I$4:$I$105,MATCH(E560,PUA_TABLE!$C$4:$C$105,1))/1000,0))</f>
        <v>0</v>
      </c>
      <c r="AB560" s="10" t="n">
        <f aca="false">IF(A560="","",IFERROR(L560+AA560,0))</f>
        <v>36510.6805644299</v>
      </c>
      <c r="AC560" s="10" t="n">
        <f aca="false">IF(A560="","",IF(Inputs!$B$22="Premium Offset",MIN(Inputs!$B$25,Q560+T560),0))</f>
        <v>0</v>
      </c>
    </row>
    <row r="561" customFormat="false" ht="15" hidden="false" customHeight="false" outlineLevel="0" collapsed="false">
      <c r="A561" s="1" t="n">
        <f aca="false">IF(A560="","",IF(INT((C560+1)/12)+Inputs!$B$7&gt;MAX(MORTALITY!$A:$A),"",Inputs!$B$4))</f>
        <v>34</v>
      </c>
      <c r="B561" s="3" t="n">
        <f aca="false">IF(A561="","",EOMONTH(B560,1))</f>
        <v>38748</v>
      </c>
      <c r="C561" s="1" t="n">
        <f aca="false">IF(A561="","",C560+1)</f>
        <v>559</v>
      </c>
      <c r="D561" s="1" t="n">
        <f aca="false">IF(A561="","",INT(C561/12))</f>
        <v>46</v>
      </c>
      <c r="E561" s="1" t="n">
        <f aca="false">IF(A561="","",D561+Inputs!$B$7)</f>
        <v>62</v>
      </c>
      <c r="F561" s="3" t="n">
        <f aca="false">IF(A561="","",DATE(YEAR(B$2)+D561,MONTH(B$2),DAY(B$2)))</f>
        <v>38508</v>
      </c>
      <c r="G561" s="3" t="n">
        <f aca="false">IF(A561="","",DATE(YEAR(F561)+1,MONTH(F561),DAY(F561)))</f>
        <v>38873</v>
      </c>
      <c r="H561" s="10" t="n">
        <f aca="false">IF(A561="","",IF(G561&gt;F561,(B561-F561)/(G561-F561),0))</f>
        <v>0.657534246575342</v>
      </c>
      <c r="I561" s="10" t="n">
        <f aca="false">IF(A561="","",IFERROR(INDEX(CV_RATES!$I:$I,MATCH(D561,CV_RATES!$C:$C,0)),0))</f>
        <v>724.582820938667</v>
      </c>
      <c r="J561" s="10" t="n">
        <f aca="false">IF(A561="","",IFERROR(IF(E561=MAX(MORTALITY!$A:$A),1000,INDEX(CV_RATES!$J:$J,MATCH(D561,CV_RATES!$C:$C,0))),0))</f>
        <v>734.416497865582</v>
      </c>
      <c r="K561" s="10" t="n">
        <f aca="false">IF(A561="","",IFERROR(I561+H561*(J561-I561),0))</f>
        <v>731.048800287871</v>
      </c>
      <c r="L561" s="10" t="n">
        <f aca="false">IF(A561="","",IFERROR(K561*Inputs!$B$9,0))</f>
        <v>36552.4400143936</v>
      </c>
      <c r="M561" s="10" t="n">
        <f aca="false">IF(A561="","",IFERROR(K561*Inputs!$B$10,0))</f>
        <v>116965.614899659</v>
      </c>
      <c r="N561" s="10" t="n">
        <f aca="false">IF(A561="","",Z560)</f>
        <v>0</v>
      </c>
      <c r="O561" s="6" t="n">
        <f aca="false">IF(A561="","",Inputs!$B$18+N561)</f>
        <v>50000</v>
      </c>
      <c r="P561" s="5" t="n">
        <f aca="false">IF(A561="","",VLOOKUP(D561,DIvidend_Assumption!$A$3:$CX$103,($E$2+2),0)/12)</f>
        <v>0</v>
      </c>
      <c r="Q561" s="10" t="n">
        <f aca="false">IF(A561="","",IFERROR(AB560*P561,""))</f>
        <v>0</v>
      </c>
      <c r="R561" s="10" t="n">
        <f aca="false">IF(A561="","",IFERROR(IF(Inputs!$B$22="Accumulate",T561+Q561,IF(Inputs!$B$22="Premium Offset",MAX(0,T561+Q561-Inputs!$B$25),T561)),""))</f>
        <v>0</v>
      </c>
      <c r="S561" s="10" t="n">
        <f aca="false">IF(A561="","",R560)</f>
        <v>0</v>
      </c>
      <c r="T561" s="10" t="n">
        <f aca="false">IF(A561="","",IFERROR(S561*(1+Inputs!$B$23/12),""))</f>
        <v>0</v>
      </c>
      <c r="U561" s="6" t="n">
        <f aca="false">IF(A561="","",IF(D561&lt;=Inputs!$B$8,IF(Inputs!$B$22="Premium Offset",MAX(0,Inputs!$B$25-(Q561+T561)),Inputs!$B$25),0))</f>
        <v>0</v>
      </c>
      <c r="V561" s="10" t="n">
        <f aca="false">IF(A561="","",IF(Inputs!$B$22="Cash",Q561,0))</f>
        <v>0</v>
      </c>
      <c r="W561" s="10" t="n">
        <f aca="false">IF(A561="","",IF(Inputs!$B$22="PUA",Q561,0))</f>
        <v>0</v>
      </c>
      <c r="X561" s="12" t="n">
        <f aca="false">IF(A561="","",IFERROR(INDEX(PUA_TABLE!$D$4:$D$105,MATCH(E561,PUA_TABLE!$C$4:$C$105,1)),0))</f>
        <v>0.724582820938667</v>
      </c>
      <c r="Y561" s="10" t="n">
        <f aca="false">IF(A561="","",IF(W561&gt;0,IF(X561&gt;0,W561/X561,0),0))</f>
        <v>0</v>
      </c>
      <c r="Z561" s="10" t="n">
        <f aca="false">IF(A561="","",N561+Y561)</f>
        <v>0</v>
      </c>
      <c r="AA561" s="10" t="n">
        <f aca="false">IF(A561="","",IFERROR(Z561*INDEX(PUA_TABLE!$I$4:$I$105,MATCH(E561,PUA_TABLE!$C$4:$C$105,1))/1000,0))</f>
        <v>0</v>
      </c>
      <c r="AB561" s="10" t="n">
        <f aca="false">IF(A561="","",IFERROR(L561+AA561,0))</f>
        <v>36552.4400143936</v>
      </c>
      <c r="AC561" s="10" t="n">
        <f aca="false">IF(A561="","",IF(Inputs!$B$22="Premium Offset",MIN(Inputs!$B$25,Q561+T561),0))</f>
        <v>0</v>
      </c>
    </row>
    <row r="562" customFormat="false" ht="15" hidden="false" customHeight="false" outlineLevel="0" collapsed="false">
      <c r="A562" s="1" t="n">
        <f aca="false">IF(A561="","",IF(INT((C561+1)/12)+Inputs!$B$7&gt;MAX(MORTALITY!$A:$A),"",Inputs!$B$4))</f>
        <v>34</v>
      </c>
      <c r="B562" s="3" t="n">
        <f aca="false">IF(A562="","",EOMONTH(B561,1))</f>
        <v>38776</v>
      </c>
      <c r="C562" s="1" t="n">
        <f aca="false">IF(A562="","",C561+1)</f>
        <v>560</v>
      </c>
      <c r="D562" s="1" t="n">
        <f aca="false">IF(A562="","",INT(C562/12))</f>
        <v>46</v>
      </c>
      <c r="E562" s="1" t="n">
        <f aca="false">IF(A562="","",D562+Inputs!$B$7)</f>
        <v>62</v>
      </c>
      <c r="F562" s="3" t="n">
        <f aca="false">IF(A562="","",DATE(YEAR(B$2)+D562,MONTH(B$2),DAY(B$2)))</f>
        <v>38508</v>
      </c>
      <c r="G562" s="3" t="n">
        <f aca="false">IF(A562="","",DATE(YEAR(F562)+1,MONTH(F562),DAY(F562)))</f>
        <v>38873</v>
      </c>
      <c r="H562" s="10" t="n">
        <f aca="false">IF(A562="","",IF(G562&gt;F562,(B562-F562)/(G562-F562),0))</f>
        <v>0.734246575342466</v>
      </c>
      <c r="I562" s="10" t="n">
        <f aca="false">IF(A562="","",IFERROR(INDEX(CV_RATES!$I:$I,MATCH(D562,CV_RATES!$C:$C,0)),0))</f>
        <v>724.582820938667</v>
      </c>
      <c r="J562" s="10" t="n">
        <f aca="false">IF(A562="","",IFERROR(IF(E562=MAX(MORTALITY!$A:$A),1000,INDEX(CV_RATES!$J:$J,MATCH(D562,CV_RATES!$C:$C,0))),0))</f>
        <v>734.416497865582</v>
      </c>
      <c r="K562" s="10" t="n">
        <f aca="false">IF(A562="","",IFERROR(I562+H562*(J562-I562),0))</f>
        <v>731.803164545278</v>
      </c>
      <c r="L562" s="10" t="n">
        <f aca="false">IF(A562="","",IFERROR(K562*Inputs!$B$9,0))</f>
        <v>36590.1582272639</v>
      </c>
      <c r="M562" s="10" t="n">
        <f aca="false">IF(A562="","",IFERROR(K562*Inputs!$B$10,0))</f>
        <v>117086.310917751</v>
      </c>
      <c r="N562" s="10" t="n">
        <f aca="false">IF(A562="","",Z561)</f>
        <v>0</v>
      </c>
      <c r="O562" s="6" t="n">
        <f aca="false">IF(A562="","",Inputs!$B$18+N562)</f>
        <v>50000</v>
      </c>
      <c r="P562" s="5" t="n">
        <f aca="false">IF(A562="","",VLOOKUP(D562,DIvidend_Assumption!$A$3:$CX$103,($E$2+2),0)/12)</f>
        <v>0</v>
      </c>
      <c r="Q562" s="10" t="n">
        <f aca="false">IF(A562="","",IFERROR(AB561*P562,""))</f>
        <v>0</v>
      </c>
      <c r="R562" s="10" t="n">
        <f aca="false">IF(A562="","",IFERROR(IF(Inputs!$B$22="Accumulate",T562+Q562,IF(Inputs!$B$22="Premium Offset",MAX(0,T562+Q562-Inputs!$B$25),T562)),""))</f>
        <v>0</v>
      </c>
      <c r="S562" s="10" t="n">
        <f aca="false">IF(A562="","",R561)</f>
        <v>0</v>
      </c>
      <c r="T562" s="10" t="n">
        <f aca="false">IF(A562="","",IFERROR(S562*(1+Inputs!$B$23/12),""))</f>
        <v>0</v>
      </c>
      <c r="U562" s="6" t="n">
        <f aca="false">IF(A562="","",IF(D562&lt;=Inputs!$B$8,IF(Inputs!$B$22="Premium Offset",MAX(0,Inputs!$B$25-(Q562+T562)),Inputs!$B$25),0))</f>
        <v>0</v>
      </c>
      <c r="V562" s="10" t="n">
        <f aca="false">IF(A562="","",IF(Inputs!$B$22="Cash",Q562,0))</f>
        <v>0</v>
      </c>
      <c r="W562" s="10" t="n">
        <f aca="false">IF(A562="","",IF(Inputs!$B$22="PUA",Q562,0))</f>
        <v>0</v>
      </c>
      <c r="X562" s="12" t="n">
        <f aca="false">IF(A562="","",IFERROR(INDEX(PUA_TABLE!$D$4:$D$105,MATCH(E562,PUA_TABLE!$C$4:$C$105,1)),0))</f>
        <v>0.724582820938667</v>
      </c>
      <c r="Y562" s="10" t="n">
        <f aca="false">IF(A562="","",IF(W562&gt;0,IF(X562&gt;0,W562/X562,0),0))</f>
        <v>0</v>
      </c>
      <c r="Z562" s="10" t="n">
        <f aca="false">IF(A562="","",N562+Y562)</f>
        <v>0</v>
      </c>
      <c r="AA562" s="10" t="n">
        <f aca="false">IF(A562="","",IFERROR(Z562*INDEX(PUA_TABLE!$I$4:$I$105,MATCH(E562,PUA_TABLE!$C$4:$C$105,1))/1000,0))</f>
        <v>0</v>
      </c>
      <c r="AB562" s="10" t="n">
        <f aca="false">IF(A562="","",IFERROR(L562+AA562,0))</f>
        <v>36590.1582272639</v>
      </c>
      <c r="AC562" s="10" t="n">
        <f aca="false">IF(A562="","",IF(Inputs!$B$22="Premium Offset",MIN(Inputs!$B$25,Q562+T562),0))</f>
        <v>0</v>
      </c>
    </row>
    <row r="563" customFormat="false" ht="15" hidden="false" customHeight="false" outlineLevel="0" collapsed="false">
      <c r="A563" s="1" t="n">
        <f aca="false">IF(A562="","",IF(INT((C562+1)/12)+Inputs!$B$7&gt;MAX(MORTALITY!$A:$A),"",Inputs!$B$4))</f>
        <v>34</v>
      </c>
      <c r="B563" s="3" t="n">
        <f aca="false">IF(A563="","",EOMONTH(B562,1))</f>
        <v>38807</v>
      </c>
      <c r="C563" s="1" t="n">
        <f aca="false">IF(A563="","",C562+1)</f>
        <v>561</v>
      </c>
      <c r="D563" s="1" t="n">
        <f aca="false">IF(A563="","",INT(C563/12))</f>
        <v>46</v>
      </c>
      <c r="E563" s="1" t="n">
        <f aca="false">IF(A563="","",D563+Inputs!$B$7)</f>
        <v>62</v>
      </c>
      <c r="F563" s="3" t="n">
        <f aca="false">IF(A563="","",DATE(YEAR(B$2)+D563,MONTH(B$2),DAY(B$2)))</f>
        <v>38508</v>
      </c>
      <c r="G563" s="3" t="n">
        <f aca="false">IF(A563="","",DATE(YEAR(F563)+1,MONTH(F563),DAY(F563)))</f>
        <v>38873</v>
      </c>
      <c r="H563" s="10" t="n">
        <f aca="false">IF(A563="","",IF(G563&gt;F563,(B563-F563)/(G563-F563),0))</f>
        <v>0.819178082191781</v>
      </c>
      <c r="I563" s="10" t="n">
        <f aca="false">IF(A563="","",IFERROR(INDEX(CV_RATES!$I:$I,MATCH(D563,CV_RATES!$C:$C,0)),0))</f>
        <v>724.582820938667</v>
      </c>
      <c r="J563" s="10" t="n">
        <f aca="false">IF(A563="","",IFERROR(IF(E563=MAX(MORTALITY!$A:$A),1000,INDEX(CV_RATES!$J:$J,MATCH(D563,CV_RATES!$C:$C,0))),0))</f>
        <v>734.416497865582</v>
      </c>
      <c r="K563" s="10" t="n">
        <f aca="false">IF(A563="","",IFERROR(I563+H563*(J563-I563),0))</f>
        <v>732.638353544551</v>
      </c>
      <c r="L563" s="10" t="n">
        <f aca="false">IF(A563="","",IFERROR(K563*Inputs!$B$9,0))</f>
        <v>36631.9176772275</v>
      </c>
      <c r="M563" s="10" t="n">
        <f aca="false">IF(A563="","",IFERROR(K563*Inputs!$B$10,0))</f>
        <v>117219.938652067</v>
      </c>
      <c r="N563" s="10" t="n">
        <f aca="false">IF(A563="","",Z562)</f>
        <v>0</v>
      </c>
      <c r="O563" s="6" t="n">
        <f aca="false">IF(A563="","",Inputs!$B$18+N563)</f>
        <v>50000</v>
      </c>
      <c r="P563" s="5" t="n">
        <f aca="false">IF(A563="","",VLOOKUP(D563,DIvidend_Assumption!$A$3:$CX$103,($E$2+2),0)/12)</f>
        <v>0</v>
      </c>
      <c r="Q563" s="10" t="n">
        <f aca="false">IF(A563="","",IFERROR(AB562*P563,""))</f>
        <v>0</v>
      </c>
      <c r="R563" s="10" t="n">
        <f aca="false">IF(A563="","",IFERROR(IF(Inputs!$B$22="Accumulate",T563+Q563,IF(Inputs!$B$22="Premium Offset",MAX(0,T563+Q563-Inputs!$B$25),T563)),""))</f>
        <v>0</v>
      </c>
      <c r="S563" s="10" t="n">
        <f aca="false">IF(A563="","",R562)</f>
        <v>0</v>
      </c>
      <c r="T563" s="10" t="n">
        <f aca="false">IF(A563="","",IFERROR(S563*(1+Inputs!$B$23/12),""))</f>
        <v>0</v>
      </c>
      <c r="U563" s="6" t="n">
        <f aca="false">IF(A563="","",IF(D563&lt;=Inputs!$B$8,IF(Inputs!$B$22="Premium Offset",MAX(0,Inputs!$B$25-(Q563+T563)),Inputs!$B$25),0))</f>
        <v>0</v>
      </c>
      <c r="V563" s="10" t="n">
        <f aca="false">IF(A563="","",IF(Inputs!$B$22="Cash",Q563,0))</f>
        <v>0</v>
      </c>
      <c r="W563" s="10" t="n">
        <f aca="false">IF(A563="","",IF(Inputs!$B$22="PUA",Q563,0))</f>
        <v>0</v>
      </c>
      <c r="X563" s="12" t="n">
        <f aca="false">IF(A563="","",IFERROR(INDEX(PUA_TABLE!$D$4:$D$105,MATCH(E563,PUA_TABLE!$C$4:$C$105,1)),0))</f>
        <v>0.724582820938667</v>
      </c>
      <c r="Y563" s="10" t="n">
        <f aca="false">IF(A563="","",IF(W563&gt;0,IF(X563&gt;0,W563/X563,0),0))</f>
        <v>0</v>
      </c>
      <c r="Z563" s="10" t="n">
        <f aca="false">IF(A563="","",N563+Y563)</f>
        <v>0</v>
      </c>
      <c r="AA563" s="10" t="n">
        <f aca="false">IF(A563="","",IFERROR(Z563*INDEX(PUA_TABLE!$I$4:$I$105,MATCH(E563,PUA_TABLE!$C$4:$C$105,1))/1000,0))</f>
        <v>0</v>
      </c>
      <c r="AB563" s="10" t="n">
        <f aca="false">IF(A563="","",IFERROR(L563+AA563,0))</f>
        <v>36631.9176772275</v>
      </c>
      <c r="AC563" s="10" t="n">
        <f aca="false">IF(A563="","",IF(Inputs!$B$22="Premium Offset",MIN(Inputs!$B$25,Q563+T563),0))</f>
        <v>0</v>
      </c>
    </row>
    <row r="564" customFormat="false" ht="15" hidden="false" customHeight="false" outlineLevel="0" collapsed="false">
      <c r="A564" s="1" t="n">
        <f aca="false">IF(A563="","",IF(INT((C563+1)/12)+Inputs!$B$7&gt;MAX(MORTALITY!$A:$A),"",Inputs!$B$4))</f>
        <v>34</v>
      </c>
      <c r="B564" s="3" t="n">
        <f aca="false">IF(A564="","",EOMONTH(B563,1))</f>
        <v>38837</v>
      </c>
      <c r="C564" s="1" t="n">
        <f aca="false">IF(A564="","",C563+1)</f>
        <v>562</v>
      </c>
      <c r="D564" s="1" t="n">
        <f aca="false">IF(A564="","",INT(C564/12))</f>
        <v>46</v>
      </c>
      <c r="E564" s="1" t="n">
        <f aca="false">IF(A564="","",D564+Inputs!$B$7)</f>
        <v>62</v>
      </c>
      <c r="F564" s="3" t="n">
        <f aca="false">IF(A564="","",DATE(YEAR(B$2)+D564,MONTH(B$2),DAY(B$2)))</f>
        <v>38508</v>
      </c>
      <c r="G564" s="3" t="n">
        <f aca="false">IF(A564="","",DATE(YEAR(F564)+1,MONTH(F564),DAY(F564)))</f>
        <v>38873</v>
      </c>
      <c r="H564" s="10" t="n">
        <f aca="false">IF(A564="","",IF(G564&gt;F564,(B564-F564)/(G564-F564),0))</f>
        <v>0.901369863013699</v>
      </c>
      <c r="I564" s="10" t="n">
        <f aca="false">IF(A564="","",IFERROR(INDEX(CV_RATES!$I:$I,MATCH(D564,CV_RATES!$C:$C,0)),0))</f>
        <v>724.582820938667</v>
      </c>
      <c r="J564" s="10" t="n">
        <f aca="false">IF(A564="","",IFERROR(IF(E564=MAX(MORTALITY!$A:$A),1000,INDEX(CV_RATES!$J:$J,MATCH(D564,CV_RATES!$C:$C,0))),0))</f>
        <v>734.416497865582</v>
      </c>
      <c r="K564" s="10" t="n">
        <f aca="false">IF(A564="","",IFERROR(I564+H564*(J564-I564),0))</f>
        <v>733.446600963201</v>
      </c>
      <c r="L564" s="10" t="n">
        <f aca="false">IF(A564="","",IFERROR(K564*Inputs!$B$9,0))</f>
        <v>36672.3300481601</v>
      </c>
      <c r="M564" s="10" t="n">
        <f aca="false">IF(A564="","",IFERROR(K564*Inputs!$B$10,0))</f>
        <v>117349.255814309</v>
      </c>
      <c r="N564" s="10" t="n">
        <f aca="false">IF(A564="","",Z563)</f>
        <v>0</v>
      </c>
      <c r="O564" s="6" t="n">
        <f aca="false">IF(A564="","",Inputs!$B$18+N564)</f>
        <v>50000</v>
      </c>
      <c r="P564" s="5" t="n">
        <f aca="false">IF(A564="","",VLOOKUP(D564,DIvidend_Assumption!$A$3:$CX$103,($E$2+2),0)/12)</f>
        <v>0</v>
      </c>
      <c r="Q564" s="10" t="n">
        <f aca="false">IF(A564="","",IFERROR(AB563*P564,""))</f>
        <v>0</v>
      </c>
      <c r="R564" s="10" t="n">
        <f aca="false">IF(A564="","",IFERROR(IF(Inputs!$B$22="Accumulate",T564+Q564,IF(Inputs!$B$22="Premium Offset",MAX(0,T564+Q564-Inputs!$B$25),T564)),""))</f>
        <v>0</v>
      </c>
      <c r="S564" s="10" t="n">
        <f aca="false">IF(A564="","",R563)</f>
        <v>0</v>
      </c>
      <c r="T564" s="10" t="n">
        <f aca="false">IF(A564="","",IFERROR(S564*(1+Inputs!$B$23/12),""))</f>
        <v>0</v>
      </c>
      <c r="U564" s="6" t="n">
        <f aca="false">IF(A564="","",IF(D564&lt;=Inputs!$B$8,IF(Inputs!$B$22="Premium Offset",MAX(0,Inputs!$B$25-(Q564+T564)),Inputs!$B$25),0))</f>
        <v>0</v>
      </c>
      <c r="V564" s="10" t="n">
        <f aca="false">IF(A564="","",IF(Inputs!$B$22="Cash",Q564,0))</f>
        <v>0</v>
      </c>
      <c r="W564" s="10" t="n">
        <f aca="false">IF(A564="","",IF(Inputs!$B$22="PUA",Q564,0))</f>
        <v>0</v>
      </c>
      <c r="X564" s="12" t="n">
        <f aca="false">IF(A564="","",IFERROR(INDEX(PUA_TABLE!$D$4:$D$105,MATCH(E564,PUA_TABLE!$C$4:$C$105,1)),0))</f>
        <v>0.724582820938667</v>
      </c>
      <c r="Y564" s="10" t="n">
        <f aca="false">IF(A564="","",IF(W564&gt;0,IF(X564&gt;0,W564/X564,0),0))</f>
        <v>0</v>
      </c>
      <c r="Z564" s="10" t="n">
        <f aca="false">IF(A564="","",N564+Y564)</f>
        <v>0</v>
      </c>
      <c r="AA564" s="10" t="n">
        <f aca="false">IF(A564="","",IFERROR(Z564*INDEX(PUA_TABLE!$I$4:$I$105,MATCH(E564,PUA_TABLE!$C$4:$C$105,1))/1000,0))</f>
        <v>0</v>
      </c>
      <c r="AB564" s="10" t="n">
        <f aca="false">IF(A564="","",IFERROR(L564+AA564,0))</f>
        <v>36672.3300481601</v>
      </c>
      <c r="AC564" s="10" t="n">
        <f aca="false">IF(A564="","",IF(Inputs!$B$22="Premium Offset",MIN(Inputs!$B$25,Q564+T564),0))</f>
        <v>0</v>
      </c>
    </row>
    <row r="565" customFormat="false" ht="15" hidden="false" customHeight="false" outlineLevel="0" collapsed="false">
      <c r="A565" s="1" t="n">
        <f aca="false">IF(A564="","",IF(INT((C564+1)/12)+Inputs!$B$7&gt;MAX(MORTALITY!$A:$A),"",Inputs!$B$4))</f>
        <v>34</v>
      </c>
      <c r="B565" s="3" t="n">
        <f aca="false">IF(A565="","",EOMONTH(B564,1))</f>
        <v>38868</v>
      </c>
      <c r="C565" s="1" t="n">
        <f aca="false">IF(A565="","",C564+1)</f>
        <v>563</v>
      </c>
      <c r="D565" s="1" t="n">
        <f aca="false">IF(A565="","",INT(C565/12))</f>
        <v>46</v>
      </c>
      <c r="E565" s="1" t="n">
        <f aca="false">IF(A565="","",D565+Inputs!$B$7)</f>
        <v>62</v>
      </c>
      <c r="F565" s="3" t="n">
        <f aca="false">IF(A565="","",DATE(YEAR(B$2)+D565,MONTH(B$2),DAY(B$2)))</f>
        <v>38508</v>
      </c>
      <c r="G565" s="3" t="n">
        <f aca="false">IF(A565="","",DATE(YEAR(F565)+1,MONTH(F565),DAY(F565)))</f>
        <v>38873</v>
      </c>
      <c r="H565" s="10" t="n">
        <f aca="false">IF(A565="","",IF(G565&gt;F565,(B565-F565)/(G565-F565),0))</f>
        <v>0.986301369863014</v>
      </c>
      <c r="I565" s="10" t="n">
        <f aca="false">IF(A565="","",IFERROR(INDEX(CV_RATES!$I:$I,MATCH(D565,CV_RATES!$C:$C,0)),0))</f>
        <v>724.582820938667</v>
      </c>
      <c r="J565" s="10" t="n">
        <f aca="false">IF(A565="","",IFERROR(IF(E565=MAX(MORTALITY!$A:$A),1000,INDEX(CV_RATES!$J:$J,MATCH(D565,CV_RATES!$C:$C,0))),0))</f>
        <v>734.416497865582</v>
      </c>
      <c r="K565" s="10" t="n">
        <f aca="false">IF(A565="","",IFERROR(I565+H565*(J565-I565),0))</f>
        <v>734.281789962474</v>
      </c>
      <c r="L565" s="10" t="n">
        <f aca="false">IF(A565="","",IFERROR(K565*Inputs!$B$9,0))</f>
        <v>36714.0894981237</v>
      </c>
      <c r="M565" s="10" t="n">
        <f aca="false">IF(A565="","",IFERROR(K565*Inputs!$B$10,0))</f>
        <v>117482.883548626</v>
      </c>
      <c r="N565" s="10" t="n">
        <f aca="false">IF(A565="","",Z564)</f>
        <v>0</v>
      </c>
      <c r="O565" s="6" t="n">
        <f aca="false">IF(A565="","",Inputs!$B$18+N565)</f>
        <v>50000</v>
      </c>
      <c r="P565" s="5" t="n">
        <f aca="false">IF(A565="","",VLOOKUP(D565,DIvidend_Assumption!$A$3:$CX$103,($E$2+2),0)/12)</f>
        <v>0</v>
      </c>
      <c r="Q565" s="10" t="n">
        <f aca="false">IF(A565="","",IFERROR(AB564*P565,""))</f>
        <v>0</v>
      </c>
      <c r="R565" s="10" t="n">
        <f aca="false">IF(A565="","",IFERROR(IF(Inputs!$B$22="Accumulate",T565+Q565,IF(Inputs!$B$22="Premium Offset",MAX(0,T565+Q565-Inputs!$B$25),T565)),""))</f>
        <v>0</v>
      </c>
      <c r="S565" s="10" t="n">
        <f aca="false">IF(A565="","",R564)</f>
        <v>0</v>
      </c>
      <c r="T565" s="10" t="n">
        <f aca="false">IF(A565="","",IFERROR(S565*(1+Inputs!$B$23/12),""))</f>
        <v>0</v>
      </c>
      <c r="U565" s="6" t="n">
        <f aca="false">IF(A565="","",IF(D565&lt;=Inputs!$B$8,IF(Inputs!$B$22="Premium Offset",MAX(0,Inputs!$B$25-(Q565+T565)),Inputs!$B$25),0))</f>
        <v>0</v>
      </c>
      <c r="V565" s="10" t="n">
        <f aca="false">IF(A565="","",IF(Inputs!$B$22="Cash",Q565,0))</f>
        <v>0</v>
      </c>
      <c r="W565" s="10" t="n">
        <f aca="false">IF(A565="","",IF(Inputs!$B$22="PUA",Q565,0))</f>
        <v>0</v>
      </c>
      <c r="X565" s="12" t="n">
        <f aca="false">IF(A565="","",IFERROR(INDEX(PUA_TABLE!$D$4:$D$105,MATCH(E565,PUA_TABLE!$C$4:$C$105,1)),0))</f>
        <v>0.724582820938667</v>
      </c>
      <c r="Y565" s="10" t="n">
        <f aca="false">IF(A565="","",IF(W565&gt;0,IF(X565&gt;0,W565/X565,0),0))</f>
        <v>0</v>
      </c>
      <c r="Z565" s="10" t="n">
        <f aca="false">IF(A565="","",N565+Y565)</f>
        <v>0</v>
      </c>
      <c r="AA565" s="10" t="n">
        <f aca="false">IF(A565="","",IFERROR(Z565*INDEX(PUA_TABLE!$I$4:$I$105,MATCH(E565,PUA_TABLE!$C$4:$C$105,1))/1000,0))</f>
        <v>0</v>
      </c>
      <c r="AB565" s="10" t="n">
        <f aca="false">IF(A565="","",IFERROR(L565+AA565,0))</f>
        <v>36714.0894981237</v>
      </c>
      <c r="AC565" s="10" t="n">
        <f aca="false">IF(A565="","",IF(Inputs!$B$22="Premium Offset",MIN(Inputs!$B$25,Q565+T565),0))</f>
        <v>0</v>
      </c>
    </row>
    <row r="566" customFormat="false" ht="15" hidden="false" customHeight="false" outlineLevel="0" collapsed="false">
      <c r="A566" s="1" t="n">
        <f aca="false">IF(A565="","",IF(INT((C565+1)/12)+Inputs!$B$7&gt;MAX(MORTALITY!$A:$A),"",Inputs!$B$4))</f>
        <v>34</v>
      </c>
      <c r="B566" s="3" t="n">
        <f aca="false">IF(A566="","",EOMONTH(B565,1))</f>
        <v>38898</v>
      </c>
      <c r="C566" s="1" t="n">
        <f aca="false">IF(A566="","",C565+1)</f>
        <v>564</v>
      </c>
      <c r="D566" s="1" t="n">
        <f aca="false">IF(A566="","",INT(C566/12))</f>
        <v>47</v>
      </c>
      <c r="E566" s="1" t="n">
        <f aca="false">IF(A566="","",D566+Inputs!$B$7)</f>
        <v>63</v>
      </c>
      <c r="F566" s="3" t="n">
        <f aca="false">IF(A566="","",DATE(YEAR(B$2)+D566,MONTH(B$2),DAY(B$2)))</f>
        <v>38873</v>
      </c>
      <c r="G566" s="3" t="n">
        <f aca="false">IF(A566="","",DATE(YEAR(F566)+1,MONTH(F566),DAY(F566)))</f>
        <v>39238</v>
      </c>
      <c r="H566" s="10" t="n">
        <f aca="false">IF(A566="","",IF(G566&gt;F566,(B566-F566)/(G566-F566),0))</f>
        <v>0.0684931506849315</v>
      </c>
      <c r="I566" s="10" t="n">
        <f aca="false">IF(A566="","",IFERROR(INDEX(CV_RATES!$I:$I,MATCH(D566,CV_RATES!$C:$C,0)),0))</f>
        <v>734.416497865582</v>
      </c>
      <c r="J566" s="10" t="n">
        <f aca="false">IF(A566="","",IFERROR(IF(E566=MAX(MORTALITY!$A:$A),1000,INDEX(CV_RATES!$J:$J,MATCH(D566,CV_RATES!$C:$C,0))),0))</f>
        <v>744.139044452953</v>
      </c>
      <c r="K566" s="10" t="n">
        <f aca="false">IF(A566="","",IFERROR(I566+H566*(J566-I566),0))</f>
        <v>735.082425714032</v>
      </c>
      <c r="L566" s="10" t="n">
        <f aca="false">IF(A566="","",IFERROR(K566*Inputs!$B$9,0))</f>
        <v>36754.1212857016</v>
      </c>
      <c r="M566" s="10" t="n">
        <f aca="false">IF(A566="","",IFERROR(K566*Inputs!$B$10,0))</f>
        <v>117610.982866968</v>
      </c>
      <c r="N566" s="10" t="n">
        <f aca="false">IF(A566="","",Z565)</f>
        <v>0</v>
      </c>
      <c r="O566" s="6" t="n">
        <f aca="false">IF(A566="","",Inputs!$B$18+N566)</f>
        <v>50000</v>
      </c>
      <c r="P566" s="5" t="n">
        <f aca="false">IF(A566="","",VLOOKUP(D566,DIvidend_Assumption!$A$3:$CX$103,($E$2+2),0)/12)</f>
        <v>0</v>
      </c>
      <c r="Q566" s="10" t="n">
        <f aca="false">IF(A566="","",IFERROR(AB565*P566,""))</f>
        <v>0</v>
      </c>
      <c r="R566" s="10" t="n">
        <f aca="false">IF(A566="","",IFERROR(IF(Inputs!$B$22="Accumulate",T566+Q566,IF(Inputs!$B$22="Premium Offset",MAX(0,T566+Q566-Inputs!$B$25),T566)),""))</f>
        <v>0</v>
      </c>
      <c r="S566" s="10" t="n">
        <f aca="false">IF(A566="","",R565)</f>
        <v>0</v>
      </c>
      <c r="T566" s="10" t="n">
        <f aca="false">IF(A566="","",IFERROR(S566*(1+Inputs!$B$23/12),""))</f>
        <v>0</v>
      </c>
      <c r="U566" s="6" t="n">
        <f aca="false">IF(A566="","",IF(D566&lt;=Inputs!$B$8,IF(Inputs!$B$22="Premium Offset",MAX(0,Inputs!$B$25-(Q566+T566)),Inputs!$B$25),0))</f>
        <v>0</v>
      </c>
      <c r="V566" s="10" t="n">
        <f aca="false">IF(A566="","",IF(Inputs!$B$22="Cash",Q566,0))</f>
        <v>0</v>
      </c>
      <c r="W566" s="10" t="n">
        <f aca="false">IF(A566="","",IF(Inputs!$B$22="PUA",Q566,0))</f>
        <v>0</v>
      </c>
      <c r="X566" s="12" t="n">
        <f aca="false">IF(A566="","",IFERROR(INDEX(PUA_TABLE!$D$4:$D$105,MATCH(E566,PUA_TABLE!$C$4:$C$105,1)),0))</f>
        <v>0.734416497865582</v>
      </c>
      <c r="Y566" s="10" t="n">
        <f aca="false">IF(A566="","",IF(W566&gt;0,IF(X566&gt;0,W566/X566,0),0))</f>
        <v>0</v>
      </c>
      <c r="Z566" s="10" t="n">
        <f aca="false">IF(A566="","",N566+Y566)</f>
        <v>0</v>
      </c>
      <c r="AA566" s="10" t="n">
        <f aca="false">IF(A566="","",IFERROR(Z566*INDEX(PUA_TABLE!$I$4:$I$105,MATCH(E566,PUA_TABLE!$C$4:$C$105,1))/1000,0))</f>
        <v>0</v>
      </c>
      <c r="AB566" s="10" t="n">
        <f aca="false">IF(A566="","",IFERROR(L566+AA566,0))</f>
        <v>36754.1212857016</v>
      </c>
      <c r="AC566" s="10" t="n">
        <f aca="false">IF(A566="","",IF(Inputs!$B$22="Premium Offset",MIN(Inputs!$B$25,Q566+T566),0))</f>
        <v>0</v>
      </c>
    </row>
    <row r="567" customFormat="false" ht="15" hidden="false" customHeight="false" outlineLevel="0" collapsed="false">
      <c r="A567" s="1" t="n">
        <f aca="false">IF(A566="","",IF(INT((C566+1)/12)+Inputs!$B$7&gt;MAX(MORTALITY!$A:$A),"",Inputs!$B$4))</f>
        <v>34</v>
      </c>
      <c r="B567" s="3" t="n">
        <f aca="false">IF(A567="","",EOMONTH(B566,1))</f>
        <v>38929</v>
      </c>
      <c r="C567" s="1" t="n">
        <f aca="false">IF(A567="","",C566+1)</f>
        <v>565</v>
      </c>
      <c r="D567" s="1" t="n">
        <f aca="false">IF(A567="","",INT(C567/12))</f>
        <v>47</v>
      </c>
      <c r="E567" s="1" t="n">
        <f aca="false">IF(A567="","",D567+Inputs!$B$7)</f>
        <v>63</v>
      </c>
      <c r="F567" s="3" t="n">
        <f aca="false">IF(A567="","",DATE(YEAR(B$2)+D567,MONTH(B$2),DAY(B$2)))</f>
        <v>38873</v>
      </c>
      <c r="G567" s="3" t="n">
        <f aca="false">IF(A567="","",DATE(YEAR(F567)+1,MONTH(F567),DAY(F567)))</f>
        <v>39238</v>
      </c>
      <c r="H567" s="10" t="n">
        <f aca="false">IF(A567="","",IF(G567&gt;F567,(B567-F567)/(G567-F567),0))</f>
        <v>0.153424657534247</v>
      </c>
      <c r="I567" s="10" t="n">
        <f aca="false">IF(A567="","",IFERROR(INDEX(CV_RATES!$I:$I,MATCH(D567,CV_RATES!$C:$C,0)),0))</f>
        <v>734.416497865582</v>
      </c>
      <c r="J567" s="10" t="n">
        <f aca="false">IF(A567="","",IFERROR(IF(E567=MAX(MORTALITY!$A:$A),1000,INDEX(CV_RATES!$J:$J,MATCH(D567,CV_RATES!$C:$C,0))),0))</f>
        <v>744.139044452953</v>
      </c>
      <c r="K567" s="10" t="n">
        <f aca="false">IF(A567="","",IFERROR(I567+H567*(J567-I567),0))</f>
        <v>735.90817624611</v>
      </c>
      <c r="L567" s="10" t="n">
        <f aca="false">IF(A567="","",IFERROR(K567*Inputs!$B$9,0))</f>
        <v>36795.4088123055</v>
      </c>
      <c r="M567" s="10" t="n">
        <f aca="false">IF(A567="","",IFERROR(K567*Inputs!$B$10,0))</f>
        <v>117743.100474849</v>
      </c>
      <c r="N567" s="10" t="n">
        <f aca="false">IF(A567="","",Z566)</f>
        <v>0</v>
      </c>
      <c r="O567" s="6" t="n">
        <f aca="false">IF(A567="","",Inputs!$B$18+N567)</f>
        <v>50000</v>
      </c>
      <c r="P567" s="5" t="n">
        <f aca="false">IF(A567="","",VLOOKUP(D567,DIvidend_Assumption!$A$3:$CX$103,($E$2+2),0)/12)</f>
        <v>0</v>
      </c>
      <c r="Q567" s="10" t="n">
        <f aca="false">IF(A567="","",IFERROR(AB566*P567,""))</f>
        <v>0</v>
      </c>
      <c r="R567" s="10" t="n">
        <f aca="false">IF(A567="","",IFERROR(IF(Inputs!$B$22="Accumulate",T567+Q567,IF(Inputs!$B$22="Premium Offset",MAX(0,T567+Q567-Inputs!$B$25),T567)),""))</f>
        <v>0</v>
      </c>
      <c r="S567" s="10" t="n">
        <f aca="false">IF(A567="","",R566)</f>
        <v>0</v>
      </c>
      <c r="T567" s="10" t="n">
        <f aca="false">IF(A567="","",IFERROR(S567*(1+Inputs!$B$23/12),""))</f>
        <v>0</v>
      </c>
      <c r="U567" s="6" t="n">
        <f aca="false">IF(A567="","",IF(D567&lt;=Inputs!$B$8,IF(Inputs!$B$22="Premium Offset",MAX(0,Inputs!$B$25-(Q567+T567)),Inputs!$B$25),0))</f>
        <v>0</v>
      </c>
      <c r="V567" s="10" t="n">
        <f aca="false">IF(A567="","",IF(Inputs!$B$22="Cash",Q567,0))</f>
        <v>0</v>
      </c>
      <c r="W567" s="10" t="n">
        <f aca="false">IF(A567="","",IF(Inputs!$B$22="PUA",Q567,0))</f>
        <v>0</v>
      </c>
      <c r="X567" s="12" t="n">
        <f aca="false">IF(A567="","",IFERROR(INDEX(PUA_TABLE!$D$4:$D$105,MATCH(E567,PUA_TABLE!$C$4:$C$105,1)),0))</f>
        <v>0.734416497865582</v>
      </c>
      <c r="Y567" s="10" t="n">
        <f aca="false">IF(A567="","",IF(W567&gt;0,IF(X567&gt;0,W567/X567,0),0))</f>
        <v>0</v>
      </c>
      <c r="Z567" s="10" t="n">
        <f aca="false">IF(A567="","",N567+Y567)</f>
        <v>0</v>
      </c>
      <c r="AA567" s="10" t="n">
        <f aca="false">IF(A567="","",IFERROR(Z567*INDEX(PUA_TABLE!$I$4:$I$105,MATCH(E567,PUA_TABLE!$C$4:$C$105,1))/1000,0))</f>
        <v>0</v>
      </c>
      <c r="AB567" s="10" t="n">
        <f aca="false">IF(A567="","",IFERROR(L567+AA567,0))</f>
        <v>36795.4088123055</v>
      </c>
      <c r="AC567" s="10" t="n">
        <f aca="false">IF(A567="","",IF(Inputs!$B$22="Premium Offset",MIN(Inputs!$B$25,Q567+T567),0))</f>
        <v>0</v>
      </c>
    </row>
    <row r="568" customFormat="false" ht="15" hidden="false" customHeight="false" outlineLevel="0" collapsed="false">
      <c r="A568" s="1" t="n">
        <f aca="false">IF(A567="","",IF(INT((C567+1)/12)+Inputs!$B$7&gt;MAX(MORTALITY!$A:$A),"",Inputs!$B$4))</f>
        <v>34</v>
      </c>
      <c r="B568" s="3" t="n">
        <f aca="false">IF(A568="","",EOMONTH(B567,1))</f>
        <v>38960</v>
      </c>
      <c r="C568" s="1" t="n">
        <f aca="false">IF(A568="","",C567+1)</f>
        <v>566</v>
      </c>
      <c r="D568" s="1" t="n">
        <f aca="false">IF(A568="","",INT(C568/12))</f>
        <v>47</v>
      </c>
      <c r="E568" s="1" t="n">
        <f aca="false">IF(A568="","",D568+Inputs!$B$7)</f>
        <v>63</v>
      </c>
      <c r="F568" s="3" t="n">
        <f aca="false">IF(A568="","",DATE(YEAR(B$2)+D568,MONTH(B$2),DAY(B$2)))</f>
        <v>38873</v>
      </c>
      <c r="G568" s="3" t="n">
        <f aca="false">IF(A568="","",DATE(YEAR(F568)+1,MONTH(F568),DAY(F568)))</f>
        <v>39238</v>
      </c>
      <c r="H568" s="10" t="n">
        <f aca="false">IF(A568="","",IF(G568&gt;F568,(B568-F568)/(G568-F568),0))</f>
        <v>0.238356164383562</v>
      </c>
      <c r="I568" s="10" t="n">
        <f aca="false">IF(A568="","",IFERROR(INDEX(CV_RATES!$I:$I,MATCH(D568,CV_RATES!$C:$C,0)),0))</f>
        <v>734.416497865582</v>
      </c>
      <c r="J568" s="10" t="n">
        <f aca="false">IF(A568="","",IFERROR(IF(E568=MAX(MORTALITY!$A:$A),1000,INDEX(CV_RATES!$J:$J,MATCH(D568,CV_RATES!$C:$C,0))),0))</f>
        <v>744.139044452953</v>
      </c>
      <c r="K568" s="10" t="n">
        <f aca="false">IF(A568="","",IFERROR(I568+H568*(J568-I568),0))</f>
        <v>736.733926778188</v>
      </c>
      <c r="L568" s="10" t="n">
        <f aca="false">IF(A568="","",IFERROR(K568*Inputs!$B$9,0))</f>
        <v>36836.6963389094</v>
      </c>
      <c r="M568" s="10" t="n">
        <f aca="false">IF(A568="","",IFERROR(K568*Inputs!$B$10,0))</f>
        <v>117875.21808273</v>
      </c>
      <c r="N568" s="10" t="n">
        <f aca="false">IF(A568="","",Z567)</f>
        <v>0</v>
      </c>
      <c r="O568" s="6" t="n">
        <f aca="false">IF(A568="","",Inputs!$B$18+N568)</f>
        <v>50000</v>
      </c>
      <c r="P568" s="5" t="n">
        <f aca="false">IF(A568="","",VLOOKUP(D568,DIvidend_Assumption!$A$3:$CX$103,($E$2+2),0)/12)</f>
        <v>0</v>
      </c>
      <c r="Q568" s="10" t="n">
        <f aca="false">IF(A568="","",IFERROR(AB567*P568,""))</f>
        <v>0</v>
      </c>
      <c r="R568" s="10" t="n">
        <f aca="false">IF(A568="","",IFERROR(IF(Inputs!$B$22="Accumulate",T568+Q568,IF(Inputs!$B$22="Premium Offset",MAX(0,T568+Q568-Inputs!$B$25),T568)),""))</f>
        <v>0</v>
      </c>
      <c r="S568" s="10" t="n">
        <f aca="false">IF(A568="","",R567)</f>
        <v>0</v>
      </c>
      <c r="T568" s="10" t="n">
        <f aca="false">IF(A568="","",IFERROR(S568*(1+Inputs!$B$23/12),""))</f>
        <v>0</v>
      </c>
      <c r="U568" s="6" t="n">
        <f aca="false">IF(A568="","",IF(D568&lt;=Inputs!$B$8,IF(Inputs!$B$22="Premium Offset",MAX(0,Inputs!$B$25-(Q568+T568)),Inputs!$B$25),0))</f>
        <v>0</v>
      </c>
      <c r="V568" s="10" t="n">
        <f aca="false">IF(A568="","",IF(Inputs!$B$22="Cash",Q568,0))</f>
        <v>0</v>
      </c>
      <c r="W568" s="10" t="n">
        <f aca="false">IF(A568="","",IF(Inputs!$B$22="PUA",Q568,0))</f>
        <v>0</v>
      </c>
      <c r="X568" s="12" t="n">
        <f aca="false">IF(A568="","",IFERROR(INDEX(PUA_TABLE!$D$4:$D$105,MATCH(E568,PUA_TABLE!$C$4:$C$105,1)),0))</f>
        <v>0.734416497865582</v>
      </c>
      <c r="Y568" s="10" t="n">
        <f aca="false">IF(A568="","",IF(W568&gt;0,IF(X568&gt;0,W568/X568,0),0))</f>
        <v>0</v>
      </c>
      <c r="Z568" s="10" t="n">
        <f aca="false">IF(A568="","",N568+Y568)</f>
        <v>0</v>
      </c>
      <c r="AA568" s="10" t="n">
        <f aca="false">IF(A568="","",IFERROR(Z568*INDEX(PUA_TABLE!$I$4:$I$105,MATCH(E568,PUA_TABLE!$C$4:$C$105,1))/1000,0))</f>
        <v>0</v>
      </c>
      <c r="AB568" s="10" t="n">
        <f aca="false">IF(A568="","",IFERROR(L568+AA568,0))</f>
        <v>36836.6963389094</v>
      </c>
      <c r="AC568" s="10" t="n">
        <f aca="false">IF(A568="","",IF(Inputs!$B$22="Premium Offset",MIN(Inputs!$B$25,Q568+T568),0))</f>
        <v>0</v>
      </c>
    </row>
    <row r="569" customFormat="false" ht="15" hidden="false" customHeight="false" outlineLevel="0" collapsed="false">
      <c r="A569" s="1" t="n">
        <f aca="false">IF(A568="","",IF(INT((C568+1)/12)+Inputs!$B$7&gt;MAX(MORTALITY!$A:$A),"",Inputs!$B$4))</f>
        <v>34</v>
      </c>
      <c r="B569" s="3" t="n">
        <f aca="false">IF(A569="","",EOMONTH(B568,1))</f>
        <v>38990</v>
      </c>
      <c r="C569" s="1" t="n">
        <f aca="false">IF(A569="","",C568+1)</f>
        <v>567</v>
      </c>
      <c r="D569" s="1" t="n">
        <f aca="false">IF(A569="","",INT(C569/12))</f>
        <v>47</v>
      </c>
      <c r="E569" s="1" t="n">
        <f aca="false">IF(A569="","",D569+Inputs!$B$7)</f>
        <v>63</v>
      </c>
      <c r="F569" s="3" t="n">
        <f aca="false">IF(A569="","",DATE(YEAR(B$2)+D569,MONTH(B$2),DAY(B$2)))</f>
        <v>38873</v>
      </c>
      <c r="G569" s="3" t="n">
        <f aca="false">IF(A569="","",DATE(YEAR(F569)+1,MONTH(F569),DAY(F569)))</f>
        <v>39238</v>
      </c>
      <c r="H569" s="10" t="n">
        <f aca="false">IF(A569="","",IF(G569&gt;F569,(B569-F569)/(G569-F569),0))</f>
        <v>0.320547945205479</v>
      </c>
      <c r="I569" s="10" t="n">
        <f aca="false">IF(A569="","",IFERROR(INDEX(CV_RATES!$I:$I,MATCH(D569,CV_RATES!$C:$C,0)),0))</f>
        <v>734.416497865582</v>
      </c>
      <c r="J569" s="10" t="n">
        <f aca="false">IF(A569="","",IFERROR(IF(E569=MAX(MORTALITY!$A:$A),1000,INDEX(CV_RATES!$J:$J,MATCH(D569,CV_RATES!$C:$C,0))),0))</f>
        <v>744.139044452953</v>
      </c>
      <c r="K569" s="10" t="n">
        <f aca="false">IF(A569="","",IFERROR(I569+H569*(J569-I569),0))</f>
        <v>737.533040196328</v>
      </c>
      <c r="L569" s="10" t="n">
        <f aca="false">IF(A569="","",IFERROR(K569*Inputs!$B$9,0))</f>
        <v>36876.6520098164</v>
      </c>
      <c r="M569" s="10" t="n">
        <f aca="false">IF(A569="","",IFERROR(K569*Inputs!$B$10,0))</f>
        <v>118003.073832292</v>
      </c>
      <c r="N569" s="10" t="n">
        <f aca="false">IF(A569="","",Z568)</f>
        <v>0</v>
      </c>
      <c r="O569" s="6" t="n">
        <f aca="false">IF(A569="","",Inputs!$B$18+N569)</f>
        <v>50000</v>
      </c>
      <c r="P569" s="5" t="n">
        <f aca="false">IF(A569="","",VLOOKUP(D569,DIvidend_Assumption!$A$3:$CX$103,($E$2+2),0)/12)</f>
        <v>0</v>
      </c>
      <c r="Q569" s="10" t="n">
        <f aca="false">IF(A569="","",IFERROR(AB568*P569,""))</f>
        <v>0</v>
      </c>
      <c r="R569" s="10" t="n">
        <f aca="false">IF(A569="","",IFERROR(IF(Inputs!$B$22="Accumulate",T569+Q569,IF(Inputs!$B$22="Premium Offset",MAX(0,T569+Q569-Inputs!$B$25),T569)),""))</f>
        <v>0</v>
      </c>
      <c r="S569" s="10" t="n">
        <f aca="false">IF(A569="","",R568)</f>
        <v>0</v>
      </c>
      <c r="T569" s="10" t="n">
        <f aca="false">IF(A569="","",IFERROR(S569*(1+Inputs!$B$23/12),""))</f>
        <v>0</v>
      </c>
      <c r="U569" s="6" t="n">
        <f aca="false">IF(A569="","",IF(D569&lt;=Inputs!$B$8,IF(Inputs!$B$22="Premium Offset",MAX(0,Inputs!$B$25-(Q569+T569)),Inputs!$B$25),0))</f>
        <v>0</v>
      </c>
      <c r="V569" s="10" t="n">
        <f aca="false">IF(A569="","",IF(Inputs!$B$22="Cash",Q569,0))</f>
        <v>0</v>
      </c>
      <c r="W569" s="10" t="n">
        <f aca="false">IF(A569="","",IF(Inputs!$B$22="PUA",Q569,0))</f>
        <v>0</v>
      </c>
      <c r="X569" s="12" t="n">
        <f aca="false">IF(A569="","",IFERROR(INDEX(PUA_TABLE!$D$4:$D$105,MATCH(E569,PUA_TABLE!$C$4:$C$105,1)),0))</f>
        <v>0.734416497865582</v>
      </c>
      <c r="Y569" s="10" t="n">
        <f aca="false">IF(A569="","",IF(W569&gt;0,IF(X569&gt;0,W569/X569,0),0))</f>
        <v>0</v>
      </c>
      <c r="Z569" s="10" t="n">
        <f aca="false">IF(A569="","",N569+Y569)</f>
        <v>0</v>
      </c>
      <c r="AA569" s="10" t="n">
        <f aca="false">IF(A569="","",IFERROR(Z569*INDEX(PUA_TABLE!$I$4:$I$105,MATCH(E569,PUA_TABLE!$C$4:$C$105,1))/1000,0))</f>
        <v>0</v>
      </c>
      <c r="AB569" s="10" t="n">
        <f aca="false">IF(A569="","",IFERROR(L569+AA569,0))</f>
        <v>36876.6520098164</v>
      </c>
      <c r="AC569" s="10" t="n">
        <f aca="false">IF(A569="","",IF(Inputs!$B$22="Premium Offset",MIN(Inputs!$B$25,Q569+T569),0))</f>
        <v>0</v>
      </c>
    </row>
    <row r="570" customFormat="false" ht="15" hidden="false" customHeight="false" outlineLevel="0" collapsed="false">
      <c r="A570" s="1" t="n">
        <f aca="false">IF(A569="","",IF(INT((C569+1)/12)+Inputs!$B$7&gt;MAX(MORTALITY!$A:$A),"",Inputs!$B$4))</f>
        <v>34</v>
      </c>
      <c r="B570" s="3" t="n">
        <f aca="false">IF(A570="","",EOMONTH(B569,1))</f>
        <v>39021</v>
      </c>
      <c r="C570" s="1" t="n">
        <f aca="false">IF(A570="","",C569+1)</f>
        <v>568</v>
      </c>
      <c r="D570" s="1" t="n">
        <f aca="false">IF(A570="","",INT(C570/12))</f>
        <v>47</v>
      </c>
      <c r="E570" s="1" t="n">
        <f aca="false">IF(A570="","",D570+Inputs!$B$7)</f>
        <v>63</v>
      </c>
      <c r="F570" s="3" t="n">
        <f aca="false">IF(A570="","",DATE(YEAR(B$2)+D570,MONTH(B$2),DAY(B$2)))</f>
        <v>38873</v>
      </c>
      <c r="G570" s="3" t="n">
        <f aca="false">IF(A570="","",DATE(YEAR(F570)+1,MONTH(F570),DAY(F570)))</f>
        <v>39238</v>
      </c>
      <c r="H570" s="10" t="n">
        <f aca="false">IF(A570="","",IF(G570&gt;F570,(B570-F570)/(G570-F570),0))</f>
        <v>0.405479452054795</v>
      </c>
      <c r="I570" s="10" t="n">
        <f aca="false">IF(A570="","",IFERROR(INDEX(CV_RATES!$I:$I,MATCH(D570,CV_RATES!$C:$C,0)),0))</f>
        <v>734.416497865582</v>
      </c>
      <c r="J570" s="10" t="n">
        <f aca="false">IF(A570="","",IFERROR(IF(E570=MAX(MORTALITY!$A:$A),1000,INDEX(CV_RATES!$J:$J,MATCH(D570,CV_RATES!$C:$C,0))),0))</f>
        <v>744.139044452953</v>
      </c>
      <c r="K570" s="10" t="n">
        <f aca="false">IF(A570="","",IFERROR(I570+H570*(J570-I570),0))</f>
        <v>738.358790728406</v>
      </c>
      <c r="L570" s="10" t="n">
        <f aca="false">IF(A570="","",IFERROR(K570*Inputs!$B$9,0))</f>
        <v>36917.9395364203</v>
      </c>
      <c r="M570" s="10" t="n">
        <f aca="false">IF(A570="","",IFERROR(K570*Inputs!$B$10,0))</f>
        <v>118135.191440173</v>
      </c>
      <c r="N570" s="10" t="n">
        <f aca="false">IF(A570="","",Z569)</f>
        <v>0</v>
      </c>
      <c r="O570" s="6" t="n">
        <f aca="false">IF(A570="","",Inputs!$B$18+N570)</f>
        <v>50000</v>
      </c>
      <c r="P570" s="5" t="n">
        <f aca="false">IF(A570="","",VLOOKUP(D570,DIvidend_Assumption!$A$3:$CX$103,($E$2+2),0)/12)</f>
        <v>0</v>
      </c>
      <c r="Q570" s="10" t="n">
        <f aca="false">IF(A570="","",IFERROR(AB569*P570,""))</f>
        <v>0</v>
      </c>
      <c r="R570" s="10" t="n">
        <f aca="false">IF(A570="","",IFERROR(IF(Inputs!$B$22="Accumulate",T570+Q570,IF(Inputs!$B$22="Premium Offset",MAX(0,T570+Q570-Inputs!$B$25),T570)),""))</f>
        <v>0</v>
      </c>
      <c r="S570" s="10" t="n">
        <f aca="false">IF(A570="","",R569)</f>
        <v>0</v>
      </c>
      <c r="T570" s="10" t="n">
        <f aca="false">IF(A570="","",IFERROR(S570*(1+Inputs!$B$23/12),""))</f>
        <v>0</v>
      </c>
      <c r="U570" s="6" t="n">
        <f aca="false">IF(A570="","",IF(D570&lt;=Inputs!$B$8,IF(Inputs!$B$22="Premium Offset",MAX(0,Inputs!$B$25-(Q570+T570)),Inputs!$B$25),0))</f>
        <v>0</v>
      </c>
      <c r="V570" s="10" t="n">
        <f aca="false">IF(A570="","",IF(Inputs!$B$22="Cash",Q570,0))</f>
        <v>0</v>
      </c>
      <c r="W570" s="10" t="n">
        <f aca="false">IF(A570="","",IF(Inputs!$B$22="PUA",Q570,0))</f>
        <v>0</v>
      </c>
      <c r="X570" s="12" t="n">
        <f aca="false">IF(A570="","",IFERROR(INDEX(PUA_TABLE!$D$4:$D$105,MATCH(E570,PUA_TABLE!$C$4:$C$105,1)),0))</f>
        <v>0.734416497865582</v>
      </c>
      <c r="Y570" s="10" t="n">
        <f aca="false">IF(A570="","",IF(W570&gt;0,IF(X570&gt;0,W570/X570,0),0))</f>
        <v>0</v>
      </c>
      <c r="Z570" s="10" t="n">
        <f aca="false">IF(A570="","",N570+Y570)</f>
        <v>0</v>
      </c>
      <c r="AA570" s="10" t="n">
        <f aca="false">IF(A570="","",IFERROR(Z570*INDEX(PUA_TABLE!$I$4:$I$105,MATCH(E570,PUA_TABLE!$C$4:$C$105,1))/1000,0))</f>
        <v>0</v>
      </c>
      <c r="AB570" s="10" t="n">
        <f aca="false">IF(A570="","",IFERROR(L570+AA570,0))</f>
        <v>36917.9395364203</v>
      </c>
      <c r="AC570" s="10" t="n">
        <f aca="false">IF(A570="","",IF(Inputs!$B$22="Premium Offset",MIN(Inputs!$B$25,Q570+T570),0))</f>
        <v>0</v>
      </c>
    </row>
    <row r="571" customFormat="false" ht="15" hidden="false" customHeight="false" outlineLevel="0" collapsed="false">
      <c r="A571" s="1" t="n">
        <f aca="false">IF(A570="","",IF(INT((C570+1)/12)+Inputs!$B$7&gt;MAX(MORTALITY!$A:$A),"",Inputs!$B$4))</f>
        <v>34</v>
      </c>
      <c r="B571" s="3" t="n">
        <f aca="false">IF(A571="","",EOMONTH(B570,1))</f>
        <v>39051</v>
      </c>
      <c r="C571" s="1" t="n">
        <f aca="false">IF(A571="","",C570+1)</f>
        <v>569</v>
      </c>
      <c r="D571" s="1" t="n">
        <f aca="false">IF(A571="","",INT(C571/12))</f>
        <v>47</v>
      </c>
      <c r="E571" s="1" t="n">
        <f aca="false">IF(A571="","",D571+Inputs!$B$7)</f>
        <v>63</v>
      </c>
      <c r="F571" s="3" t="n">
        <f aca="false">IF(A571="","",DATE(YEAR(B$2)+D571,MONTH(B$2),DAY(B$2)))</f>
        <v>38873</v>
      </c>
      <c r="G571" s="3" t="n">
        <f aca="false">IF(A571="","",DATE(YEAR(F571)+1,MONTH(F571),DAY(F571)))</f>
        <v>39238</v>
      </c>
      <c r="H571" s="10" t="n">
        <f aca="false">IF(A571="","",IF(G571&gt;F571,(B571-F571)/(G571-F571),0))</f>
        <v>0.487671232876712</v>
      </c>
      <c r="I571" s="10" t="n">
        <f aca="false">IF(A571="","",IFERROR(INDEX(CV_RATES!$I:$I,MATCH(D571,CV_RATES!$C:$C,0)),0))</f>
        <v>734.416497865582</v>
      </c>
      <c r="J571" s="10" t="n">
        <f aca="false">IF(A571="","",IFERROR(IF(E571=MAX(MORTALITY!$A:$A),1000,INDEX(CV_RATES!$J:$J,MATCH(D571,CV_RATES!$C:$C,0))),0))</f>
        <v>744.139044452953</v>
      </c>
      <c r="K571" s="10" t="n">
        <f aca="false">IF(A571="","",IFERROR(I571+H571*(J571-I571),0))</f>
        <v>739.157904146547</v>
      </c>
      <c r="L571" s="10" t="n">
        <f aca="false">IF(A571="","",IFERROR(K571*Inputs!$B$9,0))</f>
        <v>36957.8952073273</v>
      </c>
      <c r="M571" s="10" t="n">
        <f aca="false">IF(A571="","",IFERROR(K571*Inputs!$B$10,0))</f>
        <v>118263.047189735</v>
      </c>
      <c r="N571" s="10" t="n">
        <f aca="false">IF(A571="","",Z570)</f>
        <v>0</v>
      </c>
      <c r="O571" s="6" t="n">
        <f aca="false">IF(A571="","",Inputs!$B$18+N571)</f>
        <v>50000</v>
      </c>
      <c r="P571" s="5" t="n">
        <f aca="false">IF(A571="","",VLOOKUP(D571,DIvidend_Assumption!$A$3:$CX$103,($E$2+2),0)/12)</f>
        <v>0</v>
      </c>
      <c r="Q571" s="10" t="n">
        <f aca="false">IF(A571="","",IFERROR(AB570*P571,""))</f>
        <v>0</v>
      </c>
      <c r="R571" s="10" t="n">
        <f aca="false">IF(A571="","",IFERROR(IF(Inputs!$B$22="Accumulate",T571+Q571,IF(Inputs!$B$22="Premium Offset",MAX(0,T571+Q571-Inputs!$B$25),T571)),""))</f>
        <v>0</v>
      </c>
      <c r="S571" s="10" t="n">
        <f aca="false">IF(A571="","",R570)</f>
        <v>0</v>
      </c>
      <c r="T571" s="10" t="n">
        <f aca="false">IF(A571="","",IFERROR(S571*(1+Inputs!$B$23/12),""))</f>
        <v>0</v>
      </c>
      <c r="U571" s="6" t="n">
        <f aca="false">IF(A571="","",IF(D571&lt;=Inputs!$B$8,IF(Inputs!$B$22="Premium Offset",MAX(0,Inputs!$B$25-(Q571+T571)),Inputs!$B$25),0))</f>
        <v>0</v>
      </c>
      <c r="V571" s="10" t="n">
        <f aca="false">IF(A571="","",IF(Inputs!$B$22="Cash",Q571,0))</f>
        <v>0</v>
      </c>
      <c r="W571" s="10" t="n">
        <f aca="false">IF(A571="","",IF(Inputs!$B$22="PUA",Q571,0))</f>
        <v>0</v>
      </c>
      <c r="X571" s="12" t="n">
        <f aca="false">IF(A571="","",IFERROR(INDEX(PUA_TABLE!$D$4:$D$105,MATCH(E571,PUA_TABLE!$C$4:$C$105,1)),0))</f>
        <v>0.734416497865582</v>
      </c>
      <c r="Y571" s="10" t="n">
        <f aca="false">IF(A571="","",IF(W571&gt;0,IF(X571&gt;0,W571/X571,0),0))</f>
        <v>0</v>
      </c>
      <c r="Z571" s="10" t="n">
        <f aca="false">IF(A571="","",N571+Y571)</f>
        <v>0</v>
      </c>
      <c r="AA571" s="10" t="n">
        <f aca="false">IF(A571="","",IFERROR(Z571*INDEX(PUA_TABLE!$I$4:$I$105,MATCH(E571,PUA_TABLE!$C$4:$C$105,1))/1000,0))</f>
        <v>0</v>
      </c>
      <c r="AB571" s="10" t="n">
        <f aca="false">IF(A571="","",IFERROR(L571+AA571,0))</f>
        <v>36957.8952073273</v>
      </c>
      <c r="AC571" s="10" t="n">
        <f aca="false">IF(A571="","",IF(Inputs!$B$22="Premium Offset",MIN(Inputs!$B$25,Q571+T571),0))</f>
        <v>0</v>
      </c>
    </row>
    <row r="572" customFormat="false" ht="15" hidden="false" customHeight="false" outlineLevel="0" collapsed="false">
      <c r="A572" s="1" t="n">
        <f aca="false">IF(A571="","",IF(INT((C571+1)/12)+Inputs!$B$7&gt;MAX(MORTALITY!$A:$A),"",Inputs!$B$4))</f>
        <v>34</v>
      </c>
      <c r="B572" s="3" t="n">
        <f aca="false">IF(A572="","",EOMONTH(B571,1))</f>
        <v>39082</v>
      </c>
      <c r="C572" s="1" t="n">
        <f aca="false">IF(A572="","",C571+1)</f>
        <v>570</v>
      </c>
      <c r="D572" s="1" t="n">
        <f aca="false">IF(A572="","",INT(C572/12))</f>
        <v>47</v>
      </c>
      <c r="E572" s="1" t="n">
        <f aca="false">IF(A572="","",D572+Inputs!$B$7)</f>
        <v>63</v>
      </c>
      <c r="F572" s="3" t="n">
        <f aca="false">IF(A572="","",DATE(YEAR(B$2)+D572,MONTH(B$2),DAY(B$2)))</f>
        <v>38873</v>
      </c>
      <c r="G572" s="3" t="n">
        <f aca="false">IF(A572="","",DATE(YEAR(F572)+1,MONTH(F572),DAY(F572)))</f>
        <v>39238</v>
      </c>
      <c r="H572" s="10" t="n">
        <f aca="false">IF(A572="","",IF(G572&gt;F572,(B572-F572)/(G572-F572),0))</f>
        <v>0.572602739726027</v>
      </c>
      <c r="I572" s="10" t="n">
        <f aca="false">IF(A572="","",IFERROR(INDEX(CV_RATES!$I:$I,MATCH(D572,CV_RATES!$C:$C,0)),0))</f>
        <v>734.416497865582</v>
      </c>
      <c r="J572" s="10" t="n">
        <f aca="false">IF(A572="","",IFERROR(IF(E572=MAX(MORTALITY!$A:$A),1000,INDEX(CV_RATES!$J:$J,MATCH(D572,CV_RATES!$C:$C,0))),0))</f>
        <v>744.139044452953</v>
      </c>
      <c r="K572" s="10" t="n">
        <f aca="false">IF(A572="","",IFERROR(I572+H572*(J572-I572),0))</f>
        <v>739.983654678625</v>
      </c>
      <c r="L572" s="10" t="n">
        <f aca="false">IF(A572="","",IFERROR(K572*Inputs!$B$9,0))</f>
        <v>36999.1827339312</v>
      </c>
      <c r="M572" s="10" t="n">
        <f aca="false">IF(A572="","",IFERROR(K572*Inputs!$B$10,0))</f>
        <v>118395.164797616</v>
      </c>
      <c r="N572" s="10" t="n">
        <f aca="false">IF(A572="","",Z571)</f>
        <v>0</v>
      </c>
      <c r="O572" s="6" t="n">
        <f aca="false">IF(A572="","",Inputs!$B$18+N572)</f>
        <v>50000</v>
      </c>
      <c r="P572" s="5" t="n">
        <f aca="false">IF(A572="","",VLOOKUP(D572,DIvidend_Assumption!$A$3:$CX$103,($E$2+2),0)/12)</f>
        <v>0</v>
      </c>
      <c r="Q572" s="10" t="n">
        <f aca="false">IF(A572="","",IFERROR(AB571*P572,""))</f>
        <v>0</v>
      </c>
      <c r="R572" s="10" t="n">
        <f aca="false">IF(A572="","",IFERROR(IF(Inputs!$B$22="Accumulate",T572+Q572,IF(Inputs!$B$22="Premium Offset",MAX(0,T572+Q572-Inputs!$B$25),T572)),""))</f>
        <v>0</v>
      </c>
      <c r="S572" s="10" t="n">
        <f aca="false">IF(A572="","",R571)</f>
        <v>0</v>
      </c>
      <c r="T572" s="10" t="n">
        <f aca="false">IF(A572="","",IFERROR(S572*(1+Inputs!$B$23/12),""))</f>
        <v>0</v>
      </c>
      <c r="U572" s="6" t="n">
        <f aca="false">IF(A572="","",IF(D572&lt;=Inputs!$B$8,IF(Inputs!$B$22="Premium Offset",MAX(0,Inputs!$B$25-(Q572+T572)),Inputs!$B$25),0))</f>
        <v>0</v>
      </c>
      <c r="V572" s="10" t="n">
        <f aca="false">IF(A572="","",IF(Inputs!$B$22="Cash",Q572,0))</f>
        <v>0</v>
      </c>
      <c r="W572" s="10" t="n">
        <f aca="false">IF(A572="","",IF(Inputs!$B$22="PUA",Q572,0))</f>
        <v>0</v>
      </c>
      <c r="X572" s="12" t="n">
        <f aca="false">IF(A572="","",IFERROR(INDEX(PUA_TABLE!$D$4:$D$105,MATCH(E572,PUA_TABLE!$C$4:$C$105,1)),0))</f>
        <v>0.734416497865582</v>
      </c>
      <c r="Y572" s="10" t="n">
        <f aca="false">IF(A572="","",IF(W572&gt;0,IF(X572&gt;0,W572/X572,0),0))</f>
        <v>0</v>
      </c>
      <c r="Z572" s="10" t="n">
        <f aca="false">IF(A572="","",N572+Y572)</f>
        <v>0</v>
      </c>
      <c r="AA572" s="10" t="n">
        <f aca="false">IF(A572="","",IFERROR(Z572*INDEX(PUA_TABLE!$I$4:$I$105,MATCH(E572,PUA_TABLE!$C$4:$C$105,1))/1000,0))</f>
        <v>0</v>
      </c>
      <c r="AB572" s="10" t="n">
        <f aca="false">IF(A572="","",IFERROR(L572+AA572,0))</f>
        <v>36999.1827339312</v>
      </c>
      <c r="AC572" s="10" t="n">
        <f aca="false">IF(A572="","",IF(Inputs!$B$22="Premium Offset",MIN(Inputs!$B$25,Q572+T572),0))</f>
        <v>0</v>
      </c>
    </row>
    <row r="573" customFormat="false" ht="15" hidden="false" customHeight="false" outlineLevel="0" collapsed="false">
      <c r="A573" s="1" t="n">
        <f aca="false">IF(A572="","",IF(INT((C572+1)/12)+Inputs!$B$7&gt;MAX(MORTALITY!$A:$A),"",Inputs!$B$4))</f>
        <v>34</v>
      </c>
      <c r="B573" s="3" t="n">
        <f aca="false">IF(A573="","",EOMONTH(B572,1))</f>
        <v>39113</v>
      </c>
      <c r="C573" s="1" t="n">
        <f aca="false">IF(A573="","",C572+1)</f>
        <v>571</v>
      </c>
      <c r="D573" s="1" t="n">
        <f aca="false">IF(A573="","",INT(C573/12))</f>
        <v>47</v>
      </c>
      <c r="E573" s="1" t="n">
        <f aca="false">IF(A573="","",D573+Inputs!$B$7)</f>
        <v>63</v>
      </c>
      <c r="F573" s="3" t="n">
        <f aca="false">IF(A573="","",DATE(YEAR(B$2)+D573,MONTH(B$2),DAY(B$2)))</f>
        <v>38873</v>
      </c>
      <c r="G573" s="3" t="n">
        <f aca="false">IF(A573="","",DATE(YEAR(F573)+1,MONTH(F573),DAY(F573)))</f>
        <v>39238</v>
      </c>
      <c r="H573" s="10" t="n">
        <f aca="false">IF(A573="","",IF(G573&gt;F573,(B573-F573)/(G573-F573),0))</f>
        <v>0.657534246575342</v>
      </c>
      <c r="I573" s="10" t="n">
        <f aca="false">IF(A573="","",IFERROR(INDEX(CV_RATES!$I:$I,MATCH(D573,CV_RATES!$C:$C,0)),0))</f>
        <v>734.416497865582</v>
      </c>
      <c r="J573" s="10" t="n">
        <f aca="false">IF(A573="","",IFERROR(IF(E573=MAX(MORTALITY!$A:$A),1000,INDEX(CV_RATES!$J:$J,MATCH(D573,CV_RATES!$C:$C,0))),0))</f>
        <v>744.139044452953</v>
      </c>
      <c r="K573" s="10" t="n">
        <f aca="false">IF(A573="","",IFERROR(I573+H573*(J573-I573),0))</f>
        <v>740.809405210703</v>
      </c>
      <c r="L573" s="10" t="n">
        <f aca="false">IF(A573="","",IFERROR(K573*Inputs!$B$9,0))</f>
        <v>37040.4702605351</v>
      </c>
      <c r="M573" s="10" t="n">
        <f aca="false">IF(A573="","",IFERROR(K573*Inputs!$B$10,0))</f>
        <v>118527.282405497</v>
      </c>
      <c r="N573" s="10" t="n">
        <f aca="false">IF(A573="","",Z572)</f>
        <v>0</v>
      </c>
      <c r="O573" s="6" t="n">
        <f aca="false">IF(A573="","",Inputs!$B$18+N573)</f>
        <v>50000</v>
      </c>
      <c r="P573" s="5" t="n">
        <f aca="false">IF(A573="","",VLOOKUP(D573,DIvidend_Assumption!$A$3:$CX$103,($E$2+2),0)/12)</f>
        <v>0</v>
      </c>
      <c r="Q573" s="10" t="n">
        <f aca="false">IF(A573="","",IFERROR(AB572*P573,""))</f>
        <v>0</v>
      </c>
      <c r="R573" s="10" t="n">
        <f aca="false">IF(A573="","",IFERROR(IF(Inputs!$B$22="Accumulate",T573+Q573,IF(Inputs!$B$22="Premium Offset",MAX(0,T573+Q573-Inputs!$B$25),T573)),""))</f>
        <v>0</v>
      </c>
      <c r="S573" s="10" t="n">
        <f aca="false">IF(A573="","",R572)</f>
        <v>0</v>
      </c>
      <c r="T573" s="10" t="n">
        <f aca="false">IF(A573="","",IFERROR(S573*(1+Inputs!$B$23/12),""))</f>
        <v>0</v>
      </c>
      <c r="U573" s="6" t="n">
        <f aca="false">IF(A573="","",IF(D573&lt;=Inputs!$B$8,IF(Inputs!$B$22="Premium Offset",MAX(0,Inputs!$B$25-(Q573+T573)),Inputs!$B$25),0))</f>
        <v>0</v>
      </c>
      <c r="V573" s="10" t="n">
        <f aca="false">IF(A573="","",IF(Inputs!$B$22="Cash",Q573,0))</f>
        <v>0</v>
      </c>
      <c r="W573" s="10" t="n">
        <f aca="false">IF(A573="","",IF(Inputs!$B$22="PUA",Q573,0))</f>
        <v>0</v>
      </c>
      <c r="X573" s="12" t="n">
        <f aca="false">IF(A573="","",IFERROR(INDEX(PUA_TABLE!$D$4:$D$105,MATCH(E573,PUA_TABLE!$C$4:$C$105,1)),0))</f>
        <v>0.734416497865582</v>
      </c>
      <c r="Y573" s="10" t="n">
        <f aca="false">IF(A573="","",IF(W573&gt;0,IF(X573&gt;0,W573/X573,0),0))</f>
        <v>0</v>
      </c>
      <c r="Z573" s="10" t="n">
        <f aca="false">IF(A573="","",N573+Y573)</f>
        <v>0</v>
      </c>
      <c r="AA573" s="10" t="n">
        <f aca="false">IF(A573="","",IFERROR(Z573*INDEX(PUA_TABLE!$I$4:$I$105,MATCH(E573,PUA_TABLE!$C$4:$C$105,1))/1000,0))</f>
        <v>0</v>
      </c>
      <c r="AB573" s="10" t="n">
        <f aca="false">IF(A573="","",IFERROR(L573+AA573,0))</f>
        <v>37040.4702605351</v>
      </c>
      <c r="AC573" s="10" t="n">
        <f aca="false">IF(A573="","",IF(Inputs!$B$22="Premium Offset",MIN(Inputs!$B$25,Q573+T573),0))</f>
        <v>0</v>
      </c>
    </row>
    <row r="574" customFormat="false" ht="15" hidden="false" customHeight="false" outlineLevel="0" collapsed="false">
      <c r="A574" s="1" t="n">
        <f aca="false">IF(A573="","",IF(INT((C573+1)/12)+Inputs!$B$7&gt;MAX(MORTALITY!$A:$A),"",Inputs!$B$4))</f>
        <v>34</v>
      </c>
      <c r="B574" s="3" t="n">
        <f aca="false">IF(A574="","",EOMONTH(B573,1))</f>
        <v>39141</v>
      </c>
      <c r="C574" s="1" t="n">
        <f aca="false">IF(A574="","",C573+1)</f>
        <v>572</v>
      </c>
      <c r="D574" s="1" t="n">
        <f aca="false">IF(A574="","",INT(C574/12))</f>
        <v>47</v>
      </c>
      <c r="E574" s="1" t="n">
        <f aca="false">IF(A574="","",D574+Inputs!$B$7)</f>
        <v>63</v>
      </c>
      <c r="F574" s="3" t="n">
        <f aca="false">IF(A574="","",DATE(YEAR(B$2)+D574,MONTH(B$2),DAY(B$2)))</f>
        <v>38873</v>
      </c>
      <c r="G574" s="3" t="n">
        <f aca="false">IF(A574="","",DATE(YEAR(F574)+1,MONTH(F574),DAY(F574)))</f>
        <v>39238</v>
      </c>
      <c r="H574" s="10" t="n">
        <f aca="false">IF(A574="","",IF(G574&gt;F574,(B574-F574)/(G574-F574),0))</f>
        <v>0.734246575342466</v>
      </c>
      <c r="I574" s="10" t="n">
        <f aca="false">IF(A574="","",IFERROR(INDEX(CV_RATES!$I:$I,MATCH(D574,CV_RATES!$C:$C,0)),0))</f>
        <v>734.416497865582</v>
      </c>
      <c r="J574" s="10" t="n">
        <f aca="false">IF(A574="","",IFERROR(IF(E574=MAX(MORTALITY!$A:$A),1000,INDEX(CV_RATES!$J:$J,MATCH(D574,CV_RATES!$C:$C,0))),0))</f>
        <v>744.139044452953</v>
      </c>
      <c r="K574" s="10" t="n">
        <f aca="false">IF(A574="","",IFERROR(I574+H574*(J574-I574),0))</f>
        <v>741.555244400967</v>
      </c>
      <c r="L574" s="10" t="n">
        <f aca="false">IF(A574="","",IFERROR(K574*Inputs!$B$9,0))</f>
        <v>37077.7622200483</v>
      </c>
      <c r="M574" s="10" t="n">
        <f aca="false">IF(A574="","",IFERROR(K574*Inputs!$B$10,0))</f>
        <v>118646.614438422</v>
      </c>
      <c r="N574" s="10" t="n">
        <f aca="false">IF(A574="","",Z573)</f>
        <v>0</v>
      </c>
      <c r="O574" s="6" t="n">
        <f aca="false">IF(A574="","",Inputs!$B$18+N574)</f>
        <v>50000</v>
      </c>
      <c r="P574" s="5" t="n">
        <f aca="false">IF(A574="","",VLOOKUP(D574,DIvidend_Assumption!$A$3:$CX$103,($E$2+2),0)/12)</f>
        <v>0</v>
      </c>
      <c r="Q574" s="10" t="n">
        <f aca="false">IF(A574="","",IFERROR(AB573*P574,""))</f>
        <v>0</v>
      </c>
      <c r="R574" s="10" t="n">
        <f aca="false">IF(A574="","",IFERROR(IF(Inputs!$B$22="Accumulate",T574+Q574,IF(Inputs!$B$22="Premium Offset",MAX(0,T574+Q574-Inputs!$B$25),T574)),""))</f>
        <v>0</v>
      </c>
      <c r="S574" s="10" t="n">
        <f aca="false">IF(A574="","",R573)</f>
        <v>0</v>
      </c>
      <c r="T574" s="10" t="n">
        <f aca="false">IF(A574="","",IFERROR(S574*(1+Inputs!$B$23/12),""))</f>
        <v>0</v>
      </c>
      <c r="U574" s="6" t="n">
        <f aca="false">IF(A574="","",IF(D574&lt;=Inputs!$B$8,IF(Inputs!$B$22="Premium Offset",MAX(0,Inputs!$B$25-(Q574+T574)),Inputs!$B$25),0))</f>
        <v>0</v>
      </c>
      <c r="V574" s="10" t="n">
        <f aca="false">IF(A574="","",IF(Inputs!$B$22="Cash",Q574,0))</f>
        <v>0</v>
      </c>
      <c r="W574" s="10" t="n">
        <f aca="false">IF(A574="","",IF(Inputs!$B$22="PUA",Q574,0))</f>
        <v>0</v>
      </c>
      <c r="X574" s="12" t="n">
        <f aca="false">IF(A574="","",IFERROR(INDEX(PUA_TABLE!$D$4:$D$105,MATCH(E574,PUA_TABLE!$C$4:$C$105,1)),0))</f>
        <v>0.734416497865582</v>
      </c>
      <c r="Y574" s="10" t="n">
        <f aca="false">IF(A574="","",IF(W574&gt;0,IF(X574&gt;0,W574/X574,0),0))</f>
        <v>0</v>
      </c>
      <c r="Z574" s="10" t="n">
        <f aca="false">IF(A574="","",N574+Y574)</f>
        <v>0</v>
      </c>
      <c r="AA574" s="10" t="n">
        <f aca="false">IF(A574="","",IFERROR(Z574*INDEX(PUA_TABLE!$I$4:$I$105,MATCH(E574,PUA_TABLE!$C$4:$C$105,1))/1000,0))</f>
        <v>0</v>
      </c>
      <c r="AB574" s="10" t="n">
        <f aca="false">IF(A574="","",IFERROR(L574+AA574,0))</f>
        <v>37077.7622200483</v>
      </c>
      <c r="AC574" s="10" t="n">
        <f aca="false">IF(A574="","",IF(Inputs!$B$22="Premium Offset",MIN(Inputs!$B$25,Q574+T574),0))</f>
        <v>0</v>
      </c>
    </row>
    <row r="575" customFormat="false" ht="15" hidden="false" customHeight="false" outlineLevel="0" collapsed="false">
      <c r="A575" s="1" t="n">
        <f aca="false">IF(A574="","",IF(INT((C574+1)/12)+Inputs!$B$7&gt;MAX(MORTALITY!$A:$A),"",Inputs!$B$4))</f>
        <v>34</v>
      </c>
      <c r="B575" s="3" t="n">
        <f aca="false">IF(A575="","",EOMONTH(B574,1))</f>
        <v>39172</v>
      </c>
      <c r="C575" s="1" t="n">
        <f aca="false">IF(A575="","",C574+1)</f>
        <v>573</v>
      </c>
      <c r="D575" s="1" t="n">
        <f aca="false">IF(A575="","",INT(C575/12))</f>
        <v>47</v>
      </c>
      <c r="E575" s="1" t="n">
        <f aca="false">IF(A575="","",D575+Inputs!$B$7)</f>
        <v>63</v>
      </c>
      <c r="F575" s="3" t="n">
        <f aca="false">IF(A575="","",DATE(YEAR(B$2)+D575,MONTH(B$2),DAY(B$2)))</f>
        <v>38873</v>
      </c>
      <c r="G575" s="3" t="n">
        <f aca="false">IF(A575="","",DATE(YEAR(F575)+1,MONTH(F575),DAY(F575)))</f>
        <v>39238</v>
      </c>
      <c r="H575" s="10" t="n">
        <f aca="false">IF(A575="","",IF(G575&gt;F575,(B575-F575)/(G575-F575),0))</f>
        <v>0.819178082191781</v>
      </c>
      <c r="I575" s="10" t="n">
        <f aca="false">IF(A575="","",IFERROR(INDEX(CV_RATES!$I:$I,MATCH(D575,CV_RATES!$C:$C,0)),0))</f>
        <v>734.416497865582</v>
      </c>
      <c r="J575" s="10" t="n">
        <f aca="false">IF(A575="","",IFERROR(IF(E575=MAX(MORTALITY!$A:$A),1000,INDEX(CV_RATES!$J:$J,MATCH(D575,CV_RATES!$C:$C,0))),0))</f>
        <v>744.139044452953</v>
      </c>
      <c r="K575" s="10" t="n">
        <f aca="false">IF(A575="","",IFERROR(I575+H575*(J575-I575),0))</f>
        <v>742.380994933045</v>
      </c>
      <c r="L575" s="10" t="n">
        <f aca="false">IF(A575="","",IFERROR(K575*Inputs!$B$9,0))</f>
        <v>37119.0497466522</v>
      </c>
      <c r="M575" s="10" t="n">
        <f aca="false">IF(A575="","",IFERROR(K575*Inputs!$B$10,0))</f>
        <v>118778.732046302</v>
      </c>
      <c r="N575" s="10" t="n">
        <f aca="false">IF(A575="","",Z574)</f>
        <v>0</v>
      </c>
      <c r="O575" s="6" t="n">
        <f aca="false">IF(A575="","",Inputs!$B$18+N575)</f>
        <v>50000</v>
      </c>
      <c r="P575" s="5" t="n">
        <f aca="false">IF(A575="","",VLOOKUP(D575,DIvidend_Assumption!$A$3:$CX$103,($E$2+2),0)/12)</f>
        <v>0</v>
      </c>
      <c r="Q575" s="10" t="n">
        <f aca="false">IF(A575="","",IFERROR(AB574*P575,""))</f>
        <v>0</v>
      </c>
      <c r="R575" s="10" t="n">
        <f aca="false">IF(A575="","",IFERROR(IF(Inputs!$B$22="Accumulate",T575+Q575,IF(Inputs!$B$22="Premium Offset",MAX(0,T575+Q575-Inputs!$B$25),T575)),""))</f>
        <v>0</v>
      </c>
      <c r="S575" s="10" t="n">
        <f aca="false">IF(A575="","",R574)</f>
        <v>0</v>
      </c>
      <c r="T575" s="10" t="n">
        <f aca="false">IF(A575="","",IFERROR(S575*(1+Inputs!$B$23/12),""))</f>
        <v>0</v>
      </c>
      <c r="U575" s="6" t="n">
        <f aca="false">IF(A575="","",IF(D575&lt;=Inputs!$B$8,IF(Inputs!$B$22="Premium Offset",MAX(0,Inputs!$B$25-(Q575+T575)),Inputs!$B$25),0))</f>
        <v>0</v>
      </c>
      <c r="V575" s="10" t="n">
        <f aca="false">IF(A575="","",IF(Inputs!$B$22="Cash",Q575,0))</f>
        <v>0</v>
      </c>
      <c r="W575" s="10" t="n">
        <f aca="false">IF(A575="","",IF(Inputs!$B$22="PUA",Q575,0))</f>
        <v>0</v>
      </c>
      <c r="X575" s="12" t="n">
        <f aca="false">IF(A575="","",IFERROR(INDEX(PUA_TABLE!$D$4:$D$105,MATCH(E575,PUA_TABLE!$C$4:$C$105,1)),0))</f>
        <v>0.734416497865582</v>
      </c>
      <c r="Y575" s="10" t="n">
        <f aca="false">IF(A575="","",IF(W575&gt;0,IF(X575&gt;0,W575/X575,0),0))</f>
        <v>0</v>
      </c>
      <c r="Z575" s="10" t="n">
        <f aca="false">IF(A575="","",N575+Y575)</f>
        <v>0</v>
      </c>
      <c r="AA575" s="10" t="n">
        <f aca="false">IF(A575="","",IFERROR(Z575*INDEX(PUA_TABLE!$I$4:$I$105,MATCH(E575,PUA_TABLE!$C$4:$C$105,1))/1000,0))</f>
        <v>0</v>
      </c>
      <c r="AB575" s="10" t="n">
        <f aca="false">IF(A575="","",IFERROR(L575+AA575,0))</f>
        <v>37119.0497466522</v>
      </c>
      <c r="AC575" s="10" t="n">
        <f aca="false">IF(A575="","",IF(Inputs!$B$22="Premium Offset",MIN(Inputs!$B$25,Q575+T575),0))</f>
        <v>0</v>
      </c>
    </row>
    <row r="576" customFormat="false" ht="15" hidden="false" customHeight="false" outlineLevel="0" collapsed="false">
      <c r="A576" s="1" t="n">
        <f aca="false">IF(A575="","",IF(INT((C575+1)/12)+Inputs!$B$7&gt;MAX(MORTALITY!$A:$A),"",Inputs!$B$4))</f>
        <v>34</v>
      </c>
      <c r="B576" s="3" t="n">
        <f aca="false">IF(A576="","",EOMONTH(B575,1))</f>
        <v>39202</v>
      </c>
      <c r="C576" s="1" t="n">
        <f aca="false">IF(A576="","",C575+1)</f>
        <v>574</v>
      </c>
      <c r="D576" s="1" t="n">
        <f aca="false">IF(A576="","",INT(C576/12))</f>
        <v>47</v>
      </c>
      <c r="E576" s="1" t="n">
        <f aca="false">IF(A576="","",D576+Inputs!$B$7)</f>
        <v>63</v>
      </c>
      <c r="F576" s="3" t="n">
        <f aca="false">IF(A576="","",DATE(YEAR(B$2)+D576,MONTH(B$2),DAY(B$2)))</f>
        <v>38873</v>
      </c>
      <c r="G576" s="3" t="n">
        <f aca="false">IF(A576="","",DATE(YEAR(F576)+1,MONTH(F576),DAY(F576)))</f>
        <v>39238</v>
      </c>
      <c r="H576" s="10" t="n">
        <f aca="false">IF(A576="","",IF(G576&gt;F576,(B576-F576)/(G576-F576),0))</f>
        <v>0.901369863013699</v>
      </c>
      <c r="I576" s="10" t="n">
        <f aca="false">IF(A576="","",IFERROR(INDEX(CV_RATES!$I:$I,MATCH(D576,CV_RATES!$C:$C,0)),0))</f>
        <v>734.416497865582</v>
      </c>
      <c r="J576" s="10" t="n">
        <f aca="false">IF(A576="","",IFERROR(IF(E576=MAX(MORTALITY!$A:$A),1000,INDEX(CV_RATES!$J:$J,MATCH(D576,CV_RATES!$C:$C,0))),0))</f>
        <v>744.139044452953</v>
      </c>
      <c r="K576" s="10" t="n">
        <f aca="false">IF(A576="","",IFERROR(I576+H576*(J576-I576),0))</f>
        <v>743.180108351185</v>
      </c>
      <c r="L576" s="10" t="n">
        <f aca="false">IF(A576="","",IFERROR(K576*Inputs!$B$9,0))</f>
        <v>37159.0054175593</v>
      </c>
      <c r="M576" s="10" t="n">
        <f aca="false">IF(A576="","",IFERROR(K576*Inputs!$B$10,0))</f>
        <v>118906.587795865</v>
      </c>
      <c r="N576" s="10" t="n">
        <f aca="false">IF(A576="","",Z575)</f>
        <v>0</v>
      </c>
      <c r="O576" s="6" t="n">
        <f aca="false">IF(A576="","",Inputs!$B$18+N576)</f>
        <v>50000</v>
      </c>
      <c r="P576" s="5" t="n">
        <f aca="false">IF(A576="","",VLOOKUP(D576,DIvidend_Assumption!$A$3:$CX$103,($E$2+2),0)/12)</f>
        <v>0</v>
      </c>
      <c r="Q576" s="10" t="n">
        <f aca="false">IF(A576="","",IFERROR(AB575*P576,""))</f>
        <v>0</v>
      </c>
      <c r="R576" s="10" t="n">
        <f aca="false">IF(A576="","",IFERROR(IF(Inputs!$B$22="Accumulate",T576+Q576,IF(Inputs!$B$22="Premium Offset",MAX(0,T576+Q576-Inputs!$B$25),T576)),""))</f>
        <v>0</v>
      </c>
      <c r="S576" s="10" t="n">
        <f aca="false">IF(A576="","",R575)</f>
        <v>0</v>
      </c>
      <c r="T576" s="10" t="n">
        <f aca="false">IF(A576="","",IFERROR(S576*(1+Inputs!$B$23/12),""))</f>
        <v>0</v>
      </c>
      <c r="U576" s="6" t="n">
        <f aca="false">IF(A576="","",IF(D576&lt;=Inputs!$B$8,IF(Inputs!$B$22="Premium Offset",MAX(0,Inputs!$B$25-(Q576+T576)),Inputs!$B$25),0))</f>
        <v>0</v>
      </c>
      <c r="V576" s="10" t="n">
        <f aca="false">IF(A576="","",IF(Inputs!$B$22="Cash",Q576,0))</f>
        <v>0</v>
      </c>
      <c r="W576" s="10" t="n">
        <f aca="false">IF(A576="","",IF(Inputs!$B$22="PUA",Q576,0))</f>
        <v>0</v>
      </c>
      <c r="X576" s="12" t="n">
        <f aca="false">IF(A576="","",IFERROR(INDEX(PUA_TABLE!$D$4:$D$105,MATCH(E576,PUA_TABLE!$C$4:$C$105,1)),0))</f>
        <v>0.734416497865582</v>
      </c>
      <c r="Y576" s="10" t="n">
        <f aca="false">IF(A576="","",IF(W576&gt;0,IF(X576&gt;0,W576/X576,0),0))</f>
        <v>0</v>
      </c>
      <c r="Z576" s="10" t="n">
        <f aca="false">IF(A576="","",N576+Y576)</f>
        <v>0</v>
      </c>
      <c r="AA576" s="10" t="n">
        <f aca="false">IF(A576="","",IFERROR(Z576*INDEX(PUA_TABLE!$I$4:$I$105,MATCH(E576,PUA_TABLE!$C$4:$C$105,1))/1000,0))</f>
        <v>0</v>
      </c>
      <c r="AB576" s="10" t="n">
        <f aca="false">IF(A576="","",IFERROR(L576+AA576,0))</f>
        <v>37159.0054175593</v>
      </c>
      <c r="AC576" s="10" t="n">
        <f aca="false">IF(A576="","",IF(Inputs!$B$22="Premium Offset",MIN(Inputs!$B$25,Q576+T576),0))</f>
        <v>0</v>
      </c>
    </row>
    <row r="577" customFormat="false" ht="15" hidden="false" customHeight="false" outlineLevel="0" collapsed="false">
      <c r="A577" s="1" t="n">
        <f aca="false">IF(A576="","",IF(INT((C576+1)/12)+Inputs!$B$7&gt;MAX(MORTALITY!$A:$A),"",Inputs!$B$4))</f>
        <v>34</v>
      </c>
      <c r="B577" s="3" t="n">
        <f aca="false">IF(A577="","",EOMONTH(B576,1))</f>
        <v>39233</v>
      </c>
      <c r="C577" s="1" t="n">
        <f aca="false">IF(A577="","",C576+1)</f>
        <v>575</v>
      </c>
      <c r="D577" s="1" t="n">
        <f aca="false">IF(A577="","",INT(C577/12))</f>
        <v>47</v>
      </c>
      <c r="E577" s="1" t="n">
        <f aca="false">IF(A577="","",D577+Inputs!$B$7)</f>
        <v>63</v>
      </c>
      <c r="F577" s="3" t="n">
        <f aca="false">IF(A577="","",DATE(YEAR(B$2)+D577,MONTH(B$2),DAY(B$2)))</f>
        <v>38873</v>
      </c>
      <c r="G577" s="3" t="n">
        <f aca="false">IF(A577="","",DATE(YEAR(F577)+1,MONTH(F577),DAY(F577)))</f>
        <v>39238</v>
      </c>
      <c r="H577" s="10" t="n">
        <f aca="false">IF(A577="","",IF(G577&gt;F577,(B577-F577)/(G577-F577),0))</f>
        <v>0.986301369863014</v>
      </c>
      <c r="I577" s="10" t="n">
        <f aca="false">IF(A577="","",IFERROR(INDEX(CV_RATES!$I:$I,MATCH(D577,CV_RATES!$C:$C,0)),0))</f>
        <v>734.416497865582</v>
      </c>
      <c r="J577" s="10" t="n">
        <f aca="false">IF(A577="","",IFERROR(IF(E577=MAX(MORTALITY!$A:$A),1000,INDEX(CV_RATES!$J:$J,MATCH(D577,CV_RATES!$C:$C,0))),0))</f>
        <v>744.139044452953</v>
      </c>
      <c r="K577" s="10" t="n">
        <f aca="false">IF(A577="","",IFERROR(I577+H577*(J577-I577),0))</f>
        <v>744.005858883263</v>
      </c>
      <c r="L577" s="10" t="n">
        <f aca="false">IF(A577="","",IFERROR(K577*Inputs!$B$9,0))</f>
        <v>37200.2929441632</v>
      </c>
      <c r="M577" s="10" t="n">
        <f aca="false">IF(A577="","",IFERROR(K577*Inputs!$B$10,0))</f>
        <v>119038.705403745</v>
      </c>
      <c r="N577" s="10" t="n">
        <f aca="false">IF(A577="","",Z576)</f>
        <v>0</v>
      </c>
      <c r="O577" s="6" t="n">
        <f aca="false">IF(A577="","",Inputs!$B$18+N577)</f>
        <v>50000</v>
      </c>
      <c r="P577" s="5" t="n">
        <f aca="false">IF(A577="","",VLOOKUP(D577,DIvidend_Assumption!$A$3:$CX$103,($E$2+2),0)/12)</f>
        <v>0</v>
      </c>
      <c r="Q577" s="10" t="n">
        <f aca="false">IF(A577="","",IFERROR(AB576*P577,""))</f>
        <v>0</v>
      </c>
      <c r="R577" s="10" t="n">
        <f aca="false">IF(A577="","",IFERROR(IF(Inputs!$B$22="Accumulate",T577+Q577,IF(Inputs!$B$22="Premium Offset",MAX(0,T577+Q577-Inputs!$B$25),T577)),""))</f>
        <v>0</v>
      </c>
      <c r="S577" s="10" t="n">
        <f aca="false">IF(A577="","",R576)</f>
        <v>0</v>
      </c>
      <c r="T577" s="10" t="n">
        <f aca="false">IF(A577="","",IFERROR(S577*(1+Inputs!$B$23/12),""))</f>
        <v>0</v>
      </c>
      <c r="U577" s="6" t="n">
        <f aca="false">IF(A577="","",IF(D577&lt;=Inputs!$B$8,IF(Inputs!$B$22="Premium Offset",MAX(0,Inputs!$B$25-(Q577+T577)),Inputs!$B$25),0))</f>
        <v>0</v>
      </c>
      <c r="V577" s="10" t="n">
        <f aca="false">IF(A577="","",IF(Inputs!$B$22="Cash",Q577,0))</f>
        <v>0</v>
      </c>
      <c r="W577" s="10" t="n">
        <f aca="false">IF(A577="","",IF(Inputs!$B$22="PUA",Q577,0))</f>
        <v>0</v>
      </c>
      <c r="X577" s="12" t="n">
        <f aca="false">IF(A577="","",IFERROR(INDEX(PUA_TABLE!$D$4:$D$105,MATCH(E577,PUA_TABLE!$C$4:$C$105,1)),0))</f>
        <v>0.734416497865582</v>
      </c>
      <c r="Y577" s="10" t="n">
        <f aca="false">IF(A577="","",IF(W577&gt;0,IF(X577&gt;0,W577/X577,0),0))</f>
        <v>0</v>
      </c>
      <c r="Z577" s="10" t="n">
        <f aca="false">IF(A577="","",N577+Y577)</f>
        <v>0</v>
      </c>
      <c r="AA577" s="10" t="n">
        <f aca="false">IF(A577="","",IFERROR(Z577*INDEX(PUA_TABLE!$I$4:$I$105,MATCH(E577,PUA_TABLE!$C$4:$C$105,1))/1000,0))</f>
        <v>0</v>
      </c>
      <c r="AB577" s="10" t="n">
        <f aca="false">IF(A577="","",IFERROR(L577+AA577,0))</f>
        <v>37200.2929441632</v>
      </c>
      <c r="AC577" s="10" t="n">
        <f aca="false">IF(A577="","",IF(Inputs!$B$22="Premium Offset",MIN(Inputs!$B$25,Q577+T577),0))</f>
        <v>0</v>
      </c>
    </row>
    <row r="578" customFormat="false" ht="15" hidden="false" customHeight="false" outlineLevel="0" collapsed="false">
      <c r="A578" s="1" t="n">
        <f aca="false">IF(A577="","",IF(INT((C577+1)/12)+Inputs!$B$7&gt;MAX(MORTALITY!$A:$A),"",Inputs!$B$4))</f>
        <v>34</v>
      </c>
      <c r="B578" s="3" t="n">
        <f aca="false">IF(A578="","",EOMONTH(B577,1))</f>
        <v>39263</v>
      </c>
      <c r="C578" s="1" t="n">
        <f aca="false">IF(A578="","",C577+1)</f>
        <v>576</v>
      </c>
      <c r="D578" s="1" t="n">
        <f aca="false">IF(A578="","",INT(C578/12))</f>
        <v>48</v>
      </c>
      <c r="E578" s="1" t="n">
        <f aca="false">IF(A578="","",D578+Inputs!$B$7)</f>
        <v>64</v>
      </c>
      <c r="F578" s="3" t="n">
        <f aca="false">IF(A578="","",DATE(YEAR(B$2)+D578,MONTH(B$2),DAY(B$2)))</f>
        <v>39238</v>
      </c>
      <c r="G578" s="3" t="n">
        <f aca="false">IF(A578="","",DATE(YEAR(F578)+1,MONTH(F578),DAY(F578)))</f>
        <v>39604</v>
      </c>
      <c r="H578" s="10" t="n">
        <f aca="false">IF(A578="","",IF(G578&gt;F578,(B578-F578)/(G578-F578),0))</f>
        <v>0.0683060109289618</v>
      </c>
      <c r="I578" s="10" t="n">
        <f aca="false">IF(A578="","",IFERROR(INDEX(CV_RATES!$I:$I,MATCH(D578,CV_RATES!$C:$C,0)),0))</f>
        <v>744.139044452953</v>
      </c>
      <c r="J578" s="10" t="n">
        <f aca="false">IF(A578="","",IFERROR(IF(E578=MAX(MORTALITY!$A:$A),1000,INDEX(CV_RATES!$J:$J,MATCH(D578,CV_RATES!$C:$C,0))),0))</f>
        <v>753.73411447165</v>
      </c>
      <c r="K578" s="10" t="n">
        <f aca="false">IF(A578="","",IFERROR(I578+H578*(J578-I578),0))</f>
        <v>744.794445410514</v>
      </c>
      <c r="L578" s="10" t="n">
        <f aca="false">IF(A578="","",IFERROR(K578*Inputs!$B$9,0))</f>
        <v>37239.7222705257</v>
      </c>
      <c r="M578" s="10" t="n">
        <f aca="false">IF(A578="","",IFERROR(K578*Inputs!$B$10,0))</f>
        <v>119164.876882346</v>
      </c>
      <c r="N578" s="10" t="n">
        <f aca="false">IF(A578="","",Z577)</f>
        <v>0</v>
      </c>
      <c r="O578" s="6" t="n">
        <f aca="false">IF(A578="","",Inputs!$B$18+N578)</f>
        <v>50000</v>
      </c>
      <c r="P578" s="5" t="n">
        <f aca="false">IF(A578="","",VLOOKUP(D578,DIvidend_Assumption!$A$3:$CX$103,($E$2+2),0)/12)</f>
        <v>0</v>
      </c>
      <c r="Q578" s="10" t="n">
        <f aca="false">IF(A578="","",IFERROR(AB577*P578,""))</f>
        <v>0</v>
      </c>
      <c r="R578" s="10" t="n">
        <f aca="false">IF(A578="","",IFERROR(IF(Inputs!$B$22="Accumulate",T578+Q578,IF(Inputs!$B$22="Premium Offset",MAX(0,T578+Q578-Inputs!$B$25),T578)),""))</f>
        <v>0</v>
      </c>
      <c r="S578" s="10" t="n">
        <f aca="false">IF(A578="","",R577)</f>
        <v>0</v>
      </c>
      <c r="T578" s="10" t="n">
        <f aca="false">IF(A578="","",IFERROR(S578*(1+Inputs!$B$23/12),""))</f>
        <v>0</v>
      </c>
      <c r="U578" s="6" t="n">
        <f aca="false">IF(A578="","",IF(D578&lt;=Inputs!$B$8,IF(Inputs!$B$22="Premium Offset",MAX(0,Inputs!$B$25-(Q578+T578)),Inputs!$B$25),0))</f>
        <v>0</v>
      </c>
      <c r="V578" s="10" t="n">
        <f aca="false">IF(A578="","",IF(Inputs!$B$22="Cash",Q578,0))</f>
        <v>0</v>
      </c>
      <c r="W578" s="10" t="n">
        <f aca="false">IF(A578="","",IF(Inputs!$B$22="PUA",Q578,0))</f>
        <v>0</v>
      </c>
      <c r="X578" s="12" t="n">
        <f aca="false">IF(A578="","",IFERROR(INDEX(PUA_TABLE!$D$4:$D$105,MATCH(E578,PUA_TABLE!$C$4:$C$105,1)),0))</f>
        <v>0.744139044452953</v>
      </c>
      <c r="Y578" s="10" t="n">
        <f aca="false">IF(A578="","",IF(W578&gt;0,IF(X578&gt;0,W578/X578,0),0))</f>
        <v>0</v>
      </c>
      <c r="Z578" s="10" t="n">
        <f aca="false">IF(A578="","",N578+Y578)</f>
        <v>0</v>
      </c>
      <c r="AA578" s="10" t="n">
        <f aca="false">IF(A578="","",IFERROR(Z578*INDEX(PUA_TABLE!$I$4:$I$105,MATCH(E578,PUA_TABLE!$C$4:$C$105,1))/1000,0))</f>
        <v>0</v>
      </c>
      <c r="AB578" s="10" t="n">
        <f aca="false">IF(A578="","",IFERROR(L578+AA578,0))</f>
        <v>37239.7222705257</v>
      </c>
      <c r="AC578" s="10" t="n">
        <f aca="false">IF(A578="","",IF(Inputs!$B$22="Premium Offset",MIN(Inputs!$B$25,Q578+T578),0))</f>
        <v>0</v>
      </c>
    </row>
    <row r="579" customFormat="false" ht="15" hidden="false" customHeight="false" outlineLevel="0" collapsed="false">
      <c r="A579" s="1" t="n">
        <f aca="false">IF(A578="","",IF(INT((C578+1)/12)+Inputs!$B$7&gt;MAX(MORTALITY!$A:$A),"",Inputs!$B$4))</f>
        <v>34</v>
      </c>
      <c r="B579" s="3" t="n">
        <f aca="false">IF(A579="","",EOMONTH(B578,1))</f>
        <v>39294</v>
      </c>
      <c r="C579" s="1" t="n">
        <f aca="false">IF(A579="","",C578+1)</f>
        <v>577</v>
      </c>
      <c r="D579" s="1" t="n">
        <f aca="false">IF(A579="","",INT(C579/12))</f>
        <v>48</v>
      </c>
      <c r="E579" s="1" t="n">
        <f aca="false">IF(A579="","",D579+Inputs!$B$7)</f>
        <v>64</v>
      </c>
      <c r="F579" s="3" t="n">
        <f aca="false">IF(A579="","",DATE(YEAR(B$2)+D579,MONTH(B$2),DAY(B$2)))</f>
        <v>39238</v>
      </c>
      <c r="G579" s="3" t="n">
        <f aca="false">IF(A579="","",DATE(YEAR(F579)+1,MONTH(F579),DAY(F579)))</f>
        <v>39604</v>
      </c>
      <c r="H579" s="10" t="n">
        <f aca="false">IF(A579="","",IF(G579&gt;F579,(B579-F579)/(G579-F579),0))</f>
        <v>0.153005464480874</v>
      </c>
      <c r="I579" s="10" t="n">
        <f aca="false">IF(A579="","",IFERROR(INDEX(CV_RATES!$I:$I,MATCH(D579,CV_RATES!$C:$C,0)),0))</f>
        <v>744.139044452953</v>
      </c>
      <c r="J579" s="10" t="n">
        <f aca="false">IF(A579="","",IFERROR(IF(E579=MAX(MORTALITY!$A:$A),1000,INDEX(CV_RATES!$J:$J,MATCH(D579,CV_RATES!$C:$C,0))),0))</f>
        <v>753.73411447165</v>
      </c>
      <c r="K579" s="10" t="n">
        <f aca="false">IF(A579="","",IFERROR(I579+H579*(J579-I579),0))</f>
        <v>745.60714259789</v>
      </c>
      <c r="L579" s="10" t="n">
        <f aca="false">IF(A579="","",IFERROR(K579*Inputs!$B$9,0))</f>
        <v>37280.3571298945</v>
      </c>
      <c r="M579" s="10" t="n">
        <f aca="false">IF(A579="","",IFERROR(K579*Inputs!$B$10,0))</f>
        <v>119294.905994235</v>
      </c>
      <c r="N579" s="10" t="n">
        <f aca="false">IF(A579="","",Z578)</f>
        <v>0</v>
      </c>
      <c r="O579" s="6" t="n">
        <f aca="false">IF(A579="","",Inputs!$B$18+N579)</f>
        <v>50000</v>
      </c>
      <c r="P579" s="5" t="n">
        <f aca="false">IF(A579="","",VLOOKUP(D579,DIvidend_Assumption!$A$3:$CX$103,($E$2+2),0)/12)</f>
        <v>0</v>
      </c>
      <c r="Q579" s="10" t="n">
        <f aca="false">IF(A579="","",IFERROR(AB578*P579,""))</f>
        <v>0</v>
      </c>
      <c r="R579" s="10" t="n">
        <f aca="false">IF(A579="","",IFERROR(IF(Inputs!$B$22="Accumulate",T579+Q579,IF(Inputs!$B$22="Premium Offset",MAX(0,T579+Q579-Inputs!$B$25),T579)),""))</f>
        <v>0</v>
      </c>
      <c r="S579" s="10" t="n">
        <f aca="false">IF(A579="","",R578)</f>
        <v>0</v>
      </c>
      <c r="T579" s="10" t="n">
        <f aca="false">IF(A579="","",IFERROR(S579*(1+Inputs!$B$23/12),""))</f>
        <v>0</v>
      </c>
      <c r="U579" s="6" t="n">
        <f aca="false">IF(A579="","",IF(D579&lt;=Inputs!$B$8,IF(Inputs!$B$22="Premium Offset",MAX(0,Inputs!$B$25-(Q579+T579)),Inputs!$B$25),0))</f>
        <v>0</v>
      </c>
      <c r="V579" s="10" t="n">
        <f aca="false">IF(A579="","",IF(Inputs!$B$22="Cash",Q579,0))</f>
        <v>0</v>
      </c>
      <c r="W579" s="10" t="n">
        <f aca="false">IF(A579="","",IF(Inputs!$B$22="PUA",Q579,0))</f>
        <v>0</v>
      </c>
      <c r="X579" s="12" t="n">
        <f aca="false">IF(A579="","",IFERROR(INDEX(PUA_TABLE!$D$4:$D$105,MATCH(E579,PUA_TABLE!$C$4:$C$105,1)),0))</f>
        <v>0.744139044452953</v>
      </c>
      <c r="Y579" s="10" t="n">
        <f aca="false">IF(A579="","",IF(W579&gt;0,IF(X579&gt;0,W579/X579,0),0))</f>
        <v>0</v>
      </c>
      <c r="Z579" s="10" t="n">
        <f aca="false">IF(A579="","",N579+Y579)</f>
        <v>0</v>
      </c>
      <c r="AA579" s="10" t="n">
        <f aca="false">IF(A579="","",IFERROR(Z579*INDEX(PUA_TABLE!$I$4:$I$105,MATCH(E579,PUA_TABLE!$C$4:$C$105,1))/1000,0))</f>
        <v>0</v>
      </c>
      <c r="AB579" s="10" t="n">
        <f aca="false">IF(A579="","",IFERROR(L579+AA579,0))</f>
        <v>37280.3571298945</v>
      </c>
      <c r="AC579" s="10" t="n">
        <f aca="false">IF(A579="","",IF(Inputs!$B$22="Premium Offset",MIN(Inputs!$B$25,Q579+T579),0))</f>
        <v>0</v>
      </c>
    </row>
    <row r="580" customFormat="false" ht="15" hidden="false" customHeight="false" outlineLevel="0" collapsed="false">
      <c r="A580" s="1" t="n">
        <f aca="false">IF(A579="","",IF(INT((C579+1)/12)+Inputs!$B$7&gt;MAX(MORTALITY!$A:$A),"",Inputs!$B$4))</f>
        <v>34</v>
      </c>
      <c r="B580" s="3" t="n">
        <f aca="false">IF(A580="","",EOMONTH(B579,1))</f>
        <v>39325</v>
      </c>
      <c r="C580" s="1" t="n">
        <f aca="false">IF(A580="","",C579+1)</f>
        <v>578</v>
      </c>
      <c r="D580" s="1" t="n">
        <f aca="false">IF(A580="","",INT(C580/12))</f>
        <v>48</v>
      </c>
      <c r="E580" s="1" t="n">
        <f aca="false">IF(A580="","",D580+Inputs!$B$7)</f>
        <v>64</v>
      </c>
      <c r="F580" s="3" t="n">
        <f aca="false">IF(A580="","",DATE(YEAR(B$2)+D580,MONTH(B$2),DAY(B$2)))</f>
        <v>39238</v>
      </c>
      <c r="G580" s="3" t="n">
        <f aca="false">IF(A580="","",DATE(YEAR(F580)+1,MONTH(F580),DAY(F580)))</f>
        <v>39604</v>
      </c>
      <c r="H580" s="10" t="n">
        <f aca="false">IF(A580="","",IF(G580&gt;F580,(B580-F580)/(G580-F580),0))</f>
        <v>0.237704918032787</v>
      </c>
      <c r="I580" s="10" t="n">
        <f aca="false">IF(A580="","",IFERROR(INDEX(CV_RATES!$I:$I,MATCH(D580,CV_RATES!$C:$C,0)),0))</f>
        <v>744.139044452953</v>
      </c>
      <c r="J580" s="10" t="n">
        <f aca="false">IF(A580="","",IFERROR(IF(E580=MAX(MORTALITY!$A:$A),1000,INDEX(CV_RATES!$J:$J,MATCH(D580,CV_RATES!$C:$C,0))),0))</f>
        <v>753.73411447165</v>
      </c>
      <c r="K580" s="10" t="n">
        <f aca="false">IF(A580="","",IFERROR(I580+H580*(J580-I580),0))</f>
        <v>746.419839785266</v>
      </c>
      <c r="L580" s="10" t="n">
        <f aca="false">IF(A580="","",IFERROR(K580*Inputs!$B$9,0))</f>
        <v>37320.9919892633</v>
      </c>
      <c r="M580" s="10" t="n">
        <f aca="false">IF(A580="","",IFERROR(K580*Inputs!$B$10,0))</f>
        <v>119424.935106123</v>
      </c>
      <c r="N580" s="10" t="n">
        <f aca="false">IF(A580="","",Z579)</f>
        <v>0</v>
      </c>
      <c r="O580" s="6" t="n">
        <f aca="false">IF(A580="","",Inputs!$B$18+N580)</f>
        <v>50000</v>
      </c>
      <c r="P580" s="5" t="n">
        <f aca="false">IF(A580="","",VLOOKUP(D580,DIvidend_Assumption!$A$3:$CX$103,($E$2+2),0)/12)</f>
        <v>0</v>
      </c>
      <c r="Q580" s="10" t="n">
        <f aca="false">IF(A580="","",IFERROR(AB579*P580,""))</f>
        <v>0</v>
      </c>
      <c r="R580" s="10" t="n">
        <f aca="false">IF(A580="","",IFERROR(IF(Inputs!$B$22="Accumulate",T580+Q580,IF(Inputs!$B$22="Premium Offset",MAX(0,T580+Q580-Inputs!$B$25),T580)),""))</f>
        <v>0</v>
      </c>
      <c r="S580" s="10" t="n">
        <f aca="false">IF(A580="","",R579)</f>
        <v>0</v>
      </c>
      <c r="T580" s="10" t="n">
        <f aca="false">IF(A580="","",IFERROR(S580*(1+Inputs!$B$23/12),""))</f>
        <v>0</v>
      </c>
      <c r="U580" s="6" t="n">
        <f aca="false">IF(A580="","",IF(D580&lt;=Inputs!$B$8,IF(Inputs!$B$22="Premium Offset",MAX(0,Inputs!$B$25-(Q580+T580)),Inputs!$B$25),0))</f>
        <v>0</v>
      </c>
      <c r="V580" s="10" t="n">
        <f aca="false">IF(A580="","",IF(Inputs!$B$22="Cash",Q580,0))</f>
        <v>0</v>
      </c>
      <c r="W580" s="10" t="n">
        <f aca="false">IF(A580="","",IF(Inputs!$B$22="PUA",Q580,0))</f>
        <v>0</v>
      </c>
      <c r="X580" s="12" t="n">
        <f aca="false">IF(A580="","",IFERROR(INDEX(PUA_TABLE!$D$4:$D$105,MATCH(E580,PUA_TABLE!$C$4:$C$105,1)),0))</f>
        <v>0.744139044452953</v>
      </c>
      <c r="Y580" s="10" t="n">
        <f aca="false">IF(A580="","",IF(W580&gt;0,IF(X580&gt;0,W580/X580,0),0))</f>
        <v>0</v>
      </c>
      <c r="Z580" s="10" t="n">
        <f aca="false">IF(A580="","",N580+Y580)</f>
        <v>0</v>
      </c>
      <c r="AA580" s="10" t="n">
        <f aca="false">IF(A580="","",IFERROR(Z580*INDEX(PUA_TABLE!$I$4:$I$105,MATCH(E580,PUA_TABLE!$C$4:$C$105,1))/1000,0))</f>
        <v>0</v>
      </c>
      <c r="AB580" s="10" t="n">
        <f aca="false">IF(A580="","",IFERROR(L580+AA580,0))</f>
        <v>37320.9919892633</v>
      </c>
      <c r="AC580" s="10" t="n">
        <f aca="false">IF(A580="","",IF(Inputs!$B$22="Premium Offset",MIN(Inputs!$B$25,Q580+T580),0))</f>
        <v>0</v>
      </c>
    </row>
    <row r="581" customFormat="false" ht="15" hidden="false" customHeight="false" outlineLevel="0" collapsed="false">
      <c r="A581" s="1" t="n">
        <f aca="false">IF(A580="","",IF(INT((C580+1)/12)+Inputs!$B$7&gt;MAX(MORTALITY!$A:$A),"",Inputs!$B$4))</f>
        <v>34</v>
      </c>
      <c r="B581" s="3" t="n">
        <f aca="false">IF(A581="","",EOMONTH(B580,1))</f>
        <v>39355</v>
      </c>
      <c r="C581" s="1" t="n">
        <f aca="false">IF(A581="","",C580+1)</f>
        <v>579</v>
      </c>
      <c r="D581" s="1" t="n">
        <f aca="false">IF(A581="","",INT(C581/12))</f>
        <v>48</v>
      </c>
      <c r="E581" s="1" t="n">
        <f aca="false">IF(A581="","",D581+Inputs!$B$7)</f>
        <v>64</v>
      </c>
      <c r="F581" s="3" t="n">
        <f aca="false">IF(A581="","",DATE(YEAR(B$2)+D581,MONTH(B$2),DAY(B$2)))</f>
        <v>39238</v>
      </c>
      <c r="G581" s="3" t="n">
        <f aca="false">IF(A581="","",DATE(YEAR(F581)+1,MONTH(F581),DAY(F581)))</f>
        <v>39604</v>
      </c>
      <c r="H581" s="10" t="n">
        <f aca="false">IF(A581="","",IF(G581&gt;F581,(B581-F581)/(G581-F581),0))</f>
        <v>0.319672131147541</v>
      </c>
      <c r="I581" s="10" t="n">
        <f aca="false">IF(A581="","",IFERROR(INDEX(CV_RATES!$I:$I,MATCH(D581,CV_RATES!$C:$C,0)),0))</f>
        <v>744.139044452953</v>
      </c>
      <c r="J581" s="10" t="n">
        <f aca="false">IF(A581="","",IFERROR(IF(E581=MAX(MORTALITY!$A:$A),1000,INDEX(CV_RATES!$J:$J,MATCH(D581,CV_RATES!$C:$C,0))),0))</f>
        <v>753.73411447165</v>
      </c>
      <c r="K581" s="10" t="n">
        <f aca="false">IF(A581="","",IFERROR(I581+H581*(J581-I581),0))</f>
        <v>747.20632093434</v>
      </c>
      <c r="L581" s="10" t="n">
        <f aca="false">IF(A581="","",IFERROR(K581*Inputs!$B$9,0))</f>
        <v>37360.316046717</v>
      </c>
      <c r="M581" s="10" t="n">
        <f aca="false">IF(A581="","",IFERROR(K581*Inputs!$B$10,0))</f>
        <v>119550.769730532</v>
      </c>
      <c r="N581" s="10" t="n">
        <f aca="false">IF(A581="","",Z580)</f>
        <v>0</v>
      </c>
      <c r="O581" s="6" t="n">
        <f aca="false">IF(A581="","",Inputs!$B$18+N581)</f>
        <v>50000</v>
      </c>
      <c r="P581" s="5" t="n">
        <f aca="false">IF(A581="","",VLOOKUP(D581,DIvidend_Assumption!$A$3:$CX$103,($E$2+2),0)/12)</f>
        <v>0</v>
      </c>
      <c r="Q581" s="10" t="n">
        <f aca="false">IF(A581="","",IFERROR(AB580*P581,""))</f>
        <v>0</v>
      </c>
      <c r="R581" s="10" t="n">
        <f aca="false">IF(A581="","",IFERROR(IF(Inputs!$B$22="Accumulate",T581+Q581,IF(Inputs!$B$22="Premium Offset",MAX(0,T581+Q581-Inputs!$B$25),T581)),""))</f>
        <v>0</v>
      </c>
      <c r="S581" s="10" t="n">
        <f aca="false">IF(A581="","",R580)</f>
        <v>0</v>
      </c>
      <c r="T581" s="10" t="n">
        <f aca="false">IF(A581="","",IFERROR(S581*(1+Inputs!$B$23/12),""))</f>
        <v>0</v>
      </c>
      <c r="U581" s="6" t="n">
        <f aca="false">IF(A581="","",IF(D581&lt;=Inputs!$B$8,IF(Inputs!$B$22="Premium Offset",MAX(0,Inputs!$B$25-(Q581+T581)),Inputs!$B$25),0))</f>
        <v>0</v>
      </c>
      <c r="V581" s="10" t="n">
        <f aca="false">IF(A581="","",IF(Inputs!$B$22="Cash",Q581,0))</f>
        <v>0</v>
      </c>
      <c r="W581" s="10" t="n">
        <f aca="false">IF(A581="","",IF(Inputs!$B$22="PUA",Q581,0))</f>
        <v>0</v>
      </c>
      <c r="X581" s="12" t="n">
        <f aca="false">IF(A581="","",IFERROR(INDEX(PUA_TABLE!$D$4:$D$105,MATCH(E581,PUA_TABLE!$C$4:$C$105,1)),0))</f>
        <v>0.744139044452953</v>
      </c>
      <c r="Y581" s="10" t="n">
        <f aca="false">IF(A581="","",IF(W581&gt;0,IF(X581&gt;0,W581/X581,0),0))</f>
        <v>0</v>
      </c>
      <c r="Z581" s="10" t="n">
        <f aca="false">IF(A581="","",N581+Y581)</f>
        <v>0</v>
      </c>
      <c r="AA581" s="10" t="n">
        <f aca="false">IF(A581="","",IFERROR(Z581*INDEX(PUA_TABLE!$I$4:$I$105,MATCH(E581,PUA_TABLE!$C$4:$C$105,1))/1000,0))</f>
        <v>0</v>
      </c>
      <c r="AB581" s="10" t="n">
        <f aca="false">IF(A581="","",IFERROR(L581+AA581,0))</f>
        <v>37360.316046717</v>
      </c>
      <c r="AC581" s="10" t="n">
        <f aca="false">IF(A581="","",IF(Inputs!$B$22="Premium Offset",MIN(Inputs!$B$25,Q581+T581),0))</f>
        <v>0</v>
      </c>
    </row>
    <row r="582" customFormat="false" ht="15" hidden="false" customHeight="false" outlineLevel="0" collapsed="false">
      <c r="A582" s="1" t="n">
        <f aca="false">IF(A581="","",IF(INT((C581+1)/12)+Inputs!$B$7&gt;MAX(MORTALITY!$A:$A),"",Inputs!$B$4))</f>
        <v>34</v>
      </c>
      <c r="B582" s="3" t="n">
        <f aca="false">IF(A582="","",EOMONTH(B581,1))</f>
        <v>39386</v>
      </c>
      <c r="C582" s="1" t="n">
        <f aca="false">IF(A582="","",C581+1)</f>
        <v>580</v>
      </c>
      <c r="D582" s="1" t="n">
        <f aca="false">IF(A582="","",INT(C582/12))</f>
        <v>48</v>
      </c>
      <c r="E582" s="1" t="n">
        <f aca="false">IF(A582="","",D582+Inputs!$B$7)</f>
        <v>64</v>
      </c>
      <c r="F582" s="3" t="n">
        <f aca="false">IF(A582="","",DATE(YEAR(B$2)+D582,MONTH(B$2),DAY(B$2)))</f>
        <v>39238</v>
      </c>
      <c r="G582" s="3" t="n">
        <f aca="false">IF(A582="","",DATE(YEAR(F582)+1,MONTH(F582),DAY(F582)))</f>
        <v>39604</v>
      </c>
      <c r="H582" s="10" t="n">
        <f aca="false">IF(A582="","",IF(G582&gt;F582,(B582-F582)/(G582-F582),0))</f>
        <v>0.404371584699454</v>
      </c>
      <c r="I582" s="10" t="n">
        <f aca="false">IF(A582="","",IFERROR(INDEX(CV_RATES!$I:$I,MATCH(D582,CV_RATES!$C:$C,0)),0))</f>
        <v>744.139044452953</v>
      </c>
      <c r="J582" s="10" t="n">
        <f aca="false">IF(A582="","",IFERROR(IF(E582=MAX(MORTALITY!$A:$A),1000,INDEX(CV_RATES!$J:$J,MATCH(D582,CV_RATES!$C:$C,0))),0))</f>
        <v>753.73411447165</v>
      </c>
      <c r="K582" s="10" t="n">
        <f aca="false">IF(A582="","",IFERROR(I582+H582*(J582-I582),0))</f>
        <v>748.019018121716</v>
      </c>
      <c r="L582" s="10" t="n">
        <f aca="false">IF(A582="","",IFERROR(K582*Inputs!$B$9,0))</f>
        <v>37400.9509060858</v>
      </c>
      <c r="M582" s="10" t="n">
        <f aca="false">IF(A582="","",IFERROR(K582*Inputs!$B$10,0))</f>
        <v>119680.79884242</v>
      </c>
      <c r="N582" s="10" t="n">
        <f aca="false">IF(A582="","",Z581)</f>
        <v>0</v>
      </c>
      <c r="O582" s="6" t="n">
        <f aca="false">IF(A582="","",Inputs!$B$18+N582)</f>
        <v>50000</v>
      </c>
      <c r="P582" s="5" t="n">
        <f aca="false">IF(A582="","",VLOOKUP(D582,DIvidend_Assumption!$A$3:$CX$103,($E$2+2),0)/12)</f>
        <v>0</v>
      </c>
      <c r="Q582" s="10" t="n">
        <f aca="false">IF(A582="","",IFERROR(AB581*P582,""))</f>
        <v>0</v>
      </c>
      <c r="R582" s="10" t="n">
        <f aca="false">IF(A582="","",IFERROR(IF(Inputs!$B$22="Accumulate",T582+Q582,IF(Inputs!$B$22="Premium Offset",MAX(0,T582+Q582-Inputs!$B$25),T582)),""))</f>
        <v>0</v>
      </c>
      <c r="S582" s="10" t="n">
        <f aca="false">IF(A582="","",R581)</f>
        <v>0</v>
      </c>
      <c r="T582" s="10" t="n">
        <f aca="false">IF(A582="","",IFERROR(S582*(1+Inputs!$B$23/12),""))</f>
        <v>0</v>
      </c>
      <c r="U582" s="6" t="n">
        <f aca="false">IF(A582="","",IF(D582&lt;=Inputs!$B$8,IF(Inputs!$B$22="Premium Offset",MAX(0,Inputs!$B$25-(Q582+T582)),Inputs!$B$25),0))</f>
        <v>0</v>
      </c>
      <c r="V582" s="10" t="n">
        <f aca="false">IF(A582="","",IF(Inputs!$B$22="Cash",Q582,0))</f>
        <v>0</v>
      </c>
      <c r="W582" s="10" t="n">
        <f aca="false">IF(A582="","",IF(Inputs!$B$22="PUA",Q582,0))</f>
        <v>0</v>
      </c>
      <c r="X582" s="12" t="n">
        <f aca="false">IF(A582="","",IFERROR(INDEX(PUA_TABLE!$D$4:$D$105,MATCH(E582,PUA_TABLE!$C$4:$C$105,1)),0))</f>
        <v>0.744139044452953</v>
      </c>
      <c r="Y582" s="10" t="n">
        <f aca="false">IF(A582="","",IF(W582&gt;0,IF(X582&gt;0,W582/X582,0),0))</f>
        <v>0</v>
      </c>
      <c r="Z582" s="10" t="n">
        <f aca="false">IF(A582="","",N582+Y582)</f>
        <v>0</v>
      </c>
      <c r="AA582" s="10" t="n">
        <f aca="false">IF(A582="","",IFERROR(Z582*INDEX(PUA_TABLE!$I$4:$I$105,MATCH(E582,PUA_TABLE!$C$4:$C$105,1))/1000,0))</f>
        <v>0</v>
      </c>
      <c r="AB582" s="10" t="n">
        <f aca="false">IF(A582="","",IFERROR(L582+AA582,0))</f>
        <v>37400.9509060858</v>
      </c>
      <c r="AC582" s="10" t="n">
        <f aca="false">IF(A582="","",IF(Inputs!$B$22="Premium Offset",MIN(Inputs!$B$25,Q582+T582),0))</f>
        <v>0</v>
      </c>
    </row>
    <row r="583" customFormat="false" ht="15" hidden="false" customHeight="false" outlineLevel="0" collapsed="false">
      <c r="A583" s="1" t="n">
        <f aca="false">IF(A582="","",IF(INT((C582+1)/12)+Inputs!$B$7&gt;MAX(MORTALITY!$A:$A),"",Inputs!$B$4))</f>
        <v>34</v>
      </c>
      <c r="B583" s="3" t="n">
        <f aca="false">IF(A583="","",EOMONTH(B582,1))</f>
        <v>39416</v>
      </c>
      <c r="C583" s="1" t="n">
        <f aca="false">IF(A583="","",C582+1)</f>
        <v>581</v>
      </c>
      <c r="D583" s="1" t="n">
        <f aca="false">IF(A583="","",INT(C583/12))</f>
        <v>48</v>
      </c>
      <c r="E583" s="1" t="n">
        <f aca="false">IF(A583="","",D583+Inputs!$B$7)</f>
        <v>64</v>
      </c>
      <c r="F583" s="3" t="n">
        <f aca="false">IF(A583="","",DATE(YEAR(B$2)+D583,MONTH(B$2),DAY(B$2)))</f>
        <v>39238</v>
      </c>
      <c r="G583" s="3" t="n">
        <f aca="false">IF(A583="","",DATE(YEAR(F583)+1,MONTH(F583),DAY(F583)))</f>
        <v>39604</v>
      </c>
      <c r="H583" s="10" t="n">
        <f aca="false">IF(A583="","",IF(G583&gt;F583,(B583-F583)/(G583-F583),0))</f>
        <v>0.486338797814208</v>
      </c>
      <c r="I583" s="10" t="n">
        <f aca="false">IF(A583="","",IFERROR(INDEX(CV_RATES!$I:$I,MATCH(D583,CV_RATES!$C:$C,0)),0))</f>
        <v>744.139044452953</v>
      </c>
      <c r="J583" s="10" t="n">
        <f aca="false">IF(A583="","",IFERROR(IF(E583=MAX(MORTALITY!$A:$A),1000,INDEX(CV_RATES!$J:$J,MATCH(D583,CV_RATES!$C:$C,0))),0))</f>
        <v>753.73411447165</v>
      </c>
      <c r="K583" s="10" t="n">
        <f aca="false">IF(A583="","",IFERROR(I583+H583*(J583-I583),0))</f>
        <v>748.805499270789</v>
      </c>
      <c r="L583" s="10" t="n">
        <f aca="false">IF(A583="","",IFERROR(K583*Inputs!$B$9,0))</f>
        <v>37440.2749635395</v>
      </c>
      <c r="M583" s="10" t="n">
        <f aca="false">IF(A583="","",IFERROR(K583*Inputs!$B$10,0))</f>
        <v>119806.633466828</v>
      </c>
      <c r="N583" s="10" t="n">
        <f aca="false">IF(A583="","",Z582)</f>
        <v>0</v>
      </c>
      <c r="O583" s="6" t="n">
        <f aca="false">IF(A583="","",Inputs!$B$18+N583)</f>
        <v>50000</v>
      </c>
      <c r="P583" s="5" t="n">
        <f aca="false">IF(A583="","",VLOOKUP(D583,DIvidend_Assumption!$A$3:$CX$103,($E$2+2),0)/12)</f>
        <v>0</v>
      </c>
      <c r="Q583" s="10" t="n">
        <f aca="false">IF(A583="","",IFERROR(AB582*P583,""))</f>
        <v>0</v>
      </c>
      <c r="R583" s="10" t="n">
        <f aca="false">IF(A583="","",IFERROR(IF(Inputs!$B$22="Accumulate",T583+Q583,IF(Inputs!$B$22="Premium Offset",MAX(0,T583+Q583-Inputs!$B$25),T583)),""))</f>
        <v>0</v>
      </c>
      <c r="S583" s="10" t="n">
        <f aca="false">IF(A583="","",R582)</f>
        <v>0</v>
      </c>
      <c r="T583" s="10" t="n">
        <f aca="false">IF(A583="","",IFERROR(S583*(1+Inputs!$B$23/12),""))</f>
        <v>0</v>
      </c>
      <c r="U583" s="6" t="n">
        <f aca="false">IF(A583="","",IF(D583&lt;=Inputs!$B$8,IF(Inputs!$B$22="Premium Offset",MAX(0,Inputs!$B$25-(Q583+T583)),Inputs!$B$25),0))</f>
        <v>0</v>
      </c>
      <c r="V583" s="10" t="n">
        <f aca="false">IF(A583="","",IF(Inputs!$B$22="Cash",Q583,0))</f>
        <v>0</v>
      </c>
      <c r="W583" s="10" t="n">
        <f aca="false">IF(A583="","",IF(Inputs!$B$22="PUA",Q583,0))</f>
        <v>0</v>
      </c>
      <c r="X583" s="12" t="n">
        <f aca="false">IF(A583="","",IFERROR(INDEX(PUA_TABLE!$D$4:$D$105,MATCH(E583,PUA_TABLE!$C$4:$C$105,1)),0))</f>
        <v>0.744139044452953</v>
      </c>
      <c r="Y583" s="10" t="n">
        <f aca="false">IF(A583="","",IF(W583&gt;0,IF(X583&gt;0,W583/X583,0),0))</f>
        <v>0</v>
      </c>
      <c r="Z583" s="10" t="n">
        <f aca="false">IF(A583="","",N583+Y583)</f>
        <v>0</v>
      </c>
      <c r="AA583" s="10" t="n">
        <f aca="false">IF(A583="","",IFERROR(Z583*INDEX(PUA_TABLE!$I$4:$I$105,MATCH(E583,PUA_TABLE!$C$4:$C$105,1))/1000,0))</f>
        <v>0</v>
      </c>
      <c r="AB583" s="10" t="n">
        <f aca="false">IF(A583="","",IFERROR(L583+AA583,0))</f>
        <v>37440.2749635395</v>
      </c>
      <c r="AC583" s="10" t="n">
        <f aca="false">IF(A583="","",IF(Inputs!$B$22="Premium Offset",MIN(Inputs!$B$25,Q583+T583),0))</f>
        <v>0</v>
      </c>
    </row>
    <row r="584" customFormat="false" ht="15" hidden="false" customHeight="false" outlineLevel="0" collapsed="false">
      <c r="A584" s="1" t="n">
        <f aca="false">IF(A583="","",IF(INT((C583+1)/12)+Inputs!$B$7&gt;MAX(MORTALITY!$A:$A),"",Inputs!$B$4))</f>
        <v>34</v>
      </c>
      <c r="B584" s="3" t="n">
        <f aca="false">IF(A584="","",EOMONTH(B583,1))</f>
        <v>39447</v>
      </c>
      <c r="C584" s="1" t="n">
        <f aca="false">IF(A584="","",C583+1)</f>
        <v>582</v>
      </c>
      <c r="D584" s="1" t="n">
        <f aca="false">IF(A584="","",INT(C584/12))</f>
        <v>48</v>
      </c>
      <c r="E584" s="1" t="n">
        <f aca="false">IF(A584="","",D584+Inputs!$B$7)</f>
        <v>64</v>
      </c>
      <c r="F584" s="3" t="n">
        <f aca="false">IF(A584="","",DATE(YEAR(B$2)+D584,MONTH(B$2),DAY(B$2)))</f>
        <v>39238</v>
      </c>
      <c r="G584" s="3" t="n">
        <f aca="false">IF(A584="","",DATE(YEAR(F584)+1,MONTH(F584),DAY(F584)))</f>
        <v>39604</v>
      </c>
      <c r="H584" s="10" t="n">
        <f aca="false">IF(A584="","",IF(G584&gt;F584,(B584-F584)/(G584-F584),0))</f>
        <v>0.57103825136612</v>
      </c>
      <c r="I584" s="10" t="n">
        <f aca="false">IF(A584="","",IFERROR(INDEX(CV_RATES!$I:$I,MATCH(D584,CV_RATES!$C:$C,0)),0))</f>
        <v>744.139044452953</v>
      </c>
      <c r="J584" s="10" t="n">
        <f aca="false">IF(A584="","",IFERROR(IF(E584=MAX(MORTALITY!$A:$A),1000,INDEX(CV_RATES!$J:$J,MATCH(D584,CV_RATES!$C:$C,0))),0))</f>
        <v>753.73411447165</v>
      </c>
      <c r="K584" s="10" t="n">
        <f aca="false">IF(A584="","",IFERROR(I584+H584*(J584-I584),0))</f>
        <v>749.618196458165</v>
      </c>
      <c r="L584" s="10" t="n">
        <f aca="false">IF(A584="","",IFERROR(K584*Inputs!$B$9,0))</f>
        <v>37480.9098229083</v>
      </c>
      <c r="M584" s="10" t="n">
        <f aca="false">IF(A584="","",IFERROR(K584*Inputs!$B$10,0))</f>
        <v>119936.662578717</v>
      </c>
      <c r="N584" s="10" t="n">
        <f aca="false">IF(A584="","",Z583)</f>
        <v>0</v>
      </c>
      <c r="O584" s="6" t="n">
        <f aca="false">IF(A584="","",Inputs!$B$18+N584)</f>
        <v>50000</v>
      </c>
      <c r="P584" s="5" t="n">
        <f aca="false">IF(A584="","",VLOOKUP(D584,DIvidend_Assumption!$A$3:$CX$103,($E$2+2),0)/12)</f>
        <v>0</v>
      </c>
      <c r="Q584" s="10" t="n">
        <f aca="false">IF(A584="","",IFERROR(AB583*P584,""))</f>
        <v>0</v>
      </c>
      <c r="R584" s="10" t="n">
        <f aca="false">IF(A584="","",IFERROR(IF(Inputs!$B$22="Accumulate",T584+Q584,IF(Inputs!$B$22="Premium Offset",MAX(0,T584+Q584-Inputs!$B$25),T584)),""))</f>
        <v>0</v>
      </c>
      <c r="S584" s="10" t="n">
        <f aca="false">IF(A584="","",R583)</f>
        <v>0</v>
      </c>
      <c r="T584" s="10" t="n">
        <f aca="false">IF(A584="","",IFERROR(S584*(1+Inputs!$B$23/12),""))</f>
        <v>0</v>
      </c>
      <c r="U584" s="6" t="n">
        <f aca="false">IF(A584="","",IF(D584&lt;=Inputs!$B$8,IF(Inputs!$B$22="Premium Offset",MAX(0,Inputs!$B$25-(Q584+T584)),Inputs!$B$25),0))</f>
        <v>0</v>
      </c>
      <c r="V584" s="10" t="n">
        <f aca="false">IF(A584="","",IF(Inputs!$B$22="Cash",Q584,0))</f>
        <v>0</v>
      </c>
      <c r="W584" s="10" t="n">
        <f aca="false">IF(A584="","",IF(Inputs!$B$22="PUA",Q584,0))</f>
        <v>0</v>
      </c>
      <c r="X584" s="12" t="n">
        <f aca="false">IF(A584="","",IFERROR(INDEX(PUA_TABLE!$D$4:$D$105,MATCH(E584,PUA_TABLE!$C$4:$C$105,1)),0))</f>
        <v>0.744139044452953</v>
      </c>
      <c r="Y584" s="10" t="n">
        <f aca="false">IF(A584="","",IF(W584&gt;0,IF(X584&gt;0,W584/X584,0),0))</f>
        <v>0</v>
      </c>
      <c r="Z584" s="10" t="n">
        <f aca="false">IF(A584="","",N584+Y584)</f>
        <v>0</v>
      </c>
      <c r="AA584" s="10" t="n">
        <f aca="false">IF(A584="","",IFERROR(Z584*INDEX(PUA_TABLE!$I$4:$I$105,MATCH(E584,PUA_TABLE!$C$4:$C$105,1))/1000,0))</f>
        <v>0</v>
      </c>
      <c r="AB584" s="10" t="n">
        <f aca="false">IF(A584="","",IFERROR(L584+AA584,0))</f>
        <v>37480.9098229083</v>
      </c>
      <c r="AC584" s="10" t="n">
        <f aca="false">IF(A584="","",IF(Inputs!$B$22="Premium Offset",MIN(Inputs!$B$25,Q584+T584),0))</f>
        <v>0</v>
      </c>
    </row>
    <row r="585" customFormat="false" ht="15" hidden="false" customHeight="false" outlineLevel="0" collapsed="false">
      <c r="A585" s="1" t="n">
        <f aca="false">IF(A584="","",IF(INT((C584+1)/12)+Inputs!$B$7&gt;MAX(MORTALITY!$A:$A),"",Inputs!$B$4))</f>
        <v>34</v>
      </c>
      <c r="B585" s="3" t="n">
        <f aca="false">IF(A585="","",EOMONTH(B584,1))</f>
        <v>39478</v>
      </c>
      <c r="C585" s="1" t="n">
        <f aca="false">IF(A585="","",C584+1)</f>
        <v>583</v>
      </c>
      <c r="D585" s="1" t="n">
        <f aca="false">IF(A585="","",INT(C585/12))</f>
        <v>48</v>
      </c>
      <c r="E585" s="1" t="n">
        <f aca="false">IF(A585="","",D585+Inputs!$B$7)</f>
        <v>64</v>
      </c>
      <c r="F585" s="3" t="n">
        <f aca="false">IF(A585="","",DATE(YEAR(B$2)+D585,MONTH(B$2),DAY(B$2)))</f>
        <v>39238</v>
      </c>
      <c r="G585" s="3" t="n">
        <f aca="false">IF(A585="","",DATE(YEAR(F585)+1,MONTH(F585),DAY(F585)))</f>
        <v>39604</v>
      </c>
      <c r="H585" s="10" t="n">
        <f aca="false">IF(A585="","",IF(G585&gt;F585,(B585-F585)/(G585-F585),0))</f>
        <v>0.655737704918033</v>
      </c>
      <c r="I585" s="10" t="n">
        <f aca="false">IF(A585="","",IFERROR(INDEX(CV_RATES!$I:$I,MATCH(D585,CV_RATES!$C:$C,0)),0))</f>
        <v>744.139044452953</v>
      </c>
      <c r="J585" s="10" t="n">
        <f aca="false">IF(A585="","",IFERROR(IF(E585=MAX(MORTALITY!$A:$A),1000,INDEX(CV_RATES!$J:$J,MATCH(D585,CV_RATES!$C:$C,0))),0))</f>
        <v>753.73411447165</v>
      </c>
      <c r="K585" s="10" t="n">
        <f aca="false">IF(A585="","",IFERROR(I585+H585*(J585-I585),0))</f>
        <v>750.430893645541</v>
      </c>
      <c r="L585" s="10" t="n">
        <f aca="false">IF(A585="","",IFERROR(K585*Inputs!$B$9,0))</f>
        <v>37521.5446822771</v>
      </c>
      <c r="M585" s="10" t="n">
        <f aca="false">IF(A585="","",IFERROR(K585*Inputs!$B$10,0))</f>
        <v>120066.691690606</v>
      </c>
      <c r="N585" s="10" t="n">
        <f aca="false">IF(A585="","",Z584)</f>
        <v>0</v>
      </c>
      <c r="O585" s="6" t="n">
        <f aca="false">IF(A585="","",Inputs!$B$18+N585)</f>
        <v>50000</v>
      </c>
      <c r="P585" s="5" t="n">
        <f aca="false">IF(A585="","",VLOOKUP(D585,DIvidend_Assumption!$A$3:$CX$103,($E$2+2),0)/12)</f>
        <v>0</v>
      </c>
      <c r="Q585" s="10" t="n">
        <f aca="false">IF(A585="","",IFERROR(AB584*P585,""))</f>
        <v>0</v>
      </c>
      <c r="R585" s="10" t="n">
        <f aca="false">IF(A585="","",IFERROR(IF(Inputs!$B$22="Accumulate",T585+Q585,IF(Inputs!$B$22="Premium Offset",MAX(0,T585+Q585-Inputs!$B$25),T585)),""))</f>
        <v>0</v>
      </c>
      <c r="S585" s="10" t="n">
        <f aca="false">IF(A585="","",R584)</f>
        <v>0</v>
      </c>
      <c r="T585" s="10" t="n">
        <f aca="false">IF(A585="","",IFERROR(S585*(1+Inputs!$B$23/12),""))</f>
        <v>0</v>
      </c>
      <c r="U585" s="6" t="n">
        <f aca="false">IF(A585="","",IF(D585&lt;=Inputs!$B$8,IF(Inputs!$B$22="Premium Offset",MAX(0,Inputs!$B$25-(Q585+T585)),Inputs!$B$25),0))</f>
        <v>0</v>
      </c>
      <c r="V585" s="10" t="n">
        <f aca="false">IF(A585="","",IF(Inputs!$B$22="Cash",Q585,0))</f>
        <v>0</v>
      </c>
      <c r="W585" s="10" t="n">
        <f aca="false">IF(A585="","",IF(Inputs!$B$22="PUA",Q585,0))</f>
        <v>0</v>
      </c>
      <c r="X585" s="12" t="n">
        <f aca="false">IF(A585="","",IFERROR(INDEX(PUA_TABLE!$D$4:$D$105,MATCH(E585,PUA_TABLE!$C$4:$C$105,1)),0))</f>
        <v>0.744139044452953</v>
      </c>
      <c r="Y585" s="10" t="n">
        <f aca="false">IF(A585="","",IF(W585&gt;0,IF(X585&gt;0,W585/X585,0),0))</f>
        <v>0</v>
      </c>
      <c r="Z585" s="10" t="n">
        <f aca="false">IF(A585="","",N585+Y585)</f>
        <v>0</v>
      </c>
      <c r="AA585" s="10" t="n">
        <f aca="false">IF(A585="","",IFERROR(Z585*INDEX(PUA_TABLE!$I$4:$I$105,MATCH(E585,PUA_TABLE!$C$4:$C$105,1))/1000,0))</f>
        <v>0</v>
      </c>
      <c r="AB585" s="10" t="n">
        <f aca="false">IF(A585="","",IFERROR(L585+AA585,0))</f>
        <v>37521.5446822771</v>
      </c>
      <c r="AC585" s="10" t="n">
        <f aca="false">IF(A585="","",IF(Inputs!$B$22="Premium Offset",MIN(Inputs!$B$25,Q585+T585),0))</f>
        <v>0</v>
      </c>
    </row>
    <row r="586" customFormat="false" ht="15" hidden="false" customHeight="false" outlineLevel="0" collapsed="false">
      <c r="A586" s="1" t="n">
        <f aca="false">IF(A585="","",IF(INT((C585+1)/12)+Inputs!$B$7&gt;MAX(MORTALITY!$A:$A),"",Inputs!$B$4))</f>
        <v>34</v>
      </c>
      <c r="B586" s="3" t="n">
        <f aca="false">IF(A586="","",EOMONTH(B585,1))</f>
        <v>39507</v>
      </c>
      <c r="C586" s="1" t="n">
        <f aca="false">IF(A586="","",C585+1)</f>
        <v>584</v>
      </c>
      <c r="D586" s="1" t="n">
        <f aca="false">IF(A586="","",INT(C586/12))</f>
        <v>48</v>
      </c>
      <c r="E586" s="1" t="n">
        <f aca="false">IF(A586="","",D586+Inputs!$B$7)</f>
        <v>64</v>
      </c>
      <c r="F586" s="3" t="n">
        <f aca="false">IF(A586="","",DATE(YEAR(B$2)+D586,MONTH(B$2),DAY(B$2)))</f>
        <v>39238</v>
      </c>
      <c r="G586" s="3" t="n">
        <f aca="false">IF(A586="","",DATE(YEAR(F586)+1,MONTH(F586),DAY(F586)))</f>
        <v>39604</v>
      </c>
      <c r="H586" s="10" t="n">
        <f aca="false">IF(A586="","",IF(G586&gt;F586,(B586-F586)/(G586-F586),0))</f>
        <v>0.734972677595629</v>
      </c>
      <c r="I586" s="10" t="n">
        <f aca="false">IF(A586="","",IFERROR(INDEX(CV_RATES!$I:$I,MATCH(D586,CV_RATES!$C:$C,0)),0))</f>
        <v>744.139044452953</v>
      </c>
      <c r="J586" s="10" t="n">
        <f aca="false">IF(A586="","",IFERROR(IF(E586=MAX(MORTALITY!$A:$A),1000,INDEX(CV_RATES!$J:$J,MATCH(D586,CV_RATES!$C:$C,0))),0))</f>
        <v>753.73411447165</v>
      </c>
      <c r="K586" s="10" t="n">
        <f aca="false">IF(A586="","",IFERROR(I586+H586*(J586-I586),0))</f>
        <v>751.191158756312</v>
      </c>
      <c r="L586" s="10" t="n">
        <f aca="false">IF(A586="","",IFERROR(K586*Inputs!$B$9,0))</f>
        <v>37559.5579378156</v>
      </c>
      <c r="M586" s="10" t="n">
        <f aca="false">IF(A586="","",IFERROR(K586*Inputs!$B$10,0))</f>
        <v>120188.331827534</v>
      </c>
      <c r="N586" s="10" t="n">
        <f aca="false">IF(A586="","",Z585)</f>
        <v>0</v>
      </c>
      <c r="O586" s="6" t="n">
        <f aca="false">IF(A586="","",Inputs!$B$18+N586)</f>
        <v>50000</v>
      </c>
      <c r="P586" s="5" t="n">
        <f aca="false">IF(A586="","",VLOOKUP(D586,DIvidend_Assumption!$A$3:$CX$103,($E$2+2),0)/12)</f>
        <v>0</v>
      </c>
      <c r="Q586" s="10" t="n">
        <f aca="false">IF(A586="","",IFERROR(AB585*P586,""))</f>
        <v>0</v>
      </c>
      <c r="R586" s="10" t="n">
        <f aca="false">IF(A586="","",IFERROR(IF(Inputs!$B$22="Accumulate",T586+Q586,IF(Inputs!$B$22="Premium Offset",MAX(0,T586+Q586-Inputs!$B$25),T586)),""))</f>
        <v>0</v>
      </c>
      <c r="S586" s="10" t="n">
        <f aca="false">IF(A586="","",R585)</f>
        <v>0</v>
      </c>
      <c r="T586" s="10" t="n">
        <f aca="false">IF(A586="","",IFERROR(S586*(1+Inputs!$B$23/12),""))</f>
        <v>0</v>
      </c>
      <c r="U586" s="6" t="n">
        <f aca="false">IF(A586="","",IF(D586&lt;=Inputs!$B$8,IF(Inputs!$B$22="Premium Offset",MAX(0,Inputs!$B$25-(Q586+T586)),Inputs!$B$25),0))</f>
        <v>0</v>
      </c>
      <c r="V586" s="10" t="n">
        <f aca="false">IF(A586="","",IF(Inputs!$B$22="Cash",Q586,0))</f>
        <v>0</v>
      </c>
      <c r="W586" s="10" t="n">
        <f aca="false">IF(A586="","",IF(Inputs!$B$22="PUA",Q586,0))</f>
        <v>0</v>
      </c>
      <c r="X586" s="12" t="n">
        <f aca="false">IF(A586="","",IFERROR(INDEX(PUA_TABLE!$D$4:$D$105,MATCH(E586,PUA_TABLE!$C$4:$C$105,1)),0))</f>
        <v>0.744139044452953</v>
      </c>
      <c r="Y586" s="10" t="n">
        <f aca="false">IF(A586="","",IF(W586&gt;0,IF(X586&gt;0,W586/X586,0),0))</f>
        <v>0</v>
      </c>
      <c r="Z586" s="10" t="n">
        <f aca="false">IF(A586="","",N586+Y586)</f>
        <v>0</v>
      </c>
      <c r="AA586" s="10" t="n">
        <f aca="false">IF(A586="","",IFERROR(Z586*INDEX(PUA_TABLE!$I$4:$I$105,MATCH(E586,PUA_TABLE!$C$4:$C$105,1))/1000,0))</f>
        <v>0</v>
      </c>
      <c r="AB586" s="10" t="n">
        <f aca="false">IF(A586="","",IFERROR(L586+AA586,0))</f>
        <v>37559.5579378156</v>
      </c>
      <c r="AC586" s="10" t="n">
        <f aca="false">IF(A586="","",IF(Inputs!$B$22="Premium Offset",MIN(Inputs!$B$25,Q586+T586),0))</f>
        <v>0</v>
      </c>
    </row>
    <row r="587" customFormat="false" ht="15" hidden="false" customHeight="false" outlineLevel="0" collapsed="false">
      <c r="A587" s="1" t="n">
        <f aca="false">IF(A586="","",IF(INT((C586+1)/12)+Inputs!$B$7&gt;MAX(MORTALITY!$A:$A),"",Inputs!$B$4))</f>
        <v>34</v>
      </c>
      <c r="B587" s="3" t="n">
        <f aca="false">IF(A587="","",EOMONTH(B586,1))</f>
        <v>39538</v>
      </c>
      <c r="C587" s="1" t="n">
        <f aca="false">IF(A587="","",C586+1)</f>
        <v>585</v>
      </c>
      <c r="D587" s="1" t="n">
        <f aca="false">IF(A587="","",INT(C587/12))</f>
        <v>48</v>
      </c>
      <c r="E587" s="1" t="n">
        <f aca="false">IF(A587="","",D587+Inputs!$B$7)</f>
        <v>64</v>
      </c>
      <c r="F587" s="3" t="n">
        <f aca="false">IF(A587="","",DATE(YEAR(B$2)+D587,MONTH(B$2),DAY(B$2)))</f>
        <v>39238</v>
      </c>
      <c r="G587" s="3" t="n">
        <f aca="false">IF(A587="","",DATE(YEAR(F587)+1,MONTH(F587),DAY(F587)))</f>
        <v>39604</v>
      </c>
      <c r="H587" s="10" t="n">
        <f aca="false">IF(A587="","",IF(G587&gt;F587,(B587-F587)/(G587-F587),0))</f>
        <v>0.819672131147541</v>
      </c>
      <c r="I587" s="10" t="n">
        <f aca="false">IF(A587="","",IFERROR(INDEX(CV_RATES!$I:$I,MATCH(D587,CV_RATES!$C:$C,0)),0))</f>
        <v>744.139044452953</v>
      </c>
      <c r="J587" s="10" t="n">
        <f aca="false">IF(A587="","",IFERROR(IF(E587=MAX(MORTALITY!$A:$A),1000,INDEX(CV_RATES!$J:$J,MATCH(D587,CV_RATES!$C:$C,0))),0))</f>
        <v>753.73411447165</v>
      </c>
      <c r="K587" s="10" t="n">
        <f aca="false">IF(A587="","",IFERROR(I587+H587*(J587-I587),0))</f>
        <v>752.003855943688</v>
      </c>
      <c r="L587" s="10" t="n">
        <f aca="false">IF(A587="","",IFERROR(K587*Inputs!$B$9,0))</f>
        <v>37600.1927971844</v>
      </c>
      <c r="M587" s="10" t="n">
        <f aca="false">IF(A587="","",IFERROR(K587*Inputs!$B$10,0))</f>
        <v>120318.360939422</v>
      </c>
      <c r="N587" s="10" t="n">
        <f aca="false">IF(A587="","",Z586)</f>
        <v>0</v>
      </c>
      <c r="O587" s="6" t="n">
        <f aca="false">IF(A587="","",Inputs!$B$18+N587)</f>
        <v>50000</v>
      </c>
      <c r="P587" s="5" t="n">
        <f aca="false">IF(A587="","",VLOOKUP(D587,DIvidend_Assumption!$A$3:$CX$103,($E$2+2),0)/12)</f>
        <v>0</v>
      </c>
      <c r="Q587" s="10" t="n">
        <f aca="false">IF(A587="","",IFERROR(AB586*P587,""))</f>
        <v>0</v>
      </c>
      <c r="R587" s="10" t="n">
        <f aca="false">IF(A587="","",IFERROR(IF(Inputs!$B$22="Accumulate",T587+Q587,IF(Inputs!$B$22="Premium Offset",MAX(0,T587+Q587-Inputs!$B$25),T587)),""))</f>
        <v>0</v>
      </c>
      <c r="S587" s="10" t="n">
        <f aca="false">IF(A587="","",R586)</f>
        <v>0</v>
      </c>
      <c r="T587" s="10" t="n">
        <f aca="false">IF(A587="","",IFERROR(S587*(1+Inputs!$B$23/12),""))</f>
        <v>0</v>
      </c>
      <c r="U587" s="6" t="n">
        <f aca="false">IF(A587="","",IF(D587&lt;=Inputs!$B$8,IF(Inputs!$B$22="Premium Offset",MAX(0,Inputs!$B$25-(Q587+T587)),Inputs!$B$25),0))</f>
        <v>0</v>
      </c>
      <c r="V587" s="10" t="n">
        <f aca="false">IF(A587="","",IF(Inputs!$B$22="Cash",Q587,0))</f>
        <v>0</v>
      </c>
      <c r="W587" s="10" t="n">
        <f aca="false">IF(A587="","",IF(Inputs!$B$22="PUA",Q587,0))</f>
        <v>0</v>
      </c>
      <c r="X587" s="12" t="n">
        <f aca="false">IF(A587="","",IFERROR(INDEX(PUA_TABLE!$D$4:$D$105,MATCH(E587,PUA_TABLE!$C$4:$C$105,1)),0))</f>
        <v>0.744139044452953</v>
      </c>
      <c r="Y587" s="10" t="n">
        <f aca="false">IF(A587="","",IF(W587&gt;0,IF(X587&gt;0,W587/X587,0),0))</f>
        <v>0</v>
      </c>
      <c r="Z587" s="10" t="n">
        <f aca="false">IF(A587="","",N587+Y587)</f>
        <v>0</v>
      </c>
      <c r="AA587" s="10" t="n">
        <f aca="false">IF(A587="","",IFERROR(Z587*INDEX(PUA_TABLE!$I$4:$I$105,MATCH(E587,PUA_TABLE!$C$4:$C$105,1))/1000,0))</f>
        <v>0</v>
      </c>
      <c r="AB587" s="10" t="n">
        <f aca="false">IF(A587="","",IFERROR(L587+AA587,0))</f>
        <v>37600.1927971844</v>
      </c>
      <c r="AC587" s="10" t="n">
        <f aca="false">IF(A587="","",IF(Inputs!$B$22="Premium Offset",MIN(Inputs!$B$25,Q587+T587),0))</f>
        <v>0</v>
      </c>
    </row>
    <row r="588" customFormat="false" ht="15" hidden="false" customHeight="false" outlineLevel="0" collapsed="false">
      <c r="A588" s="1" t="n">
        <f aca="false">IF(A587="","",IF(INT((C587+1)/12)+Inputs!$B$7&gt;MAX(MORTALITY!$A:$A),"",Inputs!$B$4))</f>
        <v>34</v>
      </c>
      <c r="B588" s="3" t="n">
        <f aca="false">IF(A588="","",EOMONTH(B587,1))</f>
        <v>39568</v>
      </c>
      <c r="C588" s="1" t="n">
        <f aca="false">IF(A588="","",C587+1)</f>
        <v>586</v>
      </c>
      <c r="D588" s="1" t="n">
        <f aca="false">IF(A588="","",INT(C588/12))</f>
        <v>48</v>
      </c>
      <c r="E588" s="1" t="n">
        <f aca="false">IF(A588="","",D588+Inputs!$B$7)</f>
        <v>64</v>
      </c>
      <c r="F588" s="3" t="n">
        <f aca="false">IF(A588="","",DATE(YEAR(B$2)+D588,MONTH(B$2),DAY(B$2)))</f>
        <v>39238</v>
      </c>
      <c r="G588" s="3" t="n">
        <f aca="false">IF(A588="","",DATE(YEAR(F588)+1,MONTH(F588),DAY(F588)))</f>
        <v>39604</v>
      </c>
      <c r="H588" s="10" t="n">
        <f aca="false">IF(A588="","",IF(G588&gt;F588,(B588-F588)/(G588-F588),0))</f>
        <v>0.901639344262295</v>
      </c>
      <c r="I588" s="10" t="n">
        <f aca="false">IF(A588="","",IFERROR(INDEX(CV_RATES!$I:$I,MATCH(D588,CV_RATES!$C:$C,0)),0))</f>
        <v>744.139044452953</v>
      </c>
      <c r="J588" s="10" t="n">
        <f aca="false">IF(A588="","",IFERROR(IF(E588=MAX(MORTALITY!$A:$A),1000,INDEX(CV_RATES!$J:$J,MATCH(D588,CV_RATES!$C:$C,0))),0))</f>
        <v>753.73411447165</v>
      </c>
      <c r="K588" s="10" t="n">
        <f aca="false">IF(A588="","",IFERROR(I588+H588*(J588-I588),0))</f>
        <v>752.790337092762</v>
      </c>
      <c r="L588" s="10" t="n">
        <f aca="false">IF(A588="","",IFERROR(K588*Inputs!$B$9,0))</f>
        <v>37639.5168546381</v>
      </c>
      <c r="M588" s="10" t="n">
        <f aca="false">IF(A588="","",IFERROR(K588*Inputs!$B$10,0))</f>
        <v>120444.195563831</v>
      </c>
      <c r="N588" s="10" t="n">
        <f aca="false">IF(A588="","",Z587)</f>
        <v>0</v>
      </c>
      <c r="O588" s="6" t="n">
        <f aca="false">IF(A588="","",Inputs!$B$18+N588)</f>
        <v>50000</v>
      </c>
      <c r="P588" s="5" t="n">
        <f aca="false">IF(A588="","",VLOOKUP(D588,DIvidend_Assumption!$A$3:$CX$103,($E$2+2),0)/12)</f>
        <v>0</v>
      </c>
      <c r="Q588" s="10" t="n">
        <f aca="false">IF(A588="","",IFERROR(AB587*P588,""))</f>
        <v>0</v>
      </c>
      <c r="R588" s="10" t="n">
        <f aca="false">IF(A588="","",IFERROR(IF(Inputs!$B$22="Accumulate",T588+Q588,IF(Inputs!$B$22="Premium Offset",MAX(0,T588+Q588-Inputs!$B$25),T588)),""))</f>
        <v>0</v>
      </c>
      <c r="S588" s="10" t="n">
        <f aca="false">IF(A588="","",R587)</f>
        <v>0</v>
      </c>
      <c r="T588" s="10" t="n">
        <f aca="false">IF(A588="","",IFERROR(S588*(1+Inputs!$B$23/12),""))</f>
        <v>0</v>
      </c>
      <c r="U588" s="6" t="n">
        <f aca="false">IF(A588="","",IF(D588&lt;=Inputs!$B$8,IF(Inputs!$B$22="Premium Offset",MAX(0,Inputs!$B$25-(Q588+T588)),Inputs!$B$25),0))</f>
        <v>0</v>
      </c>
      <c r="V588" s="10" t="n">
        <f aca="false">IF(A588="","",IF(Inputs!$B$22="Cash",Q588,0))</f>
        <v>0</v>
      </c>
      <c r="W588" s="10" t="n">
        <f aca="false">IF(A588="","",IF(Inputs!$B$22="PUA",Q588,0))</f>
        <v>0</v>
      </c>
      <c r="X588" s="12" t="n">
        <f aca="false">IF(A588="","",IFERROR(INDEX(PUA_TABLE!$D$4:$D$105,MATCH(E588,PUA_TABLE!$C$4:$C$105,1)),0))</f>
        <v>0.744139044452953</v>
      </c>
      <c r="Y588" s="10" t="n">
        <f aca="false">IF(A588="","",IF(W588&gt;0,IF(X588&gt;0,W588/X588,0),0))</f>
        <v>0</v>
      </c>
      <c r="Z588" s="10" t="n">
        <f aca="false">IF(A588="","",N588+Y588)</f>
        <v>0</v>
      </c>
      <c r="AA588" s="10" t="n">
        <f aca="false">IF(A588="","",IFERROR(Z588*INDEX(PUA_TABLE!$I$4:$I$105,MATCH(E588,PUA_TABLE!$C$4:$C$105,1))/1000,0))</f>
        <v>0</v>
      </c>
      <c r="AB588" s="10" t="n">
        <f aca="false">IF(A588="","",IFERROR(L588+AA588,0))</f>
        <v>37639.5168546381</v>
      </c>
      <c r="AC588" s="10" t="n">
        <f aca="false">IF(A588="","",IF(Inputs!$B$22="Premium Offset",MIN(Inputs!$B$25,Q588+T588),0))</f>
        <v>0</v>
      </c>
    </row>
    <row r="589" customFormat="false" ht="15" hidden="false" customHeight="false" outlineLevel="0" collapsed="false">
      <c r="A589" s="1" t="n">
        <f aca="false">IF(A588="","",IF(INT((C588+1)/12)+Inputs!$B$7&gt;MAX(MORTALITY!$A:$A),"",Inputs!$B$4))</f>
        <v>34</v>
      </c>
      <c r="B589" s="3" t="n">
        <f aca="false">IF(A589="","",EOMONTH(B588,1))</f>
        <v>39599</v>
      </c>
      <c r="C589" s="1" t="n">
        <f aca="false">IF(A589="","",C588+1)</f>
        <v>587</v>
      </c>
      <c r="D589" s="1" t="n">
        <f aca="false">IF(A589="","",INT(C589/12))</f>
        <v>48</v>
      </c>
      <c r="E589" s="1" t="n">
        <f aca="false">IF(A589="","",D589+Inputs!$B$7)</f>
        <v>64</v>
      </c>
      <c r="F589" s="3" t="n">
        <f aca="false">IF(A589="","",DATE(YEAR(B$2)+D589,MONTH(B$2),DAY(B$2)))</f>
        <v>39238</v>
      </c>
      <c r="G589" s="3" t="n">
        <f aca="false">IF(A589="","",DATE(YEAR(F589)+1,MONTH(F589),DAY(F589)))</f>
        <v>39604</v>
      </c>
      <c r="H589" s="10" t="n">
        <f aca="false">IF(A589="","",IF(G589&gt;F589,(B589-F589)/(G589-F589),0))</f>
        <v>0.986338797814208</v>
      </c>
      <c r="I589" s="10" t="n">
        <f aca="false">IF(A589="","",IFERROR(INDEX(CV_RATES!$I:$I,MATCH(D589,CV_RATES!$C:$C,0)),0))</f>
        <v>744.139044452953</v>
      </c>
      <c r="J589" s="10" t="n">
        <f aca="false">IF(A589="","",IFERROR(IF(E589=MAX(MORTALITY!$A:$A),1000,INDEX(CV_RATES!$J:$J,MATCH(D589,CV_RATES!$C:$C,0))),0))</f>
        <v>753.73411447165</v>
      </c>
      <c r="K589" s="10" t="n">
        <f aca="false">IF(A589="","",IFERROR(I589+H589*(J589-I589),0))</f>
        <v>753.603034280138</v>
      </c>
      <c r="L589" s="10" t="n">
        <f aca="false">IF(A589="","",IFERROR(K589*Inputs!$B$9,0))</f>
        <v>37680.1517140069</v>
      </c>
      <c r="M589" s="10" t="n">
        <f aca="false">IF(A589="","",IFERROR(K589*Inputs!$B$10,0))</f>
        <v>120574.224675719</v>
      </c>
      <c r="N589" s="10" t="n">
        <f aca="false">IF(A589="","",Z588)</f>
        <v>0</v>
      </c>
      <c r="O589" s="6" t="n">
        <f aca="false">IF(A589="","",Inputs!$B$18+N589)</f>
        <v>50000</v>
      </c>
      <c r="P589" s="5" t="n">
        <f aca="false">IF(A589="","",VLOOKUP(D589,DIvidend_Assumption!$A$3:$CX$103,($E$2+2),0)/12)</f>
        <v>0</v>
      </c>
      <c r="Q589" s="10" t="n">
        <f aca="false">IF(A589="","",IFERROR(AB588*P589,""))</f>
        <v>0</v>
      </c>
      <c r="R589" s="10" t="n">
        <f aca="false">IF(A589="","",IFERROR(IF(Inputs!$B$22="Accumulate",T589+Q589,IF(Inputs!$B$22="Premium Offset",MAX(0,T589+Q589-Inputs!$B$25),T589)),""))</f>
        <v>0</v>
      </c>
      <c r="S589" s="10" t="n">
        <f aca="false">IF(A589="","",R588)</f>
        <v>0</v>
      </c>
      <c r="T589" s="10" t="n">
        <f aca="false">IF(A589="","",IFERROR(S589*(1+Inputs!$B$23/12),""))</f>
        <v>0</v>
      </c>
      <c r="U589" s="6" t="n">
        <f aca="false">IF(A589="","",IF(D589&lt;=Inputs!$B$8,IF(Inputs!$B$22="Premium Offset",MAX(0,Inputs!$B$25-(Q589+T589)),Inputs!$B$25),0))</f>
        <v>0</v>
      </c>
      <c r="V589" s="10" t="n">
        <f aca="false">IF(A589="","",IF(Inputs!$B$22="Cash",Q589,0))</f>
        <v>0</v>
      </c>
      <c r="W589" s="10" t="n">
        <f aca="false">IF(A589="","",IF(Inputs!$B$22="PUA",Q589,0))</f>
        <v>0</v>
      </c>
      <c r="X589" s="12" t="n">
        <f aca="false">IF(A589="","",IFERROR(INDEX(PUA_TABLE!$D$4:$D$105,MATCH(E589,PUA_TABLE!$C$4:$C$105,1)),0))</f>
        <v>0.744139044452953</v>
      </c>
      <c r="Y589" s="10" t="n">
        <f aca="false">IF(A589="","",IF(W589&gt;0,IF(X589&gt;0,W589/X589,0),0))</f>
        <v>0</v>
      </c>
      <c r="Z589" s="10" t="n">
        <f aca="false">IF(A589="","",N589+Y589)</f>
        <v>0</v>
      </c>
      <c r="AA589" s="10" t="n">
        <f aca="false">IF(A589="","",IFERROR(Z589*INDEX(PUA_TABLE!$I$4:$I$105,MATCH(E589,PUA_TABLE!$C$4:$C$105,1))/1000,0))</f>
        <v>0</v>
      </c>
      <c r="AB589" s="10" t="n">
        <f aca="false">IF(A589="","",IFERROR(L589+AA589,0))</f>
        <v>37680.1517140069</v>
      </c>
      <c r="AC589" s="10" t="n">
        <f aca="false">IF(A589="","",IF(Inputs!$B$22="Premium Offset",MIN(Inputs!$B$25,Q589+T589),0))</f>
        <v>0</v>
      </c>
    </row>
    <row r="590" customFormat="false" ht="15" hidden="false" customHeight="false" outlineLevel="0" collapsed="false">
      <c r="A590" s="1" t="n">
        <f aca="false">IF(A589="","",IF(INT((C589+1)/12)+Inputs!$B$7&gt;MAX(MORTALITY!$A:$A),"",Inputs!$B$4))</f>
        <v>34</v>
      </c>
      <c r="B590" s="3" t="n">
        <f aca="false">IF(A590="","",EOMONTH(B589,1))</f>
        <v>39629</v>
      </c>
      <c r="C590" s="1" t="n">
        <f aca="false">IF(A590="","",C589+1)</f>
        <v>588</v>
      </c>
      <c r="D590" s="1" t="n">
        <f aca="false">IF(A590="","",INT(C590/12))</f>
        <v>49</v>
      </c>
      <c r="E590" s="1" t="n">
        <f aca="false">IF(A590="","",D590+Inputs!$B$7)</f>
        <v>65</v>
      </c>
      <c r="F590" s="3" t="n">
        <f aca="false">IF(A590="","",DATE(YEAR(B$2)+D590,MONTH(B$2),DAY(B$2)))</f>
        <v>39604</v>
      </c>
      <c r="G590" s="3" t="n">
        <f aca="false">IF(A590="","",DATE(YEAR(F590)+1,MONTH(F590),DAY(F590)))</f>
        <v>39969</v>
      </c>
      <c r="H590" s="10" t="n">
        <f aca="false">IF(A590="","",IF(G590&gt;F590,(B590-F590)/(G590-F590),0))</f>
        <v>0.0684931506849315</v>
      </c>
      <c r="I590" s="10" t="n">
        <f aca="false">IF(A590="","",IFERROR(INDEX(CV_RATES!$I:$I,MATCH(D590,CV_RATES!$C:$C,0)),0))</f>
        <v>753.73411447165</v>
      </c>
      <c r="J590" s="10" t="n">
        <f aca="false">IF(A590="","",IFERROR(IF(E590=MAX(MORTALITY!$A:$A),1000,INDEX(CV_RATES!$J:$J,MATCH(D590,CV_RATES!$C:$C,0))),0))</f>
        <v>763.190332097798</v>
      </c>
      <c r="K590" s="10" t="n">
        <f aca="false">IF(A590="","",IFERROR(I590+H590*(J590-I590),0))</f>
        <v>754.381800610427</v>
      </c>
      <c r="L590" s="10" t="n">
        <f aca="false">IF(A590="","",IFERROR(K590*Inputs!$B$9,0))</f>
        <v>37719.0900305214</v>
      </c>
      <c r="M590" s="10" t="n">
        <f aca="false">IF(A590="","",IFERROR(K590*Inputs!$B$10,0))</f>
        <v>120698.824952267</v>
      </c>
      <c r="N590" s="10" t="n">
        <f aca="false">IF(A590="","",Z589)</f>
        <v>0</v>
      </c>
      <c r="O590" s="6" t="n">
        <f aca="false">IF(A590="","",Inputs!$B$18+N590)</f>
        <v>50000</v>
      </c>
      <c r="P590" s="5" t="n">
        <f aca="false">IF(A590="","",VLOOKUP(D590,DIvidend_Assumption!$A$3:$CX$103,($E$2+2),0)/12)</f>
        <v>0</v>
      </c>
      <c r="Q590" s="10" t="n">
        <f aca="false">IF(A590="","",IFERROR(AB589*P590,""))</f>
        <v>0</v>
      </c>
      <c r="R590" s="10" t="n">
        <f aca="false">IF(A590="","",IFERROR(IF(Inputs!$B$22="Accumulate",T590+Q590,IF(Inputs!$B$22="Premium Offset",MAX(0,T590+Q590-Inputs!$B$25),T590)),""))</f>
        <v>0</v>
      </c>
      <c r="S590" s="10" t="n">
        <f aca="false">IF(A590="","",R589)</f>
        <v>0</v>
      </c>
      <c r="T590" s="10" t="n">
        <f aca="false">IF(A590="","",IFERROR(S590*(1+Inputs!$B$23/12),""))</f>
        <v>0</v>
      </c>
      <c r="U590" s="6" t="n">
        <f aca="false">IF(A590="","",IF(D590&lt;=Inputs!$B$8,IF(Inputs!$B$22="Premium Offset",MAX(0,Inputs!$B$25-(Q590+T590)),Inputs!$B$25),0))</f>
        <v>0</v>
      </c>
      <c r="V590" s="10" t="n">
        <f aca="false">IF(A590="","",IF(Inputs!$B$22="Cash",Q590,0))</f>
        <v>0</v>
      </c>
      <c r="W590" s="10" t="n">
        <f aca="false">IF(A590="","",IF(Inputs!$B$22="PUA",Q590,0))</f>
        <v>0</v>
      </c>
      <c r="X590" s="12" t="n">
        <f aca="false">IF(A590="","",IFERROR(INDEX(PUA_TABLE!$D$4:$D$105,MATCH(E590,PUA_TABLE!$C$4:$C$105,1)),0))</f>
        <v>0.75373411447165</v>
      </c>
      <c r="Y590" s="10" t="n">
        <f aca="false">IF(A590="","",IF(W590&gt;0,IF(X590&gt;0,W590/X590,0),0))</f>
        <v>0</v>
      </c>
      <c r="Z590" s="10" t="n">
        <f aca="false">IF(A590="","",N590+Y590)</f>
        <v>0</v>
      </c>
      <c r="AA590" s="10" t="n">
        <f aca="false">IF(A590="","",IFERROR(Z590*INDEX(PUA_TABLE!$I$4:$I$105,MATCH(E590,PUA_TABLE!$C$4:$C$105,1))/1000,0))</f>
        <v>0</v>
      </c>
      <c r="AB590" s="10" t="n">
        <f aca="false">IF(A590="","",IFERROR(L590+AA590,0))</f>
        <v>37719.0900305214</v>
      </c>
      <c r="AC590" s="10" t="n">
        <f aca="false">IF(A590="","",IF(Inputs!$B$22="Premium Offset",MIN(Inputs!$B$25,Q590+T590),0))</f>
        <v>0</v>
      </c>
    </row>
    <row r="591" customFormat="false" ht="15" hidden="false" customHeight="false" outlineLevel="0" collapsed="false">
      <c r="A591" s="1" t="n">
        <f aca="false">IF(A590="","",IF(INT((C590+1)/12)+Inputs!$B$7&gt;MAX(MORTALITY!$A:$A),"",Inputs!$B$4))</f>
        <v>34</v>
      </c>
      <c r="B591" s="3" t="n">
        <f aca="false">IF(A591="","",EOMONTH(B590,1))</f>
        <v>39660</v>
      </c>
      <c r="C591" s="1" t="n">
        <f aca="false">IF(A591="","",C590+1)</f>
        <v>589</v>
      </c>
      <c r="D591" s="1" t="n">
        <f aca="false">IF(A591="","",INT(C591/12))</f>
        <v>49</v>
      </c>
      <c r="E591" s="1" t="n">
        <f aca="false">IF(A591="","",D591+Inputs!$B$7)</f>
        <v>65</v>
      </c>
      <c r="F591" s="3" t="n">
        <f aca="false">IF(A591="","",DATE(YEAR(B$2)+D591,MONTH(B$2),DAY(B$2)))</f>
        <v>39604</v>
      </c>
      <c r="G591" s="3" t="n">
        <f aca="false">IF(A591="","",DATE(YEAR(F591)+1,MONTH(F591),DAY(F591)))</f>
        <v>39969</v>
      </c>
      <c r="H591" s="10" t="n">
        <f aca="false">IF(A591="","",IF(G591&gt;F591,(B591-F591)/(G591-F591),0))</f>
        <v>0.153424657534247</v>
      </c>
      <c r="I591" s="10" t="n">
        <f aca="false">IF(A591="","",IFERROR(INDEX(CV_RATES!$I:$I,MATCH(D591,CV_RATES!$C:$C,0)),0))</f>
        <v>753.73411447165</v>
      </c>
      <c r="J591" s="10" t="n">
        <f aca="false">IF(A591="","",IFERROR(IF(E591=MAX(MORTALITY!$A:$A),1000,INDEX(CV_RATES!$J:$J,MATCH(D591,CV_RATES!$C:$C,0))),0))</f>
        <v>763.190332097798</v>
      </c>
      <c r="K591" s="10" t="n">
        <f aca="false">IF(A591="","",IFERROR(I591+H591*(J591-I591),0))</f>
        <v>755.184931422511</v>
      </c>
      <c r="L591" s="10" t="n">
        <f aca="false">IF(A591="","",IFERROR(K591*Inputs!$B$9,0))</f>
        <v>37759.2465711256</v>
      </c>
      <c r="M591" s="10" t="n">
        <f aca="false">IF(A591="","",IFERROR(K591*Inputs!$B$10,0))</f>
        <v>120827.323472808</v>
      </c>
      <c r="N591" s="10" t="n">
        <f aca="false">IF(A591="","",Z590)</f>
        <v>0</v>
      </c>
      <c r="O591" s="6" t="n">
        <f aca="false">IF(A591="","",Inputs!$B$18+N591)</f>
        <v>50000</v>
      </c>
      <c r="P591" s="5" t="n">
        <f aca="false">IF(A591="","",VLOOKUP(D591,DIvidend_Assumption!$A$3:$CX$103,($E$2+2),0)/12)</f>
        <v>0</v>
      </c>
      <c r="Q591" s="10" t="n">
        <f aca="false">IF(A591="","",IFERROR(AB590*P591,""))</f>
        <v>0</v>
      </c>
      <c r="R591" s="10" t="n">
        <f aca="false">IF(A591="","",IFERROR(IF(Inputs!$B$22="Accumulate",T591+Q591,IF(Inputs!$B$22="Premium Offset",MAX(0,T591+Q591-Inputs!$B$25),T591)),""))</f>
        <v>0</v>
      </c>
      <c r="S591" s="10" t="n">
        <f aca="false">IF(A591="","",R590)</f>
        <v>0</v>
      </c>
      <c r="T591" s="10" t="n">
        <f aca="false">IF(A591="","",IFERROR(S591*(1+Inputs!$B$23/12),""))</f>
        <v>0</v>
      </c>
      <c r="U591" s="6" t="n">
        <f aca="false">IF(A591="","",IF(D591&lt;=Inputs!$B$8,IF(Inputs!$B$22="Premium Offset",MAX(0,Inputs!$B$25-(Q591+T591)),Inputs!$B$25),0))</f>
        <v>0</v>
      </c>
      <c r="V591" s="10" t="n">
        <f aca="false">IF(A591="","",IF(Inputs!$B$22="Cash",Q591,0))</f>
        <v>0</v>
      </c>
      <c r="W591" s="10" t="n">
        <f aca="false">IF(A591="","",IF(Inputs!$B$22="PUA",Q591,0))</f>
        <v>0</v>
      </c>
      <c r="X591" s="12" t="n">
        <f aca="false">IF(A591="","",IFERROR(INDEX(PUA_TABLE!$D$4:$D$105,MATCH(E591,PUA_TABLE!$C$4:$C$105,1)),0))</f>
        <v>0.75373411447165</v>
      </c>
      <c r="Y591" s="10" t="n">
        <f aca="false">IF(A591="","",IF(W591&gt;0,IF(X591&gt;0,W591/X591,0),0))</f>
        <v>0</v>
      </c>
      <c r="Z591" s="10" t="n">
        <f aca="false">IF(A591="","",N591+Y591)</f>
        <v>0</v>
      </c>
      <c r="AA591" s="10" t="n">
        <f aca="false">IF(A591="","",IFERROR(Z591*INDEX(PUA_TABLE!$I$4:$I$105,MATCH(E591,PUA_TABLE!$C$4:$C$105,1))/1000,0))</f>
        <v>0</v>
      </c>
      <c r="AB591" s="10" t="n">
        <f aca="false">IF(A591="","",IFERROR(L591+AA591,0))</f>
        <v>37759.2465711256</v>
      </c>
      <c r="AC591" s="10" t="n">
        <f aca="false">IF(A591="","",IF(Inputs!$B$22="Premium Offset",MIN(Inputs!$B$25,Q591+T591),0))</f>
        <v>0</v>
      </c>
    </row>
    <row r="592" customFormat="false" ht="15" hidden="false" customHeight="false" outlineLevel="0" collapsed="false">
      <c r="A592" s="1" t="n">
        <f aca="false">IF(A591="","",IF(INT((C591+1)/12)+Inputs!$B$7&gt;MAX(MORTALITY!$A:$A),"",Inputs!$B$4))</f>
        <v>34</v>
      </c>
      <c r="B592" s="3" t="n">
        <f aca="false">IF(A592="","",EOMONTH(B591,1))</f>
        <v>39691</v>
      </c>
      <c r="C592" s="1" t="n">
        <f aca="false">IF(A592="","",C591+1)</f>
        <v>590</v>
      </c>
      <c r="D592" s="1" t="n">
        <f aca="false">IF(A592="","",INT(C592/12))</f>
        <v>49</v>
      </c>
      <c r="E592" s="1" t="n">
        <f aca="false">IF(A592="","",D592+Inputs!$B$7)</f>
        <v>65</v>
      </c>
      <c r="F592" s="3" t="n">
        <f aca="false">IF(A592="","",DATE(YEAR(B$2)+D592,MONTH(B$2),DAY(B$2)))</f>
        <v>39604</v>
      </c>
      <c r="G592" s="3" t="n">
        <f aca="false">IF(A592="","",DATE(YEAR(F592)+1,MONTH(F592),DAY(F592)))</f>
        <v>39969</v>
      </c>
      <c r="H592" s="10" t="n">
        <f aca="false">IF(A592="","",IF(G592&gt;F592,(B592-F592)/(G592-F592),0))</f>
        <v>0.238356164383562</v>
      </c>
      <c r="I592" s="10" t="n">
        <f aca="false">IF(A592="","",IFERROR(INDEX(CV_RATES!$I:$I,MATCH(D592,CV_RATES!$C:$C,0)),0))</f>
        <v>753.73411447165</v>
      </c>
      <c r="J592" s="10" t="n">
        <f aca="false">IF(A592="","",IFERROR(IF(E592=MAX(MORTALITY!$A:$A),1000,INDEX(CV_RATES!$J:$J,MATCH(D592,CV_RATES!$C:$C,0))),0))</f>
        <v>763.190332097798</v>
      </c>
      <c r="K592" s="10" t="n">
        <f aca="false">IF(A592="","",IFERROR(I592+H592*(J592-I592),0))</f>
        <v>755.988062234595</v>
      </c>
      <c r="L592" s="10" t="n">
        <f aca="false">IF(A592="","",IFERROR(K592*Inputs!$B$9,0))</f>
        <v>37799.4031117297</v>
      </c>
      <c r="M592" s="10" t="n">
        <f aca="false">IF(A592="","",IFERROR(K592*Inputs!$B$10,0))</f>
        <v>120955.821993348</v>
      </c>
      <c r="N592" s="10" t="n">
        <f aca="false">IF(A592="","",Z591)</f>
        <v>0</v>
      </c>
      <c r="O592" s="6" t="n">
        <f aca="false">IF(A592="","",Inputs!$B$18+N592)</f>
        <v>50000</v>
      </c>
      <c r="P592" s="5" t="n">
        <f aca="false">IF(A592="","",VLOOKUP(D592,DIvidend_Assumption!$A$3:$CX$103,($E$2+2),0)/12)</f>
        <v>0</v>
      </c>
      <c r="Q592" s="10" t="n">
        <f aca="false">IF(A592="","",IFERROR(AB591*P592,""))</f>
        <v>0</v>
      </c>
      <c r="R592" s="10" t="n">
        <f aca="false">IF(A592="","",IFERROR(IF(Inputs!$B$22="Accumulate",T592+Q592,IF(Inputs!$B$22="Premium Offset",MAX(0,T592+Q592-Inputs!$B$25),T592)),""))</f>
        <v>0</v>
      </c>
      <c r="S592" s="10" t="n">
        <f aca="false">IF(A592="","",R591)</f>
        <v>0</v>
      </c>
      <c r="T592" s="10" t="n">
        <f aca="false">IF(A592="","",IFERROR(S592*(1+Inputs!$B$23/12),""))</f>
        <v>0</v>
      </c>
      <c r="U592" s="6" t="n">
        <f aca="false">IF(A592="","",IF(D592&lt;=Inputs!$B$8,IF(Inputs!$B$22="Premium Offset",MAX(0,Inputs!$B$25-(Q592+T592)),Inputs!$B$25),0))</f>
        <v>0</v>
      </c>
      <c r="V592" s="10" t="n">
        <f aca="false">IF(A592="","",IF(Inputs!$B$22="Cash",Q592,0))</f>
        <v>0</v>
      </c>
      <c r="W592" s="10" t="n">
        <f aca="false">IF(A592="","",IF(Inputs!$B$22="PUA",Q592,0))</f>
        <v>0</v>
      </c>
      <c r="X592" s="12" t="n">
        <f aca="false">IF(A592="","",IFERROR(INDEX(PUA_TABLE!$D$4:$D$105,MATCH(E592,PUA_TABLE!$C$4:$C$105,1)),0))</f>
        <v>0.75373411447165</v>
      </c>
      <c r="Y592" s="10" t="n">
        <f aca="false">IF(A592="","",IF(W592&gt;0,IF(X592&gt;0,W592/X592,0),0))</f>
        <v>0</v>
      </c>
      <c r="Z592" s="10" t="n">
        <f aca="false">IF(A592="","",N592+Y592)</f>
        <v>0</v>
      </c>
      <c r="AA592" s="10" t="n">
        <f aca="false">IF(A592="","",IFERROR(Z592*INDEX(PUA_TABLE!$I$4:$I$105,MATCH(E592,PUA_TABLE!$C$4:$C$105,1))/1000,0))</f>
        <v>0</v>
      </c>
      <c r="AB592" s="10" t="n">
        <f aca="false">IF(A592="","",IFERROR(L592+AA592,0))</f>
        <v>37799.4031117297</v>
      </c>
      <c r="AC592" s="10" t="n">
        <f aca="false">IF(A592="","",IF(Inputs!$B$22="Premium Offset",MIN(Inputs!$B$25,Q592+T592),0))</f>
        <v>0</v>
      </c>
    </row>
    <row r="593" customFormat="false" ht="15" hidden="false" customHeight="false" outlineLevel="0" collapsed="false">
      <c r="A593" s="1" t="n">
        <f aca="false">IF(A592="","",IF(INT((C592+1)/12)+Inputs!$B$7&gt;MAX(MORTALITY!$A:$A),"",Inputs!$B$4))</f>
        <v>34</v>
      </c>
      <c r="B593" s="3" t="n">
        <f aca="false">IF(A593="","",EOMONTH(B592,1))</f>
        <v>39721</v>
      </c>
      <c r="C593" s="1" t="n">
        <f aca="false">IF(A593="","",C592+1)</f>
        <v>591</v>
      </c>
      <c r="D593" s="1" t="n">
        <f aca="false">IF(A593="","",INT(C593/12))</f>
        <v>49</v>
      </c>
      <c r="E593" s="1" t="n">
        <f aca="false">IF(A593="","",D593+Inputs!$B$7)</f>
        <v>65</v>
      </c>
      <c r="F593" s="3" t="n">
        <f aca="false">IF(A593="","",DATE(YEAR(B$2)+D593,MONTH(B$2),DAY(B$2)))</f>
        <v>39604</v>
      </c>
      <c r="G593" s="3" t="n">
        <f aca="false">IF(A593="","",DATE(YEAR(F593)+1,MONTH(F593),DAY(F593)))</f>
        <v>39969</v>
      </c>
      <c r="H593" s="10" t="n">
        <f aca="false">IF(A593="","",IF(G593&gt;F593,(B593-F593)/(G593-F593),0))</f>
        <v>0.320547945205479</v>
      </c>
      <c r="I593" s="10" t="n">
        <f aca="false">IF(A593="","",IFERROR(INDEX(CV_RATES!$I:$I,MATCH(D593,CV_RATES!$C:$C,0)),0))</f>
        <v>753.73411447165</v>
      </c>
      <c r="J593" s="10" t="n">
        <f aca="false">IF(A593="","",IFERROR(IF(E593=MAX(MORTALITY!$A:$A),1000,INDEX(CV_RATES!$J:$J,MATCH(D593,CV_RATES!$C:$C,0))),0))</f>
        <v>763.190332097798</v>
      </c>
      <c r="K593" s="10" t="n">
        <f aca="false">IF(A593="","",IFERROR(I593+H593*(J593-I593),0))</f>
        <v>756.765285601128</v>
      </c>
      <c r="L593" s="10" t="n">
        <f aca="false">IF(A593="","",IFERROR(K593*Inputs!$B$9,0))</f>
        <v>37838.2642800564</v>
      </c>
      <c r="M593" s="10" t="n">
        <f aca="false">IF(A593="","",IFERROR(K593*Inputs!$B$10,0))</f>
        <v>121080.175400324</v>
      </c>
      <c r="N593" s="10" t="n">
        <f aca="false">IF(A593="","",Z592)</f>
        <v>0</v>
      </c>
      <c r="O593" s="6" t="n">
        <f aca="false">IF(A593="","",Inputs!$B$18+N593)</f>
        <v>50000</v>
      </c>
      <c r="P593" s="5" t="n">
        <f aca="false">IF(A593="","",VLOOKUP(D593,DIvidend_Assumption!$A$3:$CX$103,($E$2+2),0)/12)</f>
        <v>0</v>
      </c>
      <c r="Q593" s="10" t="n">
        <f aca="false">IF(A593="","",IFERROR(AB592*P593,""))</f>
        <v>0</v>
      </c>
      <c r="R593" s="10" t="n">
        <f aca="false">IF(A593="","",IFERROR(IF(Inputs!$B$22="Accumulate",T593+Q593,IF(Inputs!$B$22="Premium Offset",MAX(0,T593+Q593-Inputs!$B$25),T593)),""))</f>
        <v>0</v>
      </c>
      <c r="S593" s="10" t="n">
        <f aca="false">IF(A593="","",R592)</f>
        <v>0</v>
      </c>
      <c r="T593" s="10" t="n">
        <f aca="false">IF(A593="","",IFERROR(S593*(1+Inputs!$B$23/12),""))</f>
        <v>0</v>
      </c>
      <c r="U593" s="6" t="n">
        <f aca="false">IF(A593="","",IF(D593&lt;=Inputs!$B$8,IF(Inputs!$B$22="Premium Offset",MAX(0,Inputs!$B$25-(Q593+T593)),Inputs!$B$25),0))</f>
        <v>0</v>
      </c>
      <c r="V593" s="10" t="n">
        <f aca="false">IF(A593="","",IF(Inputs!$B$22="Cash",Q593,0))</f>
        <v>0</v>
      </c>
      <c r="W593" s="10" t="n">
        <f aca="false">IF(A593="","",IF(Inputs!$B$22="PUA",Q593,0))</f>
        <v>0</v>
      </c>
      <c r="X593" s="12" t="n">
        <f aca="false">IF(A593="","",IFERROR(INDEX(PUA_TABLE!$D$4:$D$105,MATCH(E593,PUA_TABLE!$C$4:$C$105,1)),0))</f>
        <v>0.75373411447165</v>
      </c>
      <c r="Y593" s="10" t="n">
        <f aca="false">IF(A593="","",IF(W593&gt;0,IF(X593&gt;0,W593/X593,0),0))</f>
        <v>0</v>
      </c>
      <c r="Z593" s="10" t="n">
        <f aca="false">IF(A593="","",N593+Y593)</f>
        <v>0</v>
      </c>
      <c r="AA593" s="10" t="n">
        <f aca="false">IF(A593="","",IFERROR(Z593*INDEX(PUA_TABLE!$I$4:$I$105,MATCH(E593,PUA_TABLE!$C$4:$C$105,1))/1000,0))</f>
        <v>0</v>
      </c>
      <c r="AB593" s="10" t="n">
        <f aca="false">IF(A593="","",IFERROR(L593+AA593,0))</f>
        <v>37838.2642800564</v>
      </c>
      <c r="AC593" s="10" t="n">
        <f aca="false">IF(A593="","",IF(Inputs!$B$22="Premium Offset",MIN(Inputs!$B$25,Q593+T593),0))</f>
        <v>0</v>
      </c>
    </row>
    <row r="594" customFormat="false" ht="15" hidden="false" customHeight="false" outlineLevel="0" collapsed="false">
      <c r="A594" s="1" t="n">
        <f aca="false">IF(A593="","",IF(INT((C593+1)/12)+Inputs!$B$7&gt;MAX(MORTALITY!$A:$A),"",Inputs!$B$4))</f>
        <v>34</v>
      </c>
      <c r="B594" s="3" t="n">
        <f aca="false">IF(A594="","",EOMONTH(B593,1))</f>
        <v>39752</v>
      </c>
      <c r="C594" s="1" t="n">
        <f aca="false">IF(A594="","",C593+1)</f>
        <v>592</v>
      </c>
      <c r="D594" s="1" t="n">
        <f aca="false">IF(A594="","",INT(C594/12))</f>
        <v>49</v>
      </c>
      <c r="E594" s="1" t="n">
        <f aca="false">IF(A594="","",D594+Inputs!$B$7)</f>
        <v>65</v>
      </c>
      <c r="F594" s="3" t="n">
        <f aca="false">IF(A594="","",DATE(YEAR(B$2)+D594,MONTH(B$2),DAY(B$2)))</f>
        <v>39604</v>
      </c>
      <c r="G594" s="3" t="n">
        <f aca="false">IF(A594="","",DATE(YEAR(F594)+1,MONTH(F594),DAY(F594)))</f>
        <v>39969</v>
      </c>
      <c r="H594" s="10" t="n">
        <f aca="false">IF(A594="","",IF(G594&gt;F594,(B594-F594)/(G594-F594),0))</f>
        <v>0.405479452054795</v>
      </c>
      <c r="I594" s="10" t="n">
        <f aca="false">IF(A594="","",IFERROR(INDEX(CV_RATES!$I:$I,MATCH(D594,CV_RATES!$C:$C,0)),0))</f>
        <v>753.73411447165</v>
      </c>
      <c r="J594" s="10" t="n">
        <f aca="false">IF(A594="","",IFERROR(IF(E594=MAX(MORTALITY!$A:$A),1000,INDEX(CV_RATES!$J:$J,MATCH(D594,CV_RATES!$C:$C,0))),0))</f>
        <v>763.190332097798</v>
      </c>
      <c r="K594" s="10" t="n">
        <f aca="false">IF(A594="","",IFERROR(I594+H594*(J594-I594),0))</f>
        <v>757.568416413211</v>
      </c>
      <c r="L594" s="10" t="n">
        <f aca="false">IF(A594="","",IFERROR(K594*Inputs!$B$9,0))</f>
        <v>37878.4208206606</v>
      </c>
      <c r="M594" s="10" t="n">
        <f aca="false">IF(A594="","",IFERROR(K594*Inputs!$B$10,0))</f>
        <v>121208.673920865</v>
      </c>
      <c r="N594" s="10" t="n">
        <f aca="false">IF(A594="","",Z593)</f>
        <v>0</v>
      </c>
      <c r="O594" s="6" t="n">
        <f aca="false">IF(A594="","",Inputs!$B$18+N594)</f>
        <v>50000</v>
      </c>
      <c r="P594" s="5" t="n">
        <f aca="false">IF(A594="","",VLOOKUP(D594,DIvidend_Assumption!$A$3:$CX$103,($E$2+2),0)/12)</f>
        <v>0</v>
      </c>
      <c r="Q594" s="10" t="n">
        <f aca="false">IF(A594="","",IFERROR(AB593*P594,""))</f>
        <v>0</v>
      </c>
      <c r="R594" s="10" t="n">
        <f aca="false">IF(A594="","",IFERROR(IF(Inputs!$B$22="Accumulate",T594+Q594,IF(Inputs!$B$22="Premium Offset",MAX(0,T594+Q594-Inputs!$B$25),T594)),""))</f>
        <v>0</v>
      </c>
      <c r="S594" s="10" t="n">
        <f aca="false">IF(A594="","",R593)</f>
        <v>0</v>
      </c>
      <c r="T594" s="10" t="n">
        <f aca="false">IF(A594="","",IFERROR(S594*(1+Inputs!$B$23/12),""))</f>
        <v>0</v>
      </c>
      <c r="U594" s="6" t="n">
        <f aca="false">IF(A594="","",IF(D594&lt;=Inputs!$B$8,IF(Inputs!$B$22="Premium Offset",MAX(0,Inputs!$B$25-(Q594+T594)),Inputs!$B$25),0))</f>
        <v>0</v>
      </c>
      <c r="V594" s="10" t="n">
        <f aca="false">IF(A594="","",IF(Inputs!$B$22="Cash",Q594,0))</f>
        <v>0</v>
      </c>
      <c r="W594" s="10" t="n">
        <f aca="false">IF(A594="","",IF(Inputs!$B$22="PUA",Q594,0))</f>
        <v>0</v>
      </c>
      <c r="X594" s="12" t="n">
        <f aca="false">IF(A594="","",IFERROR(INDEX(PUA_TABLE!$D$4:$D$105,MATCH(E594,PUA_TABLE!$C$4:$C$105,1)),0))</f>
        <v>0.75373411447165</v>
      </c>
      <c r="Y594" s="10" t="n">
        <f aca="false">IF(A594="","",IF(W594&gt;0,IF(X594&gt;0,W594/X594,0),0))</f>
        <v>0</v>
      </c>
      <c r="Z594" s="10" t="n">
        <f aca="false">IF(A594="","",N594+Y594)</f>
        <v>0</v>
      </c>
      <c r="AA594" s="10" t="n">
        <f aca="false">IF(A594="","",IFERROR(Z594*INDEX(PUA_TABLE!$I$4:$I$105,MATCH(E594,PUA_TABLE!$C$4:$C$105,1))/1000,0))</f>
        <v>0</v>
      </c>
      <c r="AB594" s="10" t="n">
        <f aca="false">IF(A594="","",IFERROR(L594+AA594,0))</f>
        <v>37878.4208206606</v>
      </c>
      <c r="AC594" s="10" t="n">
        <f aca="false">IF(A594="","",IF(Inputs!$B$22="Premium Offset",MIN(Inputs!$B$25,Q594+T594),0))</f>
        <v>0</v>
      </c>
    </row>
    <row r="595" customFormat="false" ht="15" hidden="false" customHeight="false" outlineLevel="0" collapsed="false">
      <c r="A595" s="1" t="n">
        <f aca="false">IF(A594="","",IF(INT((C594+1)/12)+Inputs!$B$7&gt;MAX(MORTALITY!$A:$A),"",Inputs!$B$4))</f>
        <v>34</v>
      </c>
      <c r="B595" s="3" t="n">
        <f aca="false">IF(A595="","",EOMONTH(B594,1))</f>
        <v>39782</v>
      </c>
      <c r="C595" s="1" t="n">
        <f aca="false">IF(A595="","",C594+1)</f>
        <v>593</v>
      </c>
      <c r="D595" s="1" t="n">
        <f aca="false">IF(A595="","",INT(C595/12))</f>
        <v>49</v>
      </c>
      <c r="E595" s="1" t="n">
        <f aca="false">IF(A595="","",D595+Inputs!$B$7)</f>
        <v>65</v>
      </c>
      <c r="F595" s="3" t="n">
        <f aca="false">IF(A595="","",DATE(YEAR(B$2)+D595,MONTH(B$2),DAY(B$2)))</f>
        <v>39604</v>
      </c>
      <c r="G595" s="3" t="n">
        <f aca="false">IF(A595="","",DATE(YEAR(F595)+1,MONTH(F595),DAY(F595)))</f>
        <v>39969</v>
      </c>
      <c r="H595" s="10" t="n">
        <f aca="false">IF(A595="","",IF(G595&gt;F595,(B595-F595)/(G595-F595),0))</f>
        <v>0.487671232876712</v>
      </c>
      <c r="I595" s="10" t="n">
        <f aca="false">IF(A595="","",IFERROR(INDEX(CV_RATES!$I:$I,MATCH(D595,CV_RATES!$C:$C,0)),0))</f>
        <v>753.73411447165</v>
      </c>
      <c r="J595" s="10" t="n">
        <f aca="false">IF(A595="","",IFERROR(IF(E595=MAX(MORTALITY!$A:$A),1000,INDEX(CV_RATES!$J:$J,MATCH(D595,CV_RATES!$C:$C,0))),0))</f>
        <v>763.190332097798</v>
      </c>
      <c r="K595" s="10" t="n">
        <f aca="false">IF(A595="","",IFERROR(I595+H595*(J595-I595),0))</f>
        <v>758.345639779744</v>
      </c>
      <c r="L595" s="10" t="n">
        <f aca="false">IF(A595="","",IFERROR(K595*Inputs!$B$9,0))</f>
        <v>37917.2819889872</v>
      </c>
      <c r="M595" s="10" t="n">
        <f aca="false">IF(A595="","",IFERROR(K595*Inputs!$B$10,0))</f>
        <v>121333.02732784</v>
      </c>
      <c r="N595" s="10" t="n">
        <f aca="false">IF(A595="","",Z594)</f>
        <v>0</v>
      </c>
      <c r="O595" s="6" t="n">
        <f aca="false">IF(A595="","",Inputs!$B$18+N595)</f>
        <v>50000</v>
      </c>
      <c r="P595" s="5" t="n">
        <f aca="false">IF(A595="","",VLOOKUP(D595,DIvidend_Assumption!$A$3:$CX$103,($E$2+2),0)/12)</f>
        <v>0</v>
      </c>
      <c r="Q595" s="10" t="n">
        <f aca="false">IF(A595="","",IFERROR(AB594*P595,""))</f>
        <v>0</v>
      </c>
      <c r="R595" s="10" t="n">
        <f aca="false">IF(A595="","",IFERROR(IF(Inputs!$B$22="Accumulate",T595+Q595,IF(Inputs!$B$22="Premium Offset",MAX(0,T595+Q595-Inputs!$B$25),T595)),""))</f>
        <v>0</v>
      </c>
      <c r="S595" s="10" t="n">
        <f aca="false">IF(A595="","",R594)</f>
        <v>0</v>
      </c>
      <c r="T595" s="10" t="n">
        <f aca="false">IF(A595="","",IFERROR(S595*(1+Inputs!$B$23/12),""))</f>
        <v>0</v>
      </c>
      <c r="U595" s="6" t="n">
        <f aca="false">IF(A595="","",IF(D595&lt;=Inputs!$B$8,IF(Inputs!$B$22="Premium Offset",MAX(0,Inputs!$B$25-(Q595+T595)),Inputs!$B$25),0))</f>
        <v>0</v>
      </c>
      <c r="V595" s="10" t="n">
        <f aca="false">IF(A595="","",IF(Inputs!$B$22="Cash",Q595,0))</f>
        <v>0</v>
      </c>
      <c r="W595" s="10" t="n">
        <f aca="false">IF(A595="","",IF(Inputs!$B$22="PUA",Q595,0))</f>
        <v>0</v>
      </c>
      <c r="X595" s="12" t="n">
        <f aca="false">IF(A595="","",IFERROR(INDEX(PUA_TABLE!$D$4:$D$105,MATCH(E595,PUA_TABLE!$C$4:$C$105,1)),0))</f>
        <v>0.75373411447165</v>
      </c>
      <c r="Y595" s="10" t="n">
        <f aca="false">IF(A595="","",IF(W595&gt;0,IF(X595&gt;0,W595/X595,0),0))</f>
        <v>0</v>
      </c>
      <c r="Z595" s="10" t="n">
        <f aca="false">IF(A595="","",N595+Y595)</f>
        <v>0</v>
      </c>
      <c r="AA595" s="10" t="n">
        <f aca="false">IF(A595="","",IFERROR(Z595*INDEX(PUA_TABLE!$I$4:$I$105,MATCH(E595,PUA_TABLE!$C$4:$C$105,1))/1000,0))</f>
        <v>0</v>
      </c>
      <c r="AB595" s="10" t="n">
        <f aca="false">IF(A595="","",IFERROR(L595+AA595,0))</f>
        <v>37917.2819889872</v>
      </c>
      <c r="AC595" s="10" t="n">
        <f aca="false">IF(A595="","",IF(Inputs!$B$22="Premium Offset",MIN(Inputs!$B$25,Q595+T595),0))</f>
        <v>0</v>
      </c>
    </row>
    <row r="596" customFormat="false" ht="15" hidden="false" customHeight="false" outlineLevel="0" collapsed="false">
      <c r="A596" s="1" t="n">
        <f aca="false">IF(A595="","",IF(INT((C595+1)/12)+Inputs!$B$7&gt;MAX(MORTALITY!$A:$A),"",Inputs!$B$4))</f>
        <v>34</v>
      </c>
      <c r="B596" s="3" t="n">
        <f aca="false">IF(A596="","",EOMONTH(B595,1))</f>
        <v>39813</v>
      </c>
      <c r="C596" s="1" t="n">
        <f aca="false">IF(A596="","",C595+1)</f>
        <v>594</v>
      </c>
      <c r="D596" s="1" t="n">
        <f aca="false">IF(A596="","",INT(C596/12))</f>
        <v>49</v>
      </c>
      <c r="E596" s="1" t="n">
        <f aca="false">IF(A596="","",D596+Inputs!$B$7)</f>
        <v>65</v>
      </c>
      <c r="F596" s="3" t="n">
        <f aca="false">IF(A596="","",DATE(YEAR(B$2)+D596,MONTH(B$2),DAY(B$2)))</f>
        <v>39604</v>
      </c>
      <c r="G596" s="3" t="n">
        <f aca="false">IF(A596="","",DATE(YEAR(F596)+1,MONTH(F596),DAY(F596)))</f>
        <v>39969</v>
      </c>
      <c r="H596" s="10" t="n">
        <f aca="false">IF(A596="","",IF(G596&gt;F596,(B596-F596)/(G596-F596),0))</f>
        <v>0.572602739726027</v>
      </c>
      <c r="I596" s="10" t="n">
        <f aca="false">IF(A596="","",IFERROR(INDEX(CV_RATES!$I:$I,MATCH(D596,CV_RATES!$C:$C,0)),0))</f>
        <v>753.73411447165</v>
      </c>
      <c r="J596" s="10" t="n">
        <f aca="false">IF(A596="","",IFERROR(IF(E596=MAX(MORTALITY!$A:$A),1000,INDEX(CV_RATES!$J:$J,MATCH(D596,CV_RATES!$C:$C,0))),0))</f>
        <v>763.190332097798</v>
      </c>
      <c r="K596" s="10" t="n">
        <f aca="false">IF(A596="","",IFERROR(I596+H596*(J596-I596),0))</f>
        <v>759.148770591828</v>
      </c>
      <c r="L596" s="10" t="n">
        <f aca="false">IF(A596="","",IFERROR(K596*Inputs!$B$9,0))</f>
        <v>37957.4385295914</v>
      </c>
      <c r="M596" s="10" t="n">
        <f aca="false">IF(A596="","",IFERROR(K596*Inputs!$B$10,0))</f>
        <v>121461.525848381</v>
      </c>
      <c r="N596" s="10" t="n">
        <f aca="false">IF(A596="","",Z595)</f>
        <v>0</v>
      </c>
      <c r="O596" s="6" t="n">
        <f aca="false">IF(A596="","",Inputs!$B$18+N596)</f>
        <v>50000</v>
      </c>
      <c r="P596" s="5" t="n">
        <f aca="false">IF(A596="","",VLOOKUP(D596,DIvidend_Assumption!$A$3:$CX$103,($E$2+2),0)/12)</f>
        <v>0</v>
      </c>
      <c r="Q596" s="10" t="n">
        <f aca="false">IF(A596="","",IFERROR(AB595*P596,""))</f>
        <v>0</v>
      </c>
      <c r="R596" s="10" t="n">
        <f aca="false">IF(A596="","",IFERROR(IF(Inputs!$B$22="Accumulate",T596+Q596,IF(Inputs!$B$22="Premium Offset",MAX(0,T596+Q596-Inputs!$B$25),T596)),""))</f>
        <v>0</v>
      </c>
      <c r="S596" s="10" t="n">
        <f aca="false">IF(A596="","",R595)</f>
        <v>0</v>
      </c>
      <c r="T596" s="10" t="n">
        <f aca="false">IF(A596="","",IFERROR(S596*(1+Inputs!$B$23/12),""))</f>
        <v>0</v>
      </c>
      <c r="U596" s="6" t="n">
        <f aca="false">IF(A596="","",IF(D596&lt;=Inputs!$B$8,IF(Inputs!$B$22="Premium Offset",MAX(0,Inputs!$B$25-(Q596+T596)),Inputs!$B$25),0))</f>
        <v>0</v>
      </c>
      <c r="V596" s="10" t="n">
        <f aca="false">IF(A596="","",IF(Inputs!$B$22="Cash",Q596,0))</f>
        <v>0</v>
      </c>
      <c r="W596" s="10" t="n">
        <f aca="false">IF(A596="","",IF(Inputs!$B$22="PUA",Q596,0))</f>
        <v>0</v>
      </c>
      <c r="X596" s="12" t="n">
        <f aca="false">IF(A596="","",IFERROR(INDEX(PUA_TABLE!$D$4:$D$105,MATCH(E596,PUA_TABLE!$C$4:$C$105,1)),0))</f>
        <v>0.75373411447165</v>
      </c>
      <c r="Y596" s="10" t="n">
        <f aca="false">IF(A596="","",IF(W596&gt;0,IF(X596&gt;0,W596/X596,0),0))</f>
        <v>0</v>
      </c>
      <c r="Z596" s="10" t="n">
        <f aca="false">IF(A596="","",N596+Y596)</f>
        <v>0</v>
      </c>
      <c r="AA596" s="10" t="n">
        <f aca="false">IF(A596="","",IFERROR(Z596*INDEX(PUA_TABLE!$I$4:$I$105,MATCH(E596,PUA_TABLE!$C$4:$C$105,1))/1000,0))</f>
        <v>0</v>
      </c>
      <c r="AB596" s="10" t="n">
        <f aca="false">IF(A596="","",IFERROR(L596+AA596,0))</f>
        <v>37957.4385295914</v>
      </c>
      <c r="AC596" s="10" t="n">
        <f aca="false">IF(A596="","",IF(Inputs!$B$22="Premium Offset",MIN(Inputs!$B$25,Q596+T596),0))</f>
        <v>0</v>
      </c>
    </row>
    <row r="597" customFormat="false" ht="15" hidden="false" customHeight="false" outlineLevel="0" collapsed="false">
      <c r="A597" s="1" t="n">
        <f aca="false">IF(A596="","",IF(INT((C596+1)/12)+Inputs!$B$7&gt;MAX(MORTALITY!$A:$A),"",Inputs!$B$4))</f>
        <v>34</v>
      </c>
      <c r="B597" s="3" t="n">
        <f aca="false">IF(A597="","",EOMONTH(B596,1))</f>
        <v>39844</v>
      </c>
      <c r="C597" s="1" t="n">
        <f aca="false">IF(A597="","",C596+1)</f>
        <v>595</v>
      </c>
      <c r="D597" s="1" t="n">
        <f aca="false">IF(A597="","",INT(C597/12))</f>
        <v>49</v>
      </c>
      <c r="E597" s="1" t="n">
        <f aca="false">IF(A597="","",D597+Inputs!$B$7)</f>
        <v>65</v>
      </c>
      <c r="F597" s="3" t="n">
        <f aca="false">IF(A597="","",DATE(YEAR(B$2)+D597,MONTH(B$2),DAY(B$2)))</f>
        <v>39604</v>
      </c>
      <c r="G597" s="3" t="n">
        <f aca="false">IF(A597="","",DATE(YEAR(F597)+1,MONTH(F597),DAY(F597)))</f>
        <v>39969</v>
      </c>
      <c r="H597" s="10" t="n">
        <f aca="false">IF(A597="","",IF(G597&gt;F597,(B597-F597)/(G597-F597),0))</f>
        <v>0.657534246575342</v>
      </c>
      <c r="I597" s="10" t="n">
        <f aca="false">IF(A597="","",IFERROR(INDEX(CV_RATES!$I:$I,MATCH(D597,CV_RATES!$C:$C,0)),0))</f>
        <v>753.73411447165</v>
      </c>
      <c r="J597" s="10" t="n">
        <f aca="false">IF(A597="","",IFERROR(IF(E597=MAX(MORTALITY!$A:$A),1000,INDEX(CV_RATES!$J:$J,MATCH(D597,CV_RATES!$C:$C,0))),0))</f>
        <v>763.190332097798</v>
      </c>
      <c r="K597" s="10" t="n">
        <f aca="false">IF(A597="","",IFERROR(I597+H597*(J597-I597),0))</f>
        <v>759.951901403912</v>
      </c>
      <c r="L597" s="10" t="n">
        <f aca="false">IF(A597="","",IFERROR(K597*Inputs!$B$9,0))</f>
        <v>37997.5950701956</v>
      </c>
      <c r="M597" s="10" t="n">
        <f aca="false">IF(A597="","",IFERROR(K597*Inputs!$B$10,0))</f>
        <v>121590.024368922</v>
      </c>
      <c r="N597" s="10" t="n">
        <f aca="false">IF(A597="","",Z596)</f>
        <v>0</v>
      </c>
      <c r="O597" s="6" t="n">
        <f aca="false">IF(A597="","",Inputs!$B$18+N597)</f>
        <v>50000</v>
      </c>
      <c r="P597" s="5" t="n">
        <f aca="false">IF(A597="","",VLOOKUP(D597,DIvidend_Assumption!$A$3:$CX$103,($E$2+2),0)/12)</f>
        <v>0</v>
      </c>
      <c r="Q597" s="10" t="n">
        <f aca="false">IF(A597="","",IFERROR(AB596*P597,""))</f>
        <v>0</v>
      </c>
      <c r="R597" s="10" t="n">
        <f aca="false">IF(A597="","",IFERROR(IF(Inputs!$B$22="Accumulate",T597+Q597,IF(Inputs!$B$22="Premium Offset",MAX(0,T597+Q597-Inputs!$B$25),T597)),""))</f>
        <v>0</v>
      </c>
      <c r="S597" s="10" t="n">
        <f aca="false">IF(A597="","",R596)</f>
        <v>0</v>
      </c>
      <c r="T597" s="10" t="n">
        <f aca="false">IF(A597="","",IFERROR(S597*(1+Inputs!$B$23/12),""))</f>
        <v>0</v>
      </c>
      <c r="U597" s="6" t="n">
        <f aca="false">IF(A597="","",IF(D597&lt;=Inputs!$B$8,IF(Inputs!$B$22="Premium Offset",MAX(0,Inputs!$B$25-(Q597+T597)),Inputs!$B$25),0))</f>
        <v>0</v>
      </c>
      <c r="V597" s="10" t="n">
        <f aca="false">IF(A597="","",IF(Inputs!$B$22="Cash",Q597,0))</f>
        <v>0</v>
      </c>
      <c r="W597" s="10" t="n">
        <f aca="false">IF(A597="","",IF(Inputs!$B$22="PUA",Q597,0))</f>
        <v>0</v>
      </c>
      <c r="X597" s="12" t="n">
        <f aca="false">IF(A597="","",IFERROR(INDEX(PUA_TABLE!$D$4:$D$105,MATCH(E597,PUA_TABLE!$C$4:$C$105,1)),0))</f>
        <v>0.75373411447165</v>
      </c>
      <c r="Y597" s="10" t="n">
        <f aca="false">IF(A597="","",IF(W597&gt;0,IF(X597&gt;0,W597/X597,0),0))</f>
        <v>0</v>
      </c>
      <c r="Z597" s="10" t="n">
        <f aca="false">IF(A597="","",N597+Y597)</f>
        <v>0</v>
      </c>
      <c r="AA597" s="10" t="n">
        <f aca="false">IF(A597="","",IFERROR(Z597*INDEX(PUA_TABLE!$I$4:$I$105,MATCH(E597,PUA_TABLE!$C$4:$C$105,1))/1000,0))</f>
        <v>0</v>
      </c>
      <c r="AB597" s="10" t="n">
        <f aca="false">IF(A597="","",IFERROR(L597+AA597,0))</f>
        <v>37997.5950701956</v>
      </c>
      <c r="AC597" s="10" t="n">
        <f aca="false">IF(A597="","",IF(Inputs!$B$22="Premium Offset",MIN(Inputs!$B$25,Q597+T597),0))</f>
        <v>0</v>
      </c>
    </row>
    <row r="598" customFormat="false" ht="15" hidden="false" customHeight="false" outlineLevel="0" collapsed="false">
      <c r="A598" s="1" t="n">
        <f aca="false">IF(A597="","",IF(INT((C597+1)/12)+Inputs!$B$7&gt;MAX(MORTALITY!$A:$A),"",Inputs!$B$4))</f>
        <v>34</v>
      </c>
      <c r="B598" s="3" t="n">
        <f aca="false">IF(A598="","",EOMONTH(B597,1))</f>
        <v>39872</v>
      </c>
      <c r="C598" s="1" t="n">
        <f aca="false">IF(A598="","",C597+1)</f>
        <v>596</v>
      </c>
      <c r="D598" s="1" t="n">
        <f aca="false">IF(A598="","",INT(C598/12))</f>
        <v>49</v>
      </c>
      <c r="E598" s="1" t="n">
        <f aca="false">IF(A598="","",D598+Inputs!$B$7)</f>
        <v>65</v>
      </c>
      <c r="F598" s="3" t="n">
        <f aca="false">IF(A598="","",DATE(YEAR(B$2)+D598,MONTH(B$2),DAY(B$2)))</f>
        <v>39604</v>
      </c>
      <c r="G598" s="3" t="n">
        <f aca="false">IF(A598="","",DATE(YEAR(F598)+1,MONTH(F598),DAY(F598)))</f>
        <v>39969</v>
      </c>
      <c r="H598" s="10" t="n">
        <f aca="false">IF(A598="","",IF(G598&gt;F598,(B598-F598)/(G598-F598),0))</f>
        <v>0.734246575342466</v>
      </c>
      <c r="I598" s="10" t="n">
        <f aca="false">IF(A598="","",IFERROR(INDEX(CV_RATES!$I:$I,MATCH(D598,CV_RATES!$C:$C,0)),0))</f>
        <v>753.73411447165</v>
      </c>
      <c r="J598" s="10" t="n">
        <f aca="false">IF(A598="","",IFERROR(IF(E598=MAX(MORTALITY!$A:$A),1000,INDEX(CV_RATES!$J:$J,MATCH(D598,CV_RATES!$C:$C,0))),0))</f>
        <v>763.190332097798</v>
      </c>
      <c r="K598" s="10" t="n">
        <f aca="false">IF(A598="","",IFERROR(I598+H598*(J598-I598),0))</f>
        <v>760.677309879342</v>
      </c>
      <c r="L598" s="10" t="n">
        <f aca="false">IF(A598="","",IFERROR(K598*Inputs!$B$9,0))</f>
        <v>38033.8654939671</v>
      </c>
      <c r="M598" s="10" t="n">
        <f aca="false">IF(A598="","",IFERROR(K598*Inputs!$B$10,0))</f>
        <v>121706.087548765</v>
      </c>
      <c r="N598" s="10" t="n">
        <f aca="false">IF(A598="","",Z597)</f>
        <v>0</v>
      </c>
      <c r="O598" s="6" t="n">
        <f aca="false">IF(A598="","",Inputs!$B$18+N598)</f>
        <v>50000</v>
      </c>
      <c r="P598" s="5" t="n">
        <f aca="false">IF(A598="","",VLOOKUP(D598,DIvidend_Assumption!$A$3:$CX$103,($E$2+2),0)/12)</f>
        <v>0</v>
      </c>
      <c r="Q598" s="10" t="n">
        <f aca="false">IF(A598="","",IFERROR(AB597*P598,""))</f>
        <v>0</v>
      </c>
      <c r="R598" s="10" t="n">
        <f aca="false">IF(A598="","",IFERROR(IF(Inputs!$B$22="Accumulate",T598+Q598,IF(Inputs!$B$22="Premium Offset",MAX(0,T598+Q598-Inputs!$B$25),T598)),""))</f>
        <v>0</v>
      </c>
      <c r="S598" s="10" t="n">
        <f aca="false">IF(A598="","",R597)</f>
        <v>0</v>
      </c>
      <c r="T598" s="10" t="n">
        <f aca="false">IF(A598="","",IFERROR(S598*(1+Inputs!$B$23/12),""))</f>
        <v>0</v>
      </c>
      <c r="U598" s="6" t="n">
        <f aca="false">IF(A598="","",IF(D598&lt;=Inputs!$B$8,IF(Inputs!$B$22="Premium Offset",MAX(0,Inputs!$B$25-(Q598+T598)),Inputs!$B$25),0))</f>
        <v>0</v>
      </c>
      <c r="V598" s="10" t="n">
        <f aca="false">IF(A598="","",IF(Inputs!$B$22="Cash",Q598,0))</f>
        <v>0</v>
      </c>
      <c r="W598" s="10" t="n">
        <f aca="false">IF(A598="","",IF(Inputs!$B$22="PUA",Q598,0))</f>
        <v>0</v>
      </c>
      <c r="X598" s="12" t="n">
        <f aca="false">IF(A598="","",IFERROR(INDEX(PUA_TABLE!$D$4:$D$105,MATCH(E598,PUA_TABLE!$C$4:$C$105,1)),0))</f>
        <v>0.75373411447165</v>
      </c>
      <c r="Y598" s="10" t="n">
        <f aca="false">IF(A598="","",IF(W598&gt;0,IF(X598&gt;0,W598/X598,0),0))</f>
        <v>0</v>
      </c>
      <c r="Z598" s="10" t="n">
        <f aca="false">IF(A598="","",N598+Y598)</f>
        <v>0</v>
      </c>
      <c r="AA598" s="10" t="n">
        <f aca="false">IF(A598="","",IFERROR(Z598*INDEX(PUA_TABLE!$I$4:$I$105,MATCH(E598,PUA_TABLE!$C$4:$C$105,1))/1000,0))</f>
        <v>0</v>
      </c>
      <c r="AB598" s="10" t="n">
        <f aca="false">IF(A598="","",IFERROR(L598+AA598,0))</f>
        <v>38033.8654939671</v>
      </c>
      <c r="AC598" s="10" t="n">
        <f aca="false">IF(A598="","",IF(Inputs!$B$22="Premium Offset",MIN(Inputs!$B$25,Q598+T598),0))</f>
        <v>0</v>
      </c>
    </row>
    <row r="599" customFormat="false" ht="15" hidden="false" customHeight="false" outlineLevel="0" collapsed="false">
      <c r="A599" s="1" t="n">
        <f aca="false">IF(A598="","",IF(INT((C598+1)/12)+Inputs!$B$7&gt;MAX(MORTALITY!$A:$A),"",Inputs!$B$4))</f>
        <v>34</v>
      </c>
      <c r="B599" s="3" t="n">
        <f aca="false">IF(A599="","",EOMONTH(B598,1))</f>
        <v>39903</v>
      </c>
      <c r="C599" s="1" t="n">
        <f aca="false">IF(A599="","",C598+1)</f>
        <v>597</v>
      </c>
      <c r="D599" s="1" t="n">
        <f aca="false">IF(A599="","",INT(C599/12))</f>
        <v>49</v>
      </c>
      <c r="E599" s="1" t="n">
        <f aca="false">IF(A599="","",D599+Inputs!$B$7)</f>
        <v>65</v>
      </c>
      <c r="F599" s="3" t="n">
        <f aca="false">IF(A599="","",DATE(YEAR(B$2)+D599,MONTH(B$2),DAY(B$2)))</f>
        <v>39604</v>
      </c>
      <c r="G599" s="3" t="n">
        <f aca="false">IF(A599="","",DATE(YEAR(F599)+1,MONTH(F599),DAY(F599)))</f>
        <v>39969</v>
      </c>
      <c r="H599" s="10" t="n">
        <f aca="false">IF(A599="","",IF(G599&gt;F599,(B599-F599)/(G599-F599),0))</f>
        <v>0.819178082191781</v>
      </c>
      <c r="I599" s="10" t="n">
        <f aca="false">IF(A599="","",IFERROR(INDEX(CV_RATES!$I:$I,MATCH(D599,CV_RATES!$C:$C,0)),0))</f>
        <v>753.73411447165</v>
      </c>
      <c r="J599" s="10" t="n">
        <f aca="false">IF(A599="","",IFERROR(IF(E599=MAX(MORTALITY!$A:$A),1000,INDEX(CV_RATES!$J:$J,MATCH(D599,CV_RATES!$C:$C,0))),0))</f>
        <v>763.190332097798</v>
      </c>
      <c r="K599" s="10" t="n">
        <f aca="false">IF(A599="","",IFERROR(I599+H599*(J599-I599),0))</f>
        <v>761.480440691426</v>
      </c>
      <c r="L599" s="10" t="n">
        <f aca="false">IF(A599="","",IFERROR(K599*Inputs!$B$9,0))</f>
        <v>38074.0220345713</v>
      </c>
      <c r="M599" s="10" t="n">
        <f aca="false">IF(A599="","",IFERROR(K599*Inputs!$B$10,0))</f>
        <v>121834.586069306</v>
      </c>
      <c r="N599" s="10" t="n">
        <f aca="false">IF(A599="","",Z598)</f>
        <v>0</v>
      </c>
      <c r="O599" s="6" t="n">
        <f aca="false">IF(A599="","",Inputs!$B$18+N599)</f>
        <v>50000</v>
      </c>
      <c r="P599" s="5" t="n">
        <f aca="false">IF(A599="","",VLOOKUP(D599,DIvidend_Assumption!$A$3:$CX$103,($E$2+2),0)/12)</f>
        <v>0</v>
      </c>
      <c r="Q599" s="10" t="n">
        <f aca="false">IF(A599="","",IFERROR(AB598*P599,""))</f>
        <v>0</v>
      </c>
      <c r="R599" s="10" t="n">
        <f aca="false">IF(A599="","",IFERROR(IF(Inputs!$B$22="Accumulate",T599+Q599,IF(Inputs!$B$22="Premium Offset",MAX(0,T599+Q599-Inputs!$B$25),T599)),""))</f>
        <v>0</v>
      </c>
      <c r="S599" s="10" t="n">
        <f aca="false">IF(A599="","",R598)</f>
        <v>0</v>
      </c>
      <c r="T599" s="10" t="n">
        <f aca="false">IF(A599="","",IFERROR(S599*(1+Inputs!$B$23/12),""))</f>
        <v>0</v>
      </c>
      <c r="U599" s="6" t="n">
        <f aca="false">IF(A599="","",IF(D599&lt;=Inputs!$B$8,IF(Inputs!$B$22="Premium Offset",MAX(0,Inputs!$B$25-(Q599+T599)),Inputs!$B$25),0))</f>
        <v>0</v>
      </c>
      <c r="V599" s="10" t="n">
        <f aca="false">IF(A599="","",IF(Inputs!$B$22="Cash",Q599,0))</f>
        <v>0</v>
      </c>
      <c r="W599" s="10" t="n">
        <f aca="false">IF(A599="","",IF(Inputs!$B$22="PUA",Q599,0))</f>
        <v>0</v>
      </c>
      <c r="X599" s="12" t="n">
        <f aca="false">IF(A599="","",IFERROR(INDEX(PUA_TABLE!$D$4:$D$105,MATCH(E599,PUA_TABLE!$C$4:$C$105,1)),0))</f>
        <v>0.75373411447165</v>
      </c>
      <c r="Y599" s="10" t="n">
        <f aca="false">IF(A599="","",IF(W599&gt;0,IF(X599&gt;0,W599/X599,0),0))</f>
        <v>0</v>
      </c>
      <c r="Z599" s="10" t="n">
        <f aca="false">IF(A599="","",N599+Y599)</f>
        <v>0</v>
      </c>
      <c r="AA599" s="10" t="n">
        <f aca="false">IF(A599="","",IFERROR(Z599*INDEX(PUA_TABLE!$I$4:$I$105,MATCH(E599,PUA_TABLE!$C$4:$C$105,1))/1000,0))</f>
        <v>0</v>
      </c>
      <c r="AB599" s="10" t="n">
        <f aca="false">IF(A599="","",IFERROR(L599+AA599,0))</f>
        <v>38074.0220345713</v>
      </c>
      <c r="AC599" s="10" t="n">
        <f aca="false">IF(A599="","",IF(Inputs!$B$22="Premium Offset",MIN(Inputs!$B$25,Q599+T599),0))</f>
        <v>0</v>
      </c>
    </row>
    <row r="600" customFormat="false" ht="15" hidden="false" customHeight="false" outlineLevel="0" collapsed="false">
      <c r="A600" s="1" t="n">
        <f aca="false">IF(A599="","",IF(INT((C599+1)/12)+Inputs!$B$7&gt;MAX(MORTALITY!$A:$A),"",Inputs!$B$4))</f>
        <v>34</v>
      </c>
      <c r="B600" s="3" t="n">
        <f aca="false">IF(A600="","",EOMONTH(B599,1))</f>
        <v>39933</v>
      </c>
      <c r="C600" s="1" t="n">
        <f aca="false">IF(A600="","",C599+1)</f>
        <v>598</v>
      </c>
      <c r="D600" s="1" t="n">
        <f aca="false">IF(A600="","",INT(C600/12))</f>
        <v>49</v>
      </c>
      <c r="E600" s="1" t="n">
        <f aca="false">IF(A600="","",D600+Inputs!$B$7)</f>
        <v>65</v>
      </c>
      <c r="F600" s="3" t="n">
        <f aca="false">IF(A600="","",DATE(YEAR(B$2)+D600,MONTH(B$2),DAY(B$2)))</f>
        <v>39604</v>
      </c>
      <c r="G600" s="3" t="n">
        <f aca="false">IF(A600="","",DATE(YEAR(F600)+1,MONTH(F600),DAY(F600)))</f>
        <v>39969</v>
      </c>
      <c r="H600" s="10" t="n">
        <f aca="false">IF(A600="","",IF(G600&gt;F600,(B600-F600)/(G600-F600),0))</f>
        <v>0.901369863013699</v>
      </c>
      <c r="I600" s="10" t="n">
        <f aca="false">IF(A600="","",IFERROR(INDEX(CV_RATES!$I:$I,MATCH(D600,CV_RATES!$C:$C,0)),0))</f>
        <v>753.73411447165</v>
      </c>
      <c r="J600" s="10" t="n">
        <f aca="false">IF(A600="","",IFERROR(IF(E600=MAX(MORTALITY!$A:$A),1000,INDEX(CV_RATES!$J:$J,MATCH(D600,CV_RATES!$C:$C,0))),0))</f>
        <v>763.190332097798</v>
      </c>
      <c r="K600" s="10" t="n">
        <f aca="false">IF(A600="","",IFERROR(I600+H600*(J600-I600),0))</f>
        <v>762.257664057959</v>
      </c>
      <c r="L600" s="10" t="n">
        <f aca="false">IF(A600="","",IFERROR(K600*Inputs!$B$9,0))</f>
        <v>38112.8832028979</v>
      </c>
      <c r="M600" s="10" t="n">
        <f aca="false">IF(A600="","",IFERROR(K600*Inputs!$B$10,0))</f>
        <v>121958.939476281</v>
      </c>
      <c r="N600" s="10" t="n">
        <f aca="false">IF(A600="","",Z599)</f>
        <v>0</v>
      </c>
      <c r="O600" s="6" t="n">
        <f aca="false">IF(A600="","",Inputs!$B$18+N600)</f>
        <v>50000</v>
      </c>
      <c r="P600" s="5" t="n">
        <f aca="false">IF(A600="","",VLOOKUP(D600,DIvidend_Assumption!$A$3:$CX$103,($E$2+2),0)/12)</f>
        <v>0</v>
      </c>
      <c r="Q600" s="10" t="n">
        <f aca="false">IF(A600="","",IFERROR(AB599*P600,""))</f>
        <v>0</v>
      </c>
      <c r="R600" s="10" t="n">
        <f aca="false">IF(A600="","",IFERROR(IF(Inputs!$B$22="Accumulate",T600+Q600,IF(Inputs!$B$22="Premium Offset",MAX(0,T600+Q600-Inputs!$B$25),T600)),""))</f>
        <v>0</v>
      </c>
      <c r="S600" s="10" t="n">
        <f aca="false">IF(A600="","",R599)</f>
        <v>0</v>
      </c>
      <c r="T600" s="10" t="n">
        <f aca="false">IF(A600="","",IFERROR(S600*(1+Inputs!$B$23/12),""))</f>
        <v>0</v>
      </c>
      <c r="U600" s="6" t="n">
        <f aca="false">IF(A600="","",IF(D600&lt;=Inputs!$B$8,IF(Inputs!$B$22="Premium Offset",MAX(0,Inputs!$B$25-(Q600+T600)),Inputs!$B$25),0))</f>
        <v>0</v>
      </c>
      <c r="V600" s="10" t="n">
        <f aca="false">IF(A600="","",IF(Inputs!$B$22="Cash",Q600,0))</f>
        <v>0</v>
      </c>
      <c r="W600" s="10" t="n">
        <f aca="false">IF(A600="","",IF(Inputs!$B$22="PUA",Q600,0))</f>
        <v>0</v>
      </c>
      <c r="X600" s="12" t="n">
        <f aca="false">IF(A600="","",IFERROR(INDEX(PUA_TABLE!$D$4:$D$105,MATCH(E600,PUA_TABLE!$C$4:$C$105,1)),0))</f>
        <v>0.75373411447165</v>
      </c>
      <c r="Y600" s="10" t="n">
        <f aca="false">IF(A600="","",IF(W600&gt;0,IF(X600&gt;0,W600/X600,0),0))</f>
        <v>0</v>
      </c>
      <c r="Z600" s="10" t="n">
        <f aca="false">IF(A600="","",N600+Y600)</f>
        <v>0</v>
      </c>
      <c r="AA600" s="10" t="n">
        <f aca="false">IF(A600="","",IFERROR(Z600*INDEX(PUA_TABLE!$I$4:$I$105,MATCH(E600,PUA_TABLE!$C$4:$C$105,1))/1000,0))</f>
        <v>0</v>
      </c>
      <c r="AB600" s="10" t="n">
        <f aca="false">IF(A600="","",IFERROR(L600+AA600,0))</f>
        <v>38112.8832028979</v>
      </c>
      <c r="AC600" s="10" t="n">
        <f aca="false">IF(A600="","",IF(Inputs!$B$22="Premium Offset",MIN(Inputs!$B$25,Q600+T600),0))</f>
        <v>0</v>
      </c>
    </row>
    <row r="601" customFormat="false" ht="15" hidden="false" customHeight="false" outlineLevel="0" collapsed="false">
      <c r="A601" s="1" t="n">
        <f aca="false">IF(A600="","",IF(INT((C600+1)/12)+Inputs!$B$7&gt;MAX(MORTALITY!$A:$A),"",Inputs!$B$4))</f>
        <v>34</v>
      </c>
      <c r="B601" s="3" t="n">
        <f aca="false">IF(A601="","",EOMONTH(B600,1))</f>
        <v>39964</v>
      </c>
      <c r="C601" s="1" t="n">
        <f aca="false">IF(A601="","",C600+1)</f>
        <v>599</v>
      </c>
      <c r="D601" s="1" t="n">
        <f aca="false">IF(A601="","",INT(C601/12))</f>
        <v>49</v>
      </c>
      <c r="E601" s="1" t="n">
        <f aca="false">IF(A601="","",D601+Inputs!$B$7)</f>
        <v>65</v>
      </c>
      <c r="F601" s="3" t="n">
        <f aca="false">IF(A601="","",DATE(YEAR(B$2)+D601,MONTH(B$2),DAY(B$2)))</f>
        <v>39604</v>
      </c>
      <c r="G601" s="3" t="n">
        <f aca="false">IF(A601="","",DATE(YEAR(F601)+1,MONTH(F601),DAY(F601)))</f>
        <v>39969</v>
      </c>
      <c r="H601" s="10" t="n">
        <f aca="false">IF(A601="","",IF(G601&gt;F601,(B601-F601)/(G601-F601),0))</f>
        <v>0.986301369863014</v>
      </c>
      <c r="I601" s="10" t="n">
        <f aca="false">IF(A601="","",IFERROR(INDEX(CV_RATES!$I:$I,MATCH(D601,CV_RATES!$C:$C,0)),0))</f>
        <v>753.73411447165</v>
      </c>
      <c r="J601" s="10" t="n">
        <f aca="false">IF(A601="","",IFERROR(IF(E601=MAX(MORTALITY!$A:$A),1000,INDEX(CV_RATES!$J:$J,MATCH(D601,CV_RATES!$C:$C,0))),0))</f>
        <v>763.190332097798</v>
      </c>
      <c r="K601" s="10" t="n">
        <f aca="false">IF(A601="","",IFERROR(I601+H601*(J601-I601),0))</f>
        <v>763.060794870042</v>
      </c>
      <c r="L601" s="10" t="n">
        <f aca="false">IF(A601="","",IFERROR(K601*Inputs!$B$9,0))</f>
        <v>38153.0397435021</v>
      </c>
      <c r="M601" s="10" t="n">
        <f aca="false">IF(A601="","",IFERROR(K601*Inputs!$B$10,0))</f>
        <v>122087.437996822</v>
      </c>
      <c r="N601" s="10" t="n">
        <f aca="false">IF(A601="","",Z600)</f>
        <v>0</v>
      </c>
      <c r="O601" s="6" t="n">
        <f aca="false">IF(A601="","",Inputs!$B$18+N601)</f>
        <v>50000</v>
      </c>
      <c r="P601" s="5" t="n">
        <f aca="false">IF(A601="","",VLOOKUP(D601,DIvidend_Assumption!$A$3:$CX$103,($E$2+2),0)/12)</f>
        <v>0</v>
      </c>
      <c r="Q601" s="10" t="n">
        <f aca="false">IF(A601="","",IFERROR(AB600*P601,""))</f>
        <v>0</v>
      </c>
      <c r="R601" s="10" t="n">
        <f aca="false">IF(A601="","",IFERROR(IF(Inputs!$B$22="Accumulate",T601+Q601,IF(Inputs!$B$22="Premium Offset",MAX(0,T601+Q601-Inputs!$B$25),T601)),""))</f>
        <v>0</v>
      </c>
      <c r="S601" s="10" t="n">
        <f aca="false">IF(A601="","",R600)</f>
        <v>0</v>
      </c>
      <c r="T601" s="10" t="n">
        <f aca="false">IF(A601="","",IFERROR(S601*(1+Inputs!$B$23/12),""))</f>
        <v>0</v>
      </c>
      <c r="U601" s="6" t="n">
        <f aca="false">IF(A601="","",IF(D601&lt;=Inputs!$B$8,IF(Inputs!$B$22="Premium Offset",MAX(0,Inputs!$B$25-(Q601+T601)),Inputs!$B$25),0))</f>
        <v>0</v>
      </c>
      <c r="V601" s="10" t="n">
        <f aca="false">IF(A601="","",IF(Inputs!$B$22="Cash",Q601,0))</f>
        <v>0</v>
      </c>
      <c r="W601" s="10" t="n">
        <f aca="false">IF(A601="","",IF(Inputs!$B$22="PUA",Q601,0))</f>
        <v>0</v>
      </c>
      <c r="X601" s="12" t="n">
        <f aca="false">IF(A601="","",IFERROR(INDEX(PUA_TABLE!$D$4:$D$105,MATCH(E601,PUA_TABLE!$C$4:$C$105,1)),0))</f>
        <v>0.75373411447165</v>
      </c>
      <c r="Y601" s="10" t="n">
        <f aca="false">IF(A601="","",IF(W601&gt;0,IF(X601&gt;0,W601/X601,0),0))</f>
        <v>0</v>
      </c>
      <c r="Z601" s="10" t="n">
        <f aca="false">IF(A601="","",N601+Y601)</f>
        <v>0</v>
      </c>
      <c r="AA601" s="10" t="n">
        <f aca="false">IF(A601="","",IFERROR(Z601*INDEX(PUA_TABLE!$I$4:$I$105,MATCH(E601,PUA_TABLE!$C$4:$C$105,1))/1000,0))</f>
        <v>0</v>
      </c>
      <c r="AB601" s="10" t="n">
        <f aca="false">IF(A601="","",IFERROR(L601+AA601,0))</f>
        <v>38153.0397435021</v>
      </c>
      <c r="AC601" s="10" t="n">
        <f aca="false">IF(A601="","",IF(Inputs!$B$22="Premium Offset",MIN(Inputs!$B$25,Q601+T601),0))</f>
        <v>0</v>
      </c>
    </row>
    <row r="602" customFormat="false" ht="15" hidden="false" customHeight="false" outlineLevel="0" collapsed="false">
      <c r="A602" s="1" t="n">
        <f aca="false">IF(A601="","",IF(INT((C601+1)/12)+Inputs!$B$7&gt;MAX(MORTALITY!$A:$A),"",Inputs!$B$4))</f>
        <v>34</v>
      </c>
      <c r="B602" s="3" t="n">
        <f aca="false">IF(A602="","",EOMONTH(B601,1))</f>
        <v>39994</v>
      </c>
      <c r="C602" s="1" t="n">
        <f aca="false">IF(A602="","",C601+1)</f>
        <v>600</v>
      </c>
      <c r="D602" s="1" t="n">
        <f aca="false">IF(A602="","",INT(C602/12))</f>
        <v>50</v>
      </c>
      <c r="E602" s="1" t="n">
        <f aca="false">IF(A602="","",D602+Inputs!$B$7)</f>
        <v>66</v>
      </c>
      <c r="F602" s="3" t="n">
        <f aca="false">IF(A602="","",DATE(YEAR(B$2)+D602,MONTH(B$2),DAY(B$2)))</f>
        <v>39969</v>
      </c>
      <c r="G602" s="3" t="n">
        <f aca="false">IF(A602="","",DATE(YEAR(F602)+1,MONTH(F602),DAY(F602)))</f>
        <v>40334</v>
      </c>
      <c r="H602" s="10" t="n">
        <f aca="false">IF(A602="","",IF(G602&gt;F602,(B602-F602)/(G602-F602),0))</f>
        <v>0.0684931506849315</v>
      </c>
      <c r="I602" s="10" t="n">
        <f aca="false">IF(A602="","",IFERROR(INDEX(CV_RATES!$I:$I,MATCH(D602,CV_RATES!$C:$C,0)),0))</f>
        <v>763.190332097798</v>
      </c>
      <c r="J602" s="10" t="n">
        <f aca="false">IF(A602="","",IFERROR(IF(E602=MAX(MORTALITY!$A:$A),1000,INDEX(CV_RATES!$J:$J,MATCH(D602,CV_RATES!$C:$C,0))),0))</f>
        <v>772.496541837585</v>
      </c>
      <c r="K602" s="10" t="n">
        <f aca="false">IF(A602="","",IFERROR(I602+H602*(J602-I602),0))</f>
        <v>763.827743723811</v>
      </c>
      <c r="L602" s="10" t="n">
        <f aca="false">IF(A602="","",IFERROR(K602*Inputs!$B$9,0))</f>
        <v>38191.3871861905</v>
      </c>
      <c r="M602" s="10" t="n">
        <f aca="false">IF(A602="","",IFERROR(K602*Inputs!$B$10,0))</f>
        <v>122210.147512579</v>
      </c>
      <c r="N602" s="10" t="n">
        <f aca="false">IF(A602="","",Z601)</f>
        <v>0</v>
      </c>
      <c r="O602" s="6" t="n">
        <f aca="false">IF(A602="","",Inputs!$B$18+N602)</f>
        <v>50000</v>
      </c>
      <c r="P602" s="5" t="n">
        <f aca="false">IF(A602="","",VLOOKUP(D602,DIvidend_Assumption!$A$3:$CX$103,($E$2+2),0)/12)</f>
        <v>0</v>
      </c>
      <c r="Q602" s="10" t="n">
        <f aca="false">IF(A602="","",IFERROR(AB601*P602,""))</f>
        <v>0</v>
      </c>
      <c r="R602" s="10" t="n">
        <f aca="false">IF(A602="","",IFERROR(IF(Inputs!$B$22="Accumulate",T602+Q602,IF(Inputs!$B$22="Premium Offset",MAX(0,T602+Q602-Inputs!$B$25),T602)),""))</f>
        <v>0</v>
      </c>
      <c r="S602" s="10" t="n">
        <f aca="false">IF(A602="","",R601)</f>
        <v>0</v>
      </c>
      <c r="T602" s="10" t="n">
        <f aca="false">IF(A602="","",IFERROR(S602*(1+Inputs!$B$23/12),""))</f>
        <v>0</v>
      </c>
      <c r="U602" s="6" t="n">
        <f aca="false">IF(A602="","",IF(D602&lt;=Inputs!$B$8,IF(Inputs!$B$22="Premium Offset",MAX(0,Inputs!$B$25-(Q602+T602)),Inputs!$B$25),0))</f>
        <v>0</v>
      </c>
      <c r="V602" s="10" t="n">
        <f aca="false">IF(A602="","",IF(Inputs!$B$22="Cash",Q602,0))</f>
        <v>0</v>
      </c>
      <c r="W602" s="10" t="n">
        <f aca="false">IF(A602="","",IF(Inputs!$B$22="PUA",Q602,0))</f>
        <v>0</v>
      </c>
      <c r="X602" s="12" t="n">
        <f aca="false">IF(A602="","",IFERROR(INDEX(PUA_TABLE!$D$4:$D$105,MATCH(E602,PUA_TABLE!$C$4:$C$105,1)),0))</f>
        <v>0.763190332097798</v>
      </c>
      <c r="Y602" s="10" t="n">
        <f aca="false">IF(A602="","",IF(W602&gt;0,IF(X602&gt;0,W602/X602,0),0))</f>
        <v>0</v>
      </c>
      <c r="Z602" s="10" t="n">
        <f aca="false">IF(A602="","",N602+Y602)</f>
        <v>0</v>
      </c>
      <c r="AA602" s="10" t="n">
        <f aca="false">IF(A602="","",IFERROR(Z602*INDEX(PUA_TABLE!$I$4:$I$105,MATCH(E602,PUA_TABLE!$C$4:$C$105,1))/1000,0))</f>
        <v>0</v>
      </c>
      <c r="AB602" s="10" t="n">
        <f aca="false">IF(A602="","",IFERROR(L602+AA602,0))</f>
        <v>38191.3871861905</v>
      </c>
      <c r="AC602" s="10" t="n">
        <f aca="false">IF(A602="","",IF(Inputs!$B$22="Premium Offset",MIN(Inputs!$B$25,Q602+T602),0))</f>
        <v>0</v>
      </c>
    </row>
    <row r="603" customFormat="false" ht="15" hidden="false" customHeight="false" outlineLevel="0" collapsed="false">
      <c r="A603" s="1" t="n">
        <f aca="false">IF(A602="","",IF(INT((C602+1)/12)+Inputs!$B$7&gt;MAX(MORTALITY!$A:$A),"",Inputs!$B$4))</f>
        <v>34</v>
      </c>
      <c r="B603" s="3" t="n">
        <f aca="false">IF(A603="","",EOMONTH(B602,1))</f>
        <v>40025</v>
      </c>
      <c r="C603" s="1" t="n">
        <f aca="false">IF(A603="","",C602+1)</f>
        <v>601</v>
      </c>
      <c r="D603" s="1" t="n">
        <f aca="false">IF(A603="","",INT(C603/12))</f>
        <v>50</v>
      </c>
      <c r="E603" s="1" t="n">
        <f aca="false">IF(A603="","",D603+Inputs!$B$7)</f>
        <v>66</v>
      </c>
      <c r="F603" s="3" t="n">
        <f aca="false">IF(A603="","",DATE(YEAR(B$2)+D603,MONTH(B$2),DAY(B$2)))</f>
        <v>39969</v>
      </c>
      <c r="G603" s="3" t="n">
        <f aca="false">IF(A603="","",DATE(YEAR(F603)+1,MONTH(F603),DAY(F603)))</f>
        <v>40334</v>
      </c>
      <c r="H603" s="10" t="n">
        <f aca="false">IF(A603="","",IF(G603&gt;F603,(B603-F603)/(G603-F603),0))</f>
        <v>0.153424657534247</v>
      </c>
      <c r="I603" s="10" t="n">
        <f aca="false">IF(A603="","",IFERROR(INDEX(CV_RATES!$I:$I,MATCH(D603,CV_RATES!$C:$C,0)),0))</f>
        <v>763.190332097798</v>
      </c>
      <c r="J603" s="10" t="n">
        <f aca="false">IF(A603="","",IFERROR(IF(E603=MAX(MORTALITY!$A:$A),1000,INDEX(CV_RATES!$J:$J,MATCH(D603,CV_RATES!$C:$C,0))),0))</f>
        <v>772.496541837585</v>
      </c>
      <c r="K603" s="10" t="n">
        <f aca="false">IF(A603="","",IFERROR(I603+H603*(J603-I603),0))</f>
        <v>764.618134140067</v>
      </c>
      <c r="L603" s="10" t="n">
        <f aca="false">IF(A603="","",IFERROR(K603*Inputs!$B$9,0))</f>
        <v>38230.9067070033</v>
      </c>
      <c r="M603" s="10" t="n">
        <f aca="false">IF(A603="","",IFERROR(K603*Inputs!$B$10,0))</f>
        <v>122336.607608008</v>
      </c>
      <c r="N603" s="10" t="n">
        <f aca="false">IF(A603="","",Z602)</f>
        <v>0</v>
      </c>
      <c r="O603" s="6" t="n">
        <f aca="false">IF(A603="","",Inputs!$B$18+N603)</f>
        <v>50000</v>
      </c>
      <c r="P603" s="5" t="n">
        <f aca="false">IF(A603="","",VLOOKUP(D603,DIvidend_Assumption!$A$3:$CX$103,($E$2+2),0)/12)</f>
        <v>0</v>
      </c>
      <c r="Q603" s="10" t="n">
        <f aca="false">IF(A603="","",IFERROR(AB602*P603,""))</f>
        <v>0</v>
      </c>
      <c r="R603" s="10" t="n">
        <f aca="false">IF(A603="","",IFERROR(IF(Inputs!$B$22="Accumulate",T603+Q603,IF(Inputs!$B$22="Premium Offset",MAX(0,T603+Q603-Inputs!$B$25),T603)),""))</f>
        <v>0</v>
      </c>
      <c r="S603" s="10" t="n">
        <f aca="false">IF(A603="","",R602)</f>
        <v>0</v>
      </c>
      <c r="T603" s="10" t="n">
        <f aca="false">IF(A603="","",IFERROR(S603*(1+Inputs!$B$23/12),""))</f>
        <v>0</v>
      </c>
      <c r="U603" s="6" t="n">
        <f aca="false">IF(A603="","",IF(D603&lt;=Inputs!$B$8,IF(Inputs!$B$22="Premium Offset",MAX(0,Inputs!$B$25-(Q603+T603)),Inputs!$B$25),0))</f>
        <v>0</v>
      </c>
      <c r="V603" s="10" t="n">
        <f aca="false">IF(A603="","",IF(Inputs!$B$22="Cash",Q603,0))</f>
        <v>0</v>
      </c>
      <c r="W603" s="10" t="n">
        <f aca="false">IF(A603="","",IF(Inputs!$B$22="PUA",Q603,0))</f>
        <v>0</v>
      </c>
      <c r="X603" s="12" t="n">
        <f aca="false">IF(A603="","",IFERROR(INDEX(PUA_TABLE!$D$4:$D$105,MATCH(E603,PUA_TABLE!$C$4:$C$105,1)),0))</f>
        <v>0.763190332097798</v>
      </c>
      <c r="Y603" s="10" t="n">
        <f aca="false">IF(A603="","",IF(W603&gt;0,IF(X603&gt;0,W603/X603,0),0))</f>
        <v>0</v>
      </c>
      <c r="Z603" s="10" t="n">
        <f aca="false">IF(A603="","",N603+Y603)</f>
        <v>0</v>
      </c>
      <c r="AA603" s="10" t="n">
        <f aca="false">IF(A603="","",IFERROR(Z603*INDEX(PUA_TABLE!$I$4:$I$105,MATCH(E603,PUA_TABLE!$C$4:$C$105,1))/1000,0))</f>
        <v>0</v>
      </c>
      <c r="AB603" s="10" t="n">
        <f aca="false">IF(A603="","",IFERROR(L603+AA603,0))</f>
        <v>38230.9067070033</v>
      </c>
      <c r="AC603" s="10" t="n">
        <f aca="false">IF(A603="","",IF(Inputs!$B$22="Premium Offset",MIN(Inputs!$B$25,Q603+T603),0))</f>
        <v>0</v>
      </c>
    </row>
    <row r="604" customFormat="false" ht="15" hidden="false" customHeight="false" outlineLevel="0" collapsed="false">
      <c r="A604" s="1" t="n">
        <f aca="false">IF(A603="","",IF(INT((C603+1)/12)+Inputs!$B$7&gt;MAX(MORTALITY!$A:$A),"",Inputs!$B$4))</f>
        <v>34</v>
      </c>
      <c r="B604" s="3" t="n">
        <f aca="false">IF(A604="","",EOMONTH(B603,1))</f>
        <v>40056</v>
      </c>
      <c r="C604" s="1" t="n">
        <f aca="false">IF(A604="","",C603+1)</f>
        <v>602</v>
      </c>
      <c r="D604" s="1" t="n">
        <f aca="false">IF(A604="","",INT(C604/12))</f>
        <v>50</v>
      </c>
      <c r="E604" s="1" t="n">
        <f aca="false">IF(A604="","",D604+Inputs!$B$7)</f>
        <v>66</v>
      </c>
      <c r="F604" s="3" t="n">
        <f aca="false">IF(A604="","",DATE(YEAR(B$2)+D604,MONTH(B$2),DAY(B$2)))</f>
        <v>39969</v>
      </c>
      <c r="G604" s="3" t="n">
        <f aca="false">IF(A604="","",DATE(YEAR(F604)+1,MONTH(F604),DAY(F604)))</f>
        <v>40334</v>
      </c>
      <c r="H604" s="10" t="n">
        <f aca="false">IF(A604="","",IF(G604&gt;F604,(B604-F604)/(G604-F604),0))</f>
        <v>0.238356164383562</v>
      </c>
      <c r="I604" s="10" t="n">
        <f aca="false">IF(A604="","",IFERROR(INDEX(CV_RATES!$I:$I,MATCH(D604,CV_RATES!$C:$C,0)),0))</f>
        <v>763.190332097798</v>
      </c>
      <c r="J604" s="10" t="n">
        <f aca="false">IF(A604="","",IFERROR(IF(E604=MAX(MORTALITY!$A:$A),1000,INDEX(CV_RATES!$J:$J,MATCH(D604,CV_RATES!$C:$C,0))),0))</f>
        <v>772.496541837585</v>
      </c>
      <c r="K604" s="10" t="n">
        <f aca="false">IF(A604="","",IFERROR(I604+H604*(J604-I604),0))</f>
        <v>765.408524556322</v>
      </c>
      <c r="L604" s="10" t="n">
        <f aca="false">IF(A604="","",IFERROR(K604*Inputs!$B$9,0))</f>
        <v>38270.4262278161</v>
      </c>
      <c r="M604" s="10" t="n">
        <f aca="false">IF(A604="","",IFERROR(K604*Inputs!$B$10,0))</f>
        <v>122463.067703438</v>
      </c>
      <c r="N604" s="10" t="n">
        <f aca="false">IF(A604="","",Z603)</f>
        <v>0</v>
      </c>
      <c r="O604" s="6" t="n">
        <f aca="false">IF(A604="","",Inputs!$B$18+N604)</f>
        <v>50000</v>
      </c>
      <c r="P604" s="5" t="n">
        <f aca="false">IF(A604="","",VLOOKUP(D604,DIvidend_Assumption!$A$3:$CX$103,($E$2+2),0)/12)</f>
        <v>0</v>
      </c>
      <c r="Q604" s="10" t="n">
        <f aca="false">IF(A604="","",IFERROR(AB603*P604,""))</f>
        <v>0</v>
      </c>
      <c r="R604" s="10" t="n">
        <f aca="false">IF(A604="","",IFERROR(IF(Inputs!$B$22="Accumulate",T604+Q604,IF(Inputs!$B$22="Premium Offset",MAX(0,T604+Q604-Inputs!$B$25),T604)),""))</f>
        <v>0</v>
      </c>
      <c r="S604" s="10" t="n">
        <f aca="false">IF(A604="","",R603)</f>
        <v>0</v>
      </c>
      <c r="T604" s="10" t="n">
        <f aca="false">IF(A604="","",IFERROR(S604*(1+Inputs!$B$23/12),""))</f>
        <v>0</v>
      </c>
      <c r="U604" s="6" t="n">
        <f aca="false">IF(A604="","",IF(D604&lt;=Inputs!$B$8,IF(Inputs!$B$22="Premium Offset",MAX(0,Inputs!$B$25-(Q604+T604)),Inputs!$B$25),0))</f>
        <v>0</v>
      </c>
      <c r="V604" s="10" t="n">
        <f aca="false">IF(A604="","",IF(Inputs!$B$22="Cash",Q604,0))</f>
        <v>0</v>
      </c>
      <c r="W604" s="10" t="n">
        <f aca="false">IF(A604="","",IF(Inputs!$B$22="PUA",Q604,0))</f>
        <v>0</v>
      </c>
      <c r="X604" s="12" t="n">
        <f aca="false">IF(A604="","",IFERROR(INDEX(PUA_TABLE!$D$4:$D$105,MATCH(E604,PUA_TABLE!$C$4:$C$105,1)),0))</f>
        <v>0.763190332097798</v>
      </c>
      <c r="Y604" s="10" t="n">
        <f aca="false">IF(A604="","",IF(W604&gt;0,IF(X604&gt;0,W604/X604,0),0))</f>
        <v>0</v>
      </c>
      <c r="Z604" s="10" t="n">
        <f aca="false">IF(A604="","",N604+Y604)</f>
        <v>0</v>
      </c>
      <c r="AA604" s="10" t="n">
        <f aca="false">IF(A604="","",IFERROR(Z604*INDEX(PUA_TABLE!$I$4:$I$105,MATCH(E604,PUA_TABLE!$C$4:$C$105,1))/1000,0))</f>
        <v>0</v>
      </c>
      <c r="AB604" s="10" t="n">
        <f aca="false">IF(A604="","",IFERROR(L604+AA604,0))</f>
        <v>38270.4262278161</v>
      </c>
      <c r="AC604" s="10" t="n">
        <f aca="false">IF(A604="","",IF(Inputs!$B$22="Premium Offset",MIN(Inputs!$B$25,Q604+T604),0))</f>
        <v>0</v>
      </c>
    </row>
    <row r="605" customFormat="false" ht="15" hidden="false" customHeight="false" outlineLevel="0" collapsed="false">
      <c r="A605" s="1" t="n">
        <f aca="false">IF(A604="","",IF(INT((C604+1)/12)+Inputs!$B$7&gt;MAX(MORTALITY!$A:$A),"",Inputs!$B$4))</f>
        <v>34</v>
      </c>
      <c r="B605" s="3" t="n">
        <f aca="false">IF(A605="","",EOMONTH(B604,1))</f>
        <v>40086</v>
      </c>
      <c r="C605" s="1" t="n">
        <f aca="false">IF(A605="","",C604+1)</f>
        <v>603</v>
      </c>
      <c r="D605" s="1" t="n">
        <f aca="false">IF(A605="","",INT(C605/12))</f>
        <v>50</v>
      </c>
      <c r="E605" s="1" t="n">
        <f aca="false">IF(A605="","",D605+Inputs!$B$7)</f>
        <v>66</v>
      </c>
      <c r="F605" s="3" t="n">
        <f aca="false">IF(A605="","",DATE(YEAR(B$2)+D605,MONTH(B$2),DAY(B$2)))</f>
        <v>39969</v>
      </c>
      <c r="G605" s="3" t="n">
        <f aca="false">IF(A605="","",DATE(YEAR(F605)+1,MONTH(F605),DAY(F605)))</f>
        <v>40334</v>
      </c>
      <c r="H605" s="10" t="n">
        <f aca="false">IF(A605="","",IF(G605&gt;F605,(B605-F605)/(G605-F605),0))</f>
        <v>0.320547945205479</v>
      </c>
      <c r="I605" s="10" t="n">
        <f aca="false">IF(A605="","",IFERROR(INDEX(CV_RATES!$I:$I,MATCH(D605,CV_RATES!$C:$C,0)),0))</f>
        <v>763.190332097798</v>
      </c>
      <c r="J605" s="10" t="n">
        <f aca="false">IF(A605="","",IFERROR(IF(E605=MAX(MORTALITY!$A:$A),1000,INDEX(CV_RATES!$J:$J,MATCH(D605,CV_RATES!$C:$C,0))),0))</f>
        <v>772.496541837585</v>
      </c>
      <c r="K605" s="10" t="n">
        <f aca="false">IF(A605="","",IFERROR(I605+H605*(J605-I605),0))</f>
        <v>766.173418507538</v>
      </c>
      <c r="L605" s="10" t="n">
        <f aca="false">IF(A605="","",IFERROR(K605*Inputs!$B$9,0))</f>
        <v>38308.6709253769</v>
      </c>
      <c r="M605" s="10" t="n">
        <f aca="false">IF(A605="","",IFERROR(K605*Inputs!$B$10,0))</f>
        <v>122585.448440951</v>
      </c>
      <c r="N605" s="10" t="n">
        <f aca="false">IF(A605="","",Z604)</f>
        <v>0</v>
      </c>
      <c r="O605" s="6" t="n">
        <f aca="false">IF(A605="","",Inputs!$B$18+N605)</f>
        <v>50000</v>
      </c>
      <c r="P605" s="5" t="n">
        <f aca="false">IF(A605="","",VLOOKUP(D605,DIvidend_Assumption!$A$3:$CX$103,($E$2+2),0)/12)</f>
        <v>0</v>
      </c>
      <c r="Q605" s="10" t="n">
        <f aca="false">IF(A605="","",IFERROR(AB604*P605,""))</f>
        <v>0</v>
      </c>
      <c r="R605" s="10" t="n">
        <f aca="false">IF(A605="","",IFERROR(IF(Inputs!$B$22="Accumulate",T605+Q605,IF(Inputs!$B$22="Premium Offset",MAX(0,T605+Q605-Inputs!$B$25),T605)),""))</f>
        <v>0</v>
      </c>
      <c r="S605" s="10" t="n">
        <f aca="false">IF(A605="","",R604)</f>
        <v>0</v>
      </c>
      <c r="T605" s="10" t="n">
        <f aca="false">IF(A605="","",IFERROR(S605*(1+Inputs!$B$23/12),""))</f>
        <v>0</v>
      </c>
      <c r="U605" s="6" t="n">
        <f aca="false">IF(A605="","",IF(D605&lt;=Inputs!$B$8,IF(Inputs!$B$22="Premium Offset",MAX(0,Inputs!$B$25-(Q605+T605)),Inputs!$B$25),0))</f>
        <v>0</v>
      </c>
      <c r="V605" s="10" t="n">
        <f aca="false">IF(A605="","",IF(Inputs!$B$22="Cash",Q605,0))</f>
        <v>0</v>
      </c>
      <c r="W605" s="10" t="n">
        <f aca="false">IF(A605="","",IF(Inputs!$B$22="PUA",Q605,0))</f>
        <v>0</v>
      </c>
      <c r="X605" s="12" t="n">
        <f aca="false">IF(A605="","",IFERROR(INDEX(PUA_TABLE!$D$4:$D$105,MATCH(E605,PUA_TABLE!$C$4:$C$105,1)),0))</f>
        <v>0.763190332097798</v>
      </c>
      <c r="Y605" s="10" t="n">
        <f aca="false">IF(A605="","",IF(W605&gt;0,IF(X605&gt;0,W605/X605,0),0))</f>
        <v>0</v>
      </c>
      <c r="Z605" s="10" t="n">
        <f aca="false">IF(A605="","",N605+Y605)</f>
        <v>0</v>
      </c>
      <c r="AA605" s="10" t="n">
        <f aca="false">IF(A605="","",IFERROR(Z605*INDEX(PUA_TABLE!$I$4:$I$105,MATCH(E605,PUA_TABLE!$C$4:$C$105,1))/1000,0))</f>
        <v>0</v>
      </c>
      <c r="AB605" s="10" t="n">
        <f aca="false">IF(A605="","",IFERROR(L605+AA605,0))</f>
        <v>38308.6709253769</v>
      </c>
      <c r="AC605" s="10" t="n">
        <f aca="false">IF(A605="","",IF(Inputs!$B$22="Premium Offset",MIN(Inputs!$B$25,Q605+T605),0))</f>
        <v>0</v>
      </c>
    </row>
    <row r="606" customFormat="false" ht="15" hidden="false" customHeight="false" outlineLevel="0" collapsed="false">
      <c r="A606" s="1" t="n">
        <f aca="false">IF(A605="","",IF(INT((C605+1)/12)+Inputs!$B$7&gt;MAX(MORTALITY!$A:$A),"",Inputs!$B$4))</f>
        <v>34</v>
      </c>
      <c r="B606" s="3" t="n">
        <f aca="false">IF(A606="","",EOMONTH(B605,1))</f>
        <v>40117</v>
      </c>
      <c r="C606" s="1" t="n">
        <f aca="false">IF(A606="","",C605+1)</f>
        <v>604</v>
      </c>
      <c r="D606" s="1" t="n">
        <f aca="false">IF(A606="","",INT(C606/12))</f>
        <v>50</v>
      </c>
      <c r="E606" s="1" t="n">
        <f aca="false">IF(A606="","",D606+Inputs!$B$7)</f>
        <v>66</v>
      </c>
      <c r="F606" s="3" t="n">
        <f aca="false">IF(A606="","",DATE(YEAR(B$2)+D606,MONTH(B$2),DAY(B$2)))</f>
        <v>39969</v>
      </c>
      <c r="G606" s="3" t="n">
        <f aca="false">IF(A606="","",DATE(YEAR(F606)+1,MONTH(F606),DAY(F606)))</f>
        <v>40334</v>
      </c>
      <c r="H606" s="10" t="n">
        <f aca="false">IF(A606="","",IF(G606&gt;F606,(B606-F606)/(G606-F606),0))</f>
        <v>0.405479452054795</v>
      </c>
      <c r="I606" s="10" t="n">
        <f aca="false">IF(A606="","",IFERROR(INDEX(CV_RATES!$I:$I,MATCH(D606,CV_RATES!$C:$C,0)),0))</f>
        <v>763.190332097798</v>
      </c>
      <c r="J606" s="10" t="n">
        <f aca="false">IF(A606="","",IFERROR(IF(E606=MAX(MORTALITY!$A:$A),1000,INDEX(CV_RATES!$J:$J,MATCH(D606,CV_RATES!$C:$C,0))),0))</f>
        <v>772.496541837585</v>
      </c>
      <c r="K606" s="10" t="n">
        <f aca="false">IF(A606="","",IFERROR(I606+H606*(J606-I606),0))</f>
        <v>766.963808923794</v>
      </c>
      <c r="L606" s="10" t="n">
        <f aca="false">IF(A606="","",IFERROR(K606*Inputs!$B$9,0))</f>
        <v>38348.1904461897</v>
      </c>
      <c r="M606" s="10" t="n">
        <f aca="false">IF(A606="","",IFERROR(K606*Inputs!$B$10,0))</f>
        <v>122711.90853638</v>
      </c>
      <c r="N606" s="10" t="n">
        <f aca="false">IF(A606="","",Z605)</f>
        <v>0</v>
      </c>
      <c r="O606" s="6" t="n">
        <f aca="false">IF(A606="","",Inputs!$B$18+N606)</f>
        <v>50000</v>
      </c>
      <c r="P606" s="5" t="n">
        <f aca="false">IF(A606="","",VLOOKUP(D606,DIvidend_Assumption!$A$3:$CX$103,($E$2+2),0)/12)</f>
        <v>0</v>
      </c>
      <c r="Q606" s="10" t="n">
        <f aca="false">IF(A606="","",IFERROR(AB605*P606,""))</f>
        <v>0</v>
      </c>
      <c r="R606" s="10" t="n">
        <f aca="false">IF(A606="","",IFERROR(IF(Inputs!$B$22="Accumulate",T606+Q606,IF(Inputs!$B$22="Premium Offset",MAX(0,T606+Q606-Inputs!$B$25),T606)),""))</f>
        <v>0</v>
      </c>
      <c r="S606" s="10" t="n">
        <f aca="false">IF(A606="","",R605)</f>
        <v>0</v>
      </c>
      <c r="T606" s="10" t="n">
        <f aca="false">IF(A606="","",IFERROR(S606*(1+Inputs!$B$23/12),""))</f>
        <v>0</v>
      </c>
      <c r="U606" s="6" t="n">
        <f aca="false">IF(A606="","",IF(D606&lt;=Inputs!$B$8,IF(Inputs!$B$22="Premium Offset",MAX(0,Inputs!$B$25-(Q606+T606)),Inputs!$B$25),0))</f>
        <v>0</v>
      </c>
      <c r="V606" s="10" t="n">
        <f aca="false">IF(A606="","",IF(Inputs!$B$22="Cash",Q606,0))</f>
        <v>0</v>
      </c>
      <c r="W606" s="10" t="n">
        <f aca="false">IF(A606="","",IF(Inputs!$B$22="PUA",Q606,0))</f>
        <v>0</v>
      </c>
      <c r="X606" s="12" t="n">
        <f aca="false">IF(A606="","",IFERROR(INDEX(PUA_TABLE!$D$4:$D$105,MATCH(E606,PUA_TABLE!$C$4:$C$105,1)),0))</f>
        <v>0.763190332097798</v>
      </c>
      <c r="Y606" s="10" t="n">
        <f aca="false">IF(A606="","",IF(W606&gt;0,IF(X606&gt;0,W606/X606,0),0))</f>
        <v>0</v>
      </c>
      <c r="Z606" s="10" t="n">
        <f aca="false">IF(A606="","",N606+Y606)</f>
        <v>0</v>
      </c>
      <c r="AA606" s="10" t="n">
        <f aca="false">IF(A606="","",IFERROR(Z606*INDEX(PUA_TABLE!$I$4:$I$105,MATCH(E606,PUA_TABLE!$C$4:$C$105,1))/1000,0))</f>
        <v>0</v>
      </c>
      <c r="AB606" s="10" t="n">
        <f aca="false">IF(A606="","",IFERROR(L606+AA606,0))</f>
        <v>38348.1904461897</v>
      </c>
      <c r="AC606" s="10" t="n">
        <f aca="false">IF(A606="","",IF(Inputs!$B$22="Premium Offset",MIN(Inputs!$B$25,Q606+T606),0))</f>
        <v>0</v>
      </c>
    </row>
    <row r="607" customFormat="false" ht="15" hidden="false" customHeight="false" outlineLevel="0" collapsed="false">
      <c r="A607" s="1" t="n">
        <f aca="false">IF(A606="","",IF(INT((C606+1)/12)+Inputs!$B$7&gt;MAX(MORTALITY!$A:$A),"",Inputs!$B$4))</f>
        <v>34</v>
      </c>
      <c r="B607" s="3" t="n">
        <f aca="false">IF(A607="","",EOMONTH(B606,1))</f>
        <v>40147</v>
      </c>
      <c r="C607" s="1" t="n">
        <f aca="false">IF(A607="","",C606+1)</f>
        <v>605</v>
      </c>
      <c r="D607" s="1" t="n">
        <f aca="false">IF(A607="","",INT(C607/12))</f>
        <v>50</v>
      </c>
      <c r="E607" s="1" t="n">
        <f aca="false">IF(A607="","",D607+Inputs!$B$7)</f>
        <v>66</v>
      </c>
      <c r="F607" s="3" t="n">
        <f aca="false">IF(A607="","",DATE(YEAR(B$2)+D607,MONTH(B$2),DAY(B$2)))</f>
        <v>39969</v>
      </c>
      <c r="G607" s="3" t="n">
        <f aca="false">IF(A607="","",DATE(YEAR(F607)+1,MONTH(F607),DAY(F607)))</f>
        <v>40334</v>
      </c>
      <c r="H607" s="10" t="n">
        <f aca="false">IF(A607="","",IF(G607&gt;F607,(B607-F607)/(G607-F607),0))</f>
        <v>0.487671232876712</v>
      </c>
      <c r="I607" s="10" t="n">
        <f aca="false">IF(A607="","",IFERROR(INDEX(CV_RATES!$I:$I,MATCH(D607,CV_RATES!$C:$C,0)),0))</f>
        <v>763.190332097798</v>
      </c>
      <c r="J607" s="10" t="n">
        <f aca="false">IF(A607="","",IFERROR(IF(E607=MAX(MORTALITY!$A:$A),1000,INDEX(CV_RATES!$J:$J,MATCH(D607,CV_RATES!$C:$C,0))),0))</f>
        <v>772.496541837585</v>
      </c>
      <c r="K607" s="10" t="n">
        <f aca="false">IF(A607="","",IFERROR(I607+H607*(J607-I607),0))</f>
        <v>767.728702875009</v>
      </c>
      <c r="L607" s="10" t="n">
        <f aca="false">IF(A607="","",IFERROR(K607*Inputs!$B$9,0))</f>
        <v>38386.4351437505</v>
      </c>
      <c r="M607" s="10" t="n">
        <f aca="false">IF(A607="","",IFERROR(K607*Inputs!$B$10,0))</f>
        <v>122834.289273893</v>
      </c>
      <c r="N607" s="10" t="n">
        <f aca="false">IF(A607="","",Z606)</f>
        <v>0</v>
      </c>
      <c r="O607" s="6" t="n">
        <f aca="false">IF(A607="","",Inputs!$B$18+N607)</f>
        <v>50000</v>
      </c>
      <c r="P607" s="5" t="n">
        <f aca="false">IF(A607="","",VLOOKUP(D607,DIvidend_Assumption!$A$3:$CX$103,($E$2+2),0)/12)</f>
        <v>0</v>
      </c>
      <c r="Q607" s="10" t="n">
        <f aca="false">IF(A607="","",IFERROR(AB606*P607,""))</f>
        <v>0</v>
      </c>
      <c r="R607" s="10" t="n">
        <f aca="false">IF(A607="","",IFERROR(IF(Inputs!$B$22="Accumulate",T607+Q607,IF(Inputs!$B$22="Premium Offset",MAX(0,T607+Q607-Inputs!$B$25),T607)),""))</f>
        <v>0</v>
      </c>
      <c r="S607" s="10" t="n">
        <f aca="false">IF(A607="","",R606)</f>
        <v>0</v>
      </c>
      <c r="T607" s="10" t="n">
        <f aca="false">IF(A607="","",IFERROR(S607*(1+Inputs!$B$23/12),""))</f>
        <v>0</v>
      </c>
      <c r="U607" s="6" t="n">
        <f aca="false">IF(A607="","",IF(D607&lt;=Inputs!$B$8,IF(Inputs!$B$22="Premium Offset",MAX(0,Inputs!$B$25-(Q607+T607)),Inputs!$B$25),0))</f>
        <v>0</v>
      </c>
      <c r="V607" s="10" t="n">
        <f aca="false">IF(A607="","",IF(Inputs!$B$22="Cash",Q607,0))</f>
        <v>0</v>
      </c>
      <c r="W607" s="10" t="n">
        <f aca="false">IF(A607="","",IF(Inputs!$B$22="PUA",Q607,0))</f>
        <v>0</v>
      </c>
      <c r="X607" s="12" t="n">
        <f aca="false">IF(A607="","",IFERROR(INDEX(PUA_TABLE!$D$4:$D$105,MATCH(E607,PUA_TABLE!$C$4:$C$105,1)),0))</f>
        <v>0.763190332097798</v>
      </c>
      <c r="Y607" s="10" t="n">
        <f aca="false">IF(A607="","",IF(W607&gt;0,IF(X607&gt;0,W607/X607,0),0))</f>
        <v>0</v>
      </c>
      <c r="Z607" s="10" t="n">
        <f aca="false">IF(A607="","",N607+Y607)</f>
        <v>0</v>
      </c>
      <c r="AA607" s="10" t="n">
        <f aca="false">IF(A607="","",IFERROR(Z607*INDEX(PUA_TABLE!$I$4:$I$105,MATCH(E607,PUA_TABLE!$C$4:$C$105,1))/1000,0))</f>
        <v>0</v>
      </c>
      <c r="AB607" s="10" t="n">
        <f aca="false">IF(A607="","",IFERROR(L607+AA607,0))</f>
        <v>38386.4351437505</v>
      </c>
      <c r="AC607" s="10" t="n">
        <f aca="false">IF(A607="","",IF(Inputs!$B$22="Premium Offset",MIN(Inputs!$B$25,Q607+T607),0))</f>
        <v>0</v>
      </c>
    </row>
    <row r="608" customFormat="false" ht="15" hidden="false" customHeight="false" outlineLevel="0" collapsed="false">
      <c r="A608" s="1" t="n">
        <f aca="false">IF(A607="","",IF(INT((C607+1)/12)+Inputs!$B$7&gt;MAX(MORTALITY!$A:$A),"",Inputs!$B$4))</f>
        <v>34</v>
      </c>
      <c r="B608" s="3" t="n">
        <f aca="false">IF(A608="","",EOMONTH(B607,1))</f>
        <v>40178</v>
      </c>
      <c r="C608" s="1" t="n">
        <f aca="false">IF(A608="","",C607+1)</f>
        <v>606</v>
      </c>
      <c r="D608" s="1" t="n">
        <f aca="false">IF(A608="","",INT(C608/12))</f>
        <v>50</v>
      </c>
      <c r="E608" s="1" t="n">
        <f aca="false">IF(A608="","",D608+Inputs!$B$7)</f>
        <v>66</v>
      </c>
      <c r="F608" s="3" t="n">
        <f aca="false">IF(A608="","",DATE(YEAR(B$2)+D608,MONTH(B$2),DAY(B$2)))</f>
        <v>39969</v>
      </c>
      <c r="G608" s="3" t="n">
        <f aca="false">IF(A608="","",DATE(YEAR(F608)+1,MONTH(F608),DAY(F608)))</f>
        <v>40334</v>
      </c>
      <c r="H608" s="10" t="n">
        <f aca="false">IF(A608="","",IF(G608&gt;F608,(B608-F608)/(G608-F608),0))</f>
        <v>0.572602739726027</v>
      </c>
      <c r="I608" s="10" t="n">
        <f aca="false">IF(A608="","",IFERROR(INDEX(CV_RATES!$I:$I,MATCH(D608,CV_RATES!$C:$C,0)),0))</f>
        <v>763.190332097798</v>
      </c>
      <c r="J608" s="10" t="n">
        <f aca="false">IF(A608="","",IFERROR(IF(E608=MAX(MORTALITY!$A:$A),1000,INDEX(CV_RATES!$J:$J,MATCH(D608,CV_RATES!$C:$C,0))),0))</f>
        <v>772.496541837585</v>
      </c>
      <c r="K608" s="10" t="n">
        <f aca="false">IF(A608="","",IFERROR(I608+H608*(J608-I608),0))</f>
        <v>768.519093291265</v>
      </c>
      <c r="L608" s="10" t="n">
        <f aca="false">IF(A608="","",IFERROR(K608*Inputs!$B$9,0))</f>
        <v>38425.9546645633</v>
      </c>
      <c r="M608" s="10" t="n">
        <f aca="false">IF(A608="","",IFERROR(K608*Inputs!$B$10,0))</f>
        <v>122960.749369323</v>
      </c>
      <c r="N608" s="10" t="n">
        <f aca="false">IF(A608="","",Z607)</f>
        <v>0</v>
      </c>
      <c r="O608" s="6" t="n">
        <f aca="false">IF(A608="","",Inputs!$B$18+N608)</f>
        <v>50000</v>
      </c>
      <c r="P608" s="5" t="n">
        <f aca="false">IF(A608="","",VLOOKUP(D608,DIvidend_Assumption!$A$3:$CX$103,($E$2+2),0)/12)</f>
        <v>0</v>
      </c>
      <c r="Q608" s="10" t="n">
        <f aca="false">IF(A608="","",IFERROR(AB607*P608,""))</f>
        <v>0</v>
      </c>
      <c r="R608" s="10" t="n">
        <f aca="false">IF(A608="","",IFERROR(IF(Inputs!$B$22="Accumulate",T608+Q608,IF(Inputs!$B$22="Premium Offset",MAX(0,T608+Q608-Inputs!$B$25),T608)),""))</f>
        <v>0</v>
      </c>
      <c r="S608" s="10" t="n">
        <f aca="false">IF(A608="","",R607)</f>
        <v>0</v>
      </c>
      <c r="T608" s="10" t="n">
        <f aca="false">IF(A608="","",IFERROR(S608*(1+Inputs!$B$23/12),""))</f>
        <v>0</v>
      </c>
      <c r="U608" s="6" t="n">
        <f aca="false">IF(A608="","",IF(D608&lt;=Inputs!$B$8,IF(Inputs!$B$22="Premium Offset",MAX(0,Inputs!$B$25-(Q608+T608)),Inputs!$B$25),0))</f>
        <v>0</v>
      </c>
      <c r="V608" s="10" t="n">
        <f aca="false">IF(A608="","",IF(Inputs!$B$22="Cash",Q608,0))</f>
        <v>0</v>
      </c>
      <c r="W608" s="10" t="n">
        <f aca="false">IF(A608="","",IF(Inputs!$B$22="PUA",Q608,0))</f>
        <v>0</v>
      </c>
      <c r="X608" s="12" t="n">
        <f aca="false">IF(A608="","",IFERROR(INDEX(PUA_TABLE!$D$4:$D$105,MATCH(E608,PUA_TABLE!$C$4:$C$105,1)),0))</f>
        <v>0.763190332097798</v>
      </c>
      <c r="Y608" s="10" t="n">
        <f aca="false">IF(A608="","",IF(W608&gt;0,IF(X608&gt;0,W608/X608,0),0))</f>
        <v>0</v>
      </c>
      <c r="Z608" s="10" t="n">
        <f aca="false">IF(A608="","",N608+Y608)</f>
        <v>0</v>
      </c>
      <c r="AA608" s="10" t="n">
        <f aca="false">IF(A608="","",IFERROR(Z608*INDEX(PUA_TABLE!$I$4:$I$105,MATCH(E608,PUA_TABLE!$C$4:$C$105,1))/1000,0))</f>
        <v>0</v>
      </c>
      <c r="AB608" s="10" t="n">
        <f aca="false">IF(A608="","",IFERROR(L608+AA608,0))</f>
        <v>38425.9546645633</v>
      </c>
      <c r="AC608" s="10" t="n">
        <f aca="false">IF(A608="","",IF(Inputs!$B$22="Premium Offset",MIN(Inputs!$B$25,Q608+T608),0))</f>
        <v>0</v>
      </c>
    </row>
    <row r="609" customFormat="false" ht="15" hidden="false" customHeight="false" outlineLevel="0" collapsed="false">
      <c r="A609" s="1" t="n">
        <f aca="false">IF(A608="","",IF(INT((C608+1)/12)+Inputs!$B$7&gt;MAX(MORTALITY!$A:$A),"",Inputs!$B$4))</f>
        <v>34</v>
      </c>
      <c r="B609" s="3" t="n">
        <f aca="false">IF(A609="","",EOMONTH(B608,1))</f>
        <v>40209</v>
      </c>
      <c r="C609" s="1" t="n">
        <f aca="false">IF(A609="","",C608+1)</f>
        <v>607</v>
      </c>
      <c r="D609" s="1" t="n">
        <f aca="false">IF(A609="","",INT(C609/12))</f>
        <v>50</v>
      </c>
      <c r="E609" s="1" t="n">
        <f aca="false">IF(A609="","",D609+Inputs!$B$7)</f>
        <v>66</v>
      </c>
      <c r="F609" s="3" t="n">
        <f aca="false">IF(A609="","",DATE(YEAR(B$2)+D609,MONTH(B$2),DAY(B$2)))</f>
        <v>39969</v>
      </c>
      <c r="G609" s="3" t="n">
        <f aca="false">IF(A609="","",DATE(YEAR(F609)+1,MONTH(F609),DAY(F609)))</f>
        <v>40334</v>
      </c>
      <c r="H609" s="10" t="n">
        <f aca="false">IF(A609="","",IF(G609&gt;F609,(B609-F609)/(G609-F609),0))</f>
        <v>0.657534246575342</v>
      </c>
      <c r="I609" s="10" t="n">
        <f aca="false">IF(A609="","",IFERROR(INDEX(CV_RATES!$I:$I,MATCH(D609,CV_RATES!$C:$C,0)),0))</f>
        <v>763.190332097798</v>
      </c>
      <c r="J609" s="10" t="n">
        <f aca="false">IF(A609="","",IFERROR(IF(E609=MAX(MORTALITY!$A:$A),1000,INDEX(CV_RATES!$J:$J,MATCH(D609,CV_RATES!$C:$C,0))),0))</f>
        <v>772.496541837585</v>
      </c>
      <c r="K609" s="10" t="n">
        <f aca="false">IF(A609="","",IFERROR(I609+H609*(J609-I609),0))</f>
        <v>769.309483707521</v>
      </c>
      <c r="L609" s="10" t="n">
        <f aca="false">IF(A609="","",IFERROR(K609*Inputs!$B$9,0))</f>
        <v>38465.4741853761</v>
      </c>
      <c r="M609" s="10" t="n">
        <f aca="false">IF(A609="","",IFERROR(K609*Inputs!$B$10,0))</f>
        <v>123087.209464752</v>
      </c>
      <c r="N609" s="10" t="n">
        <f aca="false">IF(A609="","",Z608)</f>
        <v>0</v>
      </c>
      <c r="O609" s="6" t="n">
        <f aca="false">IF(A609="","",Inputs!$B$18+N609)</f>
        <v>50000</v>
      </c>
      <c r="P609" s="5" t="n">
        <f aca="false">IF(A609="","",VLOOKUP(D609,DIvidend_Assumption!$A$3:$CX$103,($E$2+2),0)/12)</f>
        <v>0</v>
      </c>
      <c r="Q609" s="10" t="n">
        <f aca="false">IF(A609="","",IFERROR(AB608*P609,""))</f>
        <v>0</v>
      </c>
      <c r="R609" s="10" t="n">
        <f aca="false">IF(A609="","",IFERROR(IF(Inputs!$B$22="Accumulate",T609+Q609,IF(Inputs!$B$22="Premium Offset",MAX(0,T609+Q609-Inputs!$B$25),T609)),""))</f>
        <v>0</v>
      </c>
      <c r="S609" s="10" t="n">
        <f aca="false">IF(A609="","",R608)</f>
        <v>0</v>
      </c>
      <c r="T609" s="10" t="n">
        <f aca="false">IF(A609="","",IFERROR(S609*(1+Inputs!$B$23/12),""))</f>
        <v>0</v>
      </c>
      <c r="U609" s="6" t="n">
        <f aca="false">IF(A609="","",IF(D609&lt;=Inputs!$B$8,IF(Inputs!$B$22="Premium Offset",MAX(0,Inputs!$B$25-(Q609+T609)),Inputs!$B$25),0))</f>
        <v>0</v>
      </c>
      <c r="V609" s="10" t="n">
        <f aca="false">IF(A609="","",IF(Inputs!$B$22="Cash",Q609,0))</f>
        <v>0</v>
      </c>
      <c r="W609" s="10" t="n">
        <f aca="false">IF(A609="","",IF(Inputs!$B$22="PUA",Q609,0))</f>
        <v>0</v>
      </c>
      <c r="X609" s="12" t="n">
        <f aca="false">IF(A609="","",IFERROR(INDEX(PUA_TABLE!$D$4:$D$105,MATCH(E609,PUA_TABLE!$C$4:$C$105,1)),0))</f>
        <v>0.763190332097798</v>
      </c>
      <c r="Y609" s="10" t="n">
        <f aca="false">IF(A609="","",IF(W609&gt;0,IF(X609&gt;0,W609/X609,0),0))</f>
        <v>0</v>
      </c>
      <c r="Z609" s="10" t="n">
        <f aca="false">IF(A609="","",N609+Y609)</f>
        <v>0</v>
      </c>
      <c r="AA609" s="10" t="n">
        <f aca="false">IF(A609="","",IFERROR(Z609*INDEX(PUA_TABLE!$I$4:$I$105,MATCH(E609,PUA_TABLE!$C$4:$C$105,1))/1000,0))</f>
        <v>0</v>
      </c>
      <c r="AB609" s="10" t="n">
        <f aca="false">IF(A609="","",IFERROR(L609+AA609,0))</f>
        <v>38465.4741853761</v>
      </c>
      <c r="AC609" s="10" t="n">
        <f aca="false">IF(A609="","",IF(Inputs!$B$22="Premium Offset",MIN(Inputs!$B$25,Q609+T609),0))</f>
        <v>0</v>
      </c>
    </row>
    <row r="610" customFormat="false" ht="15" hidden="false" customHeight="false" outlineLevel="0" collapsed="false">
      <c r="A610" s="1" t="n">
        <f aca="false">IF(A609="","",IF(INT((C609+1)/12)+Inputs!$B$7&gt;MAX(MORTALITY!$A:$A),"",Inputs!$B$4))</f>
        <v>34</v>
      </c>
      <c r="B610" s="3" t="n">
        <f aca="false">IF(A610="","",EOMONTH(B609,1))</f>
        <v>40237</v>
      </c>
      <c r="C610" s="1" t="n">
        <f aca="false">IF(A610="","",C609+1)</f>
        <v>608</v>
      </c>
      <c r="D610" s="1" t="n">
        <f aca="false">IF(A610="","",INT(C610/12))</f>
        <v>50</v>
      </c>
      <c r="E610" s="1" t="n">
        <f aca="false">IF(A610="","",D610+Inputs!$B$7)</f>
        <v>66</v>
      </c>
      <c r="F610" s="3" t="n">
        <f aca="false">IF(A610="","",DATE(YEAR(B$2)+D610,MONTH(B$2),DAY(B$2)))</f>
        <v>39969</v>
      </c>
      <c r="G610" s="3" t="n">
        <f aca="false">IF(A610="","",DATE(YEAR(F610)+1,MONTH(F610),DAY(F610)))</f>
        <v>40334</v>
      </c>
      <c r="H610" s="10" t="n">
        <f aca="false">IF(A610="","",IF(G610&gt;F610,(B610-F610)/(G610-F610),0))</f>
        <v>0.734246575342466</v>
      </c>
      <c r="I610" s="10" t="n">
        <f aca="false">IF(A610="","",IFERROR(INDEX(CV_RATES!$I:$I,MATCH(D610,CV_RATES!$C:$C,0)),0))</f>
        <v>763.190332097798</v>
      </c>
      <c r="J610" s="10" t="n">
        <f aca="false">IF(A610="","",IFERROR(IF(E610=MAX(MORTALITY!$A:$A),1000,INDEX(CV_RATES!$J:$J,MATCH(D610,CV_RATES!$C:$C,0))),0))</f>
        <v>772.496541837585</v>
      </c>
      <c r="K610" s="10" t="n">
        <f aca="false">IF(A610="","",IFERROR(I610+H610*(J610-I610),0))</f>
        <v>770.023384728655</v>
      </c>
      <c r="L610" s="10" t="n">
        <f aca="false">IF(A610="","",IFERROR(K610*Inputs!$B$9,0))</f>
        <v>38501.1692364328</v>
      </c>
      <c r="M610" s="10" t="n">
        <f aca="false">IF(A610="","",IFERROR(K610*Inputs!$B$10,0))</f>
        <v>123201.431486431</v>
      </c>
      <c r="N610" s="10" t="n">
        <f aca="false">IF(A610="","",Z609)</f>
        <v>0</v>
      </c>
      <c r="O610" s="6" t="n">
        <f aca="false">IF(A610="","",Inputs!$B$18+N610)</f>
        <v>50000</v>
      </c>
      <c r="P610" s="5" t="n">
        <f aca="false">IF(A610="","",VLOOKUP(D610,DIvidend_Assumption!$A$3:$CX$103,($E$2+2),0)/12)</f>
        <v>0</v>
      </c>
      <c r="Q610" s="10" t="n">
        <f aca="false">IF(A610="","",IFERROR(AB609*P610,""))</f>
        <v>0</v>
      </c>
      <c r="R610" s="10" t="n">
        <f aca="false">IF(A610="","",IFERROR(IF(Inputs!$B$22="Accumulate",T610+Q610,IF(Inputs!$B$22="Premium Offset",MAX(0,T610+Q610-Inputs!$B$25),T610)),""))</f>
        <v>0</v>
      </c>
      <c r="S610" s="10" t="n">
        <f aca="false">IF(A610="","",R609)</f>
        <v>0</v>
      </c>
      <c r="T610" s="10" t="n">
        <f aca="false">IF(A610="","",IFERROR(S610*(1+Inputs!$B$23/12),""))</f>
        <v>0</v>
      </c>
      <c r="U610" s="6" t="n">
        <f aca="false">IF(A610="","",IF(D610&lt;=Inputs!$B$8,IF(Inputs!$B$22="Premium Offset",MAX(0,Inputs!$B$25-(Q610+T610)),Inputs!$B$25),0))</f>
        <v>0</v>
      </c>
      <c r="V610" s="10" t="n">
        <f aca="false">IF(A610="","",IF(Inputs!$B$22="Cash",Q610,0))</f>
        <v>0</v>
      </c>
      <c r="W610" s="10" t="n">
        <f aca="false">IF(A610="","",IF(Inputs!$B$22="PUA",Q610,0))</f>
        <v>0</v>
      </c>
      <c r="X610" s="12" t="n">
        <f aca="false">IF(A610="","",IFERROR(INDEX(PUA_TABLE!$D$4:$D$105,MATCH(E610,PUA_TABLE!$C$4:$C$105,1)),0))</f>
        <v>0.763190332097798</v>
      </c>
      <c r="Y610" s="10" t="n">
        <f aca="false">IF(A610="","",IF(W610&gt;0,IF(X610&gt;0,W610/X610,0),0))</f>
        <v>0</v>
      </c>
      <c r="Z610" s="10" t="n">
        <f aca="false">IF(A610="","",N610+Y610)</f>
        <v>0</v>
      </c>
      <c r="AA610" s="10" t="n">
        <f aca="false">IF(A610="","",IFERROR(Z610*INDEX(PUA_TABLE!$I$4:$I$105,MATCH(E610,PUA_TABLE!$C$4:$C$105,1))/1000,0))</f>
        <v>0</v>
      </c>
      <c r="AB610" s="10" t="n">
        <f aca="false">IF(A610="","",IFERROR(L610+AA610,0))</f>
        <v>38501.1692364328</v>
      </c>
      <c r="AC610" s="10" t="n">
        <f aca="false">IF(A610="","",IF(Inputs!$B$22="Premium Offset",MIN(Inputs!$B$25,Q610+T610),0))</f>
        <v>0</v>
      </c>
    </row>
    <row r="611" customFormat="false" ht="15" hidden="false" customHeight="false" outlineLevel="0" collapsed="false">
      <c r="A611" s="1" t="n">
        <f aca="false">IF(A610="","",IF(INT((C610+1)/12)+Inputs!$B$7&gt;MAX(MORTALITY!$A:$A),"",Inputs!$B$4))</f>
        <v>34</v>
      </c>
      <c r="B611" s="3" t="n">
        <f aca="false">IF(A611="","",EOMONTH(B610,1))</f>
        <v>40268</v>
      </c>
      <c r="C611" s="1" t="n">
        <f aca="false">IF(A611="","",C610+1)</f>
        <v>609</v>
      </c>
      <c r="D611" s="1" t="n">
        <f aca="false">IF(A611="","",INT(C611/12))</f>
        <v>50</v>
      </c>
      <c r="E611" s="1" t="n">
        <f aca="false">IF(A611="","",D611+Inputs!$B$7)</f>
        <v>66</v>
      </c>
      <c r="F611" s="3" t="n">
        <f aca="false">IF(A611="","",DATE(YEAR(B$2)+D611,MONTH(B$2),DAY(B$2)))</f>
        <v>39969</v>
      </c>
      <c r="G611" s="3" t="n">
        <f aca="false">IF(A611="","",DATE(YEAR(F611)+1,MONTH(F611),DAY(F611)))</f>
        <v>40334</v>
      </c>
      <c r="H611" s="10" t="n">
        <f aca="false">IF(A611="","",IF(G611&gt;F611,(B611-F611)/(G611-F611),0))</f>
        <v>0.819178082191781</v>
      </c>
      <c r="I611" s="10" t="n">
        <f aca="false">IF(A611="","",IFERROR(INDEX(CV_RATES!$I:$I,MATCH(D611,CV_RATES!$C:$C,0)),0))</f>
        <v>763.190332097798</v>
      </c>
      <c r="J611" s="10" t="n">
        <f aca="false">IF(A611="","",IFERROR(IF(E611=MAX(MORTALITY!$A:$A),1000,INDEX(CV_RATES!$J:$J,MATCH(D611,CV_RATES!$C:$C,0))),0))</f>
        <v>772.496541837585</v>
      </c>
      <c r="K611" s="10" t="n">
        <f aca="false">IF(A611="","",IFERROR(I611+H611*(J611-I611),0))</f>
        <v>770.813775144911</v>
      </c>
      <c r="L611" s="10" t="n">
        <f aca="false">IF(A611="","",IFERROR(K611*Inputs!$B$9,0))</f>
        <v>38540.6887572456</v>
      </c>
      <c r="M611" s="10" t="n">
        <f aca="false">IF(A611="","",IFERROR(K611*Inputs!$B$10,0))</f>
        <v>123327.89158186</v>
      </c>
      <c r="N611" s="10" t="n">
        <f aca="false">IF(A611="","",Z610)</f>
        <v>0</v>
      </c>
      <c r="O611" s="6" t="n">
        <f aca="false">IF(A611="","",Inputs!$B$18+N611)</f>
        <v>50000</v>
      </c>
      <c r="P611" s="5" t="n">
        <f aca="false">IF(A611="","",VLOOKUP(D611,DIvidend_Assumption!$A$3:$CX$103,($E$2+2),0)/12)</f>
        <v>0</v>
      </c>
      <c r="Q611" s="10" t="n">
        <f aca="false">IF(A611="","",IFERROR(AB610*P611,""))</f>
        <v>0</v>
      </c>
      <c r="R611" s="10" t="n">
        <f aca="false">IF(A611="","",IFERROR(IF(Inputs!$B$22="Accumulate",T611+Q611,IF(Inputs!$B$22="Premium Offset",MAX(0,T611+Q611-Inputs!$B$25),T611)),""))</f>
        <v>0</v>
      </c>
      <c r="S611" s="10" t="n">
        <f aca="false">IF(A611="","",R610)</f>
        <v>0</v>
      </c>
      <c r="T611" s="10" t="n">
        <f aca="false">IF(A611="","",IFERROR(S611*(1+Inputs!$B$23/12),""))</f>
        <v>0</v>
      </c>
      <c r="U611" s="6" t="n">
        <f aca="false">IF(A611="","",IF(D611&lt;=Inputs!$B$8,IF(Inputs!$B$22="Premium Offset",MAX(0,Inputs!$B$25-(Q611+T611)),Inputs!$B$25),0))</f>
        <v>0</v>
      </c>
      <c r="V611" s="10" t="n">
        <f aca="false">IF(A611="","",IF(Inputs!$B$22="Cash",Q611,0))</f>
        <v>0</v>
      </c>
      <c r="W611" s="10" t="n">
        <f aca="false">IF(A611="","",IF(Inputs!$B$22="PUA",Q611,0))</f>
        <v>0</v>
      </c>
      <c r="X611" s="12" t="n">
        <f aca="false">IF(A611="","",IFERROR(INDEX(PUA_TABLE!$D$4:$D$105,MATCH(E611,PUA_TABLE!$C$4:$C$105,1)),0))</f>
        <v>0.763190332097798</v>
      </c>
      <c r="Y611" s="10" t="n">
        <f aca="false">IF(A611="","",IF(W611&gt;0,IF(X611&gt;0,W611/X611,0),0))</f>
        <v>0</v>
      </c>
      <c r="Z611" s="10" t="n">
        <f aca="false">IF(A611="","",N611+Y611)</f>
        <v>0</v>
      </c>
      <c r="AA611" s="10" t="n">
        <f aca="false">IF(A611="","",IFERROR(Z611*INDEX(PUA_TABLE!$I$4:$I$105,MATCH(E611,PUA_TABLE!$C$4:$C$105,1))/1000,0))</f>
        <v>0</v>
      </c>
      <c r="AB611" s="10" t="n">
        <f aca="false">IF(A611="","",IFERROR(L611+AA611,0))</f>
        <v>38540.6887572456</v>
      </c>
      <c r="AC611" s="10" t="n">
        <f aca="false">IF(A611="","",IF(Inputs!$B$22="Premium Offset",MIN(Inputs!$B$25,Q611+T611),0))</f>
        <v>0</v>
      </c>
    </row>
    <row r="612" customFormat="false" ht="15" hidden="false" customHeight="false" outlineLevel="0" collapsed="false">
      <c r="A612" s="1" t="n">
        <f aca="false">IF(A611="","",IF(INT((C611+1)/12)+Inputs!$B$7&gt;MAX(MORTALITY!$A:$A),"",Inputs!$B$4))</f>
        <v>34</v>
      </c>
      <c r="B612" s="3" t="n">
        <f aca="false">IF(A612="","",EOMONTH(B611,1))</f>
        <v>40298</v>
      </c>
      <c r="C612" s="1" t="n">
        <f aca="false">IF(A612="","",C611+1)</f>
        <v>610</v>
      </c>
      <c r="D612" s="1" t="n">
        <f aca="false">IF(A612="","",INT(C612/12))</f>
        <v>50</v>
      </c>
      <c r="E612" s="1" t="n">
        <f aca="false">IF(A612="","",D612+Inputs!$B$7)</f>
        <v>66</v>
      </c>
      <c r="F612" s="3" t="n">
        <f aca="false">IF(A612="","",DATE(YEAR(B$2)+D612,MONTH(B$2),DAY(B$2)))</f>
        <v>39969</v>
      </c>
      <c r="G612" s="3" t="n">
        <f aca="false">IF(A612="","",DATE(YEAR(F612)+1,MONTH(F612),DAY(F612)))</f>
        <v>40334</v>
      </c>
      <c r="H612" s="10" t="n">
        <f aca="false">IF(A612="","",IF(G612&gt;F612,(B612-F612)/(G612-F612),0))</f>
        <v>0.901369863013699</v>
      </c>
      <c r="I612" s="10" t="n">
        <f aca="false">IF(A612="","",IFERROR(INDEX(CV_RATES!$I:$I,MATCH(D612,CV_RATES!$C:$C,0)),0))</f>
        <v>763.190332097798</v>
      </c>
      <c r="J612" s="10" t="n">
        <f aca="false">IF(A612="","",IFERROR(IF(E612=MAX(MORTALITY!$A:$A),1000,INDEX(CV_RATES!$J:$J,MATCH(D612,CV_RATES!$C:$C,0))),0))</f>
        <v>772.496541837585</v>
      </c>
      <c r="K612" s="10" t="n">
        <f aca="false">IF(A612="","",IFERROR(I612+H612*(J612-I612),0))</f>
        <v>771.578669096127</v>
      </c>
      <c r="L612" s="10" t="n">
        <f aca="false">IF(A612="","",IFERROR(K612*Inputs!$B$9,0))</f>
        <v>38578.9334548063</v>
      </c>
      <c r="M612" s="10" t="n">
        <f aca="false">IF(A612="","",IFERROR(K612*Inputs!$B$10,0))</f>
        <v>123450.272319373</v>
      </c>
      <c r="N612" s="10" t="n">
        <f aca="false">IF(A612="","",Z611)</f>
        <v>0</v>
      </c>
      <c r="O612" s="6" t="n">
        <f aca="false">IF(A612="","",Inputs!$B$18+N612)</f>
        <v>50000</v>
      </c>
      <c r="P612" s="5" t="n">
        <f aca="false">IF(A612="","",VLOOKUP(D612,DIvidend_Assumption!$A$3:$CX$103,($E$2+2),0)/12)</f>
        <v>0</v>
      </c>
      <c r="Q612" s="10" t="n">
        <f aca="false">IF(A612="","",IFERROR(AB611*P612,""))</f>
        <v>0</v>
      </c>
      <c r="R612" s="10" t="n">
        <f aca="false">IF(A612="","",IFERROR(IF(Inputs!$B$22="Accumulate",T612+Q612,IF(Inputs!$B$22="Premium Offset",MAX(0,T612+Q612-Inputs!$B$25),T612)),""))</f>
        <v>0</v>
      </c>
      <c r="S612" s="10" t="n">
        <f aca="false">IF(A612="","",R611)</f>
        <v>0</v>
      </c>
      <c r="T612" s="10" t="n">
        <f aca="false">IF(A612="","",IFERROR(S612*(1+Inputs!$B$23/12),""))</f>
        <v>0</v>
      </c>
      <c r="U612" s="6" t="n">
        <f aca="false">IF(A612="","",IF(D612&lt;=Inputs!$B$8,IF(Inputs!$B$22="Premium Offset",MAX(0,Inputs!$B$25-(Q612+T612)),Inputs!$B$25),0))</f>
        <v>0</v>
      </c>
      <c r="V612" s="10" t="n">
        <f aca="false">IF(A612="","",IF(Inputs!$B$22="Cash",Q612,0))</f>
        <v>0</v>
      </c>
      <c r="W612" s="10" t="n">
        <f aca="false">IF(A612="","",IF(Inputs!$B$22="PUA",Q612,0))</f>
        <v>0</v>
      </c>
      <c r="X612" s="12" t="n">
        <f aca="false">IF(A612="","",IFERROR(INDEX(PUA_TABLE!$D$4:$D$105,MATCH(E612,PUA_TABLE!$C$4:$C$105,1)),0))</f>
        <v>0.763190332097798</v>
      </c>
      <c r="Y612" s="10" t="n">
        <f aca="false">IF(A612="","",IF(W612&gt;0,IF(X612&gt;0,W612/X612,0),0))</f>
        <v>0</v>
      </c>
      <c r="Z612" s="10" t="n">
        <f aca="false">IF(A612="","",N612+Y612)</f>
        <v>0</v>
      </c>
      <c r="AA612" s="10" t="n">
        <f aca="false">IF(A612="","",IFERROR(Z612*INDEX(PUA_TABLE!$I$4:$I$105,MATCH(E612,PUA_TABLE!$C$4:$C$105,1))/1000,0))</f>
        <v>0</v>
      </c>
      <c r="AB612" s="10" t="n">
        <f aca="false">IF(A612="","",IFERROR(L612+AA612,0))</f>
        <v>38578.9334548063</v>
      </c>
      <c r="AC612" s="10" t="n">
        <f aca="false">IF(A612="","",IF(Inputs!$B$22="Premium Offset",MIN(Inputs!$B$25,Q612+T612),0))</f>
        <v>0</v>
      </c>
    </row>
    <row r="613" customFormat="false" ht="15" hidden="false" customHeight="false" outlineLevel="0" collapsed="false">
      <c r="A613" s="1" t="n">
        <f aca="false">IF(A612="","",IF(INT((C612+1)/12)+Inputs!$B$7&gt;MAX(MORTALITY!$A:$A),"",Inputs!$B$4))</f>
        <v>34</v>
      </c>
      <c r="B613" s="3" t="n">
        <f aca="false">IF(A613="","",EOMONTH(B612,1))</f>
        <v>40329</v>
      </c>
      <c r="C613" s="1" t="n">
        <f aca="false">IF(A613="","",C612+1)</f>
        <v>611</v>
      </c>
      <c r="D613" s="1" t="n">
        <f aca="false">IF(A613="","",INT(C613/12))</f>
        <v>50</v>
      </c>
      <c r="E613" s="1" t="n">
        <f aca="false">IF(A613="","",D613+Inputs!$B$7)</f>
        <v>66</v>
      </c>
      <c r="F613" s="3" t="n">
        <f aca="false">IF(A613="","",DATE(YEAR(B$2)+D613,MONTH(B$2),DAY(B$2)))</f>
        <v>39969</v>
      </c>
      <c r="G613" s="3" t="n">
        <f aca="false">IF(A613="","",DATE(YEAR(F613)+1,MONTH(F613),DAY(F613)))</f>
        <v>40334</v>
      </c>
      <c r="H613" s="10" t="n">
        <f aca="false">IF(A613="","",IF(G613&gt;F613,(B613-F613)/(G613-F613),0))</f>
        <v>0.986301369863014</v>
      </c>
      <c r="I613" s="10" t="n">
        <f aca="false">IF(A613="","",IFERROR(INDEX(CV_RATES!$I:$I,MATCH(D613,CV_RATES!$C:$C,0)),0))</f>
        <v>763.190332097798</v>
      </c>
      <c r="J613" s="10" t="n">
        <f aca="false">IF(A613="","",IFERROR(IF(E613=MAX(MORTALITY!$A:$A),1000,INDEX(CV_RATES!$J:$J,MATCH(D613,CV_RATES!$C:$C,0))),0))</f>
        <v>772.496541837585</v>
      </c>
      <c r="K613" s="10" t="n">
        <f aca="false">IF(A613="","",IFERROR(I613+H613*(J613-I613),0))</f>
        <v>772.369059512383</v>
      </c>
      <c r="L613" s="10" t="n">
        <f aca="false">IF(A613="","",IFERROR(K613*Inputs!$B$9,0))</f>
        <v>38618.4529756191</v>
      </c>
      <c r="M613" s="10" t="n">
        <f aca="false">IF(A613="","",IFERROR(K613*Inputs!$B$10,0))</f>
        <v>123576.732414803</v>
      </c>
      <c r="N613" s="10" t="n">
        <f aca="false">IF(A613="","",Z612)</f>
        <v>0</v>
      </c>
      <c r="O613" s="6" t="n">
        <f aca="false">IF(A613="","",Inputs!$B$18+N613)</f>
        <v>50000</v>
      </c>
      <c r="P613" s="5" t="n">
        <f aca="false">IF(A613="","",VLOOKUP(D613,DIvidend_Assumption!$A$3:$CX$103,($E$2+2),0)/12)</f>
        <v>0</v>
      </c>
      <c r="Q613" s="10" t="n">
        <f aca="false">IF(A613="","",IFERROR(AB612*P613,""))</f>
        <v>0</v>
      </c>
      <c r="R613" s="10" t="n">
        <f aca="false">IF(A613="","",IFERROR(IF(Inputs!$B$22="Accumulate",T613+Q613,IF(Inputs!$B$22="Premium Offset",MAX(0,T613+Q613-Inputs!$B$25),T613)),""))</f>
        <v>0</v>
      </c>
      <c r="S613" s="10" t="n">
        <f aca="false">IF(A613="","",R612)</f>
        <v>0</v>
      </c>
      <c r="T613" s="10" t="n">
        <f aca="false">IF(A613="","",IFERROR(S613*(1+Inputs!$B$23/12),""))</f>
        <v>0</v>
      </c>
      <c r="U613" s="6" t="n">
        <f aca="false">IF(A613="","",IF(D613&lt;=Inputs!$B$8,IF(Inputs!$B$22="Premium Offset",MAX(0,Inputs!$B$25-(Q613+T613)),Inputs!$B$25),0))</f>
        <v>0</v>
      </c>
      <c r="V613" s="10" t="n">
        <f aca="false">IF(A613="","",IF(Inputs!$B$22="Cash",Q613,0))</f>
        <v>0</v>
      </c>
      <c r="W613" s="10" t="n">
        <f aca="false">IF(A613="","",IF(Inputs!$B$22="PUA",Q613,0))</f>
        <v>0</v>
      </c>
      <c r="X613" s="12" t="n">
        <f aca="false">IF(A613="","",IFERROR(INDEX(PUA_TABLE!$D$4:$D$105,MATCH(E613,PUA_TABLE!$C$4:$C$105,1)),0))</f>
        <v>0.763190332097798</v>
      </c>
      <c r="Y613" s="10" t="n">
        <f aca="false">IF(A613="","",IF(W613&gt;0,IF(X613&gt;0,W613/X613,0),0))</f>
        <v>0</v>
      </c>
      <c r="Z613" s="10" t="n">
        <f aca="false">IF(A613="","",N613+Y613)</f>
        <v>0</v>
      </c>
      <c r="AA613" s="10" t="n">
        <f aca="false">IF(A613="","",IFERROR(Z613*INDEX(PUA_TABLE!$I$4:$I$105,MATCH(E613,PUA_TABLE!$C$4:$C$105,1))/1000,0))</f>
        <v>0</v>
      </c>
      <c r="AB613" s="10" t="n">
        <f aca="false">IF(A613="","",IFERROR(L613+AA613,0))</f>
        <v>38618.4529756191</v>
      </c>
      <c r="AC613" s="10" t="n">
        <f aca="false">IF(A613="","",IF(Inputs!$B$22="Premium Offset",MIN(Inputs!$B$25,Q613+T613),0))</f>
        <v>0</v>
      </c>
    </row>
    <row r="614" customFormat="false" ht="15" hidden="false" customHeight="false" outlineLevel="0" collapsed="false">
      <c r="A614" s="1" t="n">
        <f aca="false">IF(A613="","",IF(INT((C613+1)/12)+Inputs!$B$7&gt;MAX(MORTALITY!$A:$A),"",Inputs!$B$4))</f>
        <v>34</v>
      </c>
      <c r="B614" s="3" t="n">
        <f aca="false">IF(A614="","",EOMONTH(B613,1))</f>
        <v>40359</v>
      </c>
      <c r="C614" s="1" t="n">
        <f aca="false">IF(A614="","",C613+1)</f>
        <v>612</v>
      </c>
      <c r="D614" s="1" t="n">
        <f aca="false">IF(A614="","",INT(C614/12))</f>
        <v>51</v>
      </c>
      <c r="E614" s="1" t="n">
        <f aca="false">IF(A614="","",D614+Inputs!$B$7)</f>
        <v>67</v>
      </c>
      <c r="F614" s="3" t="n">
        <f aca="false">IF(A614="","",DATE(YEAR(B$2)+D614,MONTH(B$2),DAY(B$2)))</f>
        <v>40334</v>
      </c>
      <c r="G614" s="3" t="n">
        <f aca="false">IF(A614="","",DATE(YEAR(F614)+1,MONTH(F614),DAY(F614)))</f>
        <v>40699</v>
      </c>
      <c r="H614" s="10" t="n">
        <f aca="false">IF(A614="","",IF(G614&gt;F614,(B614-F614)/(G614-F614),0))</f>
        <v>0.0684931506849315</v>
      </c>
      <c r="I614" s="10" t="n">
        <f aca="false">IF(A614="","",IFERROR(INDEX(CV_RATES!$I:$I,MATCH(D614,CV_RATES!$C:$C,0)),0))</f>
        <v>772.496541837585</v>
      </c>
      <c r="J614" s="10" t="n">
        <f aca="false">IF(A614="","",IFERROR(IF(E614=MAX(MORTALITY!$A:$A),1000,INDEX(CV_RATES!$J:$J,MATCH(D614,CV_RATES!$C:$C,0))),0))</f>
        <v>781.642217007389</v>
      </c>
      <c r="K614" s="10" t="n">
        <f aca="false">IF(A614="","",IFERROR(I614+H614*(J614-I614),0))</f>
        <v>773.122957945106</v>
      </c>
      <c r="L614" s="10" t="n">
        <f aca="false">IF(A614="","",IFERROR(K614*Inputs!$B$9,0))</f>
        <v>38656.1478972553</v>
      </c>
      <c r="M614" s="10" t="n">
        <f aca="false">IF(A614="","",IFERROR(K614*Inputs!$B$10,0))</f>
        <v>123697.353902343</v>
      </c>
      <c r="N614" s="10" t="n">
        <f aca="false">IF(A614="","",Z613)</f>
        <v>0</v>
      </c>
      <c r="O614" s="6" t="n">
        <f aca="false">IF(A614="","",Inputs!$B$18+N614)</f>
        <v>50000</v>
      </c>
      <c r="P614" s="5" t="n">
        <f aca="false">IF(A614="","",VLOOKUP(D614,DIvidend_Assumption!$A$3:$CX$103,($E$2+2),0)/12)</f>
        <v>0</v>
      </c>
      <c r="Q614" s="10" t="n">
        <f aca="false">IF(A614="","",IFERROR(AB613*P614,""))</f>
        <v>0</v>
      </c>
      <c r="R614" s="10" t="n">
        <f aca="false">IF(A614="","",IFERROR(IF(Inputs!$B$22="Accumulate",T614+Q614,IF(Inputs!$B$22="Premium Offset",MAX(0,T614+Q614-Inputs!$B$25),T614)),""))</f>
        <v>0</v>
      </c>
      <c r="S614" s="10" t="n">
        <f aca="false">IF(A614="","",R613)</f>
        <v>0</v>
      </c>
      <c r="T614" s="10" t="n">
        <f aca="false">IF(A614="","",IFERROR(S614*(1+Inputs!$B$23/12),""))</f>
        <v>0</v>
      </c>
      <c r="U614" s="6" t="n">
        <f aca="false">IF(A614="","",IF(D614&lt;=Inputs!$B$8,IF(Inputs!$B$22="Premium Offset",MAX(0,Inputs!$B$25-(Q614+T614)),Inputs!$B$25),0))</f>
        <v>0</v>
      </c>
      <c r="V614" s="10" t="n">
        <f aca="false">IF(A614="","",IF(Inputs!$B$22="Cash",Q614,0))</f>
        <v>0</v>
      </c>
      <c r="W614" s="10" t="n">
        <f aca="false">IF(A614="","",IF(Inputs!$B$22="PUA",Q614,0))</f>
        <v>0</v>
      </c>
      <c r="X614" s="12" t="n">
        <f aca="false">IF(A614="","",IFERROR(INDEX(PUA_TABLE!$D$4:$D$105,MATCH(E614,PUA_TABLE!$C$4:$C$105,1)),0))</f>
        <v>0.772496541837585</v>
      </c>
      <c r="Y614" s="10" t="n">
        <f aca="false">IF(A614="","",IF(W614&gt;0,IF(X614&gt;0,W614/X614,0),0))</f>
        <v>0</v>
      </c>
      <c r="Z614" s="10" t="n">
        <f aca="false">IF(A614="","",N614+Y614)</f>
        <v>0</v>
      </c>
      <c r="AA614" s="10" t="n">
        <f aca="false">IF(A614="","",IFERROR(Z614*INDEX(PUA_TABLE!$I$4:$I$105,MATCH(E614,PUA_TABLE!$C$4:$C$105,1))/1000,0))</f>
        <v>0</v>
      </c>
      <c r="AB614" s="10" t="n">
        <f aca="false">IF(A614="","",IFERROR(L614+AA614,0))</f>
        <v>38656.1478972553</v>
      </c>
      <c r="AC614" s="10" t="n">
        <f aca="false">IF(A614="","",IF(Inputs!$B$22="Premium Offset",MIN(Inputs!$B$25,Q614+T614),0))</f>
        <v>0</v>
      </c>
    </row>
    <row r="615" customFormat="false" ht="15" hidden="false" customHeight="false" outlineLevel="0" collapsed="false">
      <c r="A615" s="1" t="n">
        <f aca="false">IF(A614="","",IF(INT((C614+1)/12)+Inputs!$B$7&gt;MAX(MORTALITY!$A:$A),"",Inputs!$B$4))</f>
        <v>34</v>
      </c>
      <c r="B615" s="3" t="n">
        <f aca="false">IF(A615="","",EOMONTH(B614,1))</f>
        <v>40390</v>
      </c>
      <c r="C615" s="1" t="n">
        <f aca="false">IF(A615="","",C614+1)</f>
        <v>613</v>
      </c>
      <c r="D615" s="1" t="n">
        <f aca="false">IF(A615="","",INT(C615/12))</f>
        <v>51</v>
      </c>
      <c r="E615" s="1" t="n">
        <f aca="false">IF(A615="","",D615+Inputs!$B$7)</f>
        <v>67</v>
      </c>
      <c r="F615" s="3" t="n">
        <f aca="false">IF(A615="","",DATE(YEAR(B$2)+D615,MONTH(B$2),DAY(B$2)))</f>
        <v>40334</v>
      </c>
      <c r="G615" s="3" t="n">
        <f aca="false">IF(A615="","",DATE(YEAR(F615)+1,MONTH(F615),DAY(F615)))</f>
        <v>40699</v>
      </c>
      <c r="H615" s="10" t="n">
        <f aca="false">IF(A615="","",IF(G615&gt;F615,(B615-F615)/(G615-F615),0))</f>
        <v>0.153424657534247</v>
      </c>
      <c r="I615" s="10" t="n">
        <f aca="false">IF(A615="","",IFERROR(INDEX(CV_RATES!$I:$I,MATCH(D615,CV_RATES!$C:$C,0)),0))</f>
        <v>772.496541837585</v>
      </c>
      <c r="J615" s="10" t="n">
        <f aca="false">IF(A615="","",IFERROR(IF(E615=MAX(MORTALITY!$A:$A),1000,INDEX(CV_RATES!$J:$J,MATCH(D615,CV_RATES!$C:$C,0))),0))</f>
        <v>781.642217007389</v>
      </c>
      <c r="K615" s="10" t="n">
        <f aca="false">IF(A615="","",IFERROR(I615+H615*(J615-I615),0))</f>
        <v>773.899713918432</v>
      </c>
      <c r="L615" s="10" t="n">
        <f aca="false">IF(A615="","",IFERROR(K615*Inputs!$B$9,0))</f>
        <v>38694.9856959216</v>
      </c>
      <c r="M615" s="10" t="n">
        <f aca="false">IF(A615="","",IFERROR(K615*Inputs!$B$10,0))</f>
        <v>123821.632527807</v>
      </c>
      <c r="N615" s="10" t="n">
        <f aca="false">IF(A615="","",Z614)</f>
        <v>0</v>
      </c>
      <c r="O615" s="6" t="n">
        <f aca="false">IF(A615="","",Inputs!$B$18+N615)</f>
        <v>50000</v>
      </c>
      <c r="P615" s="5" t="n">
        <f aca="false">IF(A615="","",VLOOKUP(D615,DIvidend_Assumption!$A$3:$CX$103,($E$2+2),0)/12)</f>
        <v>0</v>
      </c>
      <c r="Q615" s="10" t="n">
        <f aca="false">IF(A615="","",IFERROR(AB614*P615,""))</f>
        <v>0</v>
      </c>
      <c r="R615" s="10" t="n">
        <f aca="false">IF(A615="","",IFERROR(IF(Inputs!$B$22="Accumulate",T615+Q615,IF(Inputs!$B$22="Premium Offset",MAX(0,T615+Q615-Inputs!$B$25),T615)),""))</f>
        <v>0</v>
      </c>
      <c r="S615" s="10" t="n">
        <f aca="false">IF(A615="","",R614)</f>
        <v>0</v>
      </c>
      <c r="T615" s="10" t="n">
        <f aca="false">IF(A615="","",IFERROR(S615*(1+Inputs!$B$23/12),""))</f>
        <v>0</v>
      </c>
      <c r="U615" s="6" t="n">
        <f aca="false">IF(A615="","",IF(D615&lt;=Inputs!$B$8,IF(Inputs!$B$22="Premium Offset",MAX(0,Inputs!$B$25-(Q615+T615)),Inputs!$B$25),0))</f>
        <v>0</v>
      </c>
      <c r="V615" s="10" t="n">
        <f aca="false">IF(A615="","",IF(Inputs!$B$22="Cash",Q615,0))</f>
        <v>0</v>
      </c>
      <c r="W615" s="10" t="n">
        <f aca="false">IF(A615="","",IF(Inputs!$B$22="PUA",Q615,0))</f>
        <v>0</v>
      </c>
      <c r="X615" s="12" t="n">
        <f aca="false">IF(A615="","",IFERROR(INDEX(PUA_TABLE!$D$4:$D$105,MATCH(E615,PUA_TABLE!$C$4:$C$105,1)),0))</f>
        <v>0.772496541837585</v>
      </c>
      <c r="Y615" s="10" t="n">
        <f aca="false">IF(A615="","",IF(W615&gt;0,IF(X615&gt;0,W615/X615,0),0))</f>
        <v>0</v>
      </c>
      <c r="Z615" s="10" t="n">
        <f aca="false">IF(A615="","",N615+Y615)</f>
        <v>0</v>
      </c>
      <c r="AA615" s="10" t="n">
        <f aca="false">IF(A615="","",IFERROR(Z615*INDEX(PUA_TABLE!$I$4:$I$105,MATCH(E615,PUA_TABLE!$C$4:$C$105,1))/1000,0))</f>
        <v>0</v>
      </c>
      <c r="AB615" s="10" t="n">
        <f aca="false">IF(A615="","",IFERROR(L615+AA615,0))</f>
        <v>38694.9856959216</v>
      </c>
      <c r="AC615" s="10" t="n">
        <f aca="false">IF(A615="","",IF(Inputs!$B$22="Premium Offset",MIN(Inputs!$B$25,Q615+T615),0))</f>
        <v>0</v>
      </c>
    </row>
    <row r="616" customFormat="false" ht="15" hidden="false" customHeight="false" outlineLevel="0" collapsed="false">
      <c r="A616" s="1" t="n">
        <f aca="false">IF(A615="","",IF(INT((C615+1)/12)+Inputs!$B$7&gt;MAX(MORTALITY!$A:$A),"",Inputs!$B$4))</f>
        <v>34</v>
      </c>
      <c r="B616" s="3" t="n">
        <f aca="false">IF(A616="","",EOMONTH(B615,1))</f>
        <v>40421</v>
      </c>
      <c r="C616" s="1" t="n">
        <f aca="false">IF(A616="","",C615+1)</f>
        <v>614</v>
      </c>
      <c r="D616" s="1" t="n">
        <f aca="false">IF(A616="","",INT(C616/12))</f>
        <v>51</v>
      </c>
      <c r="E616" s="1" t="n">
        <f aca="false">IF(A616="","",D616+Inputs!$B$7)</f>
        <v>67</v>
      </c>
      <c r="F616" s="3" t="n">
        <f aca="false">IF(A616="","",DATE(YEAR(B$2)+D616,MONTH(B$2),DAY(B$2)))</f>
        <v>40334</v>
      </c>
      <c r="G616" s="3" t="n">
        <f aca="false">IF(A616="","",DATE(YEAR(F616)+1,MONTH(F616),DAY(F616)))</f>
        <v>40699</v>
      </c>
      <c r="H616" s="10" t="n">
        <f aca="false">IF(A616="","",IF(G616&gt;F616,(B616-F616)/(G616-F616),0))</f>
        <v>0.238356164383562</v>
      </c>
      <c r="I616" s="10" t="n">
        <f aca="false">IF(A616="","",IFERROR(INDEX(CV_RATES!$I:$I,MATCH(D616,CV_RATES!$C:$C,0)),0))</f>
        <v>772.496541837585</v>
      </c>
      <c r="J616" s="10" t="n">
        <f aca="false">IF(A616="","",IFERROR(IF(E616=MAX(MORTALITY!$A:$A),1000,INDEX(CV_RATES!$J:$J,MATCH(D616,CV_RATES!$C:$C,0))),0))</f>
        <v>781.642217007389</v>
      </c>
      <c r="K616" s="10" t="n">
        <f aca="false">IF(A616="","",IFERROR(I616+H616*(J616-I616),0))</f>
        <v>774.676469891758</v>
      </c>
      <c r="L616" s="10" t="n">
        <f aca="false">IF(A616="","",IFERROR(K616*Inputs!$B$9,0))</f>
        <v>38733.8234945879</v>
      </c>
      <c r="M616" s="10" t="n">
        <f aca="false">IF(A616="","",IFERROR(K616*Inputs!$B$10,0))</f>
        <v>123945.911153272</v>
      </c>
      <c r="N616" s="10" t="n">
        <f aca="false">IF(A616="","",Z615)</f>
        <v>0</v>
      </c>
      <c r="O616" s="6" t="n">
        <f aca="false">IF(A616="","",Inputs!$B$18+N616)</f>
        <v>50000</v>
      </c>
      <c r="P616" s="5" t="n">
        <f aca="false">IF(A616="","",VLOOKUP(D616,DIvidend_Assumption!$A$3:$CX$103,($E$2+2),0)/12)</f>
        <v>0</v>
      </c>
      <c r="Q616" s="10" t="n">
        <f aca="false">IF(A616="","",IFERROR(AB615*P616,""))</f>
        <v>0</v>
      </c>
      <c r="R616" s="10" t="n">
        <f aca="false">IF(A616="","",IFERROR(IF(Inputs!$B$22="Accumulate",T616+Q616,IF(Inputs!$B$22="Premium Offset",MAX(0,T616+Q616-Inputs!$B$25),T616)),""))</f>
        <v>0</v>
      </c>
      <c r="S616" s="10" t="n">
        <f aca="false">IF(A616="","",R615)</f>
        <v>0</v>
      </c>
      <c r="T616" s="10" t="n">
        <f aca="false">IF(A616="","",IFERROR(S616*(1+Inputs!$B$23/12),""))</f>
        <v>0</v>
      </c>
      <c r="U616" s="6" t="n">
        <f aca="false">IF(A616="","",IF(D616&lt;=Inputs!$B$8,IF(Inputs!$B$22="Premium Offset",MAX(0,Inputs!$B$25-(Q616+T616)),Inputs!$B$25),0))</f>
        <v>0</v>
      </c>
      <c r="V616" s="10" t="n">
        <f aca="false">IF(A616="","",IF(Inputs!$B$22="Cash",Q616,0))</f>
        <v>0</v>
      </c>
      <c r="W616" s="10" t="n">
        <f aca="false">IF(A616="","",IF(Inputs!$B$22="PUA",Q616,0))</f>
        <v>0</v>
      </c>
      <c r="X616" s="12" t="n">
        <f aca="false">IF(A616="","",IFERROR(INDEX(PUA_TABLE!$D$4:$D$105,MATCH(E616,PUA_TABLE!$C$4:$C$105,1)),0))</f>
        <v>0.772496541837585</v>
      </c>
      <c r="Y616" s="10" t="n">
        <f aca="false">IF(A616="","",IF(W616&gt;0,IF(X616&gt;0,W616/X616,0),0))</f>
        <v>0</v>
      </c>
      <c r="Z616" s="10" t="n">
        <f aca="false">IF(A616="","",N616+Y616)</f>
        <v>0</v>
      </c>
      <c r="AA616" s="10" t="n">
        <f aca="false">IF(A616="","",IFERROR(Z616*INDEX(PUA_TABLE!$I$4:$I$105,MATCH(E616,PUA_TABLE!$C$4:$C$105,1))/1000,0))</f>
        <v>0</v>
      </c>
      <c r="AB616" s="10" t="n">
        <f aca="false">IF(A616="","",IFERROR(L616+AA616,0))</f>
        <v>38733.8234945879</v>
      </c>
      <c r="AC616" s="10" t="n">
        <f aca="false">IF(A616="","",IF(Inputs!$B$22="Premium Offset",MIN(Inputs!$B$25,Q616+T616),0))</f>
        <v>0</v>
      </c>
    </row>
    <row r="617" customFormat="false" ht="15" hidden="false" customHeight="false" outlineLevel="0" collapsed="false">
      <c r="A617" s="1" t="n">
        <f aca="false">IF(A616="","",IF(INT((C616+1)/12)+Inputs!$B$7&gt;MAX(MORTALITY!$A:$A),"",Inputs!$B$4))</f>
        <v>34</v>
      </c>
      <c r="B617" s="3" t="n">
        <f aca="false">IF(A617="","",EOMONTH(B616,1))</f>
        <v>40451</v>
      </c>
      <c r="C617" s="1" t="n">
        <f aca="false">IF(A617="","",C616+1)</f>
        <v>615</v>
      </c>
      <c r="D617" s="1" t="n">
        <f aca="false">IF(A617="","",INT(C617/12))</f>
        <v>51</v>
      </c>
      <c r="E617" s="1" t="n">
        <f aca="false">IF(A617="","",D617+Inputs!$B$7)</f>
        <v>67</v>
      </c>
      <c r="F617" s="3" t="n">
        <f aca="false">IF(A617="","",DATE(YEAR(B$2)+D617,MONTH(B$2),DAY(B$2)))</f>
        <v>40334</v>
      </c>
      <c r="G617" s="3" t="n">
        <f aca="false">IF(A617="","",DATE(YEAR(F617)+1,MONTH(F617),DAY(F617)))</f>
        <v>40699</v>
      </c>
      <c r="H617" s="10" t="n">
        <f aca="false">IF(A617="","",IF(G617&gt;F617,(B617-F617)/(G617-F617),0))</f>
        <v>0.320547945205479</v>
      </c>
      <c r="I617" s="10" t="n">
        <f aca="false">IF(A617="","",IFERROR(INDEX(CV_RATES!$I:$I,MATCH(D617,CV_RATES!$C:$C,0)),0))</f>
        <v>772.496541837585</v>
      </c>
      <c r="J617" s="10" t="n">
        <f aca="false">IF(A617="","",IFERROR(IF(E617=MAX(MORTALITY!$A:$A),1000,INDEX(CV_RATES!$J:$J,MATCH(D617,CV_RATES!$C:$C,0))),0))</f>
        <v>781.642217007389</v>
      </c>
      <c r="K617" s="10" t="n">
        <f aca="false">IF(A617="","",IFERROR(I617+H617*(J617-I617),0))</f>
        <v>775.428169220783</v>
      </c>
      <c r="L617" s="10" t="n">
        <f aca="false">IF(A617="","",IFERROR(K617*Inputs!$B$9,0))</f>
        <v>38771.4084610391</v>
      </c>
      <c r="M617" s="10" t="n">
        <f aca="false">IF(A617="","",IFERROR(K617*Inputs!$B$10,0))</f>
        <v>124066.180790818</v>
      </c>
      <c r="N617" s="10" t="n">
        <f aca="false">IF(A617="","",Z616)</f>
        <v>0</v>
      </c>
      <c r="O617" s="6" t="n">
        <f aca="false">IF(A617="","",Inputs!$B$18+N617)</f>
        <v>50000</v>
      </c>
      <c r="P617" s="5" t="n">
        <f aca="false">IF(A617="","",VLOOKUP(D617,DIvidend_Assumption!$A$3:$CX$103,($E$2+2),0)/12)</f>
        <v>0</v>
      </c>
      <c r="Q617" s="10" t="n">
        <f aca="false">IF(A617="","",IFERROR(AB616*P617,""))</f>
        <v>0</v>
      </c>
      <c r="R617" s="10" t="n">
        <f aca="false">IF(A617="","",IFERROR(IF(Inputs!$B$22="Accumulate",T617+Q617,IF(Inputs!$B$22="Premium Offset",MAX(0,T617+Q617-Inputs!$B$25),T617)),""))</f>
        <v>0</v>
      </c>
      <c r="S617" s="10" t="n">
        <f aca="false">IF(A617="","",R616)</f>
        <v>0</v>
      </c>
      <c r="T617" s="10" t="n">
        <f aca="false">IF(A617="","",IFERROR(S617*(1+Inputs!$B$23/12),""))</f>
        <v>0</v>
      </c>
      <c r="U617" s="6" t="n">
        <f aca="false">IF(A617="","",IF(D617&lt;=Inputs!$B$8,IF(Inputs!$B$22="Premium Offset",MAX(0,Inputs!$B$25-(Q617+T617)),Inputs!$B$25),0))</f>
        <v>0</v>
      </c>
      <c r="V617" s="10" t="n">
        <f aca="false">IF(A617="","",IF(Inputs!$B$22="Cash",Q617,0))</f>
        <v>0</v>
      </c>
      <c r="W617" s="10" t="n">
        <f aca="false">IF(A617="","",IF(Inputs!$B$22="PUA",Q617,0))</f>
        <v>0</v>
      </c>
      <c r="X617" s="12" t="n">
        <f aca="false">IF(A617="","",IFERROR(INDEX(PUA_TABLE!$D$4:$D$105,MATCH(E617,PUA_TABLE!$C$4:$C$105,1)),0))</f>
        <v>0.772496541837585</v>
      </c>
      <c r="Y617" s="10" t="n">
        <f aca="false">IF(A617="","",IF(W617&gt;0,IF(X617&gt;0,W617/X617,0),0))</f>
        <v>0</v>
      </c>
      <c r="Z617" s="10" t="n">
        <f aca="false">IF(A617="","",N617+Y617)</f>
        <v>0</v>
      </c>
      <c r="AA617" s="10" t="n">
        <f aca="false">IF(A617="","",IFERROR(Z617*INDEX(PUA_TABLE!$I$4:$I$105,MATCH(E617,PUA_TABLE!$C$4:$C$105,1))/1000,0))</f>
        <v>0</v>
      </c>
      <c r="AB617" s="10" t="n">
        <f aca="false">IF(A617="","",IFERROR(L617+AA617,0))</f>
        <v>38771.4084610391</v>
      </c>
      <c r="AC617" s="10" t="n">
        <f aca="false">IF(A617="","",IF(Inputs!$B$22="Premium Offset",MIN(Inputs!$B$25,Q617+T617),0))</f>
        <v>0</v>
      </c>
    </row>
    <row r="618" customFormat="false" ht="15" hidden="false" customHeight="false" outlineLevel="0" collapsed="false">
      <c r="A618" s="1" t="n">
        <f aca="false">IF(A617="","",IF(INT((C617+1)/12)+Inputs!$B$7&gt;MAX(MORTALITY!$A:$A),"",Inputs!$B$4))</f>
        <v>34</v>
      </c>
      <c r="B618" s="3" t="n">
        <f aca="false">IF(A618="","",EOMONTH(B617,1))</f>
        <v>40482</v>
      </c>
      <c r="C618" s="1" t="n">
        <f aca="false">IF(A618="","",C617+1)</f>
        <v>616</v>
      </c>
      <c r="D618" s="1" t="n">
        <f aca="false">IF(A618="","",INT(C618/12))</f>
        <v>51</v>
      </c>
      <c r="E618" s="1" t="n">
        <f aca="false">IF(A618="","",D618+Inputs!$B$7)</f>
        <v>67</v>
      </c>
      <c r="F618" s="3" t="n">
        <f aca="false">IF(A618="","",DATE(YEAR(B$2)+D618,MONTH(B$2),DAY(B$2)))</f>
        <v>40334</v>
      </c>
      <c r="G618" s="3" t="n">
        <f aca="false">IF(A618="","",DATE(YEAR(F618)+1,MONTH(F618),DAY(F618)))</f>
        <v>40699</v>
      </c>
      <c r="H618" s="10" t="n">
        <f aca="false">IF(A618="","",IF(G618&gt;F618,(B618-F618)/(G618-F618),0))</f>
        <v>0.405479452054795</v>
      </c>
      <c r="I618" s="10" t="n">
        <f aca="false">IF(A618="","",IFERROR(INDEX(CV_RATES!$I:$I,MATCH(D618,CV_RATES!$C:$C,0)),0))</f>
        <v>772.496541837585</v>
      </c>
      <c r="J618" s="10" t="n">
        <f aca="false">IF(A618="","",IFERROR(IF(E618=MAX(MORTALITY!$A:$A),1000,INDEX(CV_RATES!$J:$J,MATCH(D618,CV_RATES!$C:$C,0))),0))</f>
        <v>781.642217007389</v>
      </c>
      <c r="K618" s="10" t="n">
        <f aca="false">IF(A618="","",IFERROR(I618+H618*(J618-I618),0))</f>
        <v>776.204925194108</v>
      </c>
      <c r="L618" s="10" t="n">
        <f aca="false">IF(A618="","",IFERROR(K618*Inputs!$B$9,0))</f>
        <v>38810.2462597054</v>
      </c>
      <c r="M618" s="10" t="n">
        <f aca="false">IF(A618="","",IFERROR(K618*Inputs!$B$10,0))</f>
        <v>124190.459416282</v>
      </c>
      <c r="N618" s="10" t="n">
        <f aca="false">IF(A618="","",Z617)</f>
        <v>0</v>
      </c>
      <c r="O618" s="6" t="n">
        <f aca="false">IF(A618="","",Inputs!$B$18+N618)</f>
        <v>50000</v>
      </c>
      <c r="P618" s="5" t="n">
        <f aca="false">IF(A618="","",VLOOKUP(D618,DIvidend_Assumption!$A$3:$CX$103,($E$2+2),0)/12)</f>
        <v>0</v>
      </c>
      <c r="Q618" s="10" t="n">
        <f aca="false">IF(A618="","",IFERROR(AB617*P618,""))</f>
        <v>0</v>
      </c>
      <c r="R618" s="10" t="n">
        <f aca="false">IF(A618="","",IFERROR(IF(Inputs!$B$22="Accumulate",T618+Q618,IF(Inputs!$B$22="Premium Offset",MAX(0,T618+Q618-Inputs!$B$25),T618)),""))</f>
        <v>0</v>
      </c>
      <c r="S618" s="10" t="n">
        <f aca="false">IF(A618="","",R617)</f>
        <v>0</v>
      </c>
      <c r="T618" s="10" t="n">
        <f aca="false">IF(A618="","",IFERROR(S618*(1+Inputs!$B$23/12),""))</f>
        <v>0</v>
      </c>
      <c r="U618" s="6" t="n">
        <f aca="false">IF(A618="","",IF(D618&lt;=Inputs!$B$8,IF(Inputs!$B$22="Premium Offset",MAX(0,Inputs!$B$25-(Q618+T618)),Inputs!$B$25),0))</f>
        <v>0</v>
      </c>
      <c r="V618" s="10" t="n">
        <f aca="false">IF(A618="","",IF(Inputs!$B$22="Cash",Q618,0))</f>
        <v>0</v>
      </c>
      <c r="W618" s="10" t="n">
        <f aca="false">IF(A618="","",IF(Inputs!$B$22="PUA",Q618,0))</f>
        <v>0</v>
      </c>
      <c r="X618" s="12" t="n">
        <f aca="false">IF(A618="","",IFERROR(INDEX(PUA_TABLE!$D$4:$D$105,MATCH(E618,PUA_TABLE!$C$4:$C$105,1)),0))</f>
        <v>0.772496541837585</v>
      </c>
      <c r="Y618" s="10" t="n">
        <f aca="false">IF(A618="","",IF(W618&gt;0,IF(X618&gt;0,W618/X618,0),0))</f>
        <v>0</v>
      </c>
      <c r="Z618" s="10" t="n">
        <f aca="false">IF(A618="","",N618+Y618)</f>
        <v>0</v>
      </c>
      <c r="AA618" s="10" t="n">
        <f aca="false">IF(A618="","",IFERROR(Z618*INDEX(PUA_TABLE!$I$4:$I$105,MATCH(E618,PUA_TABLE!$C$4:$C$105,1))/1000,0))</f>
        <v>0</v>
      </c>
      <c r="AB618" s="10" t="n">
        <f aca="false">IF(A618="","",IFERROR(L618+AA618,0))</f>
        <v>38810.2462597054</v>
      </c>
      <c r="AC618" s="10" t="n">
        <f aca="false">IF(A618="","",IF(Inputs!$B$22="Premium Offset",MIN(Inputs!$B$25,Q618+T618),0))</f>
        <v>0</v>
      </c>
    </row>
    <row r="619" customFormat="false" ht="15" hidden="false" customHeight="false" outlineLevel="0" collapsed="false">
      <c r="A619" s="1" t="n">
        <f aca="false">IF(A618="","",IF(INT((C618+1)/12)+Inputs!$B$7&gt;MAX(MORTALITY!$A:$A),"",Inputs!$B$4))</f>
        <v>34</v>
      </c>
      <c r="B619" s="3" t="n">
        <f aca="false">IF(A619="","",EOMONTH(B618,1))</f>
        <v>40512</v>
      </c>
      <c r="C619" s="1" t="n">
        <f aca="false">IF(A619="","",C618+1)</f>
        <v>617</v>
      </c>
      <c r="D619" s="1" t="n">
        <f aca="false">IF(A619="","",INT(C619/12))</f>
        <v>51</v>
      </c>
      <c r="E619" s="1" t="n">
        <f aca="false">IF(A619="","",D619+Inputs!$B$7)</f>
        <v>67</v>
      </c>
      <c r="F619" s="3" t="n">
        <f aca="false">IF(A619="","",DATE(YEAR(B$2)+D619,MONTH(B$2),DAY(B$2)))</f>
        <v>40334</v>
      </c>
      <c r="G619" s="3" t="n">
        <f aca="false">IF(A619="","",DATE(YEAR(F619)+1,MONTH(F619),DAY(F619)))</f>
        <v>40699</v>
      </c>
      <c r="H619" s="10" t="n">
        <f aca="false">IF(A619="","",IF(G619&gt;F619,(B619-F619)/(G619-F619),0))</f>
        <v>0.487671232876712</v>
      </c>
      <c r="I619" s="10" t="n">
        <f aca="false">IF(A619="","",IFERROR(INDEX(CV_RATES!$I:$I,MATCH(D619,CV_RATES!$C:$C,0)),0))</f>
        <v>772.496541837585</v>
      </c>
      <c r="J619" s="10" t="n">
        <f aca="false">IF(A619="","",IFERROR(IF(E619=MAX(MORTALITY!$A:$A),1000,INDEX(CV_RATES!$J:$J,MATCH(D619,CV_RATES!$C:$C,0))),0))</f>
        <v>781.642217007389</v>
      </c>
      <c r="K619" s="10" t="n">
        <f aca="false">IF(A619="","",IFERROR(I619+H619*(J619-I619),0))</f>
        <v>776.956624523133</v>
      </c>
      <c r="L619" s="10" t="n">
        <f aca="false">IF(A619="","",IFERROR(K619*Inputs!$B$9,0))</f>
        <v>38847.8312261567</v>
      </c>
      <c r="M619" s="10" t="n">
        <f aca="false">IF(A619="","",IFERROR(K619*Inputs!$B$10,0))</f>
        <v>124310.729053828</v>
      </c>
      <c r="N619" s="10" t="n">
        <f aca="false">IF(A619="","",Z618)</f>
        <v>0</v>
      </c>
      <c r="O619" s="6" t="n">
        <f aca="false">IF(A619="","",Inputs!$B$18+N619)</f>
        <v>50000</v>
      </c>
      <c r="P619" s="5" t="n">
        <f aca="false">IF(A619="","",VLOOKUP(D619,DIvidend_Assumption!$A$3:$CX$103,($E$2+2),0)/12)</f>
        <v>0</v>
      </c>
      <c r="Q619" s="10" t="n">
        <f aca="false">IF(A619="","",IFERROR(AB618*P619,""))</f>
        <v>0</v>
      </c>
      <c r="R619" s="10" t="n">
        <f aca="false">IF(A619="","",IFERROR(IF(Inputs!$B$22="Accumulate",T619+Q619,IF(Inputs!$B$22="Premium Offset",MAX(0,T619+Q619-Inputs!$B$25),T619)),""))</f>
        <v>0</v>
      </c>
      <c r="S619" s="10" t="n">
        <f aca="false">IF(A619="","",R618)</f>
        <v>0</v>
      </c>
      <c r="T619" s="10" t="n">
        <f aca="false">IF(A619="","",IFERROR(S619*(1+Inputs!$B$23/12),""))</f>
        <v>0</v>
      </c>
      <c r="U619" s="6" t="n">
        <f aca="false">IF(A619="","",IF(D619&lt;=Inputs!$B$8,IF(Inputs!$B$22="Premium Offset",MAX(0,Inputs!$B$25-(Q619+T619)),Inputs!$B$25),0))</f>
        <v>0</v>
      </c>
      <c r="V619" s="10" t="n">
        <f aca="false">IF(A619="","",IF(Inputs!$B$22="Cash",Q619,0))</f>
        <v>0</v>
      </c>
      <c r="W619" s="10" t="n">
        <f aca="false">IF(A619="","",IF(Inputs!$B$22="PUA",Q619,0))</f>
        <v>0</v>
      </c>
      <c r="X619" s="12" t="n">
        <f aca="false">IF(A619="","",IFERROR(INDEX(PUA_TABLE!$D$4:$D$105,MATCH(E619,PUA_TABLE!$C$4:$C$105,1)),0))</f>
        <v>0.772496541837585</v>
      </c>
      <c r="Y619" s="10" t="n">
        <f aca="false">IF(A619="","",IF(W619&gt;0,IF(X619&gt;0,W619/X619,0),0))</f>
        <v>0</v>
      </c>
      <c r="Z619" s="10" t="n">
        <f aca="false">IF(A619="","",N619+Y619)</f>
        <v>0</v>
      </c>
      <c r="AA619" s="10" t="n">
        <f aca="false">IF(A619="","",IFERROR(Z619*INDEX(PUA_TABLE!$I$4:$I$105,MATCH(E619,PUA_TABLE!$C$4:$C$105,1))/1000,0))</f>
        <v>0</v>
      </c>
      <c r="AB619" s="10" t="n">
        <f aca="false">IF(A619="","",IFERROR(L619+AA619,0))</f>
        <v>38847.8312261567</v>
      </c>
      <c r="AC619" s="10" t="n">
        <f aca="false">IF(A619="","",IF(Inputs!$B$22="Premium Offset",MIN(Inputs!$B$25,Q619+T619),0))</f>
        <v>0</v>
      </c>
    </row>
    <row r="620" customFormat="false" ht="15" hidden="false" customHeight="false" outlineLevel="0" collapsed="false">
      <c r="A620" s="1" t="n">
        <f aca="false">IF(A619="","",IF(INT((C619+1)/12)+Inputs!$B$7&gt;MAX(MORTALITY!$A:$A),"",Inputs!$B$4))</f>
        <v>34</v>
      </c>
      <c r="B620" s="3" t="n">
        <f aca="false">IF(A620="","",EOMONTH(B619,1))</f>
        <v>40543</v>
      </c>
      <c r="C620" s="1" t="n">
        <f aca="false">IF(A620="","",C619+1)</f>
        <v>618</v>
      </c>
      <c r="D620" s="1" t="n">
        <f aca="false">IF(A620="","",INT(C620/12))</f>
        <v>51</v>
      </c>
      <c r="E620" s="1" t="n">
        <f aca="false">IF(A620="","",D620+Inputs!$B$7)</f>
        <v>67</v>
      </c>
      <c r="F620" s="3" t="n">
        <f aca="false">IF(A620="","",DATE(YEAR(B$2)+D620,MONTH(B$2),DAY(B$2)))</f>
        <v>40334</v>
      </c>
      <c r="G620" s="3" t="n">
        <f aca="false">IF(A620="","",DATE(YEAR(F620)+1,MONTH(F620),DAY(F620)))</f>
        <v>40699</v>
      </c>
      <c r="H620" s="10" t="n">
        <f aca="false">IF(A620="","",IF(G620&gt;F620,(B620-F620)/(G620-F620),0))</f>
        <v>0.572602739726027</v>
      </c>
      <c r="I620" s="10" t="n">
        <f aca="false">IF(A620="","",IFERROR(INDEX(CV_RATES!$I:$I,MATCH(D620,CV_RATES!$C:$C,0)),0))</f>
        <v>772.496541837585</v>
      </c>
      <c r="J620" s="10" t="n">
        <f aca="false">IF(A620="","",IFERROR(IF(E620=MAX(MORTALITY!$A:$A),1000,INDEX(CV_RATES!$J:$J,MATCH(D620,CV_RATES!$C:$C,0))),0))</f>
        <v>781.642217007389</v>
      </c>
      <c r="K620" s="10" t="n">
        <f aca="false">IF(A620="","",IFERROR(I620+H620*(J620-I620),0))</f>
        <v>777.733380496459</v>
      </c>
      <c r="L620" s="10" t="n">
        <f aca="false">IF(A620="","",IFERROR(K620*Inputs!$B$9,0))</f>
        <v>38886.669024823</v>
      </c>
      <c r="M620" s="10" t="n">
        <f aca="false">IF(A620="","",IFERROR(K620*Inputs!$B$10,0))</f>
        <v>124435.007679292</v>
      </c>
      <c r="N620" s="10" t="n">
        <f aca="false">IF(A620="","",Z619)</f>
        <v>0</v>
      </c>
      <c r="O620" s="6" t="n">
        <f aca="false">IF(A620="","",Inputs!$B$18+N620)</f>
        <v>50000</v>
      </c>
      <c r="P620" s="5" t="n">
        <f aca="false">IF(A620="","",VLOOKUP(D620,DIvidend_Assumption!$A$3:$CX$103,($E$2+2),0)/12)</f>
        <v>0</v>
      </c>
      <c r="Q620" s="10" t="n">
        <f aca="false">IF(A620="","",IFERROR(AB619*P620,""))</f>
        <v>0</v>
      </c>
      <c r="R620" s="10" t="n">
        <f aca="false">IF(A620="","",IFERROR(IF(Inputs!$B$22="Accumulate",T620+Q620,IF(Inputs!$B$22="Premium Offset",MAX(0,T620+Q620-Inputs!$B$25),T620)),""))</f>
        <v>0</v>
      </c>
      <c r="S620" s="10" t="n">
        <f aca="false">IF(A620="","",R619)</f>
        <v>0</v>
      </c>
      <c r="T620" s="10" t="n">
        <f aca="false">IF(A620="","",IFERROR(S620*(1+Inputs!$B$23/12),""))</f>
        <v>0</v>
      </c>
      <c r="U620" s="6" t="n">
        <f aca="false">IF(A620="","",IF(D620&lt;=Inputs!$B$8,IF(Inputs!$B$22="Premium Offset",MAX(0,Inputs!$B$25-(Q620+T620)),Inputs!$B$25),0))</f>
        <v>0</v>
      </c>
      <c r="V620" s="10" t="n">
        <f aca="false">IF(A620="","",IF(Inputs!$B$22="Cash",Q620,0))</f>
        <v>0</v>
      </c>
      <c r="W620" s="10" t="n">
        <f aca="false">IF(A620="","",IF(Inputs!$B$22="PUA",Q620,0))</f>
        <v>0</v>
      </c>
      <c r="X620" s="12" t="n">
        <f aca="false">IF(A620="","",IFERROR(INDEX(PUA_TABLE!$D$4:$D$105,MATCH(E620,PUA_TABLE!$C$4:$C$105,1)),0))</f>
        <v>0.772496541837585</v>
      </c>
      <c r="Y620" s="10" t="n">
        <f aca="false">IF(A620="","",IF(W620&gt;0,IF(X620&gt;0,W620/X620,0),0))</f>
        <v>0</v>
      </c>
      <c r="Z620" s="10" t="n">
        <f aca="false">IF(A620="","",N620+Y620)</f>
        <v>0</v>
      </c>
      <c r="AA620" s="10" t="n">
        <f aca="false">IF(A620="","",IFERROR(Z620*INDEX(PUA_TABLE!$I$4:$I$105,MATCH(E620,PUA_TABLE!$C$4:$C$105,1))/1000,0))</f>
        <v>0</v>
      </c>
      <c r="AB620" s="10" t="n">
        <f aca="false">IF(A620="","",IFERROR(L620+AA620,0))</f>
        <v>38886.669024823</v>
      </c>
      <c r="AC620" s="10" t="n">
        <f aca="false">IF(A620="","",IF(Inputs!$B$22="Premium Offset",MIN(Inputs!$B$25,Q620+T620),0))</f>
        <v>0</v>
      </c>
    </row>
    <row r="621" customFormat="false" ht="15" hidden="false" customHeight="false" outlineLevel="0" collapsed="false">
      <c r="A621" s="1" t="n">
        <f aca="false">IF(A620="","",IF(INT((C620+1)/12)+Inputs!$B$7&gt;MAX(MORTALITY!$A:$A),"",Inputs!$B$4))</f>
        <v>34</v>
      </c>
      <c r="B621" s="3" t="n">
        <f aca="false">IF(A621="","",EOMONTH(B620,1))</f>
        <v>40574</v>
      </c>
      <c r="C621" s="1" t="n">
        <f aca="false">IF(A621="","",C620+1)</f>
        <v>619</v>
      </c>
      <c r="D621" s="1" t="n">
        <f aca="false">IF(A621="","",INT(C621/12))</f>
        <v>51</v>
      </c>
      <c r="E621" s="1" t="n">
        <f aca="false">IF(A621="","",D621+Inputs!$B$7)</f>
        <v>67</v>
      </c>
      <c r="F621" s="3" t="n">
        <f aca="false">IF(A621="","",DATE(YEAR(B$2)+D621,MONTH(B$2),DAY(B$2)))</f>
        <v>40334</v>
      </c>
      <c r="G621" s="3" t="n">
        <f aca="false">IF(A621="","",DATE(YEAR(F621)+1,MONTH(F621),DAY(F621)))</f>
        <v>40699</v>
      </c>
      <c r="H621" s="10" t="n">
        <f aca="false">IF(A621="","",IF(G621&gt;F621,(B621-F621)/(G621-F621),0))</f>
        <v>0.657534246575342</v>
      </c>
      <c r="I621" s="10" t="n">
        <f aca="false">IF(A621="","",IFERROR(INDEX(CV_RATES!$I:$I,MATCH(D621,CV_RATES!$C:$C,0)),0))</f>
        <v>772.496541837585</v>
      </c>
      <c r="J621" s="10" t="n">
        <f aca="false">IF(A621="","",IFERROR(IF(E621=MAX(MORTALITY!$A:$A),1000,INDEX(CV_RATES!$J:$J,MATCH(D621,CV_RATES!$C:$C,0))),0))</f>
        <v>781.642217007389</v>
      </c>
      <c r="K621" s="10" t="n">
        <f aca="false">IF(A621="","",IFERROR(I621+H621*(J621-I621),0))</f>
        <v>778.510136469785</v>
      </c>
      <c r="L621" s="10" t="n">
        <f aca="false">IF(A621="","",IFERROR(K621*Inputs!$B$9,0))</f>
        <v>38925.5068234892</v>
      </c>
      <c r="M621" s="10" t="n">
        <f aca="false">IF(A621="","",IFERROR(K621*Inputs!$B$10,0))</f>
        <v>124559.286304756</v>
      </c>
      <c r="N621" s="10" t="n">
        <f aca="false">IF(A621="","",Z620)</f>
        <v>0</v>
      </c>
      <c r="O621" s="6" t="n">
        <f aca="false">IF(A621="","",Inputs!$B$18+N621)</f>
        <v>50000</v>
      </c>
      <c r="P621" s="5" t="n">
        <f aca="false">IF(A621="","",VLOOKUP(D621,DIvidend_Assumption!$A$3:$CX$103,($E$2+2),0)/12)</f>
        <v>0</v>
      </c>
      <c r="Q621" s="10" t="n">
        <f aca="false">IF(A621="","",IFERROR(AB620*P621,""))</f>
        <v>0</v>
      </c>
      <c r="R621" s="10" t="n">
        <f aca="false">IF(A621="","",IFERROR(IF(Inputs!$B$22="Accumulate",T621+Q621,IF(Inputs!$B$22="Premium Offset",MAX(0,T621+Q621-Inputs!$B$25),T621)),""))</f>
        <v>0</v>
      </c>
      <c r="S621" s="10" t="n">
        <f aca="false">IF(A621="","",R620)</f>
        <v>0</v>
      </c>
      <c r="T621" s="10" t="n">
        <f aca="false">IF(A621="","",IFERROR(S621*(1+Inputs!$B$23/12),""))</f>
        <v>0</v>
      </c>
      <c r="U621" s="6" t="n">
        <f aca="false">IF(A621="","",IF(D621&lt;=Inputs!$B$8,IF(Inputs!$B$22="Premium Offset",MAX(0,Inputs!$B$25-(Q621+T621)),Inputs!$B$25),0))</f>
        <v>0</v>
      </c>
      <c r="V621" s="10" t="n">
        <f aca="false">IF(A621="","",IF(Inputs!$B$22="Cash",Q621,0))</f>
        <v>0</v>
      </c>
      <c r="W621" s="10" t="n">
        <f aca="false">IF(A621="","",IF(Inputs!$B$22="PUA",Q621,0))</f>
        <v>0</v>
      </c>
      <c r="X621" s="12" t="n">
        <f aca="false">IF(A621="","",IFERROR(INDEX(PUA_TABLE!$D$4:$D$105,MATCH(E621,PUA_TABLE!$C$4:$C$105,1)),0))</f>
        <v>0.772496541837585</v>
      </c>
      <c r="Y621" s="10" t="n">
        <f aca="false">IF(A621="","",IF(W621&gt;0,IF(X621&gt;0,W621/X621,0),0))</f>
        <v>0</v>
      </c>
      <c r="Z621" s="10" t="n">
        <f aca="false">IF(A621="","",N621+Y621)</f>
        <v>0</v>
      </c>
      <c r="AA621" s="10" t="n">
        <f aca="false">IF(A621="","",IFERROR(Z621*INDEX(PUA_TABLE!$I$4:$I$105,MATCH(E621,PUA_TABLE!$C$4:$C$105,1))/1000,0))</f>
        <v>0</v>
      </c>
      <c r="AB621" s="10" t="n">
        <f aca="false">IF(A621="","",IFERROR(L621+AA621,0))</f>
        <v>38925.5068234892</v>
      </c>
      <c r="AC621" s="10" t="n">
        <f aca="false">IF(A621="","",IF(Inputs!$B$22="Premium Offset",MIN(Inputs!$B$25,Q621+T621),0))</f>
        <v>0</v>
      </c>
    </row>
    <row r="622" customFormat="false" ht="15" hidden="false" customHeight="false" outlineLevel="0" collapsed="false">
      <c r="A622" s="1" t="n">
        <f aca="false">IF(A621="","",IF(INT((C621+1)/12)+Inputs!$B$7&gt;MAX(MORTALITY!$A:$A),"",Inputs!$B$4))</f>
        <v>34</v>
      </c>
      <c r="B622" s="3" t="n">
        <f aca="false">IF(A622="","",EOMONTH(B621,1))</f>
        <v>40602</v>
      </c>
      <c r="C622" s="1" t="n">
        <f aca="false">IF(A622="","",C621+1)</f>
        <v>620</v>
      </c>
      <c r="D622" s="1" t="n">
        <f aca="false">IF(A622="","",INT(C622/12))</f>
        <v>51</v>
      </c>
      <c r="E622" s="1" t="n">
        <f aca="false">IF(A622="","",D622+Inputs!$B$7)</f>
        <v>67</v>
      </c>
      <c r="F622" s="3" t="n">
        <f aca="false">IF(A622="","",DATE(YEAR(B$2)+D622,MONTH(B$2),DAY(B$2)))</f>
        <v>40334</v>
      </c>
      <c r="G622" s="3" t="n">
        <f aca="false">IF(A622="","",DATE(YEAR(F622)+1,MONTH(F622),DAY(F622)))</f>
        <v>40699</v>
      </c>
      <c r="H622" s="10" t="n">
        <f aca="false">IF(A622="","",IF(G622&gt;F622,(B622-F622)/(G622-F622),0))</f>
        <v>0.734246575342466</v>
      </c>
      <c r="I622" s="10" t="n">
        <f aca="false">IF(A622="","",IFERROR(INDEX(CV_RATES!$I:$I,MATCH(D622,CV_RATES!$C:$C,0)),0))</f>
        <v>772.496541837585</v>
      </c>
      <c r="J622" s="10" t="n">
        <f aca="false">IF(A622="","",IFERROR(IF(E622=MAX(MORTALITY!$A:$A),1000,INDEX(CV_RATES!$J:$J,MATCH(D622,CV_RATES!$C:$C,0))),0))</f>
        <v>781.642217007389</v>
      </c>
      <c r="K622" s="10" t="n">
        <f aca="false">IF(A622="","",IFERROR(I622+H622*(J622-I622),0))</f>
        <v>779.211722510208</v>
      </c>
      <c r="L622" s="10" t="n">
        <f aca="false">IF(A622="","",IFERROR(K622*Inputs!$B$9,0))</f>
        <v>38960.5861255104</v>
      </c>
      <c r="M622" s="10" t="n">
        <f aca="false">IF(A622="","",IFERROR(K622*Inputs!$B$10,0))</f>
        <v>124671.537966466</v>
      </c>
      <c r="N622" s="10" t="n">
        <f aca="false">IF(A622="","",Z621)</f>
        <v>0</v>
      </c>
      <c r="O622" s="6" t="n">
        <f aca="false">IF(A622="","",Inputs!$B$18+N622)</f>
        <v>50000</v>
      </c>
      <c r="P622" s="5" t="n">
        <f aca="false">IF(A622="","",VLOOKUP(D622,DIvidend_Assumption!$A$3:$CX$103,($E$2+2),0)/12)</f>
        <v>0</v>
      </c>
      <c r="Q622" s="10" t="n">
        <f aca="false">IF(A622="","",IFERROR(AB621*P622,""))</f>
        <v>0</v>
      </c>
      <c r="R622" s="10" t="n">
        <f aca="false">IF(A622="","",IFERROR(IF(Inputs!$B$22="Accumulate",T622+Q622,IF(Inputs!$B$22="Premium Offset",MAX(0,T622+Q622-Inputs!$B$25),T622)),""))</f>
        <v>0</v>
      </c>
      <c r="S622" s="10" t="n">
        <f aca="false">IF(A622="","",R621)</f>
        <v>0</v>
      </c>
      <c r="T622" s="10" t="n">
        <f aca="false">IF(A622="","",IFERROR(S622*(1+Inputs!$B$23/12),""))</f>
        <v>0</v>
      </c>
      <c r="U622" s="6" t="n">
        <f aca="false">IF(A622="","",IF(D622&lt;=Inputs!$B$8,IF(Inputs!$B$22="Premium Offset",MAX(0,Inputs!$B$25-(Q622+T622)),Inputs!$B$25),0))</f>
        <v>0</v>
      </c>
      <c r="V622" s="10" t="n">
        <f aca="false">IF(A622="","",IF(Inputs!$B$22="Cash",Q622,0))</f>
        <v>0</v>
      </c>
      <c r="W622" s="10" t="n">
        <f aca="false">IF(A622="","",IF(Inputs!$B$22="PUA",Q622,0))</f>
        <v>0</v>
      </c>
      <c r="X622" s="12" t="n">
        <f aca="false">IF(A622="","",IFERROR(INDEX(PUA_TABLE!$D$4:$D$105,MATCH(E622,PUA_TABLE!$C$4:$C$105,1)),0))</f>
        <v>0.772496541837585</v>
      </c>
      <c r="Y622" s="10" t="n">
        <f aca="false">IF(A622="","",IF(W622&gt;0,IF(X622&gt;0,W622/X622,0),0))</f>
        <v>0</v>
      </c>
      <c r="Z622" s="10" t="n">
        <f aca="false">IF(A622="","",N622+Y622)</f>
        <v>0</v>
      </c>
      <c r="AA622" s="10" t="n">
        <f aca="false">IF(A622="","",IFERROR(Z622*INDEX(PUA_TABLE!$I$4:$I$105,MATCH(E622,PUA_TABLE!$C$4:$C$105,1))/1000,0))</f>
        <v>0</v>
      </c>
      <c r="AB622" s="10" t="n">
        <f aca="false">IF(A622="","",IFERROR(L622+AA622,0))</f>
        <v>38960.5861255104</v>
      </c>
      <c r="AC622" s="10" t="n">
        <f aca="false">IF(A622="","",IF(Inputs!$B$22="Premium Offset",MIN(Inputs!$B$25,Q622+T622),0))</f>
        <v>0</v>
      </c>
    </row>
    <row r="623" customFormat="false" ht="15" hidden="false" customHeight="false" outlineLevel="0" collapsed="false">
      <c r="A623" s="1" t="n">
        <f aca="false">IF(A622="","",IF(INT((C622+1)/12)+Inputs!$B$7&gt;MAX(MORTALITY!$A:$A),"",Inputs!$B$4))</f>
        <v>34</v>
      </c>
      <c r="B623" s="3" t="n">
        <f aca="false">IF(A623="","",EOMONTH(B622,1))</f>
        <v>40633</v>
      </c>
      <c r="C623" s="1" t="n">
        <f aca="false">IF(A623="","",C622+1)</f>
        <v>621</v>
      </c>
      <c r="D623" s="1" t="n">
        <f aca="false">IF(A623="","",INT(C623/12))</f>
        <v>51</v>
      </c>
      <c r="E623" s="1" t="n">
        <f aca="false">IF(A623="","",D623+Inputs!$B$7)</f>
        <v>67</v>
      </c>
      <c r="F623" s="3" t="n">
        <f aca="false">IF(A623="","",DATE(YEAR(B$2)+D623,MONTH(B$2),DAY(B$2)))</f>
        <v>40334</v>
      </c>
      <c r="G623" s="3" t="n">
        <f aca="false">IF(A623="","",DATE(YEAR(F623)+1,MONTH(F623),DAY(F623)))</f>
        <v>40699</v>
      </c>
      <c r="H623" s="10" t="n">
        <f aca="false">IF(A623="","",IF(G623&gt;F623,(B623-F623)/(G623-F623),0))</f>
        <v>0.819178082191781</v>
      </c>
      <c r="I623" s="10" t="n">
        <f aca="false">IF(A623="","",IFERROR(INDEX(CV_RATES!$I:$I,MATCH(D623,CV_RATES!$C:$C,0)),0))</f>
        <v>772.496541837585</v>
      </c>
      <c r="J623" s="10" t="n">
        <f aca="false">IF(A623="","",IFERROR(IF(E623=MAX(MORTALITY!$A:$A),1000,INDEX(CV_RATES!$J:$J,MATCH(D623,CV_RATES!$C:$C,0))),0))</f>
        <v>781.642217007389</v>
      </c>
      <c r="K623" s="10" t="n">
        <f aca="false">IF(A623="","",IFERROR(I623+H623*(J623-I623),0))</f>
        <v>779.988478483534</v>
      </c>
      <c r="L623" s="10" t="n">
        <f aca="false">IF(A623="","",IFERROR(K623*Inputs!$B$9,0))</f>
        <v>38999.4239241767</v>
      </c>
      <c r="M623" s="10" t="n">
        <f aca="false">IF(A623="","",IFERROR(K623*Inputs!$B$10,0))</f>
        <v>124795.81659193</v>
      </c>
      <c r="N623" s="10" t="n">
        <f aca="false">IF(A623="","",Z622)</f>
        <v>0</v>
      </c>
      <c r="O623" s="6" t="n">
        <f aca="false">IF(A623="","",Inputs!$B$18+N623)</f>
        <v>50000</v>
      </c>
      <c r="P623" s="5" t="n">
        <f aca="false">IF(A623="","",VLOOKUP(D623,DIvidend_Assumption!$A$3:$CX$103,($E$2+2),0)/12)</f>
        <v>0</v>
      </c>
      <c r="Q623" s="10" t="n">
        <f aca="false">IF(A623="","",IFERROR(AB622*P623,""))</f>
        <v>0</v>
      </c>
      <c r="R623" s="10" t="n">
        <f aca="false">IF(A623="","",IFERROR(IF(Inputs!$B$22="Accumulate",T623+Q623,IF(Inputs!$B$22="Premium Offset",MAX(0,T623+Q623-Inputs!$B$25),T623)),""))</f>
        <v>0</v>
      </c>
      <c r="S623" s="10" t="n">
        <f aca="false">IF(A623="","",R622)</f>
        <v>0</v>
      </c>
      <c r="T623" s="10" t="n">
        <f aca="false">IF(A623="","",IFERROR(S623*(1+Inputs!$B$23/12),""))</f>
        <v>0</v>
      </c>
      <c r="U623" s="6" t="n">
        <f aca="false">IF(A623="","",IF(D623&lt;=Inputs!$B$8,IF(Inputs!$B$22="Premium Offset",MAX(0,Inputs!$B$25-(Q623+T623)),Inputs!$B$25),0))</f>
        <v>0</v>
      </c>
      <c r="V623" s="10" t="n">
        <f aca="false">IF(A623="","",IF(Inputs!$B$22="Cash",Q623,0))</f>
        <v>0</v>
      </c>
      <c r="W623" s="10" t="n">
        <f aca="false">IF(A623="","",IF(Inputs!$B$22="PUA",Q623,0))</f>
        <v>0</v>
      </c>
      <c r="X623" s="12" t="n">
        <f aca="false">IF(A623="","",IFERROR(INDEX(PUA_TABLE!$D$4:$D$105,MATCH(E623,PUA_TABLE!$C$4:$C$105,1)),0))</f>
        <v>0.772496541837585</v>
      </c>
      <c r="Y623" s="10" t="n">
        <f aca="false">IF(A623="","",IF(W623&gt;0,IF(X623&gt;0,W623/X623,0),0))</f>
        <v>0</v>
      </c>
      <c r="Z623" s="10" t="n">
        <f aca="false">IF(A623="","",N623+Y623)</f>
        <v>0</v>
      </c>
      <c r="AA623" s="10" t="n">
        <f aca="false">IF(A623="","",IFERROR(Z623*INDEX(PUA_TABLE!$I$4:$I$105,MATCH(E623,PUA_TABLE!$C$4:$C$105,1))/1000,0))</f>
        <v>0</v>
      </c>
      <c r="AB623" s="10" t="n">
        <f aca="false">IF(A623="","",IFERROR(L623+AA623,0))</f>
        <v>38999.4239241767</v>
      </c>
      <c r="AC623" s="10" t="n">
        <f aca="false">IF(A623="","",IF(Inputs!$B$22="Premium Offset",MIN(Inputs!$B$25,Q623+T623),0))</f>
        <v>0</v>
      </c>
    </row>
    <row r="624" customFormat="false" ht="15" hidden="false" customHeight="false" outlineLevel="0" collapsed="false">
      <c r="A624" s="1" t="n">
        <f aca="false">IF(A623="","",IF(INT((C623+1)/12)+Inputs!$B$7&gt;MAX(MORTALITY!$A:$A),"",Inputs!$B$4))</f>
        <v>34</v>
      </c>
      <c r="B624" s="3" t="n">
        <f aca="false">IF(A624="","",EOMONTH(B623,1))</f>
        <v>40663</v>
      </c>
      <c r="C624" s="1" t="n">
        <f aca="false">IF(A624="","",C623+1)</f>
        <v>622</v>
      </c>
      <c r="D624" s="1" t="n">
        <f aca="false">IF(A624="","",INT(C624/12))</f>
        <v>51</v>
      </c>
      <c r="E624" s="1" t="n">
        <f aca="false">IF(A624="","",D624+Inputs!$B$7)</f>
        <v>67</v>
      </c>
      <c r="F624" s="3" t="n">
        <f aca="false">IF(A624="","",DATE(YEAR(B$2)+D624,MONTH(B$2),DAY(B$2)))</f>
        <v>40334</v>
      </c>
      <c r="G624" s="3" t="n">
        <f aca="false">IF(A624="","",DATE(YEAR(F624)+1,MONTH(F624),DAY(F624)))</f>
        <v>40699</v>
      </c>
      <c r="H624" s="10" t="n">
        <f aca="false">IF(A624="","",IF(G624&gt;F624,(B624-F624)/(G624-F624),0))</f>
        <v>0.901369863013699</v>
      </c>
      <c r="I624" s="10" t="n">
        <f aca="false">IF(A624="","",IFERROR(INDEX(CV_RATES!$I:$I,MATCH(D624,CV_RATES!$C:$C,0)),0))</f>
        <v>772.496541837585</v>
      </c>
      <c r="J624" s="10" t="n">
        <f aca="false">IF(A624="","",IFERROR(IF(E624=MAX(MORTALITY!$A:$A),1000,INDEX(CV_RATES!$J:$J,MATCH(D624,CV_RATES!$C:$C,0))),0))</f>
        <v>781.642217007389</v>
      </c>
      <c r="K624" s="10" t="n">
        <f aca="false">IF(A624="","",IFERROR(I624+H624*(J624-I624),0))</f>
        <v>780.740177812559</v>
      </c>
      <c r="L624" s="10" t="n">
        <f aca="false">IF(A624="","",IFERROR(K624*Inputs!$B$9,0))</f>
        <v>39037.008890628</v>
      </c>
      <c r="M624" s="10" t="n">
        <f aca="false">IF(A624="","",IFERROR(K624*Inputs!$B$10,0))</f>
        <v>124916.086229476</v>
      </c>
      <c r="N624" s="10" t="n">
        <f aca="false">IF(A624="","",Z623)</f>
        <v>0</v>
      </c>
      <c r="O624" s="6" t="n">
        <f aca="false">IF(A624="","",Inputs!$B$18+N624)</f>
        <v>50000</v>
      </c>
      <c r="P624" s="5" t="n">
        <f aca="false">IF(A624="","",VLOOKUP(D624,DIvidend_Assumption!$A$3:$CX$103,($E$2+2),0)/12)</f>
        <v>0</v>
      </c>
      <c r="Q624" s="10" t="n">
        <f aca="false">IF(A624="","",IFERROR(AB623*P624,""))</f>
        <v>0</v>
      </c>
      <c r="R624" s="10" t="n">
        <f aca="false">IF(A624="","",IFERROR(IF(Inputs!$B$22="Accumulate",T624+Q624,IF(Inputs!$B$22="Premium Offset",MAX(0,T624+Q624-Inputs!$B$25),T624)),""))</f>
        <v>0</v>
      </c>
      <c r="S624" s="10" t="n">
        <f aca="false">IF(A624="","",R623)</f>
        <v>0</v>
      </c>
      <c r="T624" s="10" t="n">
        <f aca="false">IF(A624="","",IFERROR(S624*(1+Inputs!$B$23/12),""))</f>
        <v>0</v>
      </c>
      <c r="U624" s="6" t="n">
        <f aca="false">IF(A624="","",IF(D624&lt;=Inputs!$B$8,IF(Inputs!$B$22="Premium Offset",MAX(0,Inputs!$B$25-(Q624+T624)),Inputs!$B$25),0))</f>
        <v>0</v>
      </c>
      <c r="V624" s="10" t="n">
        <f aca="false">IF(A624="","",IF(Inputs!$B$22="Cash",Q624,0))</f>
        <v>0</v>
      </c>
      <c r="W624" s="10" t="n">
        <f aca="false">IF(A624="","",IF(Inputs!$B$22="PUA",Q624,0))</f>
        <v>0</v>
      </c>
      <c r="X624" s="12" t="n">
        <f aca="false">IF(A624="","",IFERROR(INDEX(PUA_TABLE!$D$4:$D$105,MATCH(E624,PUA_TABLE!$C$4:$C$105,1)),0))</f>
        <v>0.772496541837585</v>
      </c>
      <c r="Y624" s="10" t="n">
        <f aca="false">IF(A624="","",IF(W624&gt;0,IF(X624&gt;0,W624/X624,0),0))</f>
        <v>0</v>
      </c>
      <c r="Z624" s="10" t="n">
        <f aca="false">IF(A624="","",N624+Y624)</f>
        <v>0</v>
      </c>
      <c r="AA624" s="10" t="n">
        <f aca="false">IF(A624="","",IFERROR(Z624*INDEX(PUA_TABLE!$I$4:$I$105,MATCH(E624,PUA_TABLE!$C$4:$C$105,1))/1000,0))</f>
        <v>0</v>
      </c>
      <c r="AB624" s="10" t="n">
        <f aca="false">IF(A624="","",IFERROR(L624+AA624,0))</f>
        <v>39037.008890628</v>
      </c>
      <c r="AC624" s="10" t="n">
        <f aca="false">IF(A624="","",IF(Inputs!$B$22="Premium Offset",MIN(Inputs!$B$25,Q624+T624),0))</f>
        <v>0</v>
      </c>
    </row>
    <row r="625" customFormat="false" ht="15" hidden="false" customHeight="false" outlineLevel="0" collapsed="false">
      <c r="A625" s="1" t="n">
        <f aca="false">IF(A624="","",IF(INT((C624+1)/12)+Inputs!$B$7&gt;MAX(MORTALITY!$A:$A),"",Inputs!$B$4))</f>
        <v>34</v>
      </c>
      <c r="B625" s="3" t="n">
        <f aca="false">IF(A625="","",EOMONTH(B624,1))</f>
        <v>40694</v>
      </c>
      <c r="C625" s="1" t="n">
        <f aca="false">IF(A625="","",C624+1)</f>
        <v>623</v>
      </c>
      <c r="D625" s="1" t="n">
        <f aca="false">IF(A625="","",INT(C625/12))</f>
        <v>51</v>
      </c>
      <c r="E625" s="1" t="n">
        <f aca="false">IF(A625="","",D625+Inputs!$B$7)</f>
        <v>67</v>
      </c>
      <c r="F625" s="3" t="n">
        <f aca="false">IF(A625="","",DATE(YEAR(B$2)+D625,MONTH(B$2),DAY(B$2)))</f>
        <v>40334</v>
      </c>
      <c r="G625" s="3" t="n">
        <f aca="false">IF(A625="","",DATE(YEAR(F625)+1,MONTH(F625),DAY(F625)))</f>
        <v>40699</v>
      </c>
      <c r="H625" s="10" t="n">
        <f aca="false">IF(A625="","",IF(G625&gt;F625,(B625-F625)/(G625-F625),0))</f>
        <v>0.986301369863014</v>
      </c>
      <c r="I625" s="10" t="n">
        <f aca="false">IF(A625="","",IFERROR(INDEX(CV_RATES!$I:$I,MATCH(D625,CV_RATES!$C:$C,0)),0))</f>
        <v>772.496541837585</v>
      </c>
      <c r="J625" s="10" t="n">
        <f aca="false">IF(A625="","",IFERROR(IF(E625=MAX(MORTALITY!$A:$A),1000,INDEX(CV_RATES!$J:$J,MATCH(D625,CV_RATES!$C:$C,0))),0))</f>
        <v>781.642217007389</v>
      </c>
      <c r="K625" s="10" t="n">
        <f aca="false">IF(A625="","",IFERROR(I625+H625*(J625-I625),0))</f>
        <v>781.516933785885</v>
      </c>
      <c r="L625" s="10" t="n">
        <f aca="false">IF(A625="","",IFERROR(K625*Inputs!$B$9,0))</f>
        <v>39075.8466892942</v>
      </c>
      <c r="M625" s="10" t="n">
        <f aca="false">IF(A625="","",IFERROR(K625*Inputs!$B$10,0))</f>
        <v>125040.36485494</v>
      </c>
      <c r="N625" s="10" t="n">
        <f aca="false">IF(A625="","",Z624)</f>
        <v>0</v>
      </c>
      <c r="O625" s="6" t="n">
        <f aca="false">IF(A625="","",Inputs!$B$18+N625)</f>
        <v>50000</v>
      </c>
      <c r="P625" s="5" t="n">
        <f aca="false">IF(A625="","",VLOOKUP(D625,DIvidend_Assumption!$A$3:$CX$103,($E$2+2),0)/12)</f>
        <v>0</v>
      </c>
      <c r="Q625" s="10" t="n">
        <f aca="false">IF(A625="","",IFERROR(AB624*P625,""))</f>
        <v>0</v>
      </c>
      <c r="R625" s="10" t="n">
        <f aca="false">IF(A625="","",IFERROR(IF(Inputs!$B$22="Accumulate",T625+Q625,IF(Inputs!$B$22="Premium Offset",MAX(0,T625+Q625-Inputs!$B$25),T625)),""))</f>
        <v>0</v>
      </c>
      <c r="S625" s="10" t="n">
        <f aca="false">IF(A625="","",R624)</f>
        <v>0</v>
      </c>
      <c r="T625" s="10" t="n">
        <f aca="false">IF(A625="","",IFERROR(S625*(1+Inputs!$B$23/12),""))</f>
        <v>0</v>
      </c>
      <c r="U625" s="6" t="n">
        <f aca="false">IF(A625="","",IF(D625&lt;=Inputs!$B$8,IF(Inputs!$B$22="Premium Offset",MAX(0,Inputs!$B$25-(Q625+T625)),Inputs!$B$25),0))</f>
        <v>0</v>
      </c>
      <c r="V625" s="10" t="n">
        <f aca="false">IF(A625="","",IF(Inputs!$B$22="Cash",Q625,0))</f>
        <v>0</v>
      </c>
      <c r="W625" s="10" t="n">
        <f aca="false">IF(A625="","",IF(Inputs!$B$22="PUA",Q625,0))</f>
        <v>0</v>
      </c>
      <c r="X625" s="12" t="n">
        <f aca="false">IF(A625="","",IFERROR(INDEX(PUA_TABLE!$D$4:$D$105,MATCH(E625,PUA_TABLE!$C$4:$C$105,1)),0))</f>
        <v>0.772496541837585</v>
      </c>
      <c r="Y625" s="10" t="n">
        <f aca="false">IF(A625="","",IF(W625&gt;0,IF(X625&gt;0,W625/X625,0),0))</f>
        <v>0</v>
      </c>
      <c r="Z625" s="10" t="n">
        <f aca="false">IF(A625="","",N625+Y625)</f>
        <v>0</v>
      </c>
      <c r="AA625" s="10" t="n">
        <f aca="false">IF(A625="","",IFERROR(Z625*INDEX(PUA_TABLE!$I$4:$I$105,MATCH(E625,PUA_TABLE!$C$4:$C$105,1))/1000,0))</f>
        <v>0</v>
      </c>
      <c r="AB625" s="10" t="n">
        <f aca="false">IF(A625="","",IFERROR(L625+AA625,0))</f>
        <v>39075.8466892942</v>
      </c>
      <c r="AC625" s="10" t="n">
        <f aca="false">IF(A625="","",IF(Inputs!$B$22="Premium Offset",MIN(Inputs!$B$25,Q625+T625),0))</f>
        <v>0</v>
      </c>
    </row>
    <row r="626" customFormat="false" ht="15" hidden="false" customHeight="false" outlineLevel="0" collapsed="false">
      <c r="A626" s="1" t="n">
        <f aca="false">IF(A625="","",IF(INT((C625+1)/12)+Inputs!$B$7&gt;MAX(MORTALITY!$A:$A),"",Inputs!$B$4))</f>
        <v>34</v>
      </c>
      <c r="B626" s="3" t="n">
        <f aca="false">IF(A626="","",EOMONTH(B625,1))</f>
        <v>40724</v>
      </c>
      <c r="C626" s="1" t="n">
        <f aca="false">IF(A626="","",C625+1)</f>
        <v>624</v>
      </c>
      <c r="D626" s="1" t="n">
        <f aca="false">IF(A626="","",INT(C626/12))</f>
        <v>52</v>
      </c>
      <c r="E626" s="1" t="n">
        <f aca="false">IF(A626="","",D626+Inputs!$B$7)</f>
        <v>68</v>
      </c>
      <c r="F626" s="3" t="n">
        <f aca="false">IF(A626="","",DATE(YEAR(B$2)+D626,MONTH(B$2),DAY(B$2)))</f>
        <v>40699</v>
      </c>
      <c r="G626" s="3" t="n">
        <f aca="false">IF(A626="","",DATE(YEAR(F626)+1,MONTH(F626),DAY(F626)))</f>
        <v>41065</v>
      </c>
      <c r="H626" s="10" t="n">
        <f aca="false">IF(A626="","",IF(G626&gt;F626,(B626-F626)/(G626-F626),0))</f>
        <v>0.0683060109289618</v>
      </c>
      <c r="I626" s="10" t="n">
        <f aca="false">IF(A626="","",IFERROR(INDEX(CV_RATES!$I:$I,MATCH(D626,CV_RATES!$C:$C,0)),0))</f>
        <v>781.642217007389</v>
      </c>
      <c r="J626" s="10" t="n">
        <f aca="false">IF(A626="","",IFERROR(IF(E626=MAX(MORTALITY!$A:$A),1000,INDEX(CV_RATES!$J:$J,MATCH(D626,CV_RATES!$C:$C,0))),0))</f>
        <v>790.617849098062</v>
      </c>
      <c r="K626" s="10" t="n">
        <f aca="false">IF(A626="","",IFERROR(I626+H626*(J626-I626),0))</f>
        <v>782.255306631069</v>
      </c>
      <c r="L626" s="10" t="n">
        <f aca="false">IF(A626="","",IFERROR(K626*Inputs!$B$9,0))</f>
        <v>39112.7653315534</v>
      </c>
      <c r="M626" s="10" t="n">
        <f aca="false">IF(A626="","",IFERROR(K626*Inputs!$B$10,0))</f>
        <v>125158.502295051</v>
      </c>
      <c r="N626" s="10" t="n">
        <f aca="false">IF(A626="","",Z625)</f>
        <v>0</v>
      </c>
      <c r="O626" s="6" t="n">
        <f aca="false">IF(A626="","",Inputs!$B$18+N626)</f>
        <v>50000</v>
      </c>
      <c r="P626" s="5" t="n">
        <f aca="false">IF(A626="","",VLOOKUP(D626,DIvidend_Assumption!$A$3:$CX$103,($E$2+2),0)/12)</f>
        <v>0</v>
      </c>
      <c r="Q626" s="10" t="n">
        <f aca="false">IF(A626="","",IFERROR(AB625*P626,""))</f>
        <v>0</v>
      </c>
      <c r="R626" s="10" t="n">
        <f aca="false">IF(A626="","",IFERROR(IF(Inputs!$B$22="Accumulate",T626+Q626,IF(Inputs!$B$22="Premium Offset",MAX(0,T626+Q626-Inputs!$B$25),T626)),""))</f>
        <v>0</v>
      </c>
      <c r="S626" s="10" t="n">
        <f aca="false">IF(A626="","",R625)</f>
        <v>0</v>
      </c>
      <c r="T626" s="10" t="n">
        <f aca="false">IF(A626="","",IFERROR(S626*(1+Inputs!$B$23/12),""))</f>
        <v>0</v>
      </c>
      <c r="U626" s="6" t="n">
        <f aca="false">IF(A626="","",IF(D626&lt;=Inputs!$B$8,IF(Inputs!$B$22="Premium Offset",MAX(0,Inputs!$B$25-(Q626+T626)),Inputs!$B$25),0))</f>
        <v>0</v>
      </c>
      <c r="V626" s="10" t="n">
        <f aca="false">IF(A626="","",IF(Inputs!$B$22="Cash",Q626,0))</f>
        <v>0</v>
      </c>
      <c r="W626" s="10" t="n">
        <f aca="false">IF(A626="","",IF(Inputs!$B$22="PUA",Q626,0))</f>
        <v>0</v>
      </c>
      <c r="X626" s="12" t="n">
        <f aca="false">IF(A626="","",IFERROR(INDEX(PUA_TABLE!$D$4:$D$105,MATCH(E626,PUA_TABLE!$C$4:$C$105,1)),0))</f>
        <v>0.781642217007389</v>
      </c>
      <c r="Y626" s="10" t="n">
        <f aca="false">IF(A626="","",IF(W626&gt;0,IF(X626&gt;0,W626/X626,0),0))</f>
        <v>0</v>
      </c>
      <c r="Z626" s="10" t="n">
        <f aca="false">IF(A626="","",N626+Y626)</f>
        <v>0</v>
      </c>
      <c r="AA626" s="10" t="n">
        <f aca="false">IF(A626="","",IFERROR(Z626*INDEX(PUA_TABLE!$I$4:$I$105,MATCH(E626,PUA_TABLE!$C$4:$C$105,1))/1000,0))</f>
        <v>0</v>
      </c>
      <c r="AB626" s="10" t="n">
        <f aca="false">IF(A626="","",IFERROR(L626+AA626,0))</f>
        <v>39112.7653315534</v>
      </c>
      <c r="AC626" s="10" t="n">
        <f aca="false">IF(A626="","",IF(Inputs!$B$22="Premium Offset",MIN(Inputs!$B$25,Q626+T626),0))</f>
        <v>0</v>
      </c>
    </row>
    <row r="627" customFormat="false" ht="15" hidden="false" customHeight="false" outlineLevel="0" collapsed="false">
      <c r="A627" s="1" t="n">
        <f aca="false">IF(A626="","",IF(INT((C626+1)/12)+Inputs!$B$7&gt;MAX(MORTALITY!$A:$A),"",Inputs!$B$4))</f>
        <v>34</v>
      </c>
      <c r="B627" s="3" t="n">
        <f aca="false">IF(A627="","",EOMONTH(B626,1))</f>
        <v>40755</v>
      </c>
      <c r="C627" s="1" t="n">
        <f aca="false">IF(A627="","",C626+1)</f>
        <v>625</v>
      </c>
      <c r="D627" s="1" t="n">
        <f aca="false">IF(A627="","",INT(C627/12))</f>
        <v>52</v>
      </c>
      <c r="E627" s="1" t="n">
        <f aca="false">IF(A627="","",D627+Inputs!$B$7)</f>
        <v>68</v>
      </c>
      <c r="F627" s="3" t="n">
        <f aca="false">IF(A627="","",DATE(YEAR(B$2)+D627,MONTH(B$2),DAY(B$2)))</f>
        <v>40699</v>
      </c>
      <c r="G627" s="3" t="n">
        <f aca="false">IF(A627="","",DATE(YEAR(F627)+1,MONTH(F627),DAY(F627)))</f>
        <v>41065</v>
      </c>
      <c r="H627" s="10" t="n">
        <f aca="false">IF(A627="","",IF(G627&gt;F627,(B627-F627)/(G627-F627),0))</f>
        <v>0.153005464480874</v>
      </c>
      <c r="I627" s="10" t="n">
        <f aca="false">IF(A627="","",IFERROR(INDEX(CV_RATES!$I:$I,MATCH(D627,CV_RATES!$C:$C,0)),0))</f>
        <v>781.642217007389</v>
      </c>
      <c r="J627" s="10" t="n">
        <f aca="false">IF(A627="","",IFERROR(IF(E627=MAX(MORTALITY!$A:$A),1000,INDEX(CV_RATES!$J:$J,MATCH(D627,CV_RATES!$C:$C,0))),0))</f>
        <v>790.617849098062</v>
      </c>
      <c r="K627" s="10" t="n">
        <f aca="false">IF(A627="","",IFERROR(I627+H627*(J627-I627),0))</f>
        <v>783.015537764432</v>
      </c>
      <c r="L627" s="10" t="n">
        <f aca="false">IF(A627="","",IFERROR(K627*Inputs!$B$9,0))</f>
        <v>39150.7768882216</v>
      </c>
      <c r="M627" s="10" t="n">
        <f aca="false">IF(A627="","",IFERROR(K627*Inputs!$B$10,0))</f>
        <v>125280.136995696</v>
      </c>
      <c r="N627" s="10" t="n">
        <f aca="false">IF(A627="","",Z626)</f>
        <v>0</v>
      </c>
      <c r="O627" s="6" t="n">
        <f aca="false">IF(A627="","",Inputs!$B$18+N627)</f>
        <v>50000</v>
      </c>
      <c r="P627" s="5" t="n">
        <f aca="false">IF(A627="","",VLOOKUP(D627,DIvidend_Assumption!$A$3:$CX$103,($E$2+2),0)/12)</f>
        <v>0</v>
      </c>
      <c r="Q627" s="10" t="n">
        <f aca="false">IF(A627="","",IFERROR(AB626*P627,""))</f>
        <v>0</v>
      </c>
      <c r="R627" s="10" t="n">
        <f aca="false">IF(A627="","",IFERROR(IF(Inputs!$B$22="Accumulate",T627+Q627,IF(Inputs!$B$22="Premium Offset",MAX(0,T627+Q627-Inputs!$B$25),T627)),""))</f>
        <v>0</v>
      </c>
      <c r="S627" s="10" t="n">
        <f aca="false">IF(A627="","",R626)</f>
        <v>0</v>
      </c>
      <c r="T627" s="10" t="n">
        <f aca="false">IF(A627="","",IFERROR(S627*(1+Inputs!$B$23/12),""))</f>
        <v>0</v>
      </c>
      <c r="U627" s="6" t="n">
        <f aca="false">IF(A627="","",IF(D627&lt;=Inputs!$B$8,IF(Inputs!$B$22="Premium Offset",MAX(0,Inputs!$B$25-(Q627+T627)),Inputs!$B$25),0))</f>
        <v>0</v>
      </c>
      <c r="V627" s="10" t="n">
        <f aca="false">IF(A627="","",IF(Inputs!$B$22="Cash",Q627,0))</f>
        <v>0</v>
      </c>
      <c r="W627" s="10" t="n">
        <f aca="false">IF(A627="","",IF(Inputs!$B$22="PUA",Q627,0))</f>
        <v>0</v>
      </c>
      <c r="X627" s="12" t="n">
        <f aca="false">IF(A627="","",IFERROR(INDEX(PUA_TABLE!$D$4:$D$105,MATCH(E627,PUA_TABLE!$C$4:$C$105,1)),0))</f>
        <v>0.781642217007389</v>
      </c>
      <c r="Y627" s="10" t="n">
        <f aca="false">IF(A627="","",IF(W627&gt;0,IF(X627&gt;0,W627/X627,0),0))</f>
        <v>0</v>
      </c>
      <c r="Z627" s="10" t="n">
        <f aca="false">IF(A627="","",N627+Y627)</f>
        <v>0</v>
      </c>
      <c r="AA627" s="10" t="n">
        <f aca="false">IF(A627="","",IFERROR(Z627*INDEX(PUA_TABLE!$I$4:$I$105,MATCH(E627,PUA_TABLE!$C$4:$C$105,1))/1000,0))</f>
        <v>0</v>
      </c>
      <c r="AB627" s="10" t="n">
        <f aca="false">IF(A627="","",IFERROR(L627+AA627,0))</f>
        <v>39150.7768882216</v>
      </c>
      <c r="AC627" s="10" t="n">
        <f aca="false">IF(A627="","",IF(Inputs!$B$22="Premium Offset",MIN(Inputs!$B$25,Q627+T627),0))</f>
        <v>0</v>
      </c>
    </row>
    <row r="628" customFormat="false" ht="15" hidden="false" customHeight="false" outlineLevel="0" collapsed="false">
      <c r="A628" s="1" t="n">
        <f aca="false">IF(A627="","",IF(INT((C627+1)/12)+Inputs!$B$7&gt;MAX(MORTALITY!$A:$A),"",Inputs!$B$4))</f>
        <v>34</v>
      </c>
      <c r="B628" s="3" t="n">
        <f aca="false">IF(A628="","",EOMONTH(B627,1))</f>
        <v>40786</v>
      </c>
      <c r="C628" s="1" t="n">
        <f aca="false">IF(A628="","",C627+1)</f>
        <v>626</v>
      </c>
      <c r="D628" s="1" t="n">
        <f aca="false">IF(A628="","",INT(C628/12))</f>
        <v>52</v>
      </c>
      <c r="E628" s="1" t="n">
        <f aca="false">IF(A628="","",D628+Inputs!$B$7)</f>
        <v>68</v>
      </c>
      <c r="F628" s="3" t="n">
        <f aca="false">IF(A628="","",DATE(YEAR(B$2)+D628,MONTH(B$2),DAY(B$2)))</f>
        <v>40699</v>
      </c>
      <c r="G628" s="3" t="n">
        <f aca="false">IF(A628="","",DATE(YEAR(F628)+1,MONTH(F628),DAY(F628)))</f>
        <v>41065</v>
      </c>
      <c r="H628" s="10" t="n">
        <f aca="false">IF(A628="","",IF(G628&gt;F628,(B628-F628)/(G628-F628),0))</f>
        <v>0.237704918032787</v>
      </c>
      <c r="I628" s="10" t="n">
        <f aca="false">IF(A628="","",IFERROR(INDEX(CV_RATES!$I:$I,MATCH(D628,CV_RATES!$C:$C,0)),0))</f>
        <v>781.642217007389</v>
      </c>
      <c r="J628" s="10" t="n">
        <f aca="false">IF(A628="","",IFERROR(IF(E628=MAX(MORTALITY!$A:$A),1000,INDEX(CV_RATES!$J:$J,MATCH(D628,CV_RATES!$C:$C,0))),0))</f>
        <v>790.617849098062</v>
      </c>
      <c r="K628" s="10" t="n">
        <f aca="false">IF(A628="","",IFERROR(I628+H628*(J628-I628),0))</f>
        <v>783.775768897795</v>
      </c>
      <c r="L628" s="10" t="n">
        <f aca="false">IF(A628="","",IFERROR(K628*Inputs!$B$9,0))</f>
        <v>39188.7884448897</v>
      </c>
      <c r="M628" s="10" t="n">
        <f aca="false">IF(A628="","",IFERROR(K628*Inputs!$B$10,0))</f>
        <v>125401.77169634</v>
      </c>
      <c r="N628" s="10" t="n">
        <f aca="false">IF(A628="","",Z627)</f>
        <v>0</v>
      </c>
      <c r="O628" s="6" t="n">
        <f aca="false">IF(A628="","",Inputs!$B$18+N628)</f>
        <v>50000</v>
      </c>
      <c r="P628" s="5" t="n">
        <f aca="false">IF(A628="","",VLOOKUP(D628,DIvidend_Assumption!$A$3:$CX$103,($E$2+2),0)/12)</f>
        <v>0</v>
      </c>
      <c r="Q628" s="10" t="n">
        <f aca="false">IF(A628="","",IFERROR(AB627*P628,""))</f>
        <v>0</v>
      </c>
      <c r="R628" s="10" t="n">
        <f aca="false">IF(A628="","",IFERROR(IF(Inputs!$B$22="Accumulate",T628+Q628,IF(Inputs!$B$22="Premium Offset",MAX(0,T628+Q628-Inputs!$B$25),T628)),""))</f>
        <v>0</v>
      </c>
      <c r="S628" s="10" t="n">
        <f aca="false">IF(A628="","",R627)</f>
        <v>0</v>
      </c>
      <c r="T628" s="10" t="n">
        <f aca="false">IF(A628="","",IFERROR(S628*(1+Inputs!$B$23/12),""))</f>
        <v>0</v>
      </c>
      <c r="U628" s="6" t="n">
        <f aca="false">IF(A628="","",IF(D628&lt;=Inputs!$B$8,IF(Inputs!$B$22="Premium Offset",MAX(0,Inputs!$B$25-(Q628+T628)),Inputs!$B$25),0))</f>
        <v>0</v>
      </c>
      <c r="V628" s="10" t="n">
        <f aca="false">IF(A628="","",IF(Inputs!$B$22="Cash",Q628,0))</f>
        <v>0</v>
      </c>
      <c r="W628" s="10" t="n">
        <f aca="false">IF(A628="","",IF(Inputs!$B$22="PUA",Q628,0))</f>
        <v>0</v>
      </c>
      <c r="X628" s="12" t="n">
        <f aca="false">IF(A628="","",IFERROR(INDEX(PUA_TABLE!$D$4:$D$105,MATCH(E628,PUA_TABLE!$C$4:$C$105,1)),0))</f>
        <v>0.781642217007389</v>
      </c>
      <c r="Y628" s="10" t="n">
        <f aca="false">IF(A628="","",IF(W628&gt;0,IF(X628&gt;0,W628/X628,0),0))</f>
        <v>0</v>
      </c>
      <c r="Z628" s="10" t="n">
        <f aca="false">IF(A628="","",N628+Y628)</f>
        <v>0</v>
      </c>
      <c r="AA628" s="10" t="n">
        <f aca="false">IF(A628="","",IFERROR(Z628*INDEX(PUA_TABLE!$I$4:$I$105,MATCH(E628,PUA_TABLE!$C$4:$C$105,1))/1000,0))</f>
        <v>0</v>
      </c>
      <c r="AB628" s="10" t="n">
        <f aca="false">IF(A628="","",IFERROR(L628+AA628,0))</f>
        <v>39188.7884448897</v>
      </c>
      <c r="AC628" s="10" t="n">
        <f aca="false">IF(A628="","",IF(Inputs!$B$22="Premium Offset",MIN(Inputs!$B$25,Q628+T628),0))</f>
        <v>0</v>
      </c>
    </row>
    <row r="629" customFormat="false" ht="15" hidden="false" customHeight="false" outlineLevel="0" collapsed="false">
      <c r="A629" s="1" t="n">
        <f aca="false">IF(A628="","",IF(INT((C628+1)/12)+Inputs!$B$7&gt;MAX(MORTALITY!$A:$A),"",Inputs!$B$4))</f>
        <v>34</v>
      </c>
      <c r="B629" s="3" t="n">
        <f aca="false">IF(A629="","",EOMONTH(B628,1))</f>
        <v>40816</v>
      </c>
      <c r="C629" s="1" t="n">
        <f aca="false">IF(A629="","",C628+1)</f>
        <v>627</v>
      </c>
      <c r="D629" s="1" t="n">
        <f aca="false">IF(A629="","",INT(C629/12))</f>
        <v>52</v>
      </c>
      <c r="E629" s="1" t="n">
        <f aca="false">IF(A629="","",D629+Inputs!$B$7)</f>
        <v>68</v>
      </c>
      <c r="F629" s="3" t="n">
        <f aca="false">IF(A629="","",DATE(YEAR(B$2)+D629,MONTH(B$2),DAY(B$2)))</f>
        <v>40699</v>
      </c>
      <c r="G629" s="3" t="n">
        <f aca="false">IF(A629="","",DATE(YEAR(F629)+1,MONTH(F629),DAY(F629)))</f>
        <v>41065</v>
      </c>
      <c r="H629" s="10" t="n">
        <f aca="false">IF(A629="","",IF(G629&gt;F629,(B629-F629)/(G629-F629),0))</f>
        <v>0.319672131147541</v>
      </c>
      <c r="I629" s="10" t="n">
        <f aca="false">IF(A629="","",IFERROR(INDEX(CV_RATES!$I:$I,MATCH(D629,CV_RATES!$C:$C,0)),0))</f>
        <v>781.642217007389</v>
      </c>
      <c r="J629" s="10" t="n">
        <f aca="false">IF(A629="","",IFERROR(IF(E629=MAX(MORTALITY!$A:$A),1000,INDEX(CV_RATES!$J:$J,MATCH(D629,CV_RATES!$C:$C,0))),0))</f>
        <v>790.617849098062</v>
      </c>
      <c r="K629" s="10" t="n">
        <f aca="false">IF(A629="","",IFERROR(I629+H629*(J629-I629),0))</f>
        <v>784.511476446211</v>
      </c>
      <c r="L629" s="10" t="n">
        <f aca="false">IF(A629="","",IFERROR(K629*Inputs!$B$9,0))</f>
        <v>39225.5738223105</v>
      </c>
      <c r="M629" s="10" t="n">
        <f aca="false">IF(A629="","",IFERROR(K629*Inputs!$B$10,0))</f>
        <v>125519.482696964</v>
      </c>
      <c r="N629" s="10" t="n">
        <f aca="false">IF(A629="","",Z628)</f>
        <v>0</v>
      </c>
      <c r="O629" s="6" t="n">
        <f aca="false">IF(A629="","",Inputs!$B$18+N629)</f>
        <v>50000</v>
      </c>
      <c r="P629" s="5" t="n">
        <f aca="false">IF(A629="","",VLOOKUP(D629,DIvidend_Assumption!$A$3:$CX$103,($E$2+2),0)/12)</f>
        <v>0</v>
      </c>
      <c r="Q629" s="10" t="n">
        <f aca="false">IF(A629="","",IFERROR(AB628*P629,""))</f>
        <v>0</v>
      </c>
      <c r="R629" s="10" t="n">
        <f aca="false">IF(A629="","",IFERROR(IF(Inputs!$B$22="Accumulate",T629+Q629,IF(Inputs!$B$22="Premium Offset",MAX(0,T629+Q629-Inputs!$B$25),T629)),""))</f>
        <v>0</v>
      </c>
      <c r="S629" s="10" t="n">
        <f aca="false">IF(A629="","",R628)</f>
        <v>0</v>
      </c>
      <c r="T629" s="10" t="n">
        <f aca="false">IF(A629="","",IFERROR(S629*(1+Inputs!$B$23/12),""))</f>
        <v>0</v>
      </c>
      <c r="U629" s="6" t="n">
        <f aca="false">IF(A629="","",IF(D629&lt;=Inputs!$B$8,IF(Inputs!$B$22="Premium Offset",MAX(0,Inputs!$B$25-(Q629+T629)),Inputs!$B$25),0))</f>
        <v>0</v>
      </c>
      <c r="V629" s="10" t="n">
        <f aca="false">IF(A629="","",IF(Inputs!$B$22="Cash",Q629,0))</f>
        <v>0</v>
      </c>
      <c r="W629" s="10" t="n">
        <f aca="false">IF(A629="","",IF(Inputs!$B$22="PUA",Q629,0))</f>
        <v>0</v>
      </c>
      <c r="X629" s="12" t="n">
        <f aca="false">IF(A629="","",IFERROR(INDEX(PUA_TABLE!$D$4:$D$105,MATCH(E629,PUA_TABLE!$C$4:$C$105,1)),0))</f>
        <v>0.781642217007389</v>
      </c>
      <c r="Y629" s="10" t="n">
        <f aca="false">IF(A629="","",IF(W629&gt;0,IF(X629&gt;0,W629/X629,0),0))</f>
        <v>0</v>
      </c>
      <c r="Z629" s="10" t="n">
        <f aca="false">IF(A629="","",N629+Y629)</f>
        <v>0</v>
      </c>
      <c r="AA629" s="10" t="n">
        <f aca="false">IF(A629="","",IFERROR(Z629*INDEX(PUA_TABLE!$I$4:$I$105,MATCH(E629,PUA_TABLE!$C$4:$C$105,1))/1000,0))</f>
        <v>0</v>
      </c>
      <c r="AB629" s="10" t="n">
        <f aca="false">IF(A629="","",IFERROR(L629+AA629,0))</f>
        <v>39225.5738223105</v>
      </c>
      <c r="AC629" s="10" t="n">
        <f aca="false">IF(A629="","",IF(Inputs!$B$22="Premium Offset",MIN(Inputs!$B$25,Q629+T629),0))</f>
        <v>0</v>
      </c>
    </row>
    <row r="630" customFormat="false" ht="15" hidden="false" customHeight="false" outlineLevel="0" collapsed="false">
      <c r="A630" s="1" t="n">
        <f aca="false">IF(A629="","",IF(INT((C629+1)/12)+Inputs!$B$7&gt;MAX(MORTALITY!$A:$A),"",Inputs!$B$4))</f>
        <v>34</v>
      </c>
      <c r="B630" s="3" t="n">
        <f aca="false">IF(A630="","",EOMONTH(B629,1))</f>
        <v>40847</v>
      </c>
      <c r="C630" s="1" t="n">
        <f aca="false">IF(A630="","",C629+1)</f>
        <v>628</v>
      </c>
      <c r="D630" s="1" t="n">
        <f aca="false">IF(A630="","",INT(C630/12))</f>
        <v>52</v>
      </c>
      <c r="E630" s="1" t="n">
        <f aca="false">IF(A630="","",D630+Inputs!$B$7)</f>
        <v>68</v>
      </c>
      <c r="F630" s="3" t="n">
        <f aca="false">IF(A630="","",DATE(YEAR(B$2)+D630,MONTH(B$2),DAY(B$2)))</f>
        <v>40699</v>
      </c>
      <c r="G630" s="3" t="n">
        <f aca="false">IF(A630="","",DATE(YEAR(F630)+1,MONTH(F630),DAY(F630)))</f>
        <v>41065</v>
      </c>
      <c r="H630" s="10" t="n">
        <f aca="false">IF(A630="","",IF(G630&gt;F630,(B630-F630)/(G630-F630),0))</f>
        <v>0.404371584699454</v>
      </c>
      <c r="I630" s="10" t="n">
        <f aca="false">IF(A630="","",IFERROR(INDEX(CV_RATES!$I:$I,MATCH(D630,CV_RATES!$C:$C,0)),0))</f>
        <v>781.642217007389</v>
      </c>
      <c r="J630" s="10" t="n">
        <f aca="false">IF(A630="","",IFERROR(IF(E630=MAX(MORTALITY!$A:$A),1000,INDEX(CV_RATES!$J:$J,MATCH(D630,CV_RATES!$C:$C,0))),0))</f>
        <v>790.617849098062</v>
      </c>
      <c r="K630" s="10" t="n">
        <f aca="false">IF(A630="","",IFERROR(I630+H630*(J630-I630),0))</f>
        <v>785.271707579574</v>
      </c>
      <c r="L630" s="10" t="n">
        <f aca="false">IF(A630="","",IFERROR(K630*Inputs!$B$9,0))</f>
        <v>39263.5853789787</v>
      </c>
      <c r="M630" s="10" t="n">
        <f aca="false">IF(A630="","",IFERROR(K630*Inputs!$B$10,0))</f>
        <v>125641.117397609</v>
      </c>
      <c r="N630" s="10" t="n">
        <f aca="false">IF(A630="","",Z629)</f>
        <v>0</v>
      </c>
      <c r="O630" s="6" t="n">
        <f aca="false">IF(A630="","",Inputs!$B$18+N630)</f>
        <v>50000</v>
      </c>
      <c r="P630" s="5" t="n">
        <f aca="false">IF(A630="","",VLOOKUP(D630,DIvidend_Assumption!$A$3:$CX$103,($E$2+2),0)/12)</f>
        <v>0</v>
      </c>
      <c r="Q630" s="10" t="n">
        <f aca="false">IF(A630="","",IFERROR(AB629*P630,""))</f>
        <v>0</v>
      </c>
      <c r="R630" s="10" t="n">
        <f aca="false">IF(A630="","",IFERROR(IF(Inputs!$B$22="Accumulate",T630+Q630,IF(Inputs!$B$22="Premium Offset",MAX(0,T630+Q630-Inputs!$B$25),T630)),""))</f>
        <v>0</v>
      </c>
      <c r="S630" s="10" t="n">
        <f aca="false">IF(A630="","",R629)</f>
        <v>0</v>
      </c>
      <c r="T630" s="10" t="n">
        <f aca="false">IF(A630="","",IFERROR(S630*(1+Inputs!$B$23/12),""))</f>
        <v>0</v>
      </c>
      <c r="U630" s="6" t="n">
        <f aca="false">IF(A630="","",IF(D630&lt;=Inputs!$B$8,IF(Inputs!$B$22="Premium Offset",MAX(0,Inputs!$B$25-(Q630+T630)),Inputs!$B$25),0))</f>
        <v>0</v>
      </c>
      <c r="V630" s="10" t="n">
        <f aca="false">IF(A630="","",IF(Inputs!$B$22="Cash",Q630,0))</f>
        <v>0</v>
      </c>
      <c r="W630" s="10" t="n">
        <f aca="false">IF(A630="","",IF(Inputs!$B$22="PUA",Q630,0))</f>
        <v>0</v>
      </c>
      <c r="X630" s="12" t="n">
        <f aca="false">IF(A630="","",IFERROR(INDEX(PUA_TABLE!$D$4:$D$105,MATCH(E630,PUA_TABLE!$C$4:$C$105,1)),0))</f>
        <v>0.781642217007389</v>
      </c>
      <c r="Y630" s="10" t="n">
        <f aca="false">IF(A630="","",IF(W630&gt;0,IF(X630&gt;0,W630/X630,0),0))</f>
        <v>0</v>
      </c>
      <c r="Z630" s="10" t="n">
        <f aca="false">IF(A630="","",N630+Y630)</f>
        <v>0</v>
      </c>
      <c r="AA630" s="10" t="n">
        <f aca="false">IF(A630="","",IFERROR(Z630*INDEX(PUA_TABLE!$I$4:$I$105,MATCH(E630,PUA_TABLE!$C$4:$C$105,1))/1000,0))</f>
        <v>0</v>
      </c>
      <c r="AB630" s="10" t="n">
        <f aca="false">IF(A630="","",IFERROR(L630+AA630,0))</f>
        <v>39263.5853789787</v>
      </c>
      <c r="AC630" s="10" t="n">
        <f aca="false">IF(A630="","",IF(Inputs!$B$22="Premium Offset",MIN(Inputs!$B$25,Q630+T630),0))</f>
        <v>0</v>
      </c>
    </row>
    <row r="631" customFormat="false" ht="15" hidden="false" customHeight="false" outlineLevel="0" collapsed="false">
      <c r="A631" s="1" t="n">
        <f aca="false">IF(A630="","",IF(INT((C630+1)/12)+Inputs!$B$7&gt;MAX(MORTALITY!$A:$A),"",Inputs!$B$4))</f>
        <v>34</v>
      </c>
      <c r="B631" s="3" t="n">
        <f aca="false">IF(A631="","",EOMONTH(B630,1))</f>
        <v>40877</v>
      </c>
      <c r="C631" s="1" t="n">
        <f aca="false">IF(A631="","",C630+1)</f>
        <v>629</v>
      </c>
      <c r="D631" s="1" t="n">
        <f aca="false">IF(A631="","",INT(C631/12))</f>
        <v>52</v>
      </c>
      <c r="E631" s="1" t="n">
        <f aca="false">IF(A631="","",D631+Inputs!$B$7)</f>
        <v>68</v>
      </c>
      <c r="F631" s="3" t="n">
        <f aca="false">IF(A631="","",DATE(YEAR(B$2)+D631,MONTH(B$2),DAY(B$2)))</f>
        <v>40699</v>
      </c>
      <c r="G631" s="3" t="n">
        <f aca="false">IF(A631="","",DATE(YEAR(F631)+1,MONTH(F631),DAY(F631)))</f>
        <v>41065</v>
      </c>
      <c r="H631" s="10" t="n">
        <f aca="false">IF(A631="","",IF(G631&gt;F631,(B631-F631)/(G631-F631),0))</f>
        <v>0.486338797814208</v>
      </c>
      <c r="I631" s="10" t="n">
        <f aca="false">IF(A631="","",IFERROR(INDEX(CV_RATES!$I:$I,MATCH(D631,CV_RATES!$C:$C,0)),0))</f>
        <v>781.642217007389</v>
      </c>
      <c r="J631" s="10" t="n">
        <f aca="false">IF(A631="","",IFERROR(IF(E631=MAX(MORTALITY!$A:$A),1000,INDEX(CV_RATES!$J:$J,MATCH(D631,CV_RATES!$C:$C,0))),0))</f>
        <v>790.617849098062</v>
      </c>
      <c r="K631" s="10" t="n">
        <f aca="false">IF(A631="","",IFERROR(I631+H631*(J631-I631),0))</f>
        <v>786.007415127989</v>
      </c>
      <c r="L631" s="10" t="n">
        <f aca="false">IF(A631="","",IFERROR(K631*Inputs!$B$9,0))</f>
        <v>39300.3707563995</v>
      </c>
      <c r="M631" s="10" t="n">
        <f aca="false">IF(A631="","",IFERROR(K631*Inputs!$B$10,0))</f>
        <v>125758.828398233</v>
      </c>
      <c r="N631" s="10" t="n">
        <f aca="false">IF(A631="","",Z630)</f>
        <v>0</v>
      </c>
      <c r="O631" s="6" t="n">
        <f aca="false">IF(A631="","",Inputs!$B$18+N631)</f>
        <v>50000</v>
      </c>
      <c r="P631" s="5" t="n">
        <f aca="false">IF(A631="","",VLOOKUP(D631,DIvidend_Assumption!$A$3:$CX$103,($E$2+2),0)/12)</f>
        <v>0</v>
      </c>
      <c r="Q631" s="10" t="n">
        <f aca="false">IF(A631="","",IFERROR(AB630*P631,""))</f>
        <v>0</v>
      </c>
      <c r="R631" s="10" t="n">
        <f aca="false">IF(A631="","",IFERROR(IF(Inputs!$B$22="Accumulate",T631+Q631,IF(Inputs!$B$22="Premium Offset",MAX(0,T631+Q631-Inputs!$B$25),T631)),""))</f>
        <v>0</v>
      </c>
      <c r="S631" s="10" t="n">
        <f aca="false">IF(A631="","",R630)</f>
        <v>0</v>
      </c>
      <c r="T631" s="10" t="n">
        <f aca="false">IF(A631="","",IFERROR(S631*(1+Inputs!$B$23/12),""))</f>
        <v>0</v>
      </c>
      <c r="U631" s="6" t="n">
        <f aca="false">IF(A631="","",IF(D631&lt;=Inputs!$B$8,IF(Inputs!$B$22="Premium Offset",MAX(0,Inputs!$B$25-(Q631+T631)),Inputs!$B$25),0))</f>
        <v>0</v>
      </c>
      <c r="V631" s="10" t="n">
        <f aca="false">IF(A631="","",IF(Inputs!$B$22="Cash",Q631,0))</f>
        <v>0</v>
      </c>
      <c r="W631" s="10" t="n">
        <f aca="false">IF(A631="","",IF(Inputs!$B$22="PUA",Q631,0))</f>
        <v>0</v>
      </c>
      <c r="X631" s="12" t="n">
        <f aca="false">IF(A631="","",IFERROR(INDEX(PUA_TABLE!$D$4:$D$105,MATCH(E631,PUA_TABLE!$C$4:$C$105,1)),0))</f>
        <v>0.781642217007389</v>
      </c>
      <c r="Y631" s="10" t="n">
        <f aca="false">IF(A631="","",IF(W631&gt;0,IF(X631&gt;0,W631/X631,0),0))</f>
        <v>0</v>
      </c>
      <c r="Z631" s="10" t="n">
        <f aca="false">IF(A631="","",N631+Y631)</f>
        <v>0</v>
      </c>
      <c r="AA631" s="10" t="n">
        <f aca="false">IF(A631="","",IFERROR(Z631*INDEX(PUA_TABLE!$I$4:$I$105,MATCH(E631,PUA_TABLE!$C$4:$C$105,1))/1000,0))</f>
        <v>0</v>
      </c>
      <c r="AB631" s="10" t="n">
        <f aca="false">IF(A631="","",IFERROR(L631+AA631,0))</f>
        <v>39300.3707563995</v>
      </c>
      <c r="AC631" s="10" t="n">
        <f aca="false">IF(A631="","",IF(Inputs!$B$22="Premium Offset",MIN(Inputs!$B$25,Q631+T631),0))</f>
        <v>0</v>
      </c>
    </row>
    <row r="632" customFormat="false" ht="15" hidden="false" customHeight="false" outlineLevel="0" collapsed="false">
      <c r="A632" s="1" t="n">
        <f aca="false">IF(A631="","",IF(INT((C631+1)/12)+Inputs!$B$7&gt;MAX(MORTALITY!$A:$A),"",Inputs!$B$4))</f>
        <v>34</v>
      </c>
      <c r="B632" s="3" t="n">
        <f aca="false">IF(A632="","",EOMONTH(B631,1))</f>
        <v>40908</v>
      </c>
      <c r="C632" s="1" t="n">
        <f aca="false">IF(A632="","",C631+1)</f>
        <v>630</v>
      </c>
      <c r="D632" s="1" t="n">
        <f aca="false">IF(A632="","",INT(C632/12))</f>
        <v>52</v>
      </c>
      <c r="E632" s="1" t="n">
        <f aca="false">IF(A632="","",D632+Inputs!$B$7)</f>
        <v>68</v>
      </c>
      <c r="F632" s="3" t="n">
        <f aca="false">IF(A632="","",DATE(YEAR(B$2)+D632,MONTH(B$2),DAY(B$2)))</f>
        <v>40699</v>
      </c>
      <c r="G632" s="3" t="n">
        <f aca="false">IF(A632="","",DATE(YEAR(F632)+1,MONTH(F632),DAY(F632)))</f>
        <v>41065</v>
      </c>
      <c r="H632" s="10" t="n">
        <f aca="false">IF(A632="","",IF(G632&gt;F632,(B632-F632)/(G632-F632),0))</f>
        <v>0.57103825136612</v>
      </c>
      <c r="I632" s="10" t="n">
        <f aca="false">IF(A632="","",IFERROR(INDEX(CV_RATES!$I:$I,MATCH(D632,CV_RATES!$C:$C,0)),0))</f>
        <v>781.642217007389</v>
      </c>
      <c r="J632" s="10" t="n">
        <f aca="false">IF(A632="","",IFERROR(IF(E632=MAX(MORTALITY!$A:$A),1000,INDEX(CV_RATES!$J:$J,MATCH(D632,CV_RATES!$C:$C,0))),0))</f>
        <v>790.617849098062</v>
      </c>
      <c r="K632" s="10" t="n">
        <f aca="false">IF(A632="","",IFERROR(I632+H632*(J632-I632),0))</f>
        <v>786.767646261352</v>
      </c>
      <c r="L632" s="10" t="n">
        <f aca="false">IF(A632="","",IFERROR(K632*Inputs!$B$9,0))</f>
        <v>39338.3823130676</v>
      </c>
      <c r="M632" s="10" t="n">
        <f aca="false">IF(A632="","",IFERROR(K632*Inputs!$B$10,0))</f>
        <v>125880.463098878</v>
      </c>
      <c r="N632" s="10" t="n">
        <f aca="false">IF(A632="","",Z631)</f>
        <v>0</v>
      </c>
      <c r="O632" s="6" t="n">
        <f aca="false">IF(A632="","",Inputs!$B$18+N632)</f>
        <v>50000</v>
      </c>
      <c r="P632" s="5" t="n">
        <f aca="false">IF(A632="","",VLOOKUP(D632,DIvidend_Assumption!$A$3:$CX$103,($E$2+2),0)/12)</f>
        <v>0</v>
      </c>
      <c r="Q632" s="10" t="n">
        <f aca="false">IF(A632="","",IFERROR(AB631*P632,""))</f>
        <v>0</v>
      </c>
      <c r="R632" s="10" t="n">
        <f aca="false">IF(A632="","",IFERROR(IF(Inputs!$B$22="Accumulate",T632+Q632,IF(Inputs!$B$22="Premium Offset",MAX(0,T632+Q632-Inputs!$B$25),T632)),""))</f>
        <v>0</v>
      </c>
      <c r="S632" s="10" t="n">
        <f aca="false">IF(A632="","",R631)</f>
        <v>0</v>
      </c>
      <c r="T632" s="10" t="n">
        <f aca="false">IF(A632="","",IFERROR(S632*(1+Inputs!$B$23/12),""))</f>
        <v>0</v>
      </c>
      <c r="U632" s="6" t="n">
        <f aca="false">IF(A632="","",IF(D632&lt;=Inputs!$B$8,IF(Inputs!$B$22="Premium Offset",MAX(0,Inputs!$B$25-(Q632+T632)),Inputs!$B$25),0))</f>
        <v>0</v>
      </c>
      <c r="V632" s="10" t="n">
        <f aca="false">IF(A632="","",IF(Inputs!$B$22="Cash",Q632,0))</f>
        <v>0</v>
      </c>
      <c r="W632" s="10" t="n">
        <f aca="false">IF(A632="","",IF(Inputs!$B$22="PUA",Q632,0))</f>
        <v>0</v>
      </c>
      <c r="X632" s="12" t="n">
        <f aca="false">IF(A632="","",IFERROR(INDEX(PUA_TABLE!$D$4:$D$105,MATCH(E632,PUA_TABLE!$C$4:$C$105,1)),0))</f>
        <v>0.781642217007389</v>
      </c>
      <c r="Y632" s="10" t="n">
        <f aca="false">IF(A632="","",IF(W632&gt;0,IF(X632&gt;0,W632/X632,0),0))</f>
        <v>0</v>
      </c>
      <c r="Z632" s="10" t="n">
        <f aca="false">IF(A632="","",N632+Y632)</f>
        <v>0</v>
      </c>
      <c r="AA632" s="10" t="n">
        <f aca="false">IF(A632="","",IFERROR(Z632*INDEX(PUA_TABLE!$I$4:$I$105,MATCH(E632,PUA_TABLE!$C$4:$C$105,1))/1000,0))</f>
        <v>0</v>
      </c>
      <c r="AB632" s="10" t="n">
        <f aca="false">IF(A632="","",IFERROR(L632+AA632,0))</f>
        <v>39338.3823130676</v>
      </c>
      <c r="AC632" s="10" t="n">
        <f aca="false">IF(A632="","",IF(Inputs!$B$22="Premium Offset",MIN(Inputs!$B$25,Q632+T632),0))</f>
        <v>0</v>
      </c>
    </row>
    <row r="633" customFormat="false" ht="15" hidden="false" customHeight="false" outlineLevel="0" collapsed="false">
      <c r="A633" s="1" t="n">
        <f aca="false">IF(A632="","",IF(INT((C632+1)/12)+Inputs!$B$7&gt;MAX(MORTALITY!$A:$A),"",Inputs!$B$4))</f>
        <v>34</v>
      </c>
      <c r="B633" s="3" t="n">
        <f aca="false">IF(A633="","",EOMONTH(B632,1))</f>
        <v>40939</v>
      </c>
      <c r="C633" s="1" t="n">
        <f aca="false">IF(A633="","",C632+1)</f>
        <v>631</v>
      </c>
      <c r="D633" s="1" t="n">
        <f aca="false">IF(A633="","",INT(C633/12))</f>
        <v>52</v>
      </c>
      <c r="E633" s="1" t="n">
        <f aca="false">IF(A633="","",D633+Inputs!$B$7)</f>
        <v>68</v>
      </c>
      <c r="F633" s="3" t="n">
        <f aca="false">IF(A633="","",DATE(YEAR(B$2)+D633,MONTH(B$2),DAY(B$2)))</f>
        <v>40699</v>
      </c>
      <c r="G633" s="3" t="n">
        <f aca="false">IF(A633="","",DATE(YEAR(F633)+1,MONTH(F633),DAY(F633)))</f>
        <v>41065</v>
      </c>
      <c r="H633" s="10" t="n">
        <f aca="false">IF(A633="","",IF(G633&gt;F633,(B633-F633)/(G633-F633),0))</f>
        <v>0.655737704918033</v>
      </c>
      <c r="I633" s="10" t="n">
        <f aca="false">IF(A633="","",IFERROR(INDEX(CV_RATES!$I:$I,MATCH(D633,CV_RATES!$C:$C,0)),0))</f>
        <v>781.642217007389</v>
      </c>
      <c r="J633" s="10" t="n">
        <f aca="false">IF(A633="","",IFERROR(IF(E633=MAX(MORTALITY!$A:$A),1000,INDEX(CV_RATES!$J:$J,MATCH(D633,CV_RATES!$C:$C,0))),0))</f>
        <v>790.617849098062</v>
      </c>
      <c r="K633" s="10" t="n">
        <f aca="false">IF(A633="","",IFERROR(I633+H633*(J633-I633),0))</f>
        <v>787.527877394716</v>
      </c>
      <c r="L633" s="10" t="n">
        <f aca="false">IF(A633="","",IFERROR(K633*Inputs!$B$9,0))</f>
        <v>39376.3938697358</v>
      </c>
      <c r="M633" s="10" t="n">
        <f aca="false">IF(A633="","",IFERROR(K633*Inputs!$B$10,0))</f>
        <v>126002.097799522</v>
      </c>
      <c r="N633" s="10" t="n">
        <f aca="false">IF(A633="","",Z632)</f>
        <v>0</v>
      </c>
      <c r="O633" s="6" t="n">
        <f aca="false">IF(A633="","",Inputs!$B$18+N633)</f>
        <v>50000</v>
      </c>
      <c r="P633" s="5" t="n">
        <f aca="false">IF(A633="","",VLOOKUP(D633,DIvidend_Assumption!$A$3:$CX$103,($E$2+2),0)/12)</f>
        <v>0</v>
      </c>
      <c r="Q633" s="10" t="n">
        <f aca="false">IF(A633="","",IFERROR(AB632*P633,""))</f>
        <v>0</v>
      </c>
      <c r="R633" s="10" t="n">
        <f aca="false">IF(A633="","",IFERROR(IF(Inputs!$B$22="Accumulate",T633+Q633,IF(Inputs!$B$22="Premium Offset",MAX(0,T633+Q633-Inputs!$B$25),T633)),""))</f>
        <v>0</v>
      </c>
      <c r="S633" s="10" t="n">
        <f aca="false">IF(A633="","",R632)</f>
        <v>0</v>
      </c>
      <c r="T633" s="10" t="n">
        <f aca="false">IF(A633="","",IFERROR(S633*(1+Inputs!$B$23/12),""))</f>
        <v>0</v>
      </c>
      <c r="U633" s="6" t="n">
        <f aca="false">IF(A633="","",IF(D633&lt;=Inputs!$B$8,IF(Inputs!$B$22="Premium Offset",MAX(0,Inputs!$B$25-(Q633+T633)),Inputs!$B$25),0))</f>
        <v>0</v>
      </c>
      <c r="V633" s="10" t="n">
        <f aca="false">IF(A633="","",IF(Inputs!$B$22="Cash",Q633,0))</f>
        <v>0</v>
      </c>
      <c r="W633" s="10" t="n">
        <f aca="false">IF(A633="","",IF(Inputs!$B$22="PUA",Q633,0))</f>
        <v>0</v>
      </c>
      <c r="X633" s="12" t="n">
        <f aca="false">IF(A633="","",IFERROR(INDEX(PUA_TABLE!$D$4:$D$105,MATCH(E633,PUA_TABLE!$C$4:$C$105,1)),0))</f>
        <v>0.781642217007389</v>
      </c>
      <c r="Y633" s="10" t="n">
        <f aca="false">IF(A633="","",IF(W633&gt;0,IF(X633&gt;0,W633/X633,0),0))</f>
        <v>0</v>
      </c>
      <c r="Z633" s="10" t="n">
        <f aca="false">IF(A633="","",N633+Y633)</f>
        <v>0</v>
      </c>
      <c r="AA633" s="10" t="n">
        <f aca="false">IF(A633="","",IFERROR(Z633*INDEX(PUA_TABLE!$I$4:$I$105,MATCH(E633,PUA_TABLE!$C$4:$C$105,1))/1000,0))</f>
        <v>0</v>
      </c>
      <c r="AB633" s="10" t="n">
        <f aca="false">IF(A633="","",IFERROR(L633+AA633,0))</f>
        <v>39376.3938697358</v>
      </c>
      <c r="AC633" s="10" t="n">
        <f aca="false">IF(A633="","",IF(Inputs!$B$22="Premium Offset",MIN(Inputs!$B$25,Q633+T633),0))</f>
        <v>0</v>
      </c>
    </row>
    <row r="634" customFormat="false" ht="15" hidden="false" customHeight="false" outlineLevel="0" collapsed="false">
      <c r="A634" s="1" t="n">
        <f aca="false">IF(A633="","",IF(INT((C633+1)/12)+Inputs!$B$7&gt;MAX(MORTALITY!$A:$A),"",Inputs!$B$4))</f>
        <v>34</v>
      </c>
      <c r="B634" s="3" t="n">
        <f aca="false">IF(A634="","",EOMONTH(B633,1))</f>
        <v>40968</v>
      </c>
      <c r="C634" s="1" t="n">
        <f aca="false">IF(A634="","",C633+1)</f>
        <v>632</v>
      </c>
      <c r="D634" s="1" t="n">
        <f aca="false">IF(A634="","",INT(C634/12))</f>
        <v>52</v>
      </c>
      <c r="E634" s="1" t="n">
        <f aca="false">IF(A634="","",D634+Inputs!$B$7)</f>
        <v>68</v>
      </c>
      <c r="F634" s="3" t="n">
        <f aca="false">IF(A634="","",DATE(YEAR(B$2)+D634,MONTH(B$2),DAY(B$2)))</f>
        <v>40699</v>
      </c>
      <c r="G634" s="3" t="n">
        <f aca="false">IF(A634="","",DATE(YEAR(F634)+1,MONTH(F634),DAY(F634)))</f>
        <v>41065</v>
      </c>
      <c r="H634" s="10" t="n">
        <f aca="false">IF(A634="","",IF(G634&gt;F634,(B634-F634)/(G634-F634),0))</f>
        <v>0.734972677595629</v>
      </c>
      <c r="I634" s="10" t="n">
        <f aca="false">IF(A634="","",IFERROR(INDEX(CV_RATES!$I:$I,MATCH(D634,CV_RATES!$C:$C,0)),0))</f>
        <v>781.642217007389</v>
      </c>
      <c r="J634" s="10" t="n">
        <f aca="false">IF(A634="","",IFERROR(IF(E634=MAX(MORTALITY!$A:$A),1000,INDEX(CV_RATES!$J:$J,MATCH(D634,CV_RATES!$C:$C,0))),0))</f>
        <v>790.617849098062</v>
      </c>
      <c r="K634" s="10" t="n">
        <f aca="false">IF(A634="","",IFERROR(I634+H634*(J634-I634),0))</f>
        <v>788.239061358184</v>
      </c>
      <c r="L634" s="10" t="n">
        <f aca="false">IF(A634="","",IFERROR(K634*Inputs!$B$9,0))</f>
        <v>39411.9530679092</v>
      </c>
      <c r="M634" s="10" t="n">
        <f aca="false">IF(A634="","",IFERROR(K634*Inputs!$B$10,0))</f>
        <v>126115.885100125</v>
      </c>
      <c r="N634" s="10" t="n">
        <f aca="false">IF(A634="","",Z633)</f>
        <v>0</v>
      </c>
      <c r="O634" s="6" t="n">
        <f aca="false">IF(A634="","",Inputs!$B$18+N634)</f>
        <v>50000</v>
      </c>
      <c r="P634" s="5" t="n">
        <f aca="false">IF(A634="","",VLOOKUP(D634,DIvidend_Assumption!$A$3:$CX$103,($E$2+2),0)/12)</f>
        <v>0</v>
      </c>
      <c r="Q634" s="10" t="n">
        <f aca="false">IF(A634="","",IFERROR(AB633*P634,""))</f>
        <v>0</v>
      </c>
      <c r="R634" s="10" t="n">
        <f aca="false">IF(A634="","",IFERROR(IF(Inputs!$B$22="Accumulate",T634+Q634,IF(Inputs!$B$22="Premium Offset",MAX(0,T634+Q634-Inputs!$B$25),T634)),""))</f>
        <v>0</v>
      </c>
      <c r="S634" s="10" t="n">
        <f aca="false">IF(A634="","",R633)</f>
        <v>0</v>
      </c>
      <c r="T634" s="10" t="n">
        <f aca="false">IF(A634="","",IFERROR(S634*(1+Inputs!$B$23/12),""))</f>
        <v>0</v>
      </c>
      <c r="U634" s="6" t="n">
        <f aca="false">IF(A634="","",IF(D634&lt;=Inputs!$B$8,IF(Inputs!$B$22="Premium Offset",MAX(0,Inputs!$B$25-(Q634+T634)),Inputs!$B$25),0))</f>
        <v>0</v>
      </c>
      <c r="V634" s="10" t="n">
        <f aca="false">IF(A634="","",IF(Inputs!$B$22="Cash",Q634,0))</f>
        <v>0</v>
      </c>
      <c r="W634" s="10" t="n">
        <f aca="false">IF(A634="","",IF(Inputs!$B$22="PUA",Q634,0))</f>
        <v>0</v>
      </c>
      <c r="X634" s="12" t="n">
        <f aca="false">IF(A634="","",IFERROR(INDEX(PUA_TABLE!$D$4:$D$105,MATCH(E634,PUA_TABLE!$C$4:$C$105,1)),0))</f>
        <v>0.781642217007389</v>
      </c>
      <c r="Y634" s="10" t="n">
        <f aca="false">IF(A634="","",IF(W634&gt;0,IF(X634&gt;0,W634/X634,0),0))</f>
        <v>0</v>
      </c>
      <c r="Z634" s="10" t="n">
        <f aca="false">IF(A634="","",N634+Y634)</f>
        <v>0</v>
      </c>
      <c r="AA634" s="10" t="n">
        <f aca="false">IF(A634="","",IFERROR(Z634*INDEX(PUA_TABLE!$I$4:$I$105,MATCH(E634,PUA_TABLE!$C$4:$C$105,1))/1000,0))</f>
        <v>0</v>
      </c>
      <c r="AB634" s="10" t="n">
        <f aca="false">IF(A634="","",IFERROR(L634+AA634,0))</f>
        <v>39411.9530679092</v>
      </c>
      <c r="AC634" s="10" t="n">
        <f aca="false">IF(A634="","",IF(Inputs!$B$22="Premium Offset",MIN(Inputs!$B$25,Q634+T634),0))</f>
        <v>0</v>
      </c>
    </row>
    <row r="635" customFormat="false" ht="15" hidden="false" customHeight="false" outlineLevel="0" collapsed="false">
      <c r="A635" s="1" t="n">
        <f aca="false">IF(A634="","",IF(INT((C634+1)/12)+Inputs!$B$7&gt;MAX(MORTALITY!$A:$A),"",Inputs!$B$4))</f>
        <v>34</v>
      </c>
      <c r="B635" s="3" t="n">
        <f aca="false">IF(A635="","",EOMONTH(B634,1))</f>
        <v>40999</v>
      </c>
      <c r="C635" s="1" t="n">
        <f aca="false">IF(A635="","",C634+1)</f>
        <v>633</v>
      </c>
      <c r="D635" s="1" t="n">
        <f aca="false">IF(A635="","",INT(C635/12))</f>
        <v>52</v>
      </c>
      <c r="E635" s="1" t="n">
        <f aca="false">IF(A635="","",D635+Inputs!$B$7)</f>
        <v>68</v>
      </c>
      <c r="F635" s="3" t="n">
        <f aca="false">IF(A635="","",DATE(YEAR(B$2)+D635,MONTH(B$2),DAY(B$2)))</f>
        <v>40699</v>
      </c>
      <c r="G635" s="3" t="n">
        <f aca="false">IF(A635="","",DATE(YEAR(F635)+1,MONTH(F635),DAY(F635)))</f>
        <v>41065</v>
      </c>
      <c r="H635" s="10" t="n">
        <f aca="false">IF(A635="","",IF(G635&gt;F635,(B635-F635)/(G635-F635),0))</f>
        <v>0.819672131147541</v>
      </c>
      <c r="I635" s="10" t="n">
        <f aca="false">IF(A635="","",IFERROR(INDEX(CV_RATES!$I:$I,MATCH(D635,CV_RATES!$C:$C,0)),0))</f>
        <v>781.642217007389</v>
      </c>
      <c r="J635" s="10" t="n">
        <f aca="false">IF(A635="","",IFERROR(IF(E635=MAX(MORTALITY!$A:$A),1000,INDEX(CV_RATES!$J:$J,MATCH(D635,CV_RATES!$C:$C,0))),0))</f>
        <v>790.617849098062</v>
      </c>
      <c r="K635" s="10" t="n">
        <f aca="false">IF(A635="","",IFERROR(I635+H635*(J635-I635),0))</f>
        <v>788.999292491547</v>
      </c>
      <c r="L635" s="10" t="n">
        <f aca="false">IF(A635="","",IFERROR(K635*Inputs!$B$9,0))</f>
        <v>39449.9646245774</v>
      </c>
      <c r="M635" s="10" t="n">
        <f aca="false">IF(A635="","",IFERROR(K635*Inputs!$B$10,0))</f>
        <v>126237.51980077</v>
      </c>
      <c r="N635" s="10" t="n">
        <f aca="false">IF(A635="","",Z634)</f>
        <v>0</v>
      </c>
      <c r="O635" s="6" t="n">
        <f aca="false">IF(A635="","",Inputs!$B$18+N635)</f>
        <v>50000</v>
      </c>
      <c r="P635" s="5" t="n">
        <f aca="false">IF(A635="","",VLOOKUP(D635,DIvidend_Assumption!$A$3:$CX$103,($E$2+2),0)/12)</f>
        <v>0</v>
      </c>
      <c r="Q635" s="10" t="n">
        <f aca="false">IF(A635="","",IFERROR(AB634*P635,""))</f>
        <v>0</v>
      </c>
      <c r="R635" s="10" t="n">
        <f aca="false">IF(A635="","",IFERROR(IF(Inputs!$B$22="Accumulate",T635+Q635,IF(Inputs!$B$22="Premium Offset",MAX(0,T635+Q635-Inputs!$B$25),T635)),""))</f>
        <v>0</v>
      </c>
      <c r="S635" s="10" t="n">
        <f aca="false">IF(A635="","",R634)</f>
        <v>0</v>
      </c>
      <c r="T635" s="10" t="n">
        <f aca="false">IF(A635="","",IFERROR(S635*(1+Inputs!$B$23/12),""))</f>
        <v>0</v>
      </c>
      <c r="U635" s="6" t="n">
        <f aca="false">IF(A635="","",IF(D635&lt;=Inputs!$B$8,IF(Inputs!$B$22="Premium Offset",MAX(0,Inputs!$B$25-(Q635+T635)),Inputs!$B$25),0))</f>
        <v>0</v>
      </c>
      <c r="V635" s="10" t="n">
        <f aca="false">IF(A635="","",IF(Inputs!$B$22="Cash",Q635,0))</f>
        <v>0</v>
      </c>
      <c r="W635" s="10" t="n">
        <f aca="false">IF(A635="","",IF(Inputs!$B$22="PUA",Q635,0))</f>
        <v>0</v>
      </c>
      <c r="X635" s="12" t="n">
        <f aca="false">IF(A635="","",IFERROR(INDEX(PUA_TABLE!$D$4:$D$105,MATCH(E635,PUA_TABLE!$C$4:$C$105,1)),0))</f>
        <v>0.781642217007389</v>
      </c>
      <c r="Y635" s="10" t="n">
        <f aca="false">IF(A635="","",IF(W635&gt;0,IF(X635&gt;0,W635/X635,0),0))</f>
        <v>0</v>
      </c>
      <c r="Z635" s="10" t="n">
        <f aca="false">IF(A635="","",N635+Y635)</f>
        <v>0</v>
      </c>
      <c r="AA635" s="10" t="n">
        <f aca="false">IF(A635="","",IFERROR(Z635*INDEX(PUA_TABLE!$I$4:$I$105,MATCH(E635,PUA_TABLE!$C$4:$C$105,1))/1000,0))</f>
        <v>0</v>
      </c>
      <c r="AB635" s="10" t="n">
        <f aca="false">IF(A635="","",IFERROR(L635+AA635,0))</f>
        <v>39449.9646245774</v>
      </c>
      <c r="AC635" s="10" t="n">
        <f aca="false">IF(A635="","",IF(Inputs!$B$22="Premium Offset",MIN(Inputs!$B$25,Q635+T635),0))</f>
        <v>0</v>
      </c>
    </row>
    <row r="636" customFormat="false" ht="15" hidden="false" customHeight="false" outlineLevel="0" collapsed="false">
      <c r="A636" s="1" t="n">
        <f aca="false">IF(A635="","",IF(INT((C635+1)/12)+Inputs!$B$7&gt;MAX(MORTALITY!$A:$A),"",Inputs!$B$4))</f>
        <v>34</v>
      </c>
      <c r="B636" s="3" t="n">
        <f aca="false">IF(A636="","",EOMONTH(B635,1))</f>
        <v>41029</v>
      </c>
      <c r="C636" s="1" t="n">
        <f aca="false">IF(A636="","",C635+1)</f>
        <v>634</v>
      </c>
      <c r="D636" s="1" t="n">
        <f aca="false">IF(A636="","",INT(C636/12))</f>
        <v>52</v>
      </c>
      <c r="E636" s="1" t="n">
        <f aca="false">IF(A636="","",D636+Inputs!$B$7)</f>
        <v>68</v>
      </c>
      <c r="F636" s="3" t="n">
        <f aca="false">IF(A636="","",DATE(YEAR(B$2)+D636,MONTH(B$2),DAY(B$2)))</f>
        <v>40699</v>
      </c>
      <c r="G636" s="3" t="n">
        <f aca="false">IF(A636="","",DATE(YEAR(F636)+1,MONTH(F636),DAY(F636)))</f>
        <v>41065</v>
      </c>
      <c r="H636" s="10" t="n">
        <f aca="false">IF(A636="","",IF(G636&gt;F636,(B636-F636)/(G636-F636),0))</f>
        <v>0.901639344262295</v>
      </c>
      <c r="I636" s="10" t="n">
        <f aca="false">IF(A636="","",IFERROR(INDEX(CV_RATES!$I:$I,MATCH(D636,CV_RATES!$C:$C,0)),0))</f>
        <v>781.642217007389</v>
      </c>
      <c r="J636" s="10" t="n">
        <f aca="false">IF(A636="","",IFERROR(IF(E636=MAX(MORTALITY!$A:$A),1000,INDEX(CV_RATES!$J:$J,MATCH(D636,CV_RATES!$C:$C,0))),0))</f>
        <v>790.617849098062</v>
      </c>
      <c r="K636" s="10" t="n">
        <f aca="false">IF(A636="","",IFERROR(I636+H636*(J636-I636),0))</f>
        <v>789.735000039963</v>
      </c>
      <c r="L636" s="10" t="n">
        <f aca="false">IF(A636="","",IFERROR(K636*Inputs!$B$9,0))</f>
        <v>39486.7500019981</v>
      </c>
      <c r="M636" s="10" t="n">
        <f aca="false">IF(A636="","",IFERROR(K636*Inputs!$B$10,0))</f>
        <v>126355.230801394</v>
      </c>
      <c r="N636" s="10" t="n">
        <f aca="false">IF(A636="","",Z635)</f>
        <v>0</v>
      </c>
      <c r="O636" s="6" t="n">
        <f aca="false">IF(A636="","",Inputs!$B$18+N636)</f>
        <v>50000</v>
      </c>
      <c r="P636" s="5" t="n">
        <f aca="false">IF(A636="","",VLOOKUP(D636,DIvidend_Assumption!$A$3:$CX$103,($E$2+2),0)/12)</f>
        <v>0</v>
      </c>
      <c r="Q636" s="10" t="n">
        <f aca="false">IF(A636="","",IFERROR(AB635*P636,""))</f>
        <v>0</v>
      </c>
      <c r="R636" s="10" t="n">
        <f aca="false">IF(A636="","",IFERROR(IF(Inputs!$B$22="Accumulate",T636+Q636,IF(Inputs!$B$22="Premium Offset",MAX(0,T636+Q636-Inputs!$B$25),T636)),""))</f>
        <v>0</v>
      </c>
      <c r="S636" s="10" t="n">
        <f aca="false">IF(A636="","",R635)</f>
        <v>0</v>
      </c>
      <c r="T636" s="10" t="n">
        <f aca="false">IF(A636="","",IFERROR(S636*(1+Inputs!$B$23/12),""))</f>
        <v>0</v>
      </c>
      <c r="U636" s="6" t="n">
        <f aca="false">IF(A636="","",IF(D636&lt;=Inputs!$B$8,IF(Inputs!$B$22="Premium Offset",MAX(0,Inputs!$B$25-(Q636+T636)),Inputs!$B$25),0))</f>
        <v>0</v>
      </c>
      <c r="V636" s="10" t="n">
        <f aca="false">IF(A636="","",IF(Inputs!$B$22="Cash",Q636,0))</f>
        <v>0</v>
      </c>
      <c r="W636" s="10" t="n">
        <f aca="false">IF(A636="","",IF(Inputs!$B$22="PUA",Q636,0))</f>
        <v>0</v>
      </c>
      <c r="X636" s="12" t="n">
        <f aca="false">IF(A636="","",IFERROR(INDEX(PUA_TABLE!$D$4:$D$105,MATCH(E636,PUA_TABLE!$C$4:$C$105,1)),0))</f>
        <v>0.781642217007389</v>
      </c>
      <c r="Y636" s="10" t="n">
        <f aca="false">IF(A636="","",IF(W636&gt;0,IF(X636&gt;0,W636/X636,0),0))</f>
        <v>0</v>
      </c>
      <c r="Z636" s="10" t="n">
        <f aca="false">IF(A636="","",N636+Y636)</f>
        <v>0</v>
      </c>
      <c r="AA636" s="10" t="n">
        <f aca="false">IF(A636="","",IFERROR(Z636*INDEX(PUA_TABLE!$I$4:$I$105,MATCH(E636,PUA_TABLE!$C$4:$C$105,1))/1000,0))</f>
        <v>0</v>
      </c>
      <c r="AB636" s="10" t="n">
        <f aca="false">IF(A636="","",IFERROR(L636+AA636,0))</f>
        <v>39486.7500019981</v>
      </c>
      <c r="AC636" s="10" t="n">
        <f aca="false">IF(A636="","",IF(Inputs!$B$22="Premium Offset",MIN(Inputs!$B$25,Q636+T636),0))</f>
        <v>0</v>
      </c>
    </row>
    <row r="637" customFormat="false" ht="15" hidden="false" customHeight="false" outlineLevel="0" collapsed="false">
      <c r="A637" s="1" t="n">
        <f aca="false">IF(A636="","",IF(INT((C636+1)/12)+Inputs!$B$7&gt;MAX(MORTALITY!$A:$A),"",Inputs!$B$4))</f>
        <v>34</v>
      </c>
      <c r="B637" s="3" t="n">
        <f aca="false">IF(A637="","",EOMONTH(B636,1))</f>
        <v>41060</v>
      </c>
      <c r="C637" s="1" t="n">
        <f aca="false">IF(A637="","",C636+1)</f>
        <v>635</v>
      </c>
      <c r="D637" s="1" t="n">
        <f aca="false">IF(A637="","",INT(C637/12))</f>
        <v>52</v>
      </c>
      <c r="E637" s="1" t="n">
        <f aca="false">IF(A637="","",D637+Inputs!$B$7)</f>
        <v>68</v>
      </c>
      <c r="F637" s="3" t="n">
        <f aca="false">IF(A637="","",DATE(YEAR(B$2)+D637,MONTH(B$2),DAY(B$2)))</f>
        <v>40699</v>
      </c>
      <c r="G637" s="3" t="n">
        <f aca="false">IF(A637="","",DATE(YEAR(F637)+1,MONTH(F637),DAY(F637)))</f>
        <v>41065</v>
      </c>
      <c r="H637" s="10" t="n">
        <f aca="false">IF(A637="","",IF(G637&gt;F637,(B637-F637)/(G637-F637),0))</f>
        <v>0.986338797814208</v>
      </c>
      <c r="I637" s="10" t="n">
        <f aca="false">IF(A637="","",IFERROR(INDEX(CV_RATES!$I:$I,MATCH(D637,CV_RATES!$C:$C,0)),0))</f>
        <v>781.642217007389</v>
      </c>
      <c r="J637" s="10" t="n">
        <f aca="false">IF(A637="","",IFERROR(IF(E637=MAX(MORTALITY!$A:$A),1000,INDEX(CV_RATES!$J:$J,MATCH(D637,CV_RATES!$C:$C,0))),0))</f>
        <v>790.617849098062</v>
      </c>
      <c r="K637" s="10" t="n">
        <f aca="false">IF(A637="","",IFERROR(I637+H637*(J637-I637),0))</f>
        <v>790.495231173326</v>
      </c>
      <c r="L637" s="10" t="n">
        <f aca="false">IF(A637="","",IFERROR(K637*Inputs!$B$9,0))</f>
        <v>39524.7615586663</v>
      </c>
      <c r="M637" s="10" t="n">
        <f aca="false">IF(A637="","",IFERROR(K637*Inputs!$B$10,0))</f>
        <v>126476.865502039</v>
      </c>
      <c r="N637" s="10" t="n">
        <f aca="false">IF(A637="","",Z636)</f>
        <v>0</v>
      </c>
      <c r="O637" s="6" t="n">
        <f aca="false">IF(A637="","",Inputs!$B$18+N637)</f>
        <v>50000</v>
      </c>
      <c r="P637" s="5" t="n">
        <f aca="false">IF(A637="","",VLOOKUP(D637,DIvidend_Assumption!$A$3:$CX$103,($E$2+2),0)/12)</f>
        <v>0</v>
      </c>
      <c r="Q637" s="10" t="n">
        <f aca="false">IF(A637="","",IFERROR(AB636*P637,""))</f>
        <v>0</v>
      </c>
      <c r="R637" s="10" t="n">
        <f aca="false">IF(A637="","",IFERROR(IF(Inputs!$B$22="Accumulate",T637+Q637,IF(Inputs!$B$22="Premium Offset",MAX(0,T637+Q637-Inputs!$B$25),T637)),""))</f>
        <v>0</v>
      </c>
      <c r="S637" s="10" t="n">
        <f aca="false">IF(A637="","",R636)</f>
        <v>0</v>
      </c>
      <c r="T637" s="10" t="n">
        <f aca="false">IF(A637="","",IFERROR(S637*(1+Inputs!$B$23/12),""))</f>
        <v>0</v>
      </c>
      <c r="U637" s="6" t="n">
        <f aca="false">IF(A637="","",IF(D637&lt;=Inputs!$B$8,IF(Inputs!$B$22="Premium Offset",MAX(0,Inputs!$B$25-(Q637+T637)),Inputs!$B$25),0))</f>
        <v>0</v>
      </c>
      <c r="V637" s="10" t="n">
        <f aca="false">IF(A637="","",IF(Inputs!$B$22="Cash",Q637,0))</f>
        <v>0</v>
      </c>
      <c r="W637" s="10" t="n">
        <f aca="false">IF(A637="","",IF(Inputs!$B$22="PUA",Q637,0))</f>
        <v>0</v>
      </c>
      <c r="X637" s="12" t="n">
        <f aca="false">IF(A637="","",IFERROR(INDEX(PUA_TABLE!$D$4:$D$105,MATCH(E637,PUA_TABLE!$C$4:$C$105,1)),0))</f>
        <v>0.781642217007389</v>
      </c>
      <c r="Y637" s="10" t="n">
        <f aca="false">IF(A637="","",IF(W637&gt;0,IF(X637&gt;0,W637/X637,0),0))</f>
        <v>0</v>
      </c>
      <c r="Z637" s="10" t="n">
        <f aca="false">IF(A637="","",N637+Y637)</f>
        <v>0</v>
      </c>
      <c r="AA637" s="10" t="n">
        <f aca="false">IF(A637="","",IFERROR(Z637*INDEX(PUA_TABLE!$I$4:$I$105,MATCH(E637,PUA_TABLE!$C$4:$C$105,1))/1000,0))</f>
        <v>0</v>
      </c>
      <c r="AB637" s="10" t="n">
        <f aca="false">IF(A637="","",IFERROR(L637+AA637,0))</f>
        <v>39524.7615586663</v>
      </c>
      <c r="AC637" s="10" t="n">
        <f aca="false">IF(A637="","",IF(Inputs!$B$22="Premium Offset",MIN(Inputs!$B$25,Q637+T637),0))</f>
        <v>0</v>
      </c>
    </row>
    <row r="638" customFormat="false" ht="15" hidden="false" customHeight="false" outlineLevel="0" collapsed="false">
      <c r="A638" s="1" t="n">
        <f aca="false">IF(A637="","",IF(INT((C637+1)/12)+Inputs!$B$7&gt;MAX(MORTALITY!$A:$A),"",Inputs!$B$4))</f>
        <v>34</v>
      </c>
      <c r="B638" s="3" t="n">
        <f aca="false">IF(A638="","",EOMONTH(B637,1))</f>
        <v>41090</v>
      </c>
      <c r="C638" s="1" t="n">
        <f aca="false">IF(A638="","",C637+1)</f>
        <v>636</v>
      </c>
      <c r="D638" s="1" t="n">
        <f aca="false">IF(A638="","",INT(C638/12))</f>
        <v>53</v>
      </c>
      <c r="E638" s="1" t="n">
        <f aca="false">IF(A638="","",D638+Inputs!$B$7)</f>
        <v>69</v>
      </c>
      <c r="F638" s="3" t="n">
        <f aca="false">IF(A638="","",DATE(YEAR(B$2)+D638,MONTH(B$2),DAY(B$2)))</f>
        <v>41065</v>
      </c>
      <c r="G638" s="3" t="n">
        <f aca="false">IF(A638="","",DATE(YEAR(F638)+1,MONTH(F638),DAY(F638)))</f>
        <v>41430</v>
      </c>
      <c r="H638" s="10" t="n">
        <f aca="false">IF(A638="","",IF(G638&gt;F638,(B638-F638)/(G638-F638),0))</f>
        <v>0.0684931506849315</v>
      </c>
      <c r="I638" s="10" t="n">
        <f aca="false">IF(A638="","",IFERROR(INDEX(CV_RATES!$I:$I,MATCH(D638,CV_RATES!$C:$C,0)),0))</f>
        <v>790.617849098062</v>
      </c>
      <c r="J638" s="10" t="n">
        <f aca="false">IF(A638="","",IFERROR(IF(E638=MAX(MORTALITY!$A:$A),1000,INDEX(CV_RATES!$J:$J,MATCH(D638,CV_RATES!$C:$C,0))),0))</f>
        <v>799.411081482612</v>
      </c>
      <c r="K638" s="10" t="n">
        <f aca="false">IF(A638="","",IFERROR(I638+H638*(J638-I638),0))</f>
        <v>791.220125288784</v>
      </c>
      <c r="L638" s="10" t="n">
        <f aca="false">IF(A638="","",IFERROR(K638*Inputs!$B$9,0))</f>
        <v>39561.0062644392</v>
      </c>
      <c r="M638" s="10" t="n">
        <f aca="false">IF(A638="","",IFERROR(K638*Inputs!$B$10,0))</f>
        <v>126592.84638583</v>
      </c>
      <c r="N638" s="10" t="n">
        <f aca="false">IF(A638="","",Z637)</f>
        <v>0</v>
      </c>
      <c r="O638" s="6" t="n">
        <f aca="false">IF(A638="","",Inputs!$B$18+N638)</f>
        <v>50000</v>
      </c>
      <c r="P638" s="5" t="n">
        <f aca="false">IF(A638="","",VLOOKUP(D638,DIvidend_Assumption!$A$3:$CX$103,($E$2+2),0)/12)</f>
        <v>0</v>
      </c>
      <c r="Q638" s="10" t="n">
        <f aca="false">IF(A638="","",IFERROR(AB637*P638,""))</f>
        <v>0</v>
      </c>
      <c r="R638" s="10" t="n">
        <f aca="false">IF(A638="","",IFERROR(IF(Inputs!$B$22="Accumulate",T638+Q638,IF(Inputs!$B$22="Premium Offset",MAX(0,T638+Q638-Inputs!$B$25),T638)),""))</f>
        <v>0</v>
      </c>
      <c r="S638" s="10" t="n">
        <f aca="false">IF(A638="","",R637)</f>
        <v>0</v>
      </c>
      <c r="T638" s="10" t="n">
        <f aca="false">IF(A638="","",IFERROR(S638*(1+Inputs!$B$23/12),""))</f>
        <v>0</v>
      </c>
      <c r="U638" s="6" t="n">
        <f aca="false">IF(A638="","",IF(D638&lt;=Inputs!$B$8,IF(Inputs!$B$22="Premium Offset",MAX(0,Inputs!$B$25-(Q638+T638)),Inputs!$B$25),0))</f>
        <v>0</v>
      </c>
      <c r="V638" s="10" t="n">
        <f aca="false">IF(A638="","",IF(Inputs!$B$22="Cash",Q638,0))</f>
        <v>0</v>
      </c>
      <c r="W638" s="10" t="n">
        <f aca="false">IF(A638="","",IF(Inputs!$B$22="PUA",Q638,0))</f>
        <v>0</v>
      </c>
      <c r="X638" s="12" t="n">
        <f aca="false">IF(A638="","",IFERROR(INDEX(PUA_TABLE!$D$4:$D$105,MATCH(E638,PUA_TABLE!$C$4:$C$105,1)),0))</f>
        <v>0.790617849098062</v>
      </c>
      <c r="Y638" s="10" t="n">
        <f aca="false">IF(A638="","",IF(W638&gt;0,IF(X638&gt;0,W638/X638,0),0))</f>
        <v>0</v>
      </c>
      <c r="Z638" s="10" t="n">
        <f aca="false">IF(A638="","",N638+Y638)</f>
        <v>0</v>
      </c>
      <c r="AA638" s="10" t="n">
        <f aca="false">IF(A638="","",IFERROR(Z638*INDEX(PUA_TABLE!$I$4:$I$105,MATCH(E638,PUA_TABLE!$C$4:$C$105,1))/1000,0))</f>
        <v>0</v>
      </c>
      <c r="AB638" s="10" t="n">
        <f aca="false">IF(A638="","",IFERROR(L638+AA638,0))</f>
        <v>39561.0062644392</v>
      </c>
      <c r="AC638" s="10" t="n">
        <f aca="false">IF(A638="","",IF(Inputs!$B$22="Premium Offset",MIN(Inputs!$B$25,Q638+T638),0))</f>
        <v>0</v>
      </c>
    </row>
    <row r="639" customFormat="false" ht="15" hidden="false" customHeight="false" outlineLevel="0" collapsed="false">
      <c r="A639" s="1" t="n">
        <f aca="false">IF(A638="","",IF(INT((C638+1)/12)+Inputs!$B$7&gt;MAX(MORTALITY!$A:$A),"",Inputs!$B$4))</f>
        <v>34</v>
      </c>
      <c r="B639" s="3" t="n">
        <f aca="false">IF(A639="","",EOMONTH(B638,1))</f>
        <v>41121</v>
      </c>
      <c r="C639" s="1" t="n">
        <f aca="false">IF(A639="","",C638+1)</f>
        <v>637</v>
      </c>
      <c r="D639" s="1" t="n">
        <f aca="false">IF(A639="","",INT(C639/12))</f>
        <v>53</v>
      </c>
      <c r="E639" s="1" t="n">
        <f aca="false">IF(A639="","",D639+Inputs!$B$7)</f>
        <v>69</v>
      </c>
      <c r="F639" s="3" t="n">
        <f aca="false">IF(A639="","",DATE(YEAR(B$2)+D639,MONTH(B$2),DAY(B$2)))</f>
        <v>41065</v>
      </c>
      <c r="G639" s="3" t="n">
        <f aca="false">IF(A639="","",DATE(YEAR(F639)+1,MONTH(F639),DAY(F639)))</f>
        <v>41430</v>
      </c>
      <c r="H639" s="10" t="n">
        <f aca="false">IF(A639="","",IF(G639&gt;F639,(B639-F639)/(G639-F639),0))</f>
        <v>0.153424657534247</v>
      </c>
      <c r="I639" s="10" t="n">
        <f aca="false">IF(A639="","",IFERROR(INDEX(CV_RATES!$I:$I,MATCH(D639,CV_RATES!$C:$C,0)),0))</f>
        <v>790.617849098062</v>
      </c>
      <c r="J639" s="10" t="n">
        <f aca="false">IF(A639="","",IFERROR(IF(E639=MAX(MORTALITY!$A:$A),1000,INDEX(CV_RATES!$J:$J,MATCH(D639,CV_RATES!$C:$C,0))),0))</f>
        <v>799.411081482612</v>
      </c>
      <c r="K639" s="10" t="n">
        <f aca="false">IF(A639="","",IFERROR(I639+H639*(J639-I639),0))</f>
        <v>791.966947765281</v>
      </c>
      <c r="L639" s="10" t="n">
        <f aca="false">IF(A639="","",IFERROR(K639*Inputs!$B$9,0))</f>
        <v>39598.347388264</v>
      </c>
      <c r="M639" s="10" t="n">
        <f aca="false">IF(A639="","",IFERROR(K639*Inputs!$B$10,0))</f>
        <v>126712.335741602</v>
      </c>
      <c r="N639" s="10" t="n">
        <f aca="false">IF(A639="","",Z638)</f>
        <v>0</v>
      </c>
      <c r="O639" s="6" t="n">
        <f aca="false">IF(A639="","",Inputs!$B$18+N639)</f>
        <v>50000</v>
      </c>
      <c r="P639" s="5" t="n">
        <f aca="false">IF(A639="","",VLOOKUP(D639,DIvidend_Assumption!$A$3:$CX$103,($E$2+2),0)/12)</f>
        <v>0</v>
      </c>
      <c r="Q639" s="10" t="n">
        <f aca="false">IF(A639="","",IFERROR(AB638*P639,""))</f>
        <v>0</v>
      </c>
      <c r="R639" s="10" t="n">
        <f aca="false">IF(A639="","",IFERROR(IF(Inputs!$B$22="Accumulate",T639+Q639,IF(Inputs!$B$22="Premium Offset",MAX(0,T639+Q639-Inputs!$B$25),T639)),""))</f>
        <v>0</v>
      </c>
      <c r="S639" s="10" t="n">
        <f aca="false">IF(A639="","",R638)</f>
        <v>0</v>
      </c>
      <c r="T639" s="10" t="n">
        <f aca="false">IF(A639="","",IFERROR(S639*(1+Inputs!$B$23/12),""))</f>
        <v>0</v>
      </c>
      <c r="U639" s="6" t="n">
        <f aca="false">IF(A639="","",IF(D639&lt;=Inputs!$B$8,IF(Inputs!$B$22="Premium Offset",MAX(0,Inputs!$B$25-(Q639+T639)),Inputs!$B$25),0))</f>
        <v>0</v>
      </c>
      <c r="V639" s="10" t="n">
        <f aca="false">IF(A639="","",IF(Inputs!$B$22="Cash",Q639,0))</f>
        <v>0</v>
      </c>
      <c r="W639" s="10" t="n">
        <f aca="false">IF(A639="","",IF(Inputs!$B$22="PUA",Q639,0))</f>
        <v>0</v>
      </c>
      <c r="X639" s="12" t="n">
        <f aca="false">IF(A639="","",IFERROR(INDEX(PUA_TABLE!$D$4:$D$105,MATCH(E639,PUA_TABLE!$C$4:$C$105,1)),0))</f>
        <v>0.790617849098062</v>
      </c>
      <c r="Y639" s="10" t="n">
        <f aca="false">IF(A639="","",IF(W639&gt;0,IF(X639&gt;0,W639/X639,0),0))</f>
        <v>0</v>
      </c>
      <c r="Z639" s="10" t="n">
        <f aca="false">IF(A639="","",N639+Y639)</f>
        <v>0</v>
      </c>
      <c r="AA639" s="10" t="n">
        <f aca="false">IF(A639="","",IFERROR(Z639*INDEX(PUA_TABLE!$I$4:$I$105,MATCH(E639,PUA_TABLE!$C$4:$C$105,1))/1000,0))</f>
        <v>0</v>
      </c>
      <c r="AB639" s="10" t="n">
        <f aca="false">IF(A639="","",IFERROR(L639+AA639,0))</f>
        <v>39598.347388264</v>
      </c>
      <c r="AC639" s="10" t="n">
        <f aca="false">IF(A639="","",IF(Inputs!$B$22="Premium Offset",MIN(Inputs!$B$25,Q639+T639),0))</f>
        <v>0</v>
      </c>
    </row>
    <row r="640" customFormat="false" ht="15" hidden="false" customHeight="false" outlineLevel="0" collapsed="false">
      <c r="A640" s="1" t="n">
        <f aca="false">IF(A639="","",IF(INT((C639+1)/12)+Inputs!$B$7&gt;MAX(MORTALITY!$A:$A),"",Inputs!$B$4))</f>
        <v>34</v>
      </c>
      <c r="B640" s="3" t="n">
        <f aca="false">IF(A640="","",EOMONTH(B639,1))</f>
        <v>41152</v>
      </c>
      <c r="C640" s="1" t="n">
        <f aca="false">IF(A640="","",C639+1)</f>
        <v>638</v>
      </c>
      <c r="D640" s="1" t="n">
        <f aca="false">IF(A640="","",INT(C640/12))</f>
        <v>53</v>
      </c>
      <c r="E640" s="1" t="n">
        <f aca="false">IF(A640="","",D640+Inputs!$B$7)</f>
        <v>69</v>
      </c>
      <c r="F640" s="3" t="n">
        <f aca="false">IF(A640="","",DATE(YEAR(B$2)+D640,MONTH(B$2),DAY(B$2)))</f>
        <v>41065</v>
      </c>
      <c r="G640" s="3" t="n">
        <f aca="false">IF(A640="","",DATE(YEAR(F640)+1,MONTH(F640),DAY(F640)))</f>
        <v>41430</v>
      </c>
      <c r="H640" s="10" t="n">
        <f aca="false">IF(A640="","",IF(G640&gt;F640,(B640-F640)/(G640-F640),0))</f>
        <v>0.238356164383562</v>
      </c>
      <c r="I640" s="10" t="n">
        <f aca="false">IF(A640="","",IFERROR(INDEX(CV_RATES!$I:$I,MATCH(D640,CV_RATES!$C:$C,0)),0))</f>
        <v>790.617849098062</v>
      </c>
      <c r="J640" s="10" t="n">
        <f aca="false">IF(A640="","",IFERROR(IF(E640=MAX(MORTALITY!$A:$A),1000,INDEX(CV_RATES!$J:$J,MATCH(D640,CV_RATES!$C:$C,0))),0))</f>
        <v>799.411081482612</v>
      </c>
      <c r="K640" s="10" t="n">
        <f aca="false">IF(A640="","",IFERROR(I640+H640*(J640-I640),0))</f>
        <v>792.713770241777</v>
      </c>
      <c r="L640" s="10" t="n">
        <f aca="false">IF(A640="","",IFERROR(K640*Inputs!$B$9,0))</f>
        <v>39635.6885120888</v>
      </c>
      <c r="M640" s="10" t="n">
        <f aca="false">IF(A640="","",IFERROR(K640*Inputs!$B$10,0))</f>
        <v>126831.825097374</v>
      </c>
      <c r="N640" s="10" t="n">
        <f aca="false">IF(A640="","",Z639)</f>
        <v>0</v>
      </c>
      <c r="O640" s="6" t="n">
        <f aca="false">IF(A640="","",Inputs!$B$18+N640)</f>
        <v>50000</v>
      </c>
      <c r="P640" s="5" t="n">
        <f aca="false">IF(A640="","",VLOOKUP(D640,DIvidend_Assumption!$A$3:$CX$103,($E$2+2),0)/12)</f>
        <v>0</v>
      </c>
      <c r="Q640" s="10" t="n">
        <f aca="false">IF(A640="","",IFERROR(AB639*P640,""))</f>
        <v>0</v>
      </c>
      <c r="R640" s="10" t="n">
        <f aca="false">IF(A640="","",IFERROR(IF(Inputs!$B$22="Accumulate",T640+Q640,IF(Inputs!$B$22="Premium Offset",MAX(0,T640+Q640-Inputs!$B$25),T640)),""))</f>
        <v>0</v>
      </c>
      <c r="S640" s="10" t="n">
        <f aca="false">IF(A640="","",R639)</f>
        <v>0</v>
      </c>
      <c r="T640" s="10" t="n">
        <f aca="false">IF(A640="","",IFERROR(S640*(1+Inputs!$B$23/12),""))</f>
        <v>0</v>
      </c>
      <c r="U640" s="6" t="n">
        <f aca="false">IF(A640="","",IF(D640&lt;=Inputs!$B$8,IF(Inputs!$B$22="Premium Offset",MAX(0,Inputs!$B$25-(Q640+T640)),Inputs!$B$25),0))</f>
        <v>0</v>
      </c>
      <c r="V640" s="10" t="n">
        <f aca="false">IF(A640="","",IF(Inputs!$B$22="Cash",Q640,0))</f>
        <v>0</v>
      </c>
      <c r="W640" s="10" t="n">
        <f aca="false">IF(A640="","",IF(Inputs!$B$22="PUA",Q640,0))</f>
        <v>0</v>
      </c>
      <c r="X640" s="12" t="n">
        <f aca="false">IF(A640="","",IFERROR(INDEX(PUA_TABLE!$D$4:$D$105,MATCH(E640,PUA_TABLE!$C$4:$C$105,1)),0))</f>
        <v>0.790617849098062</v>
      </c>
      <c r="Y640" s="10" t="n">
        <f aca="false">IF(A640="","",IF(W640&gt;0,IF(X640&gt;0,W640/X640,0),0))</f>
        <v>0</v>
      </c>
      <c r="Z640" s="10" t="n">
        <f aca="false">IF(A640="","",N640+Y640)</f>
        <v>0</v>
      </c>
      <c r="AA640" s="10" t="n">
        <f aca="false">IF(A640="","",IFERROR(Z640*INDEX(PUA_TABLE!$I$4:$I$105,MATCH(E640,PUA_TABLE!$C$4:$C$105,1))/1000,0))</f>
        <v>0</v>
      </c>
      <c r="AB640" s="10" t="n">
        <f aca="false">IF(A640="","",IFERROR(L640+AA640,0))</f>
        <v>39635.6885120888</v>
      </c>
      <c r="AC640" s="10" t="n">
        <f aca="false">IF(A640="","",IF(Inputs!$B$22="Premium Offset",MIN(Inputs!$B$25,Q640+T640),0))</f>
        <v>0</v>
      </c>
    </row>
    <row r="641" customFormat="false" ht="15" hidden="false" customHeight="false" outlineLevel="0" collapsed="false">
      <c r="A641" s="1" t="n">
        <f aca="false">IF(A640="","",IF(INT((C640+1)/12)+Inputs!$B$7&gt;MAX(MORTALITY!$A:$A),"",Inputs!$B$4))</f>
        <v>34</v>
      </c>
      <c r="B641" s="3" t="n">
        <f aca="false">IF(A641="","",EOMONTH(B640,1))</f>
        <v>41182</v>
      </c>
      <c r="C641" s="1" t="n">
        <f aca="false">IF(A641="","",C640+1)</f>
        <v>639</v>
      </c>
      <c r="D641" s="1" t="n">
        <f aca="false">IF(A641="","",INT(C641/12))</f>
        <v>53</v>
      </c>
      <c r="E641" s="1" t="n">
        <f aca="false">IF(A641="","",D641+Inputs!$B$7)</f>
        <v>69</v>
      </c>
      <c r="F641" s="3" t="n">
        <f aca="false">IF(A641="","",DATE(YEAR(B$2)+D641,MONTH(B$2),DAY(B$2)))</f>
        <v>41065</v>
      </c>
      <c r="G641" s="3" t="n">
        <f aca="false">IF(A641="","",DATE(YEAR(F641)+1,MONTH(F641),DAY(F641)))</f>
        <v>41430</v>
      </c>
      <c r="H641" s="10" t="n">
        <f aca="false">IF(A641="","",IF(G641&gt;F641,(B641-F641)/(G641-F641),0))</f>
        <v>0.320547945205479</v>
      </c>
      <c r="I641" s="10" t="n">
        <f aca="false">IF(A641="","",IFERROR(INDEX(CV_RATES!$I:$I,MATCH(D641,CV_RATES!$C:$C,0)),0))</f>
        <v>790.617849098062</v>
      </c>
      <c r="J641" s="10" t="n">
        <f aca="false">IF(A641="","",IFERROR(IF(E641=MAX(MORTALITY!$A:$A),1000,INDEX(CV_RATES!$J:$J,MATCH(D641,CV_RATES!$C:$C,0))),0))</f>
        <v>799.411081482612</v>
      </c>
      <c r="K641" s="10" t="n">
        <f aca="false">IF(A641="","",IFERROR(I641+H641*(J641-I641),0))</f>
        <v>793.436501670644</v>
      </c>
      <c r="L641" s="10" t="n">
        <f aca="false">IF(A641="","",IFERROR(K641*Inputs!$B$9,0))</f>
        <v>39671.8250835322</v>
      </c>
      <c r="M641" s="10" t="n">
        <f aca="false">IF(A641="","",IFERROR(K641*Inputs!$B$10,0))</f>
        <v>126947.459957798</v>
      </c>
      <c r="N641" s="10" t="n">
        <f aca="false">IF(A641="","",Z640)</f>
        <v>0</v>
      </c>
      <c r="O641" s="6" t="n">
        <f aca="false">IF(A641="","",Inputs!$B$18+N641)</f>
        <v>50000</v>
      </c>
      <c r="P641" s="5" t="n">
        <f aca="false">IF(A641="","",VLOOKUP(D641,DIvidend_Assumption!$A$3:$CX$103,($E$2+2),0)/12)</f>
        <v>0</v>
      </c>
      <c r="Q641" s="10" t="n">
        <f aca="false">IF(A641="","",IFERROR(AB640*P641,""))</f>
        <v>0</v>
      </c>
      <c r="R641" s="10" t="n">
        <f aca="false">IF(A641="","",IFERROR(IF(Inputs!$B$22="Accumulate",T641+Q641,IF(Inputs!$B$22="Premium Offset",MAX(0,T641+Q641-Inputs!$B$25),T641)),""))</f>
        <v>0</v>
      </c>
      <c r="S641" s="10" t="n">
        <f aca="false">IF(A641="","",R640)</f>
        <v>0</v>
      </c>
      <c r="T641" s="10" t="n">
        <f aca="false">IF(A641="","",IFERROR(S641*(1+Inputs!$B$23/12),""))</f>
        <v>0</v>
      </c>
      <c r="U641" s="6" t="n">
        <f aca="false">IF(A641="","",IF(D641&lt;=Inputs!$B$8,IF(Inputs!$B$22="Premium Offset",MAX(0,Inputs!$B$25-(Q641+T641)),Inputs!$B$25),0))</f>
        <v>0</v>
      </c>
      <c r="V641" s="10" t="n">
        <f aca="false">IF(A641="","",IF(Inputs!$B$22="Cash",Q641,0))</f>
        <v>0</v>
      </c>
      <c r="W641" s="10" t="n">
        <f aca="false">IF(A641="","",IF(Inputs!$B$22="PUA",Q641,0))</f>
        <v>0</v>
      </c>
      <c r="X641" s="12" t="n">
        <f aca="false">IF(A641="","",IFERROR(INDEX(PUA_TABLE!$D$4:$D$105,MATCH(E641,PUA_TABLE!$C$4:$C$105,1)),0))</f>
        <v>0.790617849098062</v>
      </c>
      <c r="Y641" s="10" t="n">
        <f aca="false">IF(A641="","",IF(W641&gt;0,IF(X641&gt;0,W641/X641,0),0))</f>
        <v>0</v>
      </c>
      <c r="Z641" s="10" t="n">
        <f aca="false">IF(A641="","",N641+Y641)</f>
        <v>0</v>
      </c>
      <c r="AA641" s="10" t="n">
        <f aca="false">IF(A641="","",IFERROR(Z641*INDEX(PUA_TABLE!$I$4:$I$105,MATCH(E641,PUA_TABLE!$C$4:$C$105,1))/1000,0))</f>
        <v>0</v>
      </c>
      <c r="AB641" s="10" t="n">
        <f aca="false">IF(A641="","",IFERROR(L641+AA641,0))</f>
        <v>39671.8250835322</v>
      </c>
      <c r="AC641" s="10" t="n">
        <f aca="false">IF(A641="","",IF(Inputs!$B$22="Premium Offset",MIN(Inputs!$B$25,Q641+T641),0))</f>
        <v>0</v>
      </c>
    </row>
    <row r="642" customFormat="false" ht="15" hidden="false" customHeight="false" outlineLevel="0" collapsed="false">
      <c r="A642" s="1" t="n">
        <f aca="false">IF(A641="","",IF(INT((C641+1)/12)+Inputs!$B$7&gt;MAX(MORTALITY!$A:$A),"",Inputs!$B$4))</f>
        <v>34</v>
      </c>
      <c r="B642" s="3" t="n">
        <f aca="false">IF(A642="","",EOMONTH(B641,1))</f>
        <v>41213</v>
      </c>
      <c r="C642" s="1" t="n">
        <f aca="false">IF(A642="","",C641+1)</f>
        <v>640</v>
      </c>
      <c r="D642" s="1" t="n">
        <f aca="false">IF(A642="","",INT(C642/12))</f>
        <v>53</v>
      </c>
      <c r="E642" s="1" t="n">
        <f aca="false">IF(A642="","",D642+Inputs!$B$7)</f>
        <v>69</v>
      </c>
      <c r="F642" s="3" t="n">
        <f aca="false">IF(A642="","",DATE(YEAR(B$2)+D642,MONTH(B$2),DAY(B$2)))</f>
        <v>41065</v>
      </c>
      <c r="G642" s="3" t="n">
        <f aca="false">IF(A642="","",DATE(YEAR(F642)+1,MONTH(F642),DAY(F642)))</f>
        <v>41430</v>
      </c>
      <c r="H642" s="10" t="n">
        <f aca="false">IF(A642="","",IF(G642&gt;F642,(B642-F642)/(G642-F642),0))</f>
        <v>0.405479452054795</v>
      </c>
      <c r="I642" s="10" t="n">
        <f aca="false">IF(A642="","",IFERROR(INDEX(CV_RATES!$I:$I,MATCH(D642,CV_RATES!$C:$C,0)),0))</f>
        <v>790.617849098062</v>
      </c>
      <c r="J642" s="10" t="n">
        <f aca="false">IF(A642="","",IFERROR(IF(E642=MAX(MORTALITY!$A:$A),1000,INDEX(CV_RATES!$J:$J,MATCH(D642,CV_RATES!$C:$C,0))),0))</f>
        <v>799.411081482612</v>
      </c>
      <c r="K642" s="10" t="n">
        <f aca="false">IF(A642="","",IFERROR(I642+H642*(J642-I642),0))</f>
        <v>794.18332414714</v>
      </c>
      <c r="L642" s="10" t="n">
        <f aca="false">IF(A642="","",IFERROR(K642*Inputs!$B$9,0))</f>
        <v>39709.166207357</v>
      </c>
      <c r="M642" s="10" t="n">
        <f aca="false">IF(A642="","",IFERROR(K642*Inputs!$B$10,0))</f>
        <v>127066.94931357</v>
      </c>
      <c r="N642" s="10" t="n">
        <f aca="false">IF(A642="","",Z641)</f>
        <v>0</v>
      </c>
      <c r="O642" s="6" t="n">
        <f aca="false">IF(A642="","",Inputs!$B$18+N642)</f>
        <v>50000</v>
      </c>
      <c r="P642" s="5" t="n">
        <f aca="false">IF(A642="","",VLOOKUP(D642,DIvidend_Assumption!$A$3:$CX$103,($E$2+2),0)/12)</f>
        <v>0</v>
      </c>
      <c r="Q642" s="10" t="n">
        <f aca="false">IF(A642="","",IFERROR(AB641*P642,""))</f>
        <v>0</v>
      </c>
      <c r="R642" s="10" t="n">
        <f aca="false">IF(A642="","",IFERROR(IF(Inputs!$B$22="Accumulate",T642+Q642,IF(Inputs!$B$22="Premium Offset",MAX(0,T642+Q642-Inputs!$B$25),T642)),""))</f>
        <v>0</v>
      </c>
      <c r="S642" s="10" t="n">
        <f aca="false">IF(A642="","",R641)</f>
        <v>0</v>
      </c>
      <c r="T642" s="10" t="n">
        <f aca="false">IF(A642="","",IFERROR(S642*(1+Inputs!$B$23/12),""))</f>
        <v>0</v>
      </c>
      <c r="U642" s="6" t="n">
        <f aca="false">IF(A642="","",IF(D642&lt;=Inputs!$B$8,IF(Inputs!$B$22="Premium Offset",MAX(0,Inputs!$B$25-(Q642+T642)),Inputs!$B$25),0))</f>
        <v>0</v>
      </c>
      <c r="V642" s="10" t="n">
        <f aca="false">IF(A642="","",IF(Inputs!$B$22="Cash",Q642,0))</f>
        <v>0</v>
      </c>
      <c r="W642" s="10" t="n">
        <f aca="false">IF(A642="","",IF(Inputs!$B$22="PUA",Q642,0))</f>
        <v>0</v>
      </c>
      <c r="X642" s="12" t="n">
        <f aca="false">IF(A642="","",IFERROR(INDEX(PUA_TABLE!$D$4:$D$105,MATCH(E642,PUA_TABLE!$C$4:$C$105,1)),0))</f>
        <v>0.790617849098062</v>
      </c>
      <c r="Y642" s="10" t="n">
        <f aca="false">IF(A642="","",IF(W642&gt;0,IF(X642&gt;0,W642/X642,0),0))</f>
        <v>0</v>
      </c>
      <c r="Z642" s="10" t="n">
        <f aca="false">IF(A642="","",N642+Y642)</f>
        <v>0</v>
      </c>
      <c r="AA642" s="10" t="n">
        <f aca="false">IF(A642="","",IFERROR(Z642*INDEX(PUA_TABLE!$I$4:$I$105,MATCH(E642,PUA_TABLE!$C$4:$C$105,1))/1000,0))</f>
        <v>0</v>
      </c>
      <c r="AB642" s="10" t="n">
        <f aca="false">IF(A642="","",IFERROR(L642+AA642,0))</f>
        <v>39709.166207357</v>
      </c>
      <c r="AC642" s="10" t="n">
        <f aca="false">IF(A642="","",IF(Inputs!$B$22="Premium Offset",MIN(Inputs!$B$25,Q642+T642),0))</f>
        <v>0</v>
      </c>
    </row>
    <row r="643" customFormat="false" ht="15" hidden="false" customHeight="false" outlineLevel="0" collapsed="false">
      <c r="A643" s="1" t="n">
        <f aca="false">IF(A642="","",IF(INT((C642+1)/12)+Inputs!$B$7&gt;MAX(MORTALITY!$A:$A),"",Inputs!$B$4))</f>
        <v>34</v>
      </c>
      <c r="B643" s="3" t="n">
        <f aca="false">IF(A643="","",EOMONTH(B642,1))</f>
        <v>41243</v>
      </c>
      <c r="C643" s="1" t="n">
        <f aca="false">IF(A643="","",C642+1)</f>
        <v>641</v>
      </c>
      <c r="D643" s="1" t="n">
        <f aca="false">IF(A643="","",INT(C643/12))</f>
        <v>53</v>
      </c>
      <c r="E643" s="1" t="n">
        <f aca="false">IF(A643="","",D643+Inputs!$B$7)</f>
        <v>69</v>
      </c>
      <c r="F643" s="3" t="n">
        <f aca="false">IF(A643="","",DATE(YEAR(B$2)+D643,MONTH(B$2),DAY(B$2)))</f>
        <v>41065</v>
      </c>
      <c r="G643" s="3" t="n">
        <f aca="false">IF(A643="","",DATE(YEAR(F643)+1,MONTH(F643),DAY(F643)))</f>
        <v>41430</v>
      </c>
      <c r="H643" s="10" t="n">
        <f aca="false">IF(A643="","",IF(G643&gt;F643,(B643-F643)/(G643-F643),0))</f>
        <v>0.487671232876712</v>
      </c>
      <c r="I643" s="10" t="n">
        <f aca="false">IF(A643="","",IFERROR(INDEX(CV_RATES!$I:$I,MATCH(D643,CV_RATES!$C:$C,0)),0))</f>
        <v>790.617849098062</v>
      </c>
      <c r="J643" s="10" t="n">
        <f aca="false">IF(A643="","",IFERROR(IF(E643=MAX(MORTALITY!$A:$A),1000,INDEX(CV_RATES!$J:$J,MATCH(D643,CV_RATES!$C:$C,0))),0))</f>
        <v>799.411081482612</v>
      </c>
      <c r="K643" s="10" t="n">
        <f aca="false">IF(A643="","",IFERROR(I643+H643*(J643-I643),0))</f>
        <v>794.906055576007</v>
      </c>
      <c r="L643" s="10" t="n">
        <f aca="false">IF(A643="","",IFERROR(K643*Inputs!$B$9,0))</f>
        <v>39745.3027788003</v>
      </c>
      <c r="M643" s="10" t="n">
        <f aca="false">IF(A643="","",IFERROR(K643*Inputs!$B$10,0))</f>
        <v>127182.584173994</v>
      </c>
      <c r="N643" s="10" t="n">
        <f aca="false">IF(A643="","",Z642)</f>
        <v>0</v>
      </c>
      <c r="O643" s="6" t="n">
        <f aca="false">IF(A643="","",Inputs!$B$18+N643)</f>
        <v>50000</v>
      </c>
      <c r="P643" s="5" t="n">
        <f aca="false">IF(A643="","",VLOOKUP(D643,DIvidend_Assumption!$A$3:$CX$103,($E$2+2),0)/12)</f>
        <v>0</v>
      </c>
      <c r="Q643" s="10" t="n">
        <f aca="false">IF(A643="","",IFERROR(AB642*P643,""))</f>
        <v>0</v>
      </c>
      <c r="R643" s="10" t="n">
        <f aca="false">IF(A643="","",IFERROR(IF(Inputs!$B$22="Accumulate",T643+Q643,IF(Inputs!$B$22="Premium Offset",MAX(0,T643+Q643-Inputs!$B$25),T643)),""))</f>
        <v>0</v>
      </c>
      <c r="S643" s="10" t="n">
        <f aca="false">IF(A643="","",R642)</f>
        <v>0</v>
      </c>
      <c r="T643" s="10" t="n">
        <f aca="false">IF(A643="","",IFERROR(S643*(1+Inputs!$B$23/12),""))</f>
        <v>0</v>
      </c>
      <c r="U643" s="6" t="n">
        <f aca="false">IF(A643="","",IF(D643&lt;=Inputs!$B$8,IF(Inputs!$B$22="Premium Offset",MAX(0,Inputs!$B$25-(Q643+T643)),Inputs!$B$25),0))</f>
        <v>0</v>
      </c>
      <c r="V643" s="10" t="n">
        <f aca="false">IF(A643="","",IF(Inputs!$B$22="Cash",Q643,0))</f>
        <v>0</v>
      </c>
      <c r="W643" s="10" t="n">
        <f aca="false">IF(A643="","",IF(Inputs!$B$22="PUA",Q643,0))</f>
        <v>0</v>
      </c>
      <c r="X643" s="12" t="n">
        <f aca="false">IF(A643="","",IFERROR(INDEX(PUA_TABLE!$D$4:$D$105,MATCH(E643,PUA_TABLE!$C$4:$C$105,1)),0))</f>
        <v>0.790617849098062</v>
      </c>
      <c r="Y643" s="10" t="n">
        <f aca="false">IF(A643="","",IF(W643&gt;0,IF(X643&gt;0,W643/X643,0),0))</f>
        <v>0</v>
      </c>
      <c r="Z643" s="10" t="n">
        <f aca="false">IF(A643="","",N643+Y643)</f>
        <v>0</v>
      </c>
      <c r="AA643" s="10" t="n">
        <f aca="false">IF(A643="","",IFERROR(Z643*INDEX(PUA_TABLE!$I$4:$I$105,MATCH(E643,PUA_TABLE!$C$4:$C$105,1))/1000,0))</f>
        <v>0</v>
      </c>
      <c r="AB643" s="10" t="n">
        <f aca="false">IF(A643="","",IFERROR(L643+AA643,0))</f>
        <v>39745.3027788003</v>
      </c>
      <c r="AC643" s="10" t="n">
        <f aca="false">IF(A643="","",IF(Inputs!$B$22="Premium Offset",MIN(Inputs!$B$25,Q643+T643),0))</f>
        <v>0</v>
      </c>
    </row>
    <row r="644" customFormat="false" ht="15" hidden="false" customHeight="false" outlineLevel="0" collapsed="false">
      <c r="A644" s="1" t="n">
        <f aca="false">IF(A643="","",IF(INT((C643+1)/12)+Inputs!$B$7&gt;MAX(MORTALITY!$A:$A),"",Inputs!$B$4))</f>
        <v>34</v>
      </c>
      <c r="B644" s="3" t="n">
        <f aca="false">IF(A644="","",EOMONTH(B643,1))</f>
        <v>41274</v>
      </c>
      <c r="C644" s="1" t="n">
        <f aca="false">IF(A644="","",C643+1)</f>
        <v>642</v>
      </c>
      <c r="D644" s="1" t="n">
        <f aca="false">IF(A644="","",INT(C644/12))</f>
        <v>53</v>
      </c>
      <c r="E644" s="1" t="n">
        <f aca="false">IF(A644="","",D644+Inputs!$B$7)</f>
        <v>69</v>
      </c>
      <c r="F644" s="3" t="n">
        <f aca="false">IF(A644="","",DATE(YEAR(B$2)+D644,MONTH(B$2),DAY(B$2)))</f>
        <v>41065</v>
      </c>
      <c r="G644" s="3" t="n">
        <f aca="false">IF(A644="","",DATE(YEAR(F644)+1,MONTH(F644),DAY(F644)))</f>
        <v>41430</v>
      </c>
      <c r="H644" s="10" t="n">
        <f aca="false">IF(A644="","",IF(G644&gt;F644,(B644-F644)/(G644-F644),0))</f>
        <v>0.572602739726027</v>
      </c>
      <c r="I644" s="10" t="n">
        <f aca="false">IF(A644="","",IFERROR(INDEX(CV_RATES!$I:$I,MATCH(D644,CV_RATES!$C:$C,0)),0))</f>
        <v>790.617849098062</v>
      </c>
      <c r="J644" s="10" t="n">
        <f aca="false">IF(A644="","",IFERROR(IF(E644=MAX(MORTALITY!$A:$A),1000,INDEX(CV_RATES!$J:$J,MATCH(D644,CV_RATES!$C:$C,0))),0))</f>
        <v>799.411081482612</v>
      </c>
      <c r="K644" s="10" t="n">
        <f aca="false">IF(A644="","",IFERROR(I644+H644*(J644-I644),0))</f>
        <v>795.652878052503</v>
      </c>
      <c r="L644" s="10" t="n">
        <f aca="false">IF(A644="","",IFERROR(K644*Inputs!$B$9,0))</f>
        <v>39782.6439026252</v>
      </c>
      <c r="M644" s="10" t="n">
        <f aca="false">IF(A644="","",IFERROR(K644*Inputs!$B$10,0))</f>
        <v>127302.073529766</v>
      </c>
      <c r="N644" s="10" t="n">
        <f aca="false">IF(A644="","",Z643)</f>
        <v>0</v>
      </c>
      <c r="O644" s="6" t="n">
        <f aca="false">IF(A644="","",Inputs!$B$18+N644)</f>
        <v>50000</v>
      </c>
      <c r="P644" s="5" t="n">
        <f aca="false">IF(A644="","",VLOOKUP(D644,DIvidend_Assumption!$A$3:$CX$103,($E$2+2),0)/12)</f>
        <v>0</v>
      </c>
      <c r="Q644" s="10" t="n">
        <f aca="false">IF(A644="","",IFERROR(AB643*P644,""))</f>
        <v>0</v>
      </c>
      <c r="R644" s="10" t="n">
        <f aca="false">IF(A644="","",IFERROR(IF(Inputs!$B$22="Accumulate",T644+Q644,IF(Inputs!$B$22="Premium Offset",MAX(0,T644+Q644-Inputs!$B$25),T644)),""))</f>
        <v>0</v>
      </c>
      <c r="S644" s="10" t="n">
        <f aca="false">IF(A644="","",R643)</f>
        <v>0</v>
      </c>
      <c r="T644" s="10" t="n">
        <f aca="false">IF(A644="","",IFERROR(S644*(1+Inputs!$B$23/12),""))</f>
        <v>0</v>
      </c>
      <c r="U644" s="6" t="n">
        <f aca="false">IF(A644="","",IF(D644&lt;=Inputs!$B$8,IF(Inputs!$B$22="Premium Offset",MAX(0,Inputs!$B$25-(Q644+T644)),Inputs!$B$25),0))</f>
        <v>0</v>
      </c>
      <c r="V644" s="10" t="n">
        <f aca="false">IF(A644="","",IF(Inputs!$B$22="Cash",Q644,0))</f>
        <v>0</v>
      </c>
      <c r="W644" s="10" t="n">
        <f aca="false">IF(A644="","",IF(Inputs!$B$22="PUA",Q644,0))</f>
        <v>0</v>
      </c>
      <c r="X644" s="12" t="n">
        <f aca="false">IF(A644="","",IFERROR(INDEX(PUA_TABLE!$D$4:$D$105,MATCH(E644,PUA_TABLE!$C$4:$C$105,1)),0))</f>
        <v>0.790617849098062</v>
      </c>
      <c r="Y644" s="10" t="n">
        <f aca="false">IF(A644="","",IF(W644&gt;0,IF(X644&gt;0,W644/X644,0),0))</f>
        <v>0</v>
      </c>
      <c r="Z644" s="10" t="n">
        <f aca="false">IF(A644="","",N644+Y644)</f>
        <v>0</v>
      </c>
      <c r="AA644" s="10" t="n">
        <f aca="false">IF(A644="","",IFERROR(Z644*INDEX(PUA_TABLE!$I$4:$I$105,MATCH(E644,PUA_TABLE!$C$4:$C$105,1))/1000,0))</f>
        <v>0</v>
      </c>
      <c r="AB644" s="10" t="n">
        <f aca="false">IF(A644="","",IFERROR(L644+AA644,0))</f>
        <v>39782.6439026252</v>
      </c>
      <c r="AC644" s="10" t="n">
        <f aca="false">IF(A644="","",IF(Inputs!$B$22="Premium Offset",MIN(Inputs!$B$25,Q644+T644),0))</f>
        <v>0</v>
      </c>
    </row>
    <row r="645" customFormat="false" ht="15" hidden="false" customHeight="false" outlineLevel="0" collapsed="false">
      <c r="A645" s="1" t="n">
        <f aca="false">IF(A644="","",IF(INT((C644+1)/12)+Inputs!$B$7&gt;MAX(MORTALITY!$A:$A),"",Inputs!$B$4))</f>
        <v>34</v>
      </c>
      <c r="B645" s="3" t="n">
        <f aca="false">IF(A645="","",EOMONTH(B644,1))</f>
        <v>41305</v>
      </c>
      <c r="C645" s="1" t="n">
        <f aca="false">IF(A645="","",C644+1)</f>
        <v>643</v>
      </c>
      <c r="D645" s="1" t="n">
        <f aca="false">IF(A645="","",INT(C645/12))</f>
        <v>53</v>
      </c>
      <c r="E645" s="1" t="n">
        <f aca="false">IF(A645="","",D645+Inputs!$B$7)</f>
        <v>69</v>
      </c>
      <c r="F645" s="3" t="n">
        <f aca="false">IF(A645="","",DATE(YEAR(B$2)+D645,MONTH(B$2),DAY(B$2)))</f>
        <v>41065</v>
      </c>
      <c r="G645" s="3" t="n">
        <f aca="false">IF(A645="","",DATE(YEAR(F645)+1,MONTH(F645),DAY(F645)))</f>
        <v>41430</v>
      </c>
      <c r="H645" s="10" t="n">
        <f aca="false">IF(A645="","",IF(G645&gt;F645,(B645-F645)/(G645-F645),0))</f>
        <v>0.657534246575342</v>
      </c>
      <c r="I645" s="10" t="n">
        <f aca="false">IF(A645="","",IFERROR(INDEX(CV_RATES!$I:$I,MATCH(D645,CV_RATES!$C:$C,0)),0))</f>
        <v>790.617849098062</v>
      </c>
      <c r="J645" s="10" t="n">
        <f aca="false">IF(A645="","",IFERROR(IF(E645=MAX(MORTALITY!$A:$A),1000,INDEX(CV_RATES!$J:$J,MATCH(D645,CV_RATES!$C:$C,0))),0))</f>
        <v>799.411081482612</v>
      </c>
      <c r="K645" s="10" t="n">
        <f aca="false">IF(A645="","",IFERROR(I645+H645*(J645-I645),0))</f>
        <v>796.399700528999</v>
      </c>
      <c r="L645" s="10" t="n">
        <f aca="false">IF(A645="","",IFERROR(K645*Inputs!$B$9,0))</f>
        <v>39819.98502645</v>
      </c>
      <c r="M645" s="10" t="n">
        <f aca="false">IF(A645="","",IFERROR(K645*Inputs!$B$10,0))</f>
        <v>127421.562885538</v>
      </c>
      <c r="N645" s="10" t="n">
        <f aca="false">IF(A645="","",Z644)</f>
        <v>0</v>
      </c>
      <c r="O645" s="6" t="n">
        <f aca="false">IF(A645="","",Inputs!$B$18+N645)</f>
        <v>50000</v>
      </c>
      <c r="P645" s="5" t="n">
        <f aca="false">IF(A645="","",VLOOKUP(D645,DIvidend_Assumption!$A$3:$CX$103,($E$2+2),0)/12)</f>
        <v>0</v>
      </c>
      <c r="Q645" s="10" t="n">
        <f aca="false">IF(A645="","",IFERROR(AB644*P645,""))</f>
        <v>0</v>
      </c>
      <c r="R645" s="10" t="n">
        <f aca="false">IF(A645="","",IFERROR(IF(Inputs!$B$22="Accumulate",T645+Q645,IF(Inputs!$B$22="Premium Offset",MAX(0,T645+Q645-Inputs!$B$25),T645)),""))</f>
        <v>0</v>
      </c>
      <c r="S645" s="10" t="n">
        <f aca="false">IF(A645="","",R644)</f>
        <v>0</v>
      </c>
      <c r="T645" s="10" t="n">
        <f aca="false">IF(A645="","",IFERROR(S645*(1+Inputs!$B$23/12),""))</f>
        <v>0</v>
      </c>
      <c r="U645" s="6" t="n">
        <f aca="false">IF(A645="","",IF(D645&lt;=Inputs!$B$8,IF(Inputs!$B$22="Premium Offset",MAX(0,Inputs!$B$25-(Q645+T645)),Inputs!$B$25),0))</f>
        <v>0</v>
      </c>
      <c r="V645" s="10" t="n">
        <f aca="false">IF(A645="","",IF(Inputs!$B$22="Cash",Q645,0))</f>
        <v>0</v>
      </c>
      <c r="W645" s="10" t="n">
        <f aca="false">IF(A645="","",IF(Inputs!$B$22="PUA",Q645,0))</f>
        <v>0</v>
      </c>
      <c r="X645" s="12" t="n">
        <f aca="false">IF(A645="","",IFERROR(INDEX(PUA_TABLE!$D$4:$D$105,MATCH(E645,PUA_TABLE!$C$4:$C$105,1)),0))</f>
        <v>0.790617849098062</v>
      </c>
      <c r="Y645" s="10" t="n">
        <f aca="false">IF(A645="","",IF(W645&gt;0,IF(X645&gt;0,W645/X645,0),0))</f>
        <v>0</v>
      </c>
      <c r="Z645" s="10" t="n">
        <f aca="false">IF(A645="","",N645+Y645)</f>
        <v>0</v>
      </c>
      <c r="AA645" s="10" t="n">
        <f aca="false">IF(A645="","",IFERROR(Z645*INDEX(PUA_TABLE!$I$4:$I$105,MATCH(E645,PUA_TABLE!$C$4:$C$105,1))/1000,0))</f>
        <v>0</v>
      </c>
      <c r="AB645" s="10" t="n">
        <f aca="false">IF(A645="","",IFERROR(L645+AA645,0))</f>
        <v>39819.98502645</v>
      </c>
      <c r="AC645" s="10" t="n">
        <f aca="false">IF(A645="","",IF(Inputs!$B$22="Premium Offset",MIN(Inputs!$B$25,Q645+T645),0))</f>
        <v>0</v>
      </c>
    </row>
    <row r="646" customFormat="false" ht="15" hidden="false" customHeight="false" outlineLevel="0" collapsed="false">
      <c r="A646" s="1" t="n">
        <f aca="false">IF(A645="","",IF(INT((C645+1)/12)+Inputs!$B$7&gt;MAX(MORTALITY!$A:$A),"",Inputs!$B$4))</f>
        <v>34</v>
      </c>
      <c r="B646" s="3" t="n">
        <f aca="false">IF(A646="","",EOMONTH(B645,1))</f>
        <v>41333</v>
      </c>
      <c r="C646" s="1" t="n">
        <f aca="false">IF(A646="","",C645+1)</f>
        <v>644</v>
      </c>
      <c r="D646" s="1" t="n">
        <f aca="false">IF(A646="","",INT(C646/12))</f>
        <v>53</v>
      </c>
      <c r="E646" s="1" t="n">
        <f aca="false">IF(A646="","",D646+Inputs!$B$7)</f>
        <v>69</v>
      </c>
      <c r="F646" s="3" t="n">
        <f aca="false">IF(A646="","",DATE(YEAR(B$2)+D646,MONTH(B$2),DAY(B$2)))</f>
        <v>41065</v>
      </c>
      <c r="G646" s="3" t="n">
        <f aca="false">IF(A646="","",DATE(YEAR(F646)+1,MONTH(F646),DAY(F646)))</f>
        <v>41430</v>
      </c>
      <c r="H646" s="10" t="n">
        <f aca="false">IF(A646="","",IF(G646&gt;F646,(B646-F646)/(G646-F646),0))</f>
        <v>0.734246575342466</v>
      </c>
      <c r="I646" s="10" t="n">
        <f aca="false">IF(A646="","",IFERROR(INDEX(CV_RATES!$I:$I,MATCH(D646,CV_RATES!$C:$C,0)),0))</f>
        <v>790.617849098062</v>
      </c>
      <c r="J646" s="10" t="n">
        <f aca="false">IF(A646="","",IFERROR(IF(E646=MAX(MORTALITY!$A:$A),1000,INDEX(CV_RATES!$J:$J,MATCH(D646,CV_RATES!$C:$C,0))),0))</f>
        <v>799.411081482612</v>
      </c>
      <c r="K646" s="10" t="n">
        <f aca="false">IF(A646="","",IFERROR(I646+H646*(J646-I646),0))</f>
        <v>797.074249862608</v>
      </c>
      <c r="L646" s="10" t="n">
        <f aca="false">IF(A646="","",IFERROR(K646*Inputs!$B$9,0))</f>
        <v>39853.7124931304</v>
      </c>
      <c r="M646" s="10" t="n">
        <f aca="false">IF(A646="","",IFERROR(K646*Inputs!$B$10,0))</f>
        <v>127529.488755268</v>
      </c>
      <c r="N646" s="10" t="n">
        <f aca="false">IF(A646="","",Z645)</f>
        <v>0</v>
      </c>
      <c r="O646" s="6" t="n">
        <f aca="false">IF(A646="","",Inputs!$B$18+N646)</f>
        <v>50000</v>
      </c>
      <c r="P646" s="5" t="n">
        <f aca="false">IF(A646="","",VLOOKUP(D646,DIvidend_Assumption!$A$3:$CX$103,($E$2+2),0)/12)</f>
        <v>0</v>
      </c>
      <c r="Q646" s="10" t="n">
        <f aca="false">IF(A646="","",IFERROR(AB645*P646,""))</f>
        <v>0</v>
      </c>
      <c r="R646" s="10" t="n">
        <f aca="false">IF(A646="","",IFERROR(IF(Inputs!$B$22="Accumulate",T646+Q646,IF(Inputs!$B$22="Premium Offset",MAX(0,T646+Q646-Inputs!$B$25),T646)),""))</f>
        <v>0</v>
      </c>
      <c r="S646" s="10" t="n">
        <f aca="false">IF(A646="","",R645)</f>
        <v>0</v>
      </c>
      <c r="T646" s="10" t="n">
        <f aca="false">IF(A646="","",IFERROR(S646*(1+Inputs!$B$23/12),""))</f>
        <v>0</v>
      </c>
      <c r="U646" s="6" t="n">
        <f aca="false">IF(A646="","",IF(D646&lt;=Inputs!$B$8,IF(Inputs!$B$22="Premium Offset",MAX(0,Inputs!$B$25-(Q646+T646)),Inputs!$B$25),0))</f>
        <v>0</v>
      </c>
      <c r="V646" s="10" t="n">
        <f aca="false">IF(A646="","",IF(Inputs!$B$22="Cash",Q646,0))</f>
        <v>0</v>
      </c>
      <c r="W646" s="10" t="n">
        <f aca="false">IF(A646="","",IF(Inputs!$B$22="PUA",Q646,0))</f>
        <v>0</v>
      </c>
      <c r="X646" s="12" t="n">
        <f aca="false">IF(A646="","",IFERROR(INDEX(PUA_TABLE!$D$4:$D$105,MATCH(E646,PUA_TABLE!$C$4:$C$105,1)),0))</f>
        <v>0.790617849098062</v>
      </c>
      <c r="Y646" s="10" t="n">
        <f aca="false">IF(A646="","",IF(W646&gt;0,IF(X646&gt;0,W646/X646,0),0))</f>
        <v>0</v>
      </c>
      <c r="Z646" s="10" t="n">
        <f aca="false">IF(A646="","",N646+Y646)</f>
        <v>0</v>
      </c>
      <c r="AA646" s="10" t="n">
        <f aca="false">IF(A646="","",IFERROR(Z646*INDEX(PUA_TABLE!$I$4:$I$105,MATCH(E646,PUA_TABLE!$C$4:$C$105,1))/1000,0))</f>
        <v>0</v>
      </c>
      <c r="AB646" s="10" t="n">
        <f aca="false">IF(A646="","",IFERROR(L646+AA646,0))</f>
        <v>39853.7124931304</v>
      </c>
      <c r="AC646" s="10" t="n">
        <f aca="false">IF(A646="","",IF(Inputs!$B$22="Premium Offset",MIN(Inputs!$B$25,Q646+T646),0))</f>
        <v>0</v>
      </c>
    </row>
    <row r="647" customFormat="false" ht="15" hidden="false" customHeight="false" outlineLevel="0" collapsed="false">
      <c r="A647" s="1" t="n">
        <f aca="false">IF(A646="","",IF(INT((C646+1)/12)+Inputs!$B$7&gt;MAX(MORTALITY!$A:$A),"",Inputs!$B$4))</f>
        <v>34</v>
      </c>
      <c r="B647" s="3" t="n">
        <f aca="false">IF(A647="","",EOMONTH(B646,1))</f>
        <v>41364</v>
      </c>
      <c r="C647" s="1" t="n">
        <f aca="false">IF(A647="","",C646+1)</f>
        <v>645</v>
      </c>
      <c r="D647" s="1" t="n">
        <f aca="false">IF(A647="","",INT(C647/12))</f>
        <v>53</v>
      </c>
      <c r="E647" s="1" t="n">
        <f aca="false">IF(A647="","",D647+Inputs!$B$7)</f>
        <v>69</v>
      </c>
      <c r="F647" s="3" t="n">
        <f aca="false">IF(A647="","",DATE(YEAR(B$2)+D647,MONTH(B$2),DAY(B$2)))</f>
        <v>41065</v>
      </c>
      <c r="G647" s="3" t="n">
        <f aca="false">IF(A647="","",DATE(YEAR(F647)+1,MONTH(F647),DAY(F647)))</f>
        <v>41430</v>
      </c>
      <c r="H647" s="10" t="n">
        <f aca="false">IF(A647="","",IF(G647&gt;F647,(B647-F647)/(G647-F647),0))</f>
        <v>0.819178082191781</v>
      </c>
      <c r="I647" s="10" t="n">
        <f aca="false">IF(A647="","",IFERROR(INDEX(CV_RATES!$I:$I,MATCH(D647,CV_RATES!$C:$C,0)),0))</f>
        <v>790.617849098062</v>
      </c>
      <c r="J647" s="10" t="n">
        <f aca="false">IF(A647="","",IFERROR(IF(E647=MAX(MORTALITY!$A:$A),1000,INDEX(CV_RATES!$J:$J,MATCH(D647,CV_RATES!$C:$C,0))),0))</f>
        <v>799.411081482612</v>
      </c>
      <c r="K647" s="10" t="n">
        <f aca="false">IF(A647="","",IFERROR(I647+H647*(J647-I647),0))</f>
        <v>797.821072339104</v>
      </c>
      <c r="L647" s="10" t="n">
        <f aca="false">IF(A647="","",IFERROR(K647*Inputs!$B$9,0))</f>
        <v>39891.0536169552</v>
      </c>
      <c r="M647" s="10" t="n">
        <f aca="false">IF(A647="","",IFERROR(K647*Inputs!$B$10,0))</f>
        <v>127648.97811104</v>
      </c>
      <c r="N647" s="10" t="n">
        <f aca="false">IF(A647="","",Z646)</f>
        <v>0</v>
      </c>
      <c r="O647" s="6" t="n">
        <f aca="false">IF(A647="","",Inputs!$B$18+N647)</f>
        <v>50000</v>
      </c>
      <c r="P647" s="5" t="n">
        <f aca="false">IF(A647="","",VLOOKUP(D647,DIvidend_Assumption!$A$3:$CX$103,($E$2+2),0)/12)</f>
        <v>0</v>
      </c>
      <c r="Q647" s="10" t="n">
        <f aca="false">IF(A647="","",IFERROR(AB646*P647,""))</f>
        <v>0</v>
      </c>
      <c r="R647" s="10" t="n">
        <f aca="false">IF(A647="","",IFERROR(IF(Inputs!$B$22="Accumulate",T647+Q647,IF(Inputs!$B$22="Premium Offset",MAX(0,T647+Q647-Inputs!$B$25),T647)),""))</f>
        <v>0</v>
      </c>
      <c r="S647" s="10" t="n">
        <f aca="false">IF(A647="","",R646)</f>
        <v>0</v>
      </c>
      <c r="T647" s="10" t="n">
        <f aca="false">IF(A647="","",IFERROR(S647*(1+Inputs!$B$23/12),""))</f>
        <v>0</v>
      </c>
      <c r="U647" s="6" t="n">
        <f aca="false">IF(A647="","",IF(D647&lt;=Inputs!$B$8,IF(Inputs!$B$22="Premium Offset",MAX(0,Inputs!$B$25-(Q647+T647)),Inputs!$B$25),0))</f>
        <v>0</v>
      </c>
      <c r="V647" s="10" t="n">
        <f aca="false">IF(A647="","",IF(Inputs!$B$22="Cash",Q647,0))</f>
        <v>0</v>
      </c>
      <c r="W647" s="10" t="n">
        <f aca="false">IF(A647="","",IF(Inputs!$B$22="PUA",Q647,0))</f>
        <v>0</v>
      </c>
      <c r="X647" s="12" t="n">
        <f aca="false">IF(A647="","",IFERROR(INDEX(PUA_TABLE!$D$4:$D$105,MATCH(E647,PUA_TABLE!$C$4:$C$105,1)),0))</f>
        <v>0.790617849098062</v>
      </c>
      <c r="Y647" s="10" t="n">
        <f aca="false">IF(A647="","",IF(W647&gt;0,IF(X647&gt;0,W647/X647,0),0))</f>
        <v>0</v>
      </c>
      <c r="Z647" s="10" t="n">
        <f aca="false">IF(A647="","",N647+Y647)</f>
        <v>0</v>
      </c>
      <c r="AA647" s="10" t="n">
        <f aca="false">IF(A647="","",IFERROR(Z647*INDEX(PUA_TABLE!$I$4:$I$105,MATCH(E647,PUA_TABLE!$C$4:$C$105,1))/1000,0))</f>
        <v>0</v>
      </c>
      <c r="AB647" s="10" t="n">
        <f aca="false">IF(A647="","",IFERROR(L647+AA647,0))</f>
        <v>39891.0536169552</v>
      </c>
      <c r="AC647" s="10" t="n">
        <f aca="false">IF(A647="","",IF(Inputs!$B$22="Premium Offset",MIN(Inputs!$B$25,Q647+T647),0))</f>
        <v>0</v>
      </c>
    </row>
    <row r="648" customFormat="false" ht="15" hidden="false" customHeight="false" outlineLevel="0" collapsed="false">
      <c r="A648" s="1" t="n">
        <f aca="false">IF(A647="","",IF(INT((C647+1)/12)+Inputs!$B$7&gt;MAX(MORTALITY!$A:$A),"",Inputs!$B$4))</f>
        <v>34</v>
      </c>
      <c r="B648" s="3" t="n">
        <f aca="false">IF(A648="","",EOMONTH(B647,1))</f>
        <v>41394</v>
      </c>
      <c r="C648" s="1" t="n">
        <f aca="false">IF(A648="","",C647+1)</f>
        <v>646</v>
      </c>
      <c r="D648" s="1" t="n">
        <f aca="false">IF(A648="","",INT(C648/12))</f>
        <v>53</v>
      </c>
      <c r="E648" s="1" t="n">
        <f aca="false">IF(A648="","",D648+Inputs!$B$7)</f>
        <v>69</v>
      </c>
      <c r="F648" s="3" t="n">
        <f aca="false">IF(A648="","",DATE(YEAR(B$2)+D648,MONTH(B$2),DAY(B$2)))</f>
        <v>41065</v>
      </c>
      <c r="G648" s="3" t="n">
        <f aca="false">IF(A648="","",DATE(YEAR(F648)+1,MONTH(F648),DAY(F648)))</f>
        <v>41430</v>
      </c>
      <c r="H648" s="10" t="n">
        <f aca="false">IF(A648="","",IF(G648&gt;F648,(B648-F648)/(G648-F648),0))</f>
        <v>0.901369863013699</v>
      </c>
      <c r="I648" s="10" t="n">
        <f aca="false">IF(A648="","",IFERROR(INDEX(CV_RATES!$I:$I,MATCH(D648,CV_RATES!$C:$C,0)),0))</f>
        <v>790.617849098062</v>
      </c>
      <c r="J648" s="10" t="n">
        <f aca="false">IF(A648="","",IFERROR(IF(E648=MAX(MORTALITY!$A:$A),1000,INDEX(CV_RATES!$J:$J,MATCH(D648,CV_RATES!$C:$C,0))),0))</f>
        <v>799.411081482612</v>
      </c>
      <c r="K648" s="10" t="n">
        <f aca="false">IF(A648="","",IFERROR(I648+H648*(J648-I648),0))</f>
        <v>798.543803767972</v>
      </c>
      <c r="L648" s="10" t="n">
        <f aca="false">IF(A648="","",IFERROR(K648*Inputs!$B$9,0))</f>
        <v>39927.1901883986</v>
      </c>
      <c r="M648" s="10" t="n">
        <f aca="false">IF(A648="","",IFERROR(K648*Inputs!$B$10,0))</f>
        <v>127764.612971464</v>
      </c>
      <c r="N648" s="10" t="n">
        <f aca="false">IF(A648="","",Z647)</f>
        <v>0</v>
      </c>
      <c r="O648" s="6" t="n">
        <f aca="false">IF(A648="","",Inputs!$B$18+N648)</f>
        <v>50000</v>
      </c>
      <c r="P648" s="5" t="n">
        <f aca="false">IF(A648="","",VLOOKUP(D648,DIvidend_Assumption!$A$3:$CX$103,($E$2+2),0)/12)</f>
        <v>0</v>
      </c>
      <c r="Q648" s="10" t="n">
        <f aca="false">IF(A648="","",IFERROR(AB647*P648,""))</f>
        <v>0</v>
      </c>
      <c r="R648" s="10" t="n">
        <f aca="false">IF(A648="","",IFERROR(IF(Inputs!$B$22="Accumulate",T648+Q648,IF(Inputs!$B$22="Premium Offset",MAX(0,T648+Q648-Inputs!$B$25),T648)),""))</f>
        <v>0</v>
      </c>
      <c r="S648" s="10" t="n">
        <f aca="false">IF(A648="","",R647)</f>
        <v>0</v>
      </c>
      <c r="T648" s="10" t="n">
        <f aca="false">IF(A648="","",IFERROR(S648*(1+Inputs!$B$23/12),""))</f>
        <v>0</v>
      </c>
      <c r="U648" s="6" t="n">
        <f aca="false">IF(A648="","",IF(D648&lt;=Inputs!$B$8,IF(Inputs!$B$22="Premium Offset",MAX(0,Inputs!$B$25-(Q648+T648)),Inputs!$B$25),0))</f>
        <v>0</v>
      </c>
      <c r="V648" s="10" t="n">
        <f aca="false">IF(A648="","",IF(Inputs!$B$22="Cash",Q648,0))</f>
        <v>0</v>
      </c>
      <c r="W648" s="10" t="n">
        <f aca="false">IF(A648="","",IF(Inputs!$B$22="PUA",Q648,0))</f>
        <v>0</v>
      </c>
      <c r="X648" s="12" t="n">
        <f aca="false">IF(A648="","",IFERROR(INDEX(PUA_TABLE!$D$4:$D$105,MATCH(E648,PUA_TABLE!$C$4:$C$105,1)),0))</f>
        <v>0.790617849098062</v>
      </c>
      <c r="Y648" s="10" t="n">
        <f aca="false">IF(A648="","",IF(W648&gt;0,IF(X648&gt;0,W648/X648,0),0))</f>
        <v>0</v>
      </c>
      <c r="Z648" s="10" t="n">
        <f aca="false">IF(A648="","",N648+Y648)</f>
        <v>0</v>
      </c>
      <c r="AA648" s="10" t="n">
        <f aca="false">IF(A648="","",IFERROR(Z648*INDEX(PUA_TABLE!$I$4:$I$105,MATCH(E648,PUA_TABLE!$C$4:$C$105,1))/1000,0))</f>
        <v>0</v>
      </c>
      <c r="AB648" s="10" t="n">
        <f aca="false">IF(A648="","",IFERROR(L648+AA648,0))</f>
        <v>39927.1901883986</v>
      </c>
      <c r="AC648" s="10" t="n">
        <f aca="false">IF(A648="","",IF(Inputs!$B$22="Premium Offset",MIN(Inputs!$B$25,Q648+T648),0))</f>
        <v>0</v>
      </c>
    </row>
    <row r="649" customFormat="false" ht="15" hidden="false" customHeight="false" outlineLevel="0" collapsed="false">
      <c r="A649" s="1" t="n">
        <f aca="false">IF(A648="","",IF(INT((C648+1)/12)+Inputs!$B$7&gt;MAX(MORTALITY!$A:$A),"",Inputs!$B$4))</f>
        <v>34</v>
      </c>
      <c r="B649" s="3" t="n">
        <f aca="false">IF(A649="","",EOMONTH(B648,1))</f>
        <v>41425</v>
      </c>
      <c r="C649" s="1" t="n">
        <f aca="false">IF(A649="","",C648+1)</f>
        <v>647</v>
      </c>
      <c r="D649" s="1" t="n">
        <f aca="false">IF(A649="","",INT(C649/12))</f>
        <v>53</v>
      </c>
      <c r="E649" s="1" t="n">
        <f aca="false">IF(A649="","",D649+Inputs!$B$7)</f>
        <v>69</v>
      </c>
      <c r="F649" s="3" t="n">
        <f aca="false">IF(A649="","",DATE(YEAR(B$2)+D649,MONTH(B$2),DAY(B$2)))</f>
        <v>41065</v>
      </c>
      <c r="G649" s="3" t="n">
        <f aca="false">IF(A649="","",DATE(YEAR(F649)+1,MONTH(F649),DAY(F649)))</f>
        <v>41430</v>
      </c>
      <c r="H649" s="10" t="n">
        <f aca="false">IF(A649="","",IF(G649&gt;F649,(B649-F649)/(G649-F649),0))</f>
        <v>0.986301369863014</v>
      </c>
      <c r="I649" s="10" t="n">
        <f aca="false">IF(A649="","",IFERROR(INDEX(CV_RATES!$I:$I,MATCH(D649,CV_RATES!$C:$C,0)),0))</f>
        <v>790.617849098062</v>
      </c>
      <c r="J649" s="10" t="n">
        <f aca="false">IF(A649="","",IFERROR(IF(E649=MAX(MORTALITY!$A:$A),1000,INDEX(CV_RATES!$J:$J,MATCH(D649,CV_RATES!$C:$C,0))),0))</f>
        <v>799.411081482612</v>
      </c>
      <c r="K649" s="10" t="n">
        <f aca="false">IF(A649="","",IFERROR(I649+H649*(J649-I649),0))</f>
        <v>799.290626244468</v>
      </c>
      <c r="L649" s="10" t="n">
        <f aca="false">IF(A649="","",IFERROR(K649*Inputs!$B$9,0))</f>
        <v>39964.5313122234</v>
      </c>
      <c r="M649" s="10" t="n">
        <f aca="false">IF(A649="","",IFERROR(K649*Inputs!$B$10,0))</f>
        <v>127884.102327236</v>
      </c>
      <c r="N649" s="10" t="n">
        <f aca="false">IF(A649="","",Z648)</f>
        <v>0</v>
      </c>
      <c r="O649" s="6" t="n">
        <f aca="false">IF(A649="","",Inputs!$B$18+N649)</f>
        <v>50000</v>
      </c>
      <c r="P649" s="5" t="n">
        <f aca="false">IF(A649="","",VLOOKUP(D649,DIvidend_Assumption!$A$3:$CX$103,($E$2+2),0)/12)</f>
        <v>0</v>
      </c>
      <c r="Q649" s="10" t="n">
        <f aca="false">IF(A649="","",IFERROR(AB648*P649,""))</f>
        <v>0</v>
      </c>
      <c r="R649" s="10" t="n">
        <f aca="false">IF(A649="","",IFERROR(IF(Inputs!$B$22="Accumulate",T649+Q649,IF(Inputs!$B$22="Premium Offset",MAX(0,T649+Q649-Inputs!$B$25),T649)),""))</f>
        <v>0</v>
      </c>
      <c r="S649" s="10" t="n">
        <f aca="false">IF(A649="","",R648)</f>
        <v>0</v>
      </c>
      <c r="T649" s="10" t="n">
        <f aca="false">IF(A649="","",IFERROR(S649*(1+Inputs!$B$23/12),""))</f>
        <v>0</v>
      </c>
      <c r="U649" s="6" t="n">
        <f aca="false">IF(A649="","",IF(D649&lt;=Inputs!$B$8,IF(Inputs!$B$22="Premium Offset",MAX(0,Inputs!$B$25-(Q649+T649)),Inputs!$B$25),0))</f>
        <v>0</v>
      </c>
      <c r="V649" s="10" t="n">
        <f aca="false">IF(A649="","",IF(Inputs!$B$22="Cash",Q649,0))</f>
        <v>0</v>
      </c>
      <c r="W649" s="10" t="n">
        <f aca="false">IF(A649="","",IF(Inputs!$B$22="PUA",Q649,0))</f>
        <v>0</v>
      </c>
      <c r="X649" s="12" t="n">
        <f aca="false">IF(A649="","",IFERROR(INDEX(PUA_TABLE!$D$4:$D$105,MATCH(E649,PUA_TABLE!$C$4:$C$105,1)),0))</f>
        <v>0.790617849098062</v>
      </c>
      <c r="Y649" s="10" t="n">
        <f aca="false">IF(A649="","",IF(W649&gt;0,IF(X649&gt;0,W649/X649,0),0))</f>
        <v>0</v>
      </c>
      <c r="Z649" s="10" t="n">
        <f aca="false">IF(A649="","",N649+Y649)</f>
        <v>0</v>
      </c>
      <c r="AA649" s="10" t="n">
        <f aca="false">IF(A649="","",IFERROR(Z649*INDEX(PUA_TABLE!$I$4:$I$105,MATCH(E649,PUA_TABLE!$C$4:$C$105,1))/1000,0))</f>
        <v>0</v>
      </c>
      <c r="AB649" s="10" t="n">
        <f aca="false">IF(A649="","",IFERROR(L649+AA649,0))</f>
        <v>39964.5313122234</v>
      </c>
      <c r="AC649" s="10" t="n">
        <f aca="false">IF(A649="","",IF(Inputs!$B$22="Premium Offset",MIN(Inputs!$B$25,Q649+T649),0))</f>
        <v>0</v>
      </c>
    </row>
    <row r="650" customFormat="false" ht="15" hidden="false" customHeight="false" outlineLevel="0" collapsed="false">
      <c r="A650" s="1" t="n">
        <f aca="false">IF(A649="","",IF(INT((C649+1)/12)+Inputs!$B$7&gt;MAX(MORTALITY!$A:$A),"",Inputs!$B$4))</f>
        <v>34</v>
      </c>
      <c r="B650" s="3" t="n">
        <f aca="false">IF(A650="","",EOMONTH(B649,1))</f>
        <v>41455</v>
      </c>
      <c r="C650" s="1" t="n">
        <f aca="false">IF(A650="","",C649+1)</f>
        <v>648</v>
      </c>
      <c r="D650" s="1" t="n">
        <f aca="false">IF(A650="","",INT(C650/12))</f>
        <v>54</v>
      </c>
      <c r="E650" s="1" t="n">
        <f aca="false">IF(A650="","",D650+Inputs!$B$7)</f>
        <v>70</v>
      </c>
      <c r="F650" s="3" t="n">
        <f aca="false">IF(A650="","",DATE(YEAR(B$2)+D650,MONTH(B$2),DAY(B$2)))</f>
        <v>41430</v>
      </c>
      <c r="G650" s="3" t="n">
        <f aca="false">IF(A650="","",DATE(YEAR(F650)+1,MONTH(F650),DAY(F650)))</f>
        <v>41795</v>
      </c>
      <c r="H650" s="10" t="n">
        <f aca="false">IF(A650="","",IF(G650&gt;F650,(B650-F650)/(G650-F650),0))</f>
        <v>0.0684931506849315</v>
      </c>
      <c r="I650" s="10" t="n">
        <f aca="false">IF(A650="","",IFERROR(INDEX(CV_RATES!$I:$I,MATCH(D650,CV_RATES!$C:$C,0)),0))</f>
        <v>799.411081482612</v>
      </c>
      <c r="J650" s="10" t="n">
        <f aca="false">IF(A650="","",IFERROR(IF(E650=MAX(MORTALITY!$A:$A),1000,INDEX(CV_RATES!$J:$J,MATCH(D650,CV_RATES!$C:$C,0))),0))</f>
        <v>808.011436716995</v>
      </c>
      <c r="K650" s="10" t="n">
        <f aca="false">IF(A650="","",IFERROR(I650+H650*(J650-I650),0))</f>
        <v>800.000146909625</v>
      </c>
      <c r="L650" s="10" t="n">
        <f aca="false">IF(A650="","",IFERROR(K650*Inputs!$B$9,0))</f>
        <v>40000.0073454812</v>
      </c>
      <c r="M650" s="10" t="n">
        <f aca="false">IF(A650="","",IFERROR(K650*Inputs!$B$10,0))</f>
        <v>127997.623505099</v>
      </c>
      <c r="N650" s="10" t="n">
        <f aca="false">IF(A650="","",Z649)</f>
        <v>0</v>
      </c>
      <c r="O650" s="6" t="n">
        <f aca="false">IF(A650="","",Inputs!$B$18+N650)</f>
        <v>50000</v>
      </c>
      <c r="P650" s="5" t="n">
        <f aca="false">IF(A650="","",VLOOKUP(D650,DIvidend_Assumption!$A$3:$CX$103,($E$2+2),0)/12)</f>
        <v>0</v>
      </c>
      <c r="Q650" s="10" t="n">
        <f aca="false">IF(A650="","",IFERROR(AB649*P650,""))</f>
        <v>0</v>
      </c>
      <c r="R650" s="10" t="n">
        <f aca="false">IF(A650="","",IFERROR(IF(Inputs!$B$22="Accumulate",T650+Q650,IF(Inputs!$B$22="Premium Offset",MAX(0,T650+Q650-Inputs!$B$25),T650)),""))</f>
        <v>0</v>
      </c>
      <c r="S650" s="10" t="n">
        <f aca="false">IF(A650="","",R649)</f>
        <v>0</v>
      </c>
      <c r="T650" s="10" t="n">
        <f aca="false">IF(A650="","",IFERROR(S650*(1+Inputs!$B$23/12),""))</f>
        <v>0</v>
      </c>
      <c r="U650" s="6" t="n">
        <f aca="false">IF(A650="","",IF(D650&lt;=Inputs!$B$8,IF(Inputs!$B$22="Premium Offset",MAX(0,Inputs!$B$25-(Q650+T650)),Inputs!$B$25),0))</f>
        <v>0</v>
      </c>
      <c r="V650" s="10" t="n">
        <f aca="false">IF(A650="","",IF(Inputs!$B$22="Cash",Q650,0))</f>
        <v>0</v>
      </c>
      <c r="W650" s="10" t="n">
        <f aca="false">IF(A650="","",IF(Inputs!$B$22="PUA",Q650,0))</f>
        <v>0</v>
      </c>
      <c r="X650" s="12" t="n">
        <f aca="false">IF(A650="","",IFERROR(INDEX(PUA_TABLE!$D$4:$D$105,MATCH(E650,PUA_TABLE!$C$4:$C$105,1)),0))</f>
        <v>0.799411081482612</v>
      </c>
      <c r="Y650" s="10" t="n">
        <f aca="false">IF(A650="","",IF(W650&gt;0,IF(X650&gt;0,W650/X650,0),0))</f>
        <v>0</v>
      </c>
      <c r="Z650" s="10" t="n">
        <f aca="false">IF(A650="","",N650+Y650)</f>
        <v>0</v>
      </c>
      <c r="AA650" s="10" t="n">
        <f aca="false">IF(A650="","",IFERROR(Z650*INDEX(PUA_TABLE!$I$4:$I$105,MATCH(E650,PUA_TABLE!$C$4:$C$105,1))/1000,0))</f>
        <v>0</v>
      </c>
      <c r="AB650" s="10" t="n">
        <f aca="false">IF(A650="","",IFERROR(L650+AA650,0))</f>
        <v>40000.0073454812</v>
      </c>
      <c r="AC650" s="10" t="n">
        <f aca="false">IF(A650="","",IF(Inputs!$B$22="Premium Offset",MIN(Inputs!$B$25,Q650+T650),0))</f>
        <v>0</v>
      </c>
    </row>
    <row r="651" customFormat="false" ht="15" hidden="false" customHeight="false" outlineLevel="0" collapsed="false">
      <c r="A651" s="1" t="n">
        <f aca="false">IF(A650="","",IF(INT((C650+1)/12)+Inputs!$B$7&gt;MAX(MORTALITY!$A:$A),"",Inputs!$B$4))</f>
        <v>34</v>
      </c>
      <c r="B651" s="3" t="n">
        <f aca="false">IF(A651="","",EOMONTH(B650,1))</f>
        <v>41486</v>
      </c>
      <c r="C651" s="1" t="n">
        <f aca="false">IF(A651="","",C650+1)</f>
        <v>649</v>
      </c>
      <c r="D651" s="1" t="n">
        <f aca="false">IF(A651="","",INT(C651/12))</f>
        <v>54</v>
      </c>
      <c r="E651" s="1" t="n">
        <f aca="false">IF(A651="","",D651+Inputs!$B$7)</f>
        <v>70</v>
      </c>
      <c r="F651" s="3" t="n">
        <f aca="false">IF(A651="","",DATE(YEAR(B$2)+D651,MONTH(B$2),DAY(B$2)))</f>
        <v>41430</v>
      </c>
      <c r="G651" s="3" t="n">
        <f aca="false">IF(A651="","",DATE(YEAR(F651)+1,MONTH(F651),DAY(F651)))</f>
        <v>41795</v>
      </c>
      <c r="H651" s="10" t="n">
        <f aca="false">IF(A651="","",IF(G651&gt;F651,(B651-F651)/(G651-F651),0))</f>
        <v>0.153424657534247</v>
      </c>
      <c r="I651" s="10" t="n">
        <f aca="false">IF(A651="","",IFERROR(INDEX(CV_RATES!$I:$I,MATCH(D651,CV_RATES!$C:$C,0)),0))</f>
        <v>799.411081482612</v>
      </c>
      <c r="J651" s="10" t="n">
        <f aca="false">IF(A651="","",IFERROR(IF(E651=MAX(MORTALITY!$A:$A),1000,INDEX(CV_RATES!$J:$J,MATCH(D651,CV_RATES!$C:$C,0))),0))</f>
        <v>808.011436716995</v>
      </c>
      <c r="K651" s="10" t="n">
        <f aca="false">IF(A651="","",IFERROR(I651+H651*(J651-I651),0))</f>
        <v>800.73058803912</v>
      </c>
      <c r="L651" s="10" t="n">
        <f aca="false">IF(A651="","",IFERROR(K651*Inputs!$B$9,0))</f>
        <v>40036.529401956</v>
      </c>
      <c r="M651" s="10" t="n">
        <f aca="false">IF(A651="","",IFERROR(K651*Inputs!$B$10,0))</f>
        <v>128114.491894495</v>
      </c>
      <c r="N651" s="10" t="n">
        <f aca="false">IF(A651="","",Z650)</f>
        <v>0</v>
      </c>
      <c r="O651" s="6" t="n">
        <f aca="false">IF(A651="","",Inputs!$B$18+N651)</f>
        <v>50000</v>
      </c>
      <c r="P651" s="5" t="n">
        <f aca="false">IF(A651="","",VLOOKUP(D651,DIvidend_Assumption!$A$3:$CX$103,($E$2+2),0)/12)</f>
        <v>0</v>
      </c>
      <c r="Q651" s="10" t="n">
        <f aca="false">IF(A651="","",IFERROR(AB650*P651,""))</f>
        <v>0</v>
      </c>
      <c r="R651" s="10" t="n">
        <f aca="false">IF(A651="","",IFERROR(IF(Inputs!$B$22="Accumulate",T651+Q651,IF(Inputs!$B$22="Premium Offset",MAX(0,T651+Q651-Inputs!$B$25),T651)),""))</f>
        <v>0</v>
      </c>
      <c r="S651" s="10" t="n">
        <f aca="false">IF(A651="","",R650)</f>
        <v>0</v>
      </c>
      <c r="T651" s="10" t="n">
        <f aca="false">IF(A651="","",IFERROR(S651*(1+Inputs!$B$23/12),""))</f>
        <v>0</v>
      </c>
      <c r="U651" s="6" t="n">
        <f aca="false">IF(A651="","",IF(D651&lt;=Inputs!$B$8,IF(Inputs!$B$22="Premium Offset",MAX(0,Inputs!$B$25-(Q651+T651)),Inputs!$B$25),0))</f>
        <v>0</v>
      </c>
      <c r="V651" s="10" t="n">
        <f aca="false">IF(A651="","",IF(Inputs!$B$22="Cash",Q651,0))</f>
        <v>0</v>
      </c>
      <c r="W651" s="10" t="n">
        <f aca="false">IF(A651="","",IF(Inputs!$B$22="PUA",Q651,0))</f>
        <v>0</v>
      </c>
      <c r="X651" s="12" t="n">
        <f aca="false">IF(A651="","",IFERROR(INDEX(PUA_TABLE!$D$4:$D$105,MATCH(E651,PUA_TABLE!$C$4:$C$105,1)),0))</f>
        <v>0.799411081482612</v>
      </c>
      <c r="Y651" s="10" t="n">
        <f aca="false">IF(A651="","",IF(W651&gt;0,IF(X651&gt;0,W651/X651,0),0))</f>
        <v>0</v>
      </c>
      <c r="Z651" s="10" t="n">
        <f aca="false">IF(A651="","",N651+Y651)</f>
        <v>0</v>
      </c>
      <c r="AA651" s="10" t="n">
        <f aca="false">IF(A651="","",IFERROR(Z651*INDEX(PUA_TABLE!$I$4:$I$105,MATCH(E651,PUA_TABLE!$C$4:$C$105,1))/1000,0))</f>
        <v>0</v>
      </c>
      <c r="AB651" s="10" t="n">
        <f aca="false">IF(A651="","",IFERROR(L651+AA651,0))</f>
        <v>40036.529401956</v>
      </c>
      <c r="AC651" s="10" t="n">
        <f aca="false">IF(A651="","",IF(Inputs!$B$22="Premium Offset",MIN(Inputs!$B$25,Q651+T651),0))</f>
        <v>0</v>
      </c>
    </row>
    <row r="652" customFormat="false" ht="15" hidden="false" customHeight="false" outlineLevel="0" collapsed="false">
      <c r="A652" s="1" t="n">
        <f aca="false">IF(A651="","",IF(INT((C651+1)/12)+Inputs!$B$7&gt;MAX(MORTALITY!$A:$A),"",Inputs!$B$4))</f>
        <v>34</v>
      </c>
      <c r="B652" s="3" t="n">
        <f aca="false">IF(A652="","",EOMONTH(B651,1))</f>
        <v>41517</v>
      </c>
      <c r="C652" s="1" t="n">
        <f aca="false">IF(A652="","",C651+1)</f>
        <v>650</v>
      </c>
      <c r="D652" s="1" t="n">
        <f aca="false">IF(A652="","",INT(C652/12))</f>
        <v>54</v>
      </c>
      <c r="E652" s="1" t="n">
        <f aca="false">IF(A652="","",D652+Inputs!$B$7)</f>
        <v>70</v>
      </c>
      <c r="F652" s="3" t="n">
        <f aca="false">IF(A652="","",DATE(YEAR(B$2)+D652,MONTH(B$2),DAY(B$2)))</f>
        <v>41430</v>
      </c>
      <c r="G652" s="3" t="n">
        <f aca="false">IF(A652="","",DATE(YEAR(F652)+1,MONTH(F652),DAY(F652)))</f>
        <v>41795</v>
      </c>
      <c r="H652" s="10" t="n">
        <f aca="false">IF(A652="","",IF(G652&gt;F652,(B652-F652)/(G652-F652),0))</f>
        <v>0.238356164383562</v>
      </c>
      <c r="I652" s="10" t="n">
        <f aca="false">IF(A652="","",IFERROR(INDEX(CV_RATES!$I:$I,MATCH(D652,CV_RATES!$C:$C,0)),0))</f>
        <v>799.411081482612</v>
      </c>
      <c r="J652" s="10" t="n">
        <f aca="false">IF(A652="","",IFERROR(IF(E652=MAX(MORTALITY!$A:$A),1000,INDEX(CV_RATES!$J:$J,MATCH(D652,CV_RATES!$C:$C,0))),0))</f>
        <v>808.011436716995</v>
      </c>
      <c r="K652" s="10" t="n">
        <f aca="false">IF(A652="","",IFERROR(I652+H652*(J652-I652),0))</f>
        <v>801.461029168616</v>
      </c>
      <c r="L652" s="10" t="n">
        <f aca="false">IF(A652="","",IFERROR(K652*Inputs!$B$9,0))</f>
        <v>40073.0514584308</v>
      </c>
      <c r="M652" s="10" t="n">
        <f aca="false">IF(A652="","",IFERROR(K652*Inputs!$B$10,0))</f>
        <v>128231.360283891</v>
      </c>
      <c r="N652" s="10" t="n">
        <f aca="false">IF(A652="","",Z651)</f>
        <v>0</v>
      </c>
      <c r="O652" s="6" t="n">
        <f aca="false">IF(A652="","",Inputs!$B$18+N652)</f>
        <v>50000</v>
      </c>
      <c r="P652" s="5" t="n">
        <f aca="false">IF(A652="","",VLOOKUP(D652,DIvidend_Assumption!$A$3:$CX$103,($E$2+2),0)/12)</f>
        <v>0</v>
      </c>
      <c r="Q652" s="10" t="n">
        <f aca="false">IF(A652="","",IFERROR(AB651*P652,""))</f>
        <v>0</v>
      </c>
      <c r="R652" s="10" t="n">
        <f aca="false">IF(A652="","",IFERROR(IF(Inputs!$B$22="Accumulate",T652+Q652,IF(Inputs!$B$22="Premium Offset",MAX(0,T652+Q652-Inputs!$B$25),T652)),""))</f>
        <v>0</v>
      </c>
      <c r="S652" s="10" t="n">
        <f aca="false">IF(A652="","",R651)</f>
        <v>0</v>
      </c>
      <c r="T652" s="10" t="n">
        <f aca="false">IF(A652="","",IFERROR(S652*(1+Inputs!$B$23/12),""))</f>
        <v>0</v>
      </c>
      <c r="U652" s="6" t="n">
        <f aca="false">IF(A652="","",IF(D652&lt;=Inputs!$B$8,IF(Inputs!$B$22="Premium Offset",MAX(0,Inputs!$B$25-(Q652+T652)),Inputs!$B$25),0))</f>
        <v>0</v>
      </c>
      <c r="V652" s="10" t="n">
        <f aca="false">IF(A652="","",IF(Inputs!$B$22="Cash",Q652,0))</f>
        <v>0</v>
      </c>
      <c r="W652" s="10" t="n">
        <f aca="false">IF(A652="","",IF(Inputs!$B$22="PUA",Q652,0))</f>
        <v>0</v>
      </c>
      <c r="X652" s="12" t="n">
        <f aca="false">IF(A652="","",IFERROR(INDEX(PUA_TABLE!$D$4:$D$105,MATCH(E652,PUA_TABLE!$C$4:$C$105,1)),0))</f>
        <v>0.799411081482612</v>
      </c>
      <c r="Y652" s="10" t="n">
        <f aca="false">IF(A652="","",IF(W652&gt;0,IF(X652&gt;0,W652/X652,0),0))</f>
        <v>0</v>
      </c>
      <c r="Z652" s="10" t="n">
        <f aca="false">IF(A652="","",N652+Y652)</f>
        <v>0</v>
      </c>
      <c r="AA652" s="10" t="n">
        <f aca="false">IF(A652="","",IFERROR(Z652*INDEX(PUA_TABLE!$I$4:$I$105,MATCH(E652,PUA_TABLE!$C$4:$C$105,1))/1000,0))</f>
        <v>0</v>
      </c>
      <c r="AB652" s="10" t="n">
        <f aca="false">IF(A652="","",IFERROR(L652+AA652,0))</f>
        <v>40073.0514584308</v>
      </c>
      <c r="AC652" s="10" t="n">
        <f aca="false">IF(A652="","",IF(Inputs!$B$22="Premium Offset",MIN(Inputs!$B$25,Q652+T652),0))</f>
        <v>0</v>
      </c>
    </row>
    <row r="653" customFormat="false" ht="15" hidden="false" customHeight="false" outlineLevel="0" collapsed="false">
      <c r="A653" s="1" t="n">
        <f aca="false">IF(A652="","",IF(INT((C652+1)/12)+Inputs!$B$7&gt;MAX(MORTALITY!$A:$A),"",Inputs!$B$4))</f>
        <v>34</v>
      </c>
      <c r="B653" s="3" t="n">
        <f aca="false">IF(A653="","",EOMONTH(B652,1))</f>
        <v>41547</v>
      </c>
      <c r="C653" s="1" t="n">
        <f aca="false">IF(A653="","",C652+1)</f>
        <v>651</v>
      </c>
      <c r="D653" s="1" t="n">
        <f aca="false">IF(A653="","",INT(C653/12))</f>
        <v>54</v>
      </c>
      <c r="E653" s="1" t="n">
        <f aca="false">IF(A653="","",D653+Inputs!$B$7)</f>
        <v>70</v>
      </c>
      <c r="F653" s="3" t="n">
        <f aca="false">IF(A653="","",DATE(YEAR(B$2)+D653,MONTH(B$2),DAY(B$2)))</f>
        <v>41430</v>
      </c>
      <c r="G653" s="3" t="n">
        <f aca="false">IF(A653="","",DATE(YEAR(F653)+1,MONTH(F653),DAY(F653)))</f>
        <v>41795</v>
      </c>
      <c r="H653" s="10" t="n">
        <f aca="false">IF(A653="","",IF(G653&gt;F653,(B653-F653)/(G653-F653),0))</f>
        <v>0.320547945205479</v>
      </c>
      <c r="I653" s="10" t="n">
        <f aca="false">IF(A653="","",IFERROR(INDEX(CV_RATES!$I:$I,MATCH(D653,CV_RATES!$C:$C,0)),0))</f>
        <v>799.411081482612</v>
      </c>
      <c r="J653" s="10" t="n">
        <f aca="false">IF(A653="","",IFERROR(IF(E653=MAX(MORTALITY!$A:$A),1000,INDEX(CV_RATES!$J:$J,MATCH(D653,CV_RATES!$C:$C,0))),0))</f>
        <v>808.011436716995</v>
      </c>
      <c r="K653" s="10" t="n">
        <f aca="false">IF(A653="","",IFERROR(I653+H653*(J653-I653),0))</f>
        <v>802.167907681031</v>
      </c>
      <c r="L653" s="10" t="n">
        <f aca="false">IF(A653="","",IFERROR(K653*Inputs!$B$9,0))</f>
        <v>40108.3953840515</v>
      </c>
      <c r="M653" s="10" t="n">
        <f aca="false">IF(A653="","",IFERROR(K653*Inputs!$B$10,0))</f>
        <v>128344.458725242</v>
      </c>
      <c r="N653" s="10" t="n">
        <f aca="false">IF(A653="","",Z652)</f>
        <v>0</v>
      </c>
      <c r="O653" s="6" t="n">
        <f aca="false">IF(A653="","",Inputs!$B$18+N653)</f>
        <v>50000</v>
      </c>
      <c r="P653" s="5" t="n">
        <f aca="false">IF(A653="","",VLOOKUP(D653,DIvidend_Assumption!$A$3:$CX$103,($E$2+2),0)/12)</f>
        <v>0</v>
      </c>
      <c r="Q653" s="10" t="n">
        <f aca="false">IF(A653="","",IFERROR(AB652*P653,""))</f>
        <v>0</v>
      </c>
      <c r="R653" s="10" t="n">
        <f aca="false">IF(A653="","",IFERROR(IF(Inputs!$B$22="Accumulate",T653+Q653,IF(Inputs!$B$22="Premium Offset",MAX(0,T653+Q653-Inputs!$B$25),T653)),""))</f>
        <v>0</v>
      </c>
      <c r="S653" s="10" t="n">
        <f aca="false">IF(A653="","",R652)</f>
        <v>0</v>
      </c>
      <c r="T653" s="10" t="n">
        <f aca="false">IF(A653="","",IFERROR(S653*(1+Inputs!$B$23/12),""))</f>
        <v>0</v>
      </c>
      <c r="U653" s="6" t="n">
        <f aca="false">IF(A653="","",IF(D653&lt;=Inputs!$B$8,IF(Inputs!$B$22="Premium Offset",MAX(0,Inputs!$B$25-(Q653+T653)),Inputs!$B$25),0))</f>
        <v>0</v>
      </c>
      <c r="V653" s="10" t="n">
        <f aca="false">IF(A653="","",IF(Inputs!$B$22="Cash",Q653,0))</f>
        <v>0</v>
      </c>
      <c r="W653" s="10" t="n">
        <f aca="false">IF(A653="","",IF(Inputs!$B$22="PUA",Q653,0))</f>
        <v>0</v>
      </c>
      <c r="X653" s="12" t="n">
        <f aca="false">IF(A653="","",IFERROR(INDEX(PUA_TABLE!$D$4:$D$105,MATCH(E653,PUA_TABLE!$C$4:$C$105,1)),0))</f>
        <v>0.799411081482612</v>
      </c>
      <c r="Y653" s="10" t="n">
        <f aca="false">IF(A653="","",IF(W653&gt;0,IF(X653&gt;0,W653/X653,0),0))</f>
        <v>0</v>
      </c>
      <c r="Z653" s="10" t="n">
        <f aca="false">IF(A653="","",N653+Y653)</f>
        <v>0</v>
      </c>
      <c r="AA653" s="10" t="n">
        <f aca="false">IF(A653="","",IFERROR(Z653*INDEX(PUA_TABLE!$I$4:$I$105,MATCH(E653,PUA_TABLE!$C$4:$C$105,1))/1000,0))</f>
        <v>0</v>
      </c>
      <c r="AB653" s="10" t="n">
        <f aca="false">IF(A653="","",IFERROR(L653+AA653,0))</f>
        <v>40108.3953840515</v>
      </c>
      <c r="AC653" s="10" t="n">
        <f aca="false">IF(A653="","",IF(Inputs!$B$22="Premium Offset",MIN(Inputs!$B$25,Q653+T653),0))</f>
        <v>0</v>
      </c>
    </row>
    <row r="654" customFormat="false" ht="15" hidden="false" customHeight="false" outlineLevel="0" collapsed="false">
      <c r="A654" s="1" t="n">
        <f aca="false">IF(A653="","",IF(INT((C653+1)/12)+Inputs!$B$7&gt;MAX(MORTALITY!$A:$A),"",Inputs!$B$4))</f>
        <v>34</v>
      </c>
      <c r="B654" s="3" t="n">
        <f aca="false">IF(A654="","",EOMONTH(B653,1))</f>
        <v>41578</v>
      </c>
      <c r="C654" s="1" t="n">
        <f aca="false">IF(A654="","",C653+1)</f>
        <v>652</v>
      </c>
      <c r="D654" s="1" t="n">
        <f aca="false">IF(A654="","",INT(C654/12))</f>
        <v>54</v>
      </c>
      <c r="E654" s="1" t="n">
        <f aca="false">IF(A654="","",D654+Inputs!$B$7)</f>
        <v>70</v>
      </c>
      <c r="F654" s="3" t="n">
        <f aca="false">IF(A654="","",DATE(YEAR(B$2)+D654,MONTH(B$2),DAY(B$2)))</f>
        <v>41430</v>
      </c>
      <c r="G654" s="3" t="n">
        <f aca="false">IF(A654="","",DATE(YEAR(F654)+1,MONTH(F654),DAY(F654)))</f>
        <v>41795</v>
      </c>
      <c r="H654" s="10" t="n">
        <f aca="false">IF(A654="","",IF(G654&gt;F654,(B654-F654)/(G654-F654),0))</f>
        <v>0.405479452054795</v>
      </c>
      <c r="I654" s="10" t="n">
        <f aca="false">IF(A654="","",IFERROR(INDEX(CV_RATES!$I:$I,MATCH(D654,CV_RATES!$C:$C,0)),0))</f>
        <v>799.411081482612</v>
      </c>
      <c r="J654" s="10" t="n">
        <f aca="false">IF(A654="","",IFERROR(IF(E654=MAX(MORTALITY!$A:$A),1000,INDEX(CV_RATES!$J:$J,MATCH(D654,CV_RATES!$C:$C,0))),0))</f>
        <v>808.011436716995</v>
      </c>
      <c r="K654" s="10" t="n">
        <f aca="false">IF(A654="","",IFERROR(I654+H654*(J654-I654),0))</f>
        <v>802.898348810526</v>
      </c>
      <c r="L654" s="10" t="n">
        <f aca="false">IF(A654="","",IFERROR(K654*Inputs!$B$9,0))</f>
        <v>40144.9174405263</v>
      </c>
      <c r="M654" s="10" t="n">
        <f aca="false">IF(A654="","",IFERROR(K654*Inputs!$B$10,0))</f>
        <v>128461.327114638</v>
      </c>
      <c r="N654" s="10" t="n">
        <f aca="false">IF(A654="","",Z653)</f>
        <v>0</v>
      </c>
      <c r="O654" s="6" t="n">
        <f aca="false">IF(A654="","",Inputs!$B$18+N654)</f>
        <v>50000</v>
      </c>
      <c r="P654" s="5" t="n">
        <f aca="false">IF(A654="","",VLOOKUP(D654,DIvidend_Assumption!$A$3:$CX$103,($E$2+2),0)/12)</f>
        <v>0</v>
      </c>
      <c r="Q654" s="10" t="n">
        <f aca="false">IF(A654="","",IFERROR(AB653*P654,""))</f>
        <v>0</v>
      </c>
      <c r="R654" s="10" t="n">
        <f aca="false">IF(A654="","",IFERROR(IF(Inputs!$B$22="Accumulate",T654+Q654,IF(Inputs!$B$22="Premium Offset",MAX(0,T654+Q654-Inputs!$B$25),T654)),""))</f>
        <v>0</v>
      </c>
      <c r="S654" s="10" t="n">
        <f aca="false">IF(A654="","",R653)</f>
        <v>0</v>
      </c>
      <c r="T654" s="10" t="n">
        <f aca="false">IF(A654="","",IFERROR(S654*(1+Inputs!$B$23/12),""))</f>
        <v>0</v>
      </c>
      <c r="U654" s="6" t="n">
        <f aca="false">IF(A654="","",IF(D654&lt;=Inputs!$B$8,IF(Inputs!$B$22="Premium Offset",MAX(0,Inputs!$B$25-(Q654+T654)),Inputs!$B$25),0))</f>
        <v>0</v>
      </c>
      <c r="V654" s="10" t="n">
        <f aca="false">IF(A654="","",IF(Inputs!$B$22="Cash",Q654,0))</f>
        <v>0</v>
      </c>
      <c r="W654" s="10" t="n">
        <f aca="false">IF(A654="","",IF(Inputs!$B$22="PUA",Q654,0))</f>
        <v>0</v>
      </c>
      <c r="X654" s="12" t="n">
        <f aca="false">IF(A654="","",IFERROR(INDEX(PUA_TABLE!$D$4:$D$105,MATCH(E654,PUA_TABLE!$C$4:$C$105,1)),0))</f>
        <v>0.799411081482612</v>
      </c>
      <c r="Y654" s="10" t="n">
        <f aca="false">IF(A654="","",IF(W654&gt;0,IF(X654&gt;0,W654/X654,0),0))</f>
        <v>0</v>
      </c>
      <c r="Z654" s="10" t="n">
        <f aca="false">IF(A654="","",N654+Y654)</f>
        <v>0</v>
      </c>
      <c r="AA654" s="10" t="n">
        <f aca="false">IF(A654="","",IFERROR(Z654*INDEX(PUA_TABLE!$I$4:$I$105,MATCH(E654,PUA_TABLE!$C$4:$C$105,1))/1000,0))</f>
        <v>0</v>
      </c>
      <c r="AB654" s="10" t="n">
        <f aca="false">IF(A654="","",IFERROR(L654+AA654,0))</f>
        <v>40144.9174405263</v>
      </c>
      <c r="AC654" s="10" t="n">
        <f aca="false">IF(A654="","",IF(Inputs!$B$22="Premium Offset",MIN(Inputs!$B$25,Q654+T654),0))</f>
        <v>0</v>
      </c>
    </row>
    <row r="655" customFormat="false" ht="15" hidden="false" customHeight="false" outlineLevel="0" collapsed="false">
      <c r="A655" s="1" t="n">
        <f aca="false">IF(A654="","",IF(INT((C654+1)/12)+Inputs!$B$7&gt;MAX(MORTALITY!$A:$A),"",Inputs!$B$4))</f>
        <v>34</v>
      </c>
      <c r="B655" s="3" t="n">
        <f aca="false">IF(A655="","",EOMONTH(B654,1))</f>
        <v>41608</v>
      </c>
      <c r="C655" s="1" t="n">
        <f aca="false">IF(A655="","",C654+1)</f>
        <v>653</v>
      </c>
      <c r="D655" s="1" t="n">
        <f aca="false">IF(A655="","",INT(C655/12))</f>
        <v>54</v>
      </c>
      <c r="E655" s="1" t="n">
        <f aca="false">IF(A655="","",D655+Inputs!$B$7)</f>
        <v>70</v>
      </c>
      <c r="F655" s="3" t="n">
        <f aca="false">IF(A655="","",DATE(YEAR(B$2)+D655,MONTH(B$2),DAY(B$2)))</f>
        <v>41430</v>
      </c>
      <c r="G655" s="3" t="n">
        <f aca="false">IF(A655="","",DATE(YEAR(F655)+1,MONTH(F655),DAY(F655)))</f>
        <v>41795</v>
      </c>
      <c r="H655" s="10" t="n">
        <f aca="false">IF(A655="","",IF(G655&gt;F655,(B655-F655)/(G655-F655),0))</f>
        <v>0.487671232876712</v>
      </c>
      <c r="I655" s="10" t="n">
        <f aca="false">IF(A655="","",IFERROR(INDEX(CV_RATES!$I:$I,MATCH(D655,CV_RATES!$C:$C,0)),0))</f>
        <v>799.411081482612</v>
      </c>
      <c r="J655" s="10" t="n">
        <f aca="false">IF(A655="","",IFERROR(IF(E655=MAX(MORTALITY!$A:$A),1000,INDEX(CV_RATES!$J:$J,MATCH(D655,CV_RATES!$C:$C,0))),0))</f>
        <v>808.011436716995</v>
      </c>
      <c r="K655" s="10" t="n">
        <f aca="false">IF(A655="","",IFERROR(I655+H655*(J655-I655),0))</f>
        <v>803.605227322941</v>
      </c>
      <c r="L655" s="10" t="n">
        <f aca="false">IF(A655="","",IFERROR(K655*Inputs!$B$9,0))</f>
        <v>40180.2613661471</v>
      </c>
      <c r="M655" s="10" t="n">
        <f aca="false">IF(A655="","",IFERROR(K655*Inputs!$B$10,0))</f>
        <v>128574.425555989</v>
      </c>
      <c r="N655" s="10" t="n">
        <f aca="false">IF(A655="","",Z654)</f>
        <v>0</v>
      </c>
      <c r="O655" s="6" t="n">
        <f aca="false">IF(A655="","",Inputs!$B$18+N655)</f>
        <v>50000</v>
      </c>
      <c r="P655" s="5" t="n">
        <f aca="false">IF(A655="","",VLOOKUP(D655,DIvidend_Assumption!$A$3:$CX$103,($E$2+2),0)/12)</f>
        <v>0</v>
      </c>
      <c r="Q655" s="10" t="n">
        <f aca="false">IF(A655="","",IFERROR(AB654*P655,""))</f>
        <v>0</v>
      </c>
      <c r="R655" s="10" t="n">
        <f aca="false">IF(A655="","",IFERROR(IF(Inputs!$B$22="Accumulate",T655+Q655,IF(Inputs!$B$22="Premium Offset",MAX(0,T655+Q655-Inputs!$B$25),T655)),""))</f>
        <v>0</v>
      </c>
      <c r="S655" s="10" t="n">
        <f aca="false">IF(A655="","",R654)</f>
        <v>0</v>
      </c>
      <c r="T655" s="10" t="n">
        <f aca="false">IF(A655="","",IFERROR(S655*(1+Inputs!$B$23/12),""))</f>
        <v>0</v>
      </c>
      <c r="U655" s="6" t="n">
        <f aca="false">IF(A655="","",IF(D655&lt;=Inputs!$B$8,IF(Inputs!$B$22="Premium Offset",MAX(0,Inputs!$B$25-(Q655+T655)),Inputs!$B$25),0))</f>
        <v>0</v>
      </c>
      <c r="V655" s="10" t="n">
        <f aca="false">IF(A655="","",IF(Inputs!$B$22="Cash",Q655,0))</f>
        <v>0</v>
      </c>
      <c r="W655" s="10" t="n">
        <f aca="false">IF(A655="","",IF(Inputs!$B$22="PUA",Q655,0))</f>
        <v>0</v>
      </c>
      <c r="X655" s="12" t="n">
        <f aca="false">IF(A655="","",IFERROR(INDEX(PUA_TABLE!$D$4:$D$105,MATCH(E655,PUA_TABLE!$C$4:$C$105,1)),0))</f>
        <v>0.799411081482612</v>
      </c>
      <c r="Y655" s="10" t="n">
        <f aca="false">IF(A655="","",IF(W655&gt;0,IF(X655&gt;0,W655/X655,0),0))</f>
        <v>0</v>
      </c>
      <c r="Z655" s="10" t="n">
        <f aca="false">IF(A655="","",N655+Y655)</f>
        <v>0</v>
      </c>
      <c r="AA655" s="10" t="n">
        <f aca="false">IF(A655="","",IFERROR(Z655*INDEX(PUA_TABLE!$I$4:$I$105,MATCH(E655,PUA_TABLE!$C$4:$C$105,1))/1000,0))</f>
        <v>0</v>
      </c>
      <c r="AB655" s="10" t="n">
        <f aca="false">IF(A655="","",IFERROR(L655+AA655,0))</f>
        <v>40180.2613661471</v>
      </c>
      <c r="AC655" s="10" t="n">
        <f aca="false">IF(A655="","",IF(Inputs!$B$22="Premium Offset",MIN(Inputs!$B$25,Q655+T655),0))</f>
        <v>0</v>
      </c>
    </row>
    <row r="656" customFormat="false" ht="15" hidden="false" customHeight="false" outlineLevel="0" collapsed="false">
      <c r="A656" s="1" t="n">
        <f aca="false">IF(A655="","",IF(INT((C655+1)/12)+Inputs!$B$7&gt;MAX(MORTALITY!$A:$A),"",Inputs!$B$4))</f>
        <v>34</v>
      </c>
      <c r="B656" s="3" t="n">
        <f aca="false">IF(A656="","",EOMONTH(B655,1))</f>
        <v>41639</v>
      </c>
      <c r="C656" s="1" t="n">
        <f aca="false">IF(A656="","",C655+1)</f>
        <v>654</v>
      </c>
      <c r="D656" s="1" t="n">
        <f aca="false">IF(A656="","",INT(C656/12))</f>
        <v>54</v>
      </c>
      <c r="E656" s="1" t="n">
        <f aca="false">IF(A656="","",D656+Inputs!$B$7)</f>
        <v>70</v>
      </c>
      <c r="F656" s="3" t="n">
        <f aca="false">IF(A656="","",DATE(YEAR(B$2)+D656,MONTH(B$2),DAY(B$2)))</f>
        <v>41430</v>
      </c>
      <c r="G656" s="3" t="n">
        <f aca="false">IF(A656="","",DATE(YEAR(F656)+1,MONTH(F656),DAY(F656)))</f>
        <v>41795</v>
      </c>
      <c r="H656" s="10" t="n">
        <f aca="false">IF(A656="","",IF(G656&gt;F656,(B656-F656)/(G656-F656),0))</f>
        <v>0.572602739726027</v>
      </c>
      <c r="I656" s="10" t="n">
        <f aca="false">IF(A656="","",IFERROR(INDEX(CV_RATES!$I:$I,MATCH(D656,CV_RATES!$C:$C,0)),0))</f>
        <v>799.411081482612</v>
      </c>
      <c r="J656" s="10" t="n">
        <f aca="false">IF(A656="","",IFERROR(IF(E656=MAX(MORTALITY!$A:$A),1000,INDEX(CV_RATES!$J:$J,MATCH(D656,CV_RATES!$C:$C,0))),0))</f>
        <v>808.011436716995</v>
      </c>
      <c r="K656" s="10" t="n">
        <f aca="false">IF(A656="","",IFERROR(I656+H656*(J656-I656),0))</f>
        <v>804.335668452437</v>
      </c>
      <c r="L656" s="10" t="n">
        <f aca="false">IF(A656="","",IFERROR(K656*Inputs!$B$9,0))</f>
        <v>40216.7834226219</v>
      </c>
      <c r="M656" s="10" t="n">
        <f aca="false">IF(A656="","",IFERROR(K656*Inputs!$B$10,0))</f>
        <v>128691.293945385</v>
      </c>
      <c r="N656" s="10" t="n">
        <f aca="false">IF(A656="","",Z655)</f>
        <v>0</v>
      </c>
      <c r="O656" s="6" t="n">
        <f aca="false">IF(A656="","",Inputs!$B$18+N656)</f>
        <v>50000</v>
      </c>
      <c r="P656" s="5" t="n">
        <f aca="false">IF(A656="","",VLOOKUP(D656,DIvidend_Assumption!$A$3:$CX$103,($E$2+2),0)/12)</f>
        <v>0</v>
      </c>
      <c r="Q656" s="10" t="n">
        <f aca="false">IF(A656="","",IFERROR(AB655*P656,""))</f>
        <v>0</v>
      </c>
      <c r="R656" s="10" t="n">
        <f aca="false">IF(A656="","",IFERROR(IF(Inputs!$B$22="Accumulate",T656+Q656,IF(Inputs!$B$22="Premium Offset",MAX(0,T656+Q656-Inputs!$B$25),T656)),""))</f>
        <v>0</v>
      </c>
      <c r="S656" s="10" t="n">
        <f aca="false">IF(A656="","",R655)</f>
        <v>0</v>
      </c>
      <c r="T656" s="10" t="n">
        <f aca="false">IF(A656="","",IFERROR(S656*(1+Inputs!$B$23/12),""))</f>
        <v>0</v>
      </c>
      <c r="U656" s="6" t="n">
        <f aca="false">IF(A656="","",IF(D656&lt;=Inputs!$B$8,IF(Inputs!$B$22="Premium Offset",MAX(0,Inputs!$B$25-(Q656+T656)),Inputs!$B$25),0))</f>
        <v>0</v>
      </c>
      <c r="V656" s="10" t="n">
        <f aca="false">IF(A656="","",IF(Inputs!$B$22="Cash",Q656,0))</f>
        <v>0</v>
      </c>
      <c r="W656" s="10" t="n">
        <f aca="false">IF(A656="","",IF(Inputs!$B$22="PUA",Q656,0))</f>
        <v>0</v>
      </c>
      <c r="X656" s="12" t="n">
        <f aca="false">IF(A656="","",IFERROR(INDEX(PUA_TABLE!$D$4:$D$105,MATCH(E656,PUA_TABLE!$C$4:$C$105,1)),0))</f>
        <v>0.799411081482612</v>
      </c>
      <c r="Y656" s="10" t="n">
        <f aca="false">IF(A656="","",IF(W656&gt;0,IF(X656&gt;0,W656/X656,0),0))</f>
        <v>0</v>
      </c>
      <c r="Z656" s="10" t="n">
        <f aca="false">IF(A656="","",N656+Y656)</f>
        <v>0</v>
      </c>
      <c r="AA656" s="10" t="n">
        <f aca="false">IF(A656="","",IFERROR(Z656*INDEX(PUA_TABLE!$I$4:$I$105,MATCH(E656,PUA_TABLE!$C$4:$C$105,1))/1000,0))</f>
        <v>0</v>
      </c>
      <c r="AB656" s="10" t="n">
        <f aca="false">IF(A656="","",IFERROR(L656+AA656,0))</f>
        <v>40216.7834226219</v>
      </c>
      <c r="AC656" s="10" t="n">
        <f aca="false">IF(A656="","",IF(Inputs!$B$22="Premium Offset",MIN(Inputs!$B$25,Q656+T656),0))</f>
        <v>0</v>
      </c>
    </row>
    <row r="657" customFormat="false" ht="15" hidden="false" customHeight="false" outlineLevel="0" collapsed="false">
      <c r="A657" s="1" t="n">
        <f aca="false">IF(A656="","",IF(INT((C656+1)/12)+Inputs!$B$7&gt;MAX(MORTALITY!$A:$A),"",Inputs!$B$4))</f>
        <v>34</v>
      </c>
      <c r="B657" s="3" t="n">
        <f aca="false">IF(A657="","",EOMONTH(B656,1))</f>
        <v>41670</v>
      </c>
      <c r="C657" s="1" t="n">
        <f aca="false">IF(A657="","",C656+1)</f>
        <v>655</v>
      </c>
      <c r="D657" s="1" t="n">
        <f aca="false">IF(A657="","",INT(C657/12))</f>
        <v>54</v>
      </c>
      <c r="E657" s="1" t="n">
        <f aca="false">IF(A657="","",D657+Inputs!$B$7)</f>
        <v>70</v>
      </c>
      <c r="F657" s="3" t="n">
        <f aca="false">IF(A657="","",DATE(YEAR(B$2)+D657,MONTH(B$2),DAY(B$2)))</f>
        <v>41430</v>
      </c>
      <c r="G657" s="3" t="n">
        <f aca="false">IF(A657="","",DATE(YEAR(F657)+1,MONTH(F657),DAY(F657)))</f>
        <v>41795</v>
      </c>
      <c r="H657" s="10" t="n">
        <f aca="false">IF(A657="","",IF(G657&gt;F657,(B657-F657)/(G657-F657),0))</f>
        <v>0.657534246575342</v>
      </c>
      <c r="I657" s="10" t="n">
        <f aca="false">IF(A657="","",IFERROR(INDEX(CV_RATES!$I:$I,MATCH(D657,CV_RATES!$C:$C,0)),0))</f>
        <v>799.411081482612</v>
      </c>
      <c r="J657" s="10" t="n">
        <f aca="false">IF(A657="","",IFERROR(IF(E657=MAX(MORTALITY!$A:$A),1000,INDEX(CV_RATES!$J:$J,MATCH(D657,CV_RATES!$C:$C,0))),0))</f>
        <v>808.011436716995</v>
      </c>
      <c r="K657" s="10" t="n">
        <f aca="false">IF(A657="","",IFERROR(I657+H657*(J657-I657),0))</f>
        <v>805.066109581932</v>
      </c>
      <c r="L657" s="10" t="n">
        <f aca="false">IF(A657="","",IFERROR(K657*Inputs!$B$9,0))</f>
        <v>40253.3054790966</v>
      </c>
      <c r="M657" s="10" t="n">
        <f aca="false">IF(A657="","",IFERROR(K657*Inputs!$B$10,0))</f>
        <v>128808.16233478</v>
      </c>
      <c r="N657" s="10" t="n">
        <f aca="false">IF(A657="","",Z656)</f>
        <v>0</v>
      </c>
      <c r="O657" s="6" t="n">
        <f aca="false">IF(A657="","",Inputs!$B$18+N657)</f>
        <v>50000</v>
      </c>
      <c r="P657" s="5" t="n">
        <f aca="false">IF(A657="","",VLOOKUP(D657,DIvidend_Assumption!$A$3:$CX$103,($E$2+2),0)/12)</f>
        <v>0</v>
      </c>
      <c r="Q657" s="10" t="n">
        <f aca="false">IF(A657="","",IFERROR(AB656*P657,""))</f>
        <v>0</v>
      </c>
      <c r="R657" s="10" t="n">
        <f aca="false">IF(A657="","",IFERROR(IF(Inputs!$B$22="Accumulate",T657+Q657,IF(Inputs!$B$22="Premium Offset",MAX(0,T657+Q657-Inputs!$B$25),T657)),""))</f>
        <v>0</v>
      </c>
      <c r="S657" s="10" t="n">
        <f aca="false">IF(A657="","",R656)</f>
        <v>0</v>
      </c>
      <c r="T657" s="10" t="n">
        <f aca="false">IF(A657="","",IFERROR(S657*(1+Inputs!$B$23/12),""))</f>
        <v>0</v>
      </c>
      <c r="U657" s="6" t="n">
        <f aca="false">IF(A657="","",IF(D657&lt;=Inputs!$B$8,IF(Inputs!$B$22="Premium Offset",MAX(0,Inputs!$B$25-(Q657+T657)),Inputs!$B$25),0))</f>
        <v>0</v>
      </c>
      <c r="V657" s="10" t="n">
        <f aca="false">IF(A657="","",IF(Inputs!$B$22="Cash",Q657,0))</f>
        <v>0</v>
      </c>
      <c r="W657" s="10" t="n">
        <f aca="false">IF(A657="","",IF(Inputs!$B$22="PUA",Q657,0))</f>
        <v>0</v>
      </c>
      <c r="X657" s="12" t="n">
        <f aca="false">IF(A657="","",IFERROR(INDEX(PUA_TABLE!$D$4:$D$105,MATCH(E657,PUA_TABLE!$C$4:$C$105,1)),0))</f>
        <v>0.799411081482612</v>
      </c>
      <c r="Y657" s="10" t="n">
        <f aca="false">IF(A657="","",IF(W657&gt;0,IF(X657&gt;0,W657/X657,0),0))</f>
        <v>0</v>
      </c>
      <c r="Z657" s="10" t="n">
        <f aca="false">IF(A657="","",N657+Y657)</f>
        <v>0</v>
      </c>
      <c r="AA657" s="10" t="n">
        <f aca="false">IF(A657="","",IFERROR(Z657*INDEX(PUA_TABLE!$I$4:$I$105,MATCH(E657,PUA_TABLE!$C$4:$C$105,1))/1000,0))</f>
        <v>0</v>
      </c>
      <c r="AB657" s="10" t="n">
        <f aca="false">IF(A657="","",IFERROR(L657+AA657,0))</f>
        <v>40253.3054790966</v>
      </c>
      <c r="AC657" s="10" t="n">
        <f aca="false">IF(A657="","",IF(Inputs!$B$22="Premium Offset",MIN(Inputs!$B$25,Q657+T657),0))</f>
        <v>0</v>
      </c>
    </row>
    <row r="658" customFormat="false" ht="15" hidden="false" customHeight="false" outlineLevel="0" collapsed="false">
      <c r="A658" s="1" t="n">
        <f aca="false">IF(A657="","",IF(INT((C657+1)/12)+Inputs!$B$7&gt;MAX(MORTALITY!$A:$A),"",Inputs!$B$4))</f>
        <v>34</v>
      </c>
      <c r="B658" s="3" t="n">
        <f aca="false">IF(A658="","",EOMONTH(B657,1))</f>
        <v>41698</v>
      </c>
      <c r="C658" s="1" t="n">
        <f aca="false">IF(A658="","",C657+1)</f>
        <v>656</v>
      </c>
      <c r="D658" s="1" t="n">
        <f aca="false">IF(A658="","",INT(C658/12))</f>
        <v>54</v>
      </c>
      <c r="E658" s="1" t="n">
        <f aca="false">IF(A658="","",D658+Inputs!$B$7)</f>
        <v>70</v>
      </c>
      <c r="F658" s="3" t="n">
        <f aca="false">IF(A658="","",DATE(YEAR(B$2)+D658,MONTH(B$2),DAY(B$2)))</f>
        <v>41430</v>
      </c>
      <c r="G658" s="3" t="n">
        <f aca="false">IF(A658="","",DATE(YEAR(F658)+1,MONTH(F658),DAY(F658)))</f>
        <v>41795</v>
      </c>
      <c r="H658" s="10" t="n">
        <f aca="false">IF(A658="","",IF(G658&gt;F658,(B658-F658)/(G658-F658),0))</f>
        <v>0.734246575342466</v>
      </c>
      <c r="I658" s="10" t="n">
        <f aca="false">IF(A658="","",IFERROR(INDEX(CV_RATES!$I:$I,MATCH(D658,CV_RATES!$C:$C,0)),0))</f>
        <v>799.411081482612</v>
      </c>
      <c r="J658" s="10" t="n">
        <f aca="false">IF(A658="","",IFERROR(IF(E658=MAX(MORTALITY!$A:$A),1000,INDEX(CV_RATES!$J:$J,MATCH(D658,CV_RATES!$C:$C,0))),0))</f>
        <v>808.011436716995</v>
      </c>
      <c r="K658" s="10" t="n">
        <f aca="false">IF(A658="","",IFERROR(I658+H658*(J658-I658),0))</f>
        <v>805.725862860187</v>
      </c>
      <c r="L658" s="10" t="n">
        <f aca="false">IF(A658="","",IFERROR(K658*Inputs!$B$9,0))</f>
        <v>40286.2931430093</v>
      </c>
      <c r="M658" s="10" t="n">
        <f aca="false">IF(A658="","",IFERROR(K658*Inputs!$B$10,0))</f>
        <v>128913.720880041</v>
      </c>
      <c r="N658" s="10" t="n">
        <f aca="false">IF(A658="","",Z657)</f>
        <v>0</v>
      </c>
      <c r="O658" s="6" t="n">
        <f aca="false">IF(A658="","",Inputs!$B$18+N658)</f>
        <v>50000</v>
      </c>
      <c r="P658" s="5" t="n">
        <f aca="false">IF(A658="","",VLOOKUP(D658,DIvidend_Assumption!$A$3:$CX$103,($E$2+2),0)/12)</f>
        <v>0</v>
      </c>
      <c r="Q658" s="10" t="n">
        <f aca="false">IF(A658="","",IFERROR(AB657*P658,""))</f>
        <v>0</v>
      </c>
      <c r="R658" s="10" t="n">
        <f aca="false">IF(A658="","",IFERROR(IF(Inputs!$B$22="Accumulate",T658+Q658,IF(Inputs!$B$22="Premium Offset",MAX(0,T658+Q658-Inputs!$B$25),T658)),""))</f>
        <v>0</v>
      </c>
      <c r="S658" s="10" t="n">
        <f aca="false">IF(A658="","",R657)</f>
        <v>0</v>
      </c>
      <c r="T658" s="10" t="n">
        <f aca="false">IF(A658="","",IFERROR(S658*(1+Inputs!$B$23/12),""))</f>
        <v>0</v>
      </c>
      <c r="U658" s="6" t="n">
        <f aca="false">IF(A658="","",IF(D658&lt;=Inputs!$B$8,IF(Inputs!$B$22="Premium Offset",MAX(0,Inputs!$B$25-(Q658+T658)),Inputs!$B$25),0))</f>
        <v>0</v>
      </c>
      <c r="V658" s="10" t="n">
        <f aca="false">IF(A658="","",IF(Inputs!$B$22="Cash",Q658,0))</f>
        <v>0</v>
      </c>
      <c r="W658" s="10" t="n">
        <f aca="false">IF(A658="","",IF(Inputs!$B$22="PUA",Q658,0))</f>
        <v>0</v>
      </c>
      <c r="X658" s="12" t="n">
        <f aca="false">IF(A658="","",IFERROR(INDEX(PUA_TABLE!$D$4:$D$105,MATCH(E658,PUA_TABLE!$C$4:$C$105,1)),0))</f>
        <v>0.799411081482612</v>
      </c>
      <c r="Y658" s="10" t="n">
        <f aca="false">IF(A658="","",IF(W658&gt;0,IF(X658&gt;0,W658/X658,0),0))</f>
        <v>0</v>
      </c>
      <c r="Z658" s="10" t="n">
        <f aca="false">IF(A658="","",N658+Y658)</f>
        <v>0</v>
      </c>
      <c r="AA658" s="10" t="n">
        <f aca="false">IF(A658="","",IFERROR(Z658*INDEX(PUA_TABLE!$I$4:$I$105,MATCH(E658,PUA_TABLE!$C$4:$C$105,1))/1000,0))</f>
        <v>0</v>
      </c>
      <c r="AB658" s="10" t="n">
        <f aca="false">IF(A658="","",IFERROR(L658+AA658,0))</f>
        <v>40286.2931430093</v>
      </c>
      <c r="AC658" s="10" t="n">
        <f aca="false">IF(A658="","",IF(Inputs!$B$22="Premium Offset",MIN(Inputs!$B$25,Q658+T658),0))</f>
        <v>0</v>
      </c>
    </row>
    <row r="659" customFormat="false" ht="15" hidden="false" customHeight="false" outlineLevel="0" collapsed="false">
      <c r="A659" s="1" t="n">
        <f aca="false">IF(A658="","",IF(INT((C658+1)/12)+Inputs!$B$7&gt;MAX(MORTALITY!$A:$A),"",Inputs!$B$4))</f>
        <v>34</v>
      </c>
      <c r="B659" s="3" t="n">
        <f aca="false">IF(A659="","",EOMONTH(B658,1))</f>
        <v>41729</v>
      </c>
      <c r="C659" s="1" t="n">
        <f aca="false">IF(A659="","",C658+1)</f>
        <v>657</v>
      </c>
      <c r="D659" s="1" t="n">
        <f aca="false">IF(A659="","",INT(C659/12))</f>
        <v>54</v>
      </c>
      <c r="E659" s="1" t="n">
        <f aca="false">IF(A659="","",D659+Inputs!$B$7)</f>
        <v>70</v>
      </c>
      <c r="F659" s="3" t="n">
        <f aca="false">IF(A659="","",DATE(YEAR(B$2)+D659,MONTH(B$2),DAY(B$2)))</f>
        <v>41430</v>
      </c>
      <c r="G659" s="3" t="n">
        <f aca="false">IF(A659="","",DATE(YEAR(F659)+1,MONTH(F659),DAY(F659)))</f>
        <v>41795</v>
      </c>
      <c r="H659" s="10" t="n">
        <f aca="false">IF(A659="","",IF(G659&gt;F659,(B659-F659)/(G659-F659),0))</f>
        <v>0.819178082191781</v>
      </c>
      <c r="I659" s="10" t="n">
        <f aca="false">IF(A659="","",IFERROR(INDEX(CV_RATES!$I:$I,MATCH(D659,CV_RATES!$C:$C,0)),0))</f>
        <v>799.411081482612</v>
      </c>
      <c r="J659" s="10" t="n">
        <f aca="false">IF(A659="","",IFERROR(IF(E659=MAX(MORTALITY!$A:$A),1000,INDEX(CV_RATES!$J:$J,MATCH(D659,CV_RATES!$C:$C,0))),0))</f>
        <v>808.011436716995</v>
      </c>
      <c r="K659" s="10" t="n">
        <f aca="false">IF(A659="","",IFERROR(I659+H659*(J659-I659),0))</f>
        <v>806.456303989682</v>
      </c>
      <c r="L659" s="10" t="n">
        <f aca="false">IF(A659="","",IFERROR(K659*Inputs!$B$9,0))</f>
        <v>40322.8151994841</v>
      </c>
      <c r="M659" s="10" t="n">
        <f aca="false">IF(A659="","",IFERROR(K659*Inputs!$B$10,0))</f>
        <v>129030.589269437</v>
      </c>
      <c r="N659" s="10" t="n">
        <f aca="false">IF(A659="","",Z658)</f>
        <v>0</v>
      </c>
      <c r="O659" s="6" t="n">
        <f aca="false">IF(A659="","",Inputs!$B$18+N659)</f>
        <v>50000</v>
      </c>
      <c r="P659" s="5" t="n">
        <f aca="false">IF(A659="","",VLOOKUP(D659,DIvidend_Assumption!$A$3:$CX$103,($E$2+2),0)/12)</f>
        <v>0</v>
      </c>
      <c r="Q659" s="10" t="n">
        <f aca="false">IF(A659="","",IFERROR(AB658*P659,""))</f>
        <v>0</v>
      </c>
      <c r="R659" s="10" t="n">
        <f aca="false">IF(A659="","",IFERROR(IF(Inputs!$B$22="Accumulate",T659+Q659,IF(Inputs!$B$22="Premium Offset",MAX(0,T659+Q659-Inputs!$B$25),T659)),""))</f>
        <v>0</v>
      </c>
      <c r="S659" s="10" t="n">
        <f aca="false">IF(A659="","",R658)</f>
        <v>0</v>
      </c>
      <c r="T659" s="10" t="n">
        <f aca="false">IF(A659="","",IFERROR(S659*(1+Inputs!$B$23/12),""))</f>
        <v>0</v>
      </c>
      <c r="U659" s="6" t="n">
        <f aca="false">IF(A659="","",IF(D659&lt;=Inputs!$B$8,IF(Inputs!$B$22="Premium Offset",MAX(0,Inputs!$B$25-(Q659+T659)),Inputs!$B$25),0))</f>
        <v>0</v>
      </c>
      <c r="V659" s="10" t="n">
        <f aca="false">IF(A659="","",IF(Inputs!$B$22="Cash",Q659,0))</f>
        <v>0</v>
      </c>
      <c r="W659" s="10" t="n">
        <f aca="false">IF(A659="","",IF(Inputs!$B$22="PUA",Q659,0))</f>
        <v>0</v>
      </c>
      <c r="X659" s="12" t="n">
        <f aca="false">IF(A659="","",IFERROR(INDEX(PUA_TABLE!$D$4:$D$105,MATCH(E659,PUA_TABLE!$C$4:$C$105,1)),0))</f>
        <v>0.799411081482612</v>
      </c>
      <c r="Y659" s="10" t="n">
        <f aca="false">IF(A659="","",IF(W659&gt;0,IF(X659&gt;0,W659/X659,0),0))</f>
        <v>0</v>
      </c>
      <c r="Z659" s="10" t="n">
        <f aca="false">IF(A659="","",N659+Y659)</f>
        <v>0</v>
      </c>
      <c r="AA659" s="10" t="n">
        <f aca="false">IF(A659="","",IFERROR(Z659*INDEX(PUA_TABLE!$I$4:$I$105,MATCH(E659,PUA_TABLE!$C$4:$C$105,1))/1000,0))</f>
        <v>0</v>
      </c>
      <c r="AB659" s="10" t="n">
        <f aca="false">IF(A659="","",IFERROR(L659+AA659,0))</f>
        <v>40322.8151994841</v>
      </c>
      <c r="AC659" s="10" t="n">
        <f aca="false">IF(A659="","",IF(Inputs!$B$22="Premium Offset",MIN(Inputs!$B$25,Q659+T659),0))</f>
        <v>0</v>
      </c>
    </row>
    <row r="660" customFormat="false" ht="15" hidden="false" customHeight="false" outlineLevel="0" collapsed="false">
      <c r="A660" s="1" t="n">
        <f aca="false">IF(A659="","",IF(INT((C659+1)/12)+Inputs!$B$7&gt;MAX(MORTALITY!$A:$A),"",Inputs!$B$4))</f>
        <v>34</v>
      </c>
      <c r="B660" s="3" t="n">
        <f aca="false">IF(A660="","",EOMONTH(B659,1))</f>
        <v>41759</v>
      </c>
      <c r="C660" s="1" t="n">
        <f aca="false">IF(A660="","",C659+1)</f>
        <v>658</v>
      </c>
      <c r="D660" s="1" t="n">
        <f aca="false">IF(A660="","",INT(C660/12))</f>
        <v>54</v>
      </c>
      <c r="E660" s="1" t="n">
        <f aca="false">IF(A660="","",D660+Inputs!$B$7)</f>
        <v>70</v>
      </c>
      <c r="F660" s="3" t="n">
        <f aca="false">IF(A660="","",DATE(YEAR(B$2)+D660,MONTH(B$2),DAY(B$2)))</f>
        <v>41430</v>
      </c>
      <c r="G660" s="3" t="n">
        <f aca="false">IF(A660="","",DATE(YEAR(F660)+1,MONTH(F660),DAY(F660)))</f>
        <v>41795</v>
      </c>
      <c r="H660" s="10" t="n">
        <f aca="false">IF(A660="","",IF(G660&gt;F660,(B660-F660)/(G660-F660),0))</f>
        <v>0.901369863013699</v>
      </c>
      <c r="I660" s="10" t="n">
        <f aca="false">IF(A660="","",IFERROR(INDEX(CV_RATES!$I:$I,MATCH(D660,CV_RATES!$C:$C,0)),0))</f>
        <v>799.411081482612</v>
      </c>
      <c r="J660" s="10" t="n">
        <f aca="false">IF(A660="","",IFERROR(IF(E660=MAX(MORTALITY!$A:$A),1000,INDEX(CV_RATES!$J:$J,MATCH(D660,CV_RATES!$C:$C,0))),0))</f>
        <v>808.011436716995</v>
      </c>
      <c r="K660" s="10" t="n">
        <f aca="false">IF(A660="","",IFERROR(I660+H660*(J660-I660),0))</f>
        <v>807.163182502097</v>
      </c>
      <c r="L660" s="10" t="n">
        <f aca="false">IF(A660="","",IFERROR(K660*Inputs!$B$9,0))</f>
        <v>40358.1591251049</v>
      </c>
      <c r="M660" s="10" t="n">
        <f aca="false">IF(A660="","",IFERROR(K660*Inputs!$B$10,0))</f>
        <v>129143.687710788</v>
      </c>
      <c r="N660" s="10" t="n">
        <f aca="false">IF(A660="","",Z659)</f>
        <v>0</v>
      </c>
      <c r="O660" s="6" t="n">
        <f aca="false">IF(A660="","",Inputs!$B$18+N660)</f>
        <v>50000</v>
      </c>
      <c r="P660" s="5" t="n">
        <f aca="false">IF(A660="","",VLOOKUP(D660,DIvidend_Assumption!$A$3:$CX$103,($E$2+2),0)/12)</f>
        <v>0</v>
      </c>
      <c r="Q660" s="10" t="n">
        <f aca="false">IF(A660="","",IFERROR(AB659*P660,""))</f>
        <v>0</v>
      </c>
      <c r="R660" s="10" t="n">
        <f aca="false">IF(A660="","",IFERROR(IF(Inputs!$B$22="Accumulate",T660+Q660,IF(Inputs!$B$22="Premium Offset",MAX(0,T660+Q660-Inputs!$B$25),T660)),""))</f>
        <v>0</v>
      </c>
      <c r="S660" s="10" t="n">
        <f aca="false">IF(A660="","",R659)</f>
        <v>0</v>
      </c>
      <c r="T660" s="10" t="n">
        <f aca="false">IF(A660="","",IFERROR(S660*(1+Inputs!$B$23/12),""))</f>
        <v>0</v>
      </c>
      <c r="U660" s="6" t="n">
        <f aca="false">IF(A660="","",IF(D660&lt;=Inputs!$B$8,IF(Inputs!$B$22="Premium Offset",MAX(0,Inputs!$B$25-(Q660+T660)),Inputs!$B$25),0))</f>
        <v>0</v>
      </c>
      <c r="V660" s="10" t="n">
        <f aca="false">IF(A660="","",IF(Inputs!$B$22="Cash",Q660,0))</f>
        <v>0</v>
      </c>
      <c r="W660" s="10" t="n">
        <f aca="false">IF(A660="","",IF(Inputs!$B$22="PUA",Q660,0))</f>
        <v>0</v>
      </c>
      <c r="X660" s="12" t="n">
        <f aca="false">IF(A660="","",IFERROR(INDEX(PUA_TABLE!$D$4:$D$105,MATCH(E660,PUA_TABLE!$C$4:$C$105,1)),0))</f>
        <v>0.799411081482612</v>
      </c>
      <c r="Y660" s="10" t="n">
        <f aca="false">IF(A660="","",IF(W660&gt;0,IF(X660&gt;0,W660/X660,0),0))</f>
        <v>0</v>
      </c>
      <c r="Z660" s="10" t="n">
        <f aca="false">IF(A660="","",N660+Y660)</f>
        <v>0</v>
      </c>
      <c r="AA660" s="10" t="n">
        <f aca="false">IF(A660="","",IFERROR(Z660*INDEX(PUA_TABLE!$I$4:$I$105,MATCH(E660,PUA_TABLE!$C$4:$C$105,1))/1000,0))</f>
        <v>0</v>
      </c>
      <c r="AB660" s="10" t="n">
        <f aca="false">IF(A660="","",IFERROR(L660+AA660,0))</f>
        <v>40358.1591251049</v>
      </c>
      <c r="AC660" s="10" t="n">
        <f aca="false">IF(A660="","",IF(Inputs!$B$22="Premium Offset",MIN(Inputs!$B$25,Q660+T660),0))</f>
        <v>0</v>
      </c>
    </row>
    <row r="661" customFormat="false" ht="15" hidden="false" customHeight="false" outlineLevel="0" collapsed="false">
      <c r="A661" s="1" t="n">
        <f aca="false">IF(A660="","",IF(INT((C660+1)/12)+Inputs!$B$7&gt;MAX(MORTALITY!$A:$A),"",Inputs!$B$4))</f>
        <v>34</v>
      </c>
      <c r="B661" s="3" t="n">
        <f aca="false">IF(A661="","",EOMONTH(B660,1))</f>
        <v>41790</v>
      </c>
      <c r="C661" s="1" t="n">
        <f aca="false">IF(A661="","",C660+1)</f>
        <v>659</v>
      </c>
      <c r="D661" s="1" t="n">
        <f aca="false">IF(A661="","",INT(C661/12))</f>
        <v>54</v>
      </c>
      <c r="E661" s="1" t="n">
        <f aca="false">IF(A661="","",D661+Inputs!$B$7)</f>
        <v>70</v>
      </c>
      <c r="F661" s="3" t="n">
        <f aca="false">IF(A661="","",DATE(YEAR(B$2)+D661,MONTH(B$2),DAY(B$2)))</f>
        <v>41430</v>
      </c>
      <c r="G661" s="3" t="n">
        <f aca="false">IF(A661="","",DATE(YEAR(F661)+1,MONTH(F661),DAY(F661)))</f>
        <v>41795</v>
      </c>
      <c r="H661" s="10" t="n">
        <f aca="false">IF(A661="","",IF(G661&gt;F661,(B661-F661)/(G661-F661),0))</f>
        <v>0.986301369863014</v>
      </c>
      <c r="I661" s="10" t="n">
        <f aca="false">IF(A661="","",IFERROR(INDEX(CV_RATES!$I:$I,MATCH(D661,CV_RATES!$C:$C,0)),0))</f>
        <v>799.411081482612</v>
      </c>
      <c r="J661" s="10" t="n">
        <f aca="false">IF(A661="","",IFERROR(IF(E661=MAX(MORTALITY!$A:$A),1000,INDEX(CV_RATES!$J:$J,MATCH(D661,CV_RATES!$C:$C,0))),0))</f>
        <v>808.011436716995</v>
      </c>
      <c r="K661" s="10" t="n">
        <f aca="false">IF(A661="","",IFERROR(I661+H661*(J661-I661),0))</f>
        <v>807.893623631593</v>
      </c>
      <c r="L661" s="10" t="n">
        <f aca="false">IF(A661="","",IFERROR(K661*Inputs!$B$9,0))</f>
        <v>40394.6811815796</v>
      </c>
      <c r="M661" s="10" t="n">
        <f aca="false">IF(A661="","",IFERROR(K661*Inputs!$B$10,0))</f>
        <v>129260.556100184</v>
      </c>
      <c r="N661" s="10" t="n">
        <f aca="false">IF(A661="","",Z660)</f>
        <v>0</v>
      </c>
      <c r="O661" s="6" t="n">
        <f aca="false">IF(A661="","",Inputs!$B$18+N661)</f>
        <v>50000</v>
      </c>
      <c r="P661" s="5" t="n">
        <f aca="false">IF(A661="","",VLOOKUP(D661,DIvidend_Assumption!$A$3:$CX$103,($E$2+2),0)/12)</f>
        <v>0</v>
      </c>
      <c r="Q661" s="10" t="n">
        <f aca="false">IF(A661="","",IFERROR(AB660*P661,""))</f>
        <v>0</v>
      </c>
      <c r="R661" s="10" t="n">
        <f aca="false">IF(A661="","",IFERROR(IF(Inputs!$B$22="Accumulate",T661+Q661,IF(Inputs!$B$22="Premium Offset",MAX(0,T661+Q661-Inputs!$B$25),T661)),""))</f>
        <v>0</v>
      </c>
      <c r="S661" s="10" t="n">
        <f aca="false">IF(A661="","",R660)</f>
        <v>0</v>
      </c>
      <c r="T661" s="10" t="n">
        <f aca="false">IF(A661="","",IFERROR(S661*(1+Inputs!$B$23/12),""))</f>
        <v>0</v>
      </c>
      <c r="U661" s="6" t="n">
        <f aca="false">IF(A661="","",IF(D661&lt;=Inputs!$B$8,IF(Inputs!$B$22="Premium Offset",MAX(0,Inputs!$B$25-(Q661+T661)),Inputs!$B$25),0))</f>
        <v>0</v>
      </c>
      <c r="V661" s="10" t="n">
        <f aca="false">IF(A661="","",IF(Inputs!$B$22="Cash",Q661,0))</f>
        <v>0</v>
      </c>
      <c r="W661" s="10" t="n">
        <f aca="false">IF(A661="","",IF(Inputs!$B$22="PUA",Q661,0))</f>
        <v>0</v>
      </c>
      <c r="X661" s="12" t="n">
        <f aca="false">IF(A661="","",IFERROR(INDEX(PUA_TABLE!$D$4:$D$105,MATCH(E661,PUA_TABLE!$C$4:$C$105,1)),0))</f>
        <v>0.799411081482612</v>
      </c>
      <c r="Y661" s="10" t="n">
        <f aca="false">IF(A661="","",IF(W661&gt;0,IF(X661&gt;0,W661/X661,0),0))</f>
        <v>0</v>
      </c>
      <c r="Z661" s="10" t="n">
        <f aca="false">IF(A661="","",N661+Y661)</f>
        <v>0</v>
      </c>
      <c r="AA661" s="10" t="n">
        <f aca="false">IF(A661="","",IFERROR(Z661*INDEX(PUA_TABLE!$I$4:$I$105,MATCH(E661,PUA_TABLE!$C$4:$C$105,1))/1000,0))</f>
        <v>0</v>
      </c>
      <c r="AB661" s="10" t="n">
        <f aca="false">IF(A661="","",IFERROR(L661+AA661,0))</f>
        <v>40394.6811815796</v>
      </c>
      <c r="AC661" s="10" t="n">
        <f aca="false">IF(A661="","",IF(Inputs!$B$22="Premium Offset",MIN(Inputs!$B$25,Q661+T661),0))</f>
        <v>0</v>
      </c>
    </row>
    <row r="662" customFormat="false" ht="15" hidden="false" customHeight="false" outlineLevel="0" collapsed="false">
      <c r="A662" s="1" t="n">
        <f aca="false">IF(A661="","",IF(INT((C661+1)/12)+Inputs!$B$7&gt;MAX(MORTALITY!$A:$A),"",Inputs!$B$4))</f>
        <v>34</v>
      </c>
      <c r="B662" s="3" t="n">
        <f aca="false">IF(A662="","",EOMONTH(B661,1))</f>
        <v>41820</v>
      </c>
      <c r="C662" s="1" t="n">
        <f aca="false">IF(A662="","",C661+1)</f>
        <v>660</v>
      </c>
      <c r="D662" s="1" t="n">
        <f aca="false">IF(A662="","",INT(C662/12))</f>
        <v>55</v>
      </c>
      <c r="E662" s="1" t="n">
        <f aca="false">IF(A662="","",D662+Inputs!$B$7)</f>
        <v>71</v>
      </c>
      <c r="F662" s="3" t="n">
        <f aca="false">IF(A662="","",DATE(YEAR(B$2)+D662,MONTH(B$2),DAY(B$2)))</f>
        <v>41795</v>
      </c>
      <c r="G662" s="3" t="n">
        <f aca="false">IF(A662="","",DATE(YEAR(F662)+1,MONTH(F662),DAY(F662)))</f>
        <v>42160</v>
      </c>
      <c r="H662" s="10" t="n">
        <f aca="false">IF(A662="","",IF(G662&gt;F662,(B662-F662)/(G662-F662),0))</f>
        <v>0.0684931506849315</v>
      </c>
      <c r="I662" s="10" t="n">
        <f aca="false">IF(A662="","",IFERROR(INDEX(CV_RATES!$I:$I,MATCH(D662,CV_RATES!$C:$C,0)),0))</f>
        <v>808.011436716995</v>
      </c>
      <c r="J662" s="10" t="n">
        <f aca="false">IF(A662="","",IFERROR(IF(E662=MAX(MORTALITY!$A:$A),1000,INDEX(CV_RATES!$J:$J,MATCH(D662,CV_RATES!$C:$C,0))),0))</f>
        <v>816.412557719556</v>
      </c>
      <c r="K662" s="10" t="n">
        <f aca="false">IF(A662="","",IFERROR(I662+H662*(J662-I662),0))</f>
        <v>808.586855963746</v>
      </c>
      <c r="L662" s="10" t="n">
        <f aca="false">IF(A662="","",IFERROR(K662*Inputs!$B$9,0))</f>
        <v>40429.3427981873</v>
      </c>
      <c r="M662" s="10" t="n">
        <f aca="false">IF(A662="","",IFERROR(K662*Inputs!$B$10,0))</f>
        <v>129371.471193631</v>
      </c>
      <c r="N662" s="10" t="n">
        <f aca="false">IF(A662="","",Z661)</f>
        <v>0</v>
      </c>
      <c r="O662" s="6" t="n">
        <f aca="false">IF(A662="","",Inputs!$B$18+N662)</f>
        <v>50000</v>
      </c>
      <c r="P662" s="5" t="n">
        <f aca="false">IF(A662="","",VLOOKUP(D662,DIvidend_Assumption!$A$3:$CX$103,($E$2+2),0)/12)</f>
        <v>0</v>
      </c>
      <c r="Q662" s="10" t="n">
        <f aca="false">IF(A662="","",IFERROR(AB661*P662,""))</f>
        <v>0</v>
      </c>
      <c r="R662" s="10" t="n">
        <f aca="false">IF(A662="","",IFERROR(IF(Inputs!$B$22="Accumulate",T662+Q662,IF(Inputs!$B$22="Premium Offset",MAX(0,T662+Q662-Inputs!$B$25),T662)),""))</f>
        <v>0</v>
      </c>
      <c r="S662" s="10" t="n">
        <f aca="false">IF(A662="","",R661)</f>
        <v>0</v>
      </c>
      <c r="T662" s="10" t="n">
        <f aca="false">IF(A662="","",IFERROR(S662*(1+Inputs!$B$23/12),""))</f>
        <v>0</v>
      </c>
      <c r="U662" s="6" t="n">
        <f aca="false">IF(A662="","",IF(D662&lt;=Inputs!$B$8,IF(Inputs!$B$22="Premium Offset",MAX(0,Inputs!$B$25-(Q662+T662)),Inputs!$B$25),0))</f>
        <v>0</v>
      </c>
      <c r="V662" s="10" t="n">
        <f aca="false">IF(A662="","",IF(Inputs!$B$22="Cash",Q662,0))</f>
        <v>0</v>
      </c>
      <c r="W662" s="10" t="n">
        <f aca="false">IF(A662="","",IF(Inputs!$B$22="PUA",Q662,0))</f>
        <v>0</v>
      </c>
      <c r="X662" s="12" t="n">
        <f aca="false">IF(A662="","",IFERROR(INDEX(PUA_TABLE!$D$4:$D$105,MATCH(E662,PUA_TABLE!$C$4:$C$105,1)),0))</f>
        <v>0.808011436716995</v>
      </c>
      <c r="Y662" s="10" t="n">
        <f aca="false">IF(A662="","",IF(W662&gt;0,IF(X662&gt;0,W662/X662,0),0))</f>
        <v>0</v>
      </c>
      <c r="Z662" s="10" t="n">
        <f aca="false">IF(A662="","",N662+Y662)</f>
        <v>0</v>
      </c>
      <c r="AA662" s="10" t="n">
        <f aca="false">IF(A662="","",IFERROR(Z662*INDEX(PUA_TABLE!$I$4:$I$105,MATCH(E662,PUA_TABLE!$C$4:$C$105,1))/1000,0))</f>
        <v>0</v>
      </c>
      <c r="AB662" s="10" t="n">
        <f aca="false">IF(A662="","",IFERROR(L662+AA662,0))</f>
        <v>40429.3427981873</v>
      </c>
      <c r="AC662" s="10" t="n">
        <f aca="false">IF(A662="","",IF(Inputs!$B$22="Premium Offset",MIN(Inputs!$B$25,Q662+T662),0))</f>
        <v>0</v>
      </c>
    </row>
    <row r="663" customFormat="false" ht="15" hidden="false" customHeight="false" outlineLevel="0" collapsed="false">
      <c r="A663" s="1" t="n">
        <f aca="false">IF(A662="","",IF(INT((C662+1)/12)+Inputs!$B$7&gt;MAX(MORTALITY!$A:$A),"",Inputs!$B$4))</f>
        <v>34</v>
      </c>
      <c r="B663" s="3" t="n">
        <f aca="false">IF(A663="","",EOMONTH(B662,1))</f>
        <v>41851</v>
      </c>
      <c r="C663" s="1" t="n">
        <f aca="false">IF(A663="","",C662+1)</f>
        <v>661</v>
      </c>
      <c r="D663" s="1" t="n">
        <f aca="false">IF(A663="","",INT(C663/12))</f>
        <v>55</v>
      </c>
      <c r="E663" s="1" t="n">
        <f aca="false">IF(A663="","",D663+Inputs!$B$7)</f>
        <v>71</v>
      </c>
      <c r="F663" s="3" t="n">
        <f aca="false">IF(A663="","",DATE(YEAR(B$2)+D663,MONTH(B$2),DAY(B$2)))</f>
        <v>41795</v>
      </c>
      <c r="G663" s="3" t="n">
        <f aca="false">IF(A663="","",DATE(YEAR(F663)+1,MONTH(F663),DAY(F663)))</f>
        <v>42160</v>
      </c>
      <c r="H663" s="10" t="n">
        <f aca="false">IF(A663="","",IF(G663&gt;F663,(B663-F663)/(G663-F663),0))</f>
        <v>0.153424657534247</v>
      </c>
      <c r="I663" s="10" t="n">
        <f aca="false">IF(A663="","",IFERROR(INDEX(CV_RATES!$I:$I,MATCH(D663,CV_RATES!$C:$C,0)),0))</f>
        <v>808.011436716995</v>
      </c>
      <c r="J663" s="10" t="n">
        <f aca="false">IF(A663="","",IFERROR(IF(E663=MAX(MORTALITY!$A:$A),1000,INDEX(CV_RATES!$J:$J,MATCH(D663,CV_RATES!$C:$C,0))),0))</f>
        <v>816.412557719556</v>
      </c>
      <c r="K663" s="10" t="n">
        <f aca="false">IF(A663="","",IFERROR(I663+H663*(J663-I663),0))</f>
        <v>809.300375829717</v>
      </c>
      <c r="L663" s="10" t="n">
        <f aca="false">IF(A663="","",IFERROR(K663*Inputs!$B$9,0))</f>
        <v>40465.0187914858</v>
      </c>
      <c r="M663" s="10" t="n">
        <f aca="false">IF(A663="","",IFERROR(K663*Inputs!$B$10,0))</f>
        <v>129485.632231627</v>
      </c>
      <c r="N663" s="10" t="n">
        <f aca="false">IF(A663="","",Z662)</f>
        <v>0</v>
      </c>
      <c r="O663" s="6" t="n">
        <f aca="false">IF(A663="","",Inputs!$B$18+N663)</f>
        <v>50000</v>
      </c>
      <c r="P663" s="5" t="n">
        <f aca="false">IF(A663="","",VLOOKUP(D663,DIvidend_Assumption!$A$3:$CX$103,($E$2+2),0)/12)</f>
        <v>0</v>
      </c>
      <c r="Q663" s="10" t="n">
        <f aca="false">IF(A663="","",IFERROR(AB662*P663,""))</f>
        <v>0</v>
      </c>
      <c r="R663" s="10" t="n">
        <f aca="false">IF(A663="","",IFERROR(IF(Inputs!$B$22="Accumulate",T663+Q663,IF(Inputs!$B$22="Premium Offset",MAX(0,T663+Q663-Inputs!$B$25),T663)),""))</f>
        <v>0</v>
      </c>
      <c r="S663" s="10" t="n">
        <f aca="false">IF(A663="","",R662)</f>
        <v>0</v>
      </c>
      <c r="T663" s="10" t="n">
        <f aca="false">IF(A663="","",IFERROR(S663*(1+Inputs!$B$23/12),""))</f>
        <v>0</v>
      </c>
      <c r="U663" s="6" t="n">
        <f aca="false">IF(A663="","",IF(D663&lt;=Inputs!$B$8,IF(Inputs!$B$22="Premium Offset",MAX(0,Inputs!$B$25-(Q663+T663)),Inputs!$B$25),0))</f>
        <v>0</v>
      </c>
      <c r="V663" s="10" t="n">
        <f aca="false">IF(A663="","",IF(Inputs!$B$22="Cash",Q663,0))</f>
        <v>0</v>
      </c>
      <c r="W663" s="10" t="n">
        <f aca="false">IF(A663="","",IF(Inputs!$B$22="PUA",Q663,0))</f>
        <v>0</v>
      </c>
      <c r="X663" s="12" t="n">
        <f aca="false">IF(A663="","",IFERROR(INDEX(PUA_TABLE!$D$4:$D$105,MATCH(E663,PUA_TABLE!$C$4:$C$105,1)),0))</f>
        <v>0.808011436716995</v>
      </c>
      <c r="Y663" s="10" t="n">
        <f aca="false">IF(A663="","",IF(W663&gt;0,IF(X663&gt;0,W663/X663,0),0))</f>
        <v>0</v>
      </c>
      <c r="Z663" s="10" t="n">
        <f aca="false">IF(A663="","",N663+Y663)</f>
        <v>0</v>
      </c>
      <c r="AA663" s="10" t="n">
        <f aca="false">IF(A663="","",IFERROR(Z663*INDEX(PUA_TABLE!$I$4:$I$105,MATCH(E663,PUA_TABLE!$C$4:$C$105,1))/1000,0))</f>
        <v>0</v>
      </c>
      <c r="AB663" s="10" t="n">
        <f aca="false">IF(A663="","",IFERROR(L663+AA663,0))</f>
        <v>40465.0187914858</v>
      </c>
      <c r="AC663" s="10" t="n">
        <f aca="false">IF(A663="","",IF(Inputs!$B$22="Premium Offset",MIN(Inputs!$B$25,Q663+T663),0))</f>
        <v>0</v>
      </c>
    </row>
    <row r="664" customFormat="false" ht="15" hidden="false" customHeight="false" outlineLevel="0" collapsed="false">
      <c r="A664" s="1" t="n">
        <f aca="false">IF(A663="","",IF(INT((C663+1)/12)+Inputs!$B$7&gt;MAX(MORTALITY!$A:$A),"",Inputs!$B$4))</f>
        <v>34</v>
      </c>
      <c r="B664" s="3" t="n">
        <f aca="false">IF(A664="","",EOMONTH(B663,1))</f>
        <v>41882</v>
      </c>
      <c r="C664" s="1" t="n">
        <f aca="false">IF(A664="","",C663+1)</f>
        <v>662</v>
      </c>
      <c r="D664" s="1" t="n">
        <f aca="false">IF(A664="","",INT(C664/12))</f>
        <v>55</v>
      </c>
      <c r="E664" s="1" t="n">
        <f aca="false">IF(A664="","",D664+Inputs!$B$7)</f>
        <v>71</v>
      </c>
      <c r="F664" s="3" t="n">
        <f aca="false">IF(A664="","",DATE(YEAR(B$2)+D664,MONTH(B$2),DAY(B$2)))</f>
        <v>41795</v>
      </c>
      <c r="G664" s="3" t="n">
        <f aca="false">IF(A664="","",DATE(YEAR(F664)+1,MONTH(F664),DAY(F664)))</f>
        <v>42160</v>
      </c>
      <c r="H664" s="10" t="n">
        <f aca="false">IF(A664="","",IF(G664&gt;F664,(B664-F664)/(G664-F664),0))</f>
        <v>0.238356164383562</v>
      </c>
      <c r="I664" s="10" t="n">
        <f aca="false">IF(A664="","",IFERROR(INDEX(CV_RATES!$I:$I,MATCH(D664,CV_RATES!$C:$C,0)),0))</f>
        <v>808.011436716995</v>
      </c>
      <c r="J664" s="10" t="n">
        <f aca="false">IF(A664="","",IFERROR(IF(E664=MAX(MORTALITY!$A:$A),1000,INDEX(CV_RATES!$J:$J,MATCH(D664,CV_RATES!$C:$C,0))),0))</f>
        <v>816.412557719556</v>
      </c>
      <c r="K664" s="10" t="n">
        <f aca="false">IF(A664="","",IFERROR(I664+H664*(J664-I664),0))</f>
        <v>810.013895695688</v>
      </c>
      <c r="L664" s="10" t="n">
        <f aca="false">IF(A664="","",IFERROR(K664*Inputs!$B$9,0))</f>
        <v>40500.6947847844</v>
      </c>
      <c r="M664" s="10" t="n">
        <f aca="false">IF(A664="","",IFERROR(K664*Inputs!$B$10,0))</f>
        <v>129599.793269623</v>
      </c>
      <c r="N664" s="10" t="n">
        <f aca="false">IF(A664="","",Z663)</f>
        <v>0</v>
      </c>
      <c r="O664" s="6" t="n">
        <f aca="false">IF(A664="","",Inputs!$B$18+N664)</f>
        <v>50000</v>
      </c>
      <c r="P664" s="5" t="n">
        <f aca="false">IF(A664="","",VLOOKUP(D664,DIvidend_Assumption!$A$3:$CX$103,($E$2+2),0)/12)</f>
        <v>0</v>
      </c>
      <c r="Q664" s="10" t="n">
        <f aca="false">IF(A664="","",IFERROR(AB663*P664,""))</f>
        <v>0</v>
      </c>
      <c r="R664" s="10" t="n">
        <f aca="false">IF(A664="","",IFERROR(IF(Inputs!$B$22="Accumulate",T664+Q664,IF(Inputs!$B$22="Premium Offset",MAX(0,T664+Q664-Inputs!$B$25),T664)),""))</f>
        <v>0</v>
      </c>
      <c r="S664" s="10" t="n">
        <f aca="false">IF(A664="","",R663)</f>
        <v>0</v>
      </c>
      <c r="T664" s="10" t="n">
        <f aca="false">IF(A664="","",IFERROR(S664*(1+Inputs!$B$23/12),""))</f>
        <v>0</v>
      </c>
      <c r="U664" s="6" t="n">
        <f aca="false">IF(A664="","",IF(D664&lt;=Inputs!$B$8,IF(Inputs!$B$22="Premium Offset",MAX(0,Inputs!$B$25-(Q664+T664)),Inputs!$B$25),0))</f>
        <v>0</v>
      </c>
      <c r="V664" s="10" t="n">
        <f aca="false">IF(A664="","",IF(Inputs!$B$22="Cash",Q664,0))</f>
        <v>0</v>
      </c>
      <c r="W664" s="10" t="n">
        <f aca="false">IF(A664="","",IF(Inputs!$B$22="PUA",Q664,0))</f>
        <v>0</v>
      </c>
      <c r="X664" s="12" t="n">
        <f aca="false">IF(A664="","",IFERROR(INDEX(PUA_TABLE!$D$4:$D$105,MATCH(E664,PUA_TABLE!$C$4:$C$105,1)),0))</f>
        <v>0.808011436716995</v>
      </c>
      <c r="Y664" s="10" t="n">
        <f aca="false">IF(A664="","",IF(W664&gt;0,IF(X664&gt;0,W664/X664,0),0))</f>
        <v>0</v>
      </c>
      <c r="Z664" s="10" t="n">
        <f aca="false">IF(A664="","",N664+Y664)</f>
        <v>0</v>
      </c>
      <c r="AA664" s="10" t="n">
        <f aca="false">IF(A664="","",IFERROR(Z664*INDEX(PUA_TABLE!$I$4:$I$105,MATCH(E664,PUA_TABLE!$C$4:$C$105,1))/1000,0))</f>
        <v>0</v>
      </c>
      <c r="AB664" s="10" t="n">
        <f aca="false">IF(A664="","",IFERROR(L664+AA664,0))</f>
        <v>40500.6947847844</v>
      </c>
      <c r="AC664" s="10" t="n">
        <f aca="false">IF(A664="","",IF(Inputs!$B$22="Premium Offset",MIN(Inputs!$B$25,Q664+T664),0))</f>
        <v>0</v>
      </c>
    </row>
    <row r="665" customFormat="false" ht="15" hidden="false" customHeight="false" outlineLevel="0" collapsed="false">
      <c r="A665" s="1" t="n">
        <f aca="false">IF(A664="","",IF(INT((C664+1)/12)+Inputs!$B$7&gt;MAX(MORTALITY!$A:$A),"",Inputs!$B$4))</f>
        <v>34</v>
      </c>
      <c r="B665" s="3" t="n">
        <f aca="false">IF(A665="","",EOMONTH(B664,1))</f>
        <v>41912</v>
      </c>
      <c r="C665" s="1" t="n">
        <f aca="false">IF(A665="","",C664+1)</f>
        <v>663</v>
      </c>
      <c r="D665" s="1" t="n">
        <f aca="false">IF(A665="","",INT(C665/12))</f>
        <v>55</v>
      </c>
      <c r="E665" s="1" t="n">
        <f aca="false">IF(A665="","",D665+Inputs!$B$7)</f>
        <v>71</v>
      </c>
      <c r="F665" s="3" t="n">
        <f aca="false">IF(A665="","",DATE(YEAR(B$2)+D665,MONTH(B$2),DAY(B$2)))</f>
        <v>41795</v>
      </c>
      <c r="G665" s="3" t="n">
        <f aca="false">IF(A665="","",DATE(YEAR(F665)+1,MONTH(F665),DAY(F665)))</f>
        <v>42160</v>
      </c>
      <c r="H665" s="10" t="n">
        <f aca="false">IF(A665="","",IF(G665&gt;F665,(B665-F665)/(G665-F665),0))</f>
        <v>0.320547945205479</v>
      </c>
      <c r="I665" s="10" t="n">
        <f aca="false">IF(A665="","",IFERROR(INDEX(CV_RATES!$I:$I,MATCH(D665,CV_RATES!$C:$C,0)),0))</f>
        <v>808.011436716995</v>
      </c>
      <c r="J665" s="10" t="n">
        <f aca="false">IF(A665="","",IFERROR(IF(E665=MAX(MORTALITY!$A:$A),1000,INDEX(CV_RATES!$J:$J,MATCH(D665,CV_RATES!$C:$C,0))),0))</f>
        <v>816.412557719556</v>
      </c>
      <c r="K665" s="10" t="n">
        <f aca="false">IF(A665="","",IFERROR(I665+H665*(J665-I665),0))</f>
        <v>810.704398791789</v>
      </c>
      <c r="L665" s="10" t="n">
        <f aca="false">IF(A665="","",IFERROR(K665*Inputs!$B$9,0))</f>
        <v>40535.2199395894</v>
      </c>
      <c r="M665" s="10" t="n">
        <f aca="false">IF(A665="","",IFERROR(K665*Inputs!$B$10,0))</f>
        <v>129710.27169349</v>
      </c>
      <c r="N665" s="10" t="n">
        <f aca="false">IF(A665="","",Z664)</f>
        <v>0</v>
      </c>
      <c r="O665" s="6" t="n">
        <f aca="false">IF(A665="","",Inputs!$B$18+N665)</f>
        <v>50000</v>
      </c>
      <c r="P665" s="5" t="n">
        <f aca="false">IF(A665="","",VLOOKUP(D665,DIvidend_Assumption!$A$3:$CX$103,($E$2+2),0)/12)</f>
        <v>0</v>
      </c>
      <c r="Q665" s="10" t="n">
        <f aca="false">IF(A665="","",IFERROR(AB664*P665,""))</f>
        <v>0</v>
      </c>
      <c r="R665" s="10" t="n">
        <f aca="false">IF(A665="","",IFERROR(IF(Inputs!$B$22="Accumulate",T665+Q665,IF(Inputs!$B$22="Premium Offset",MAX(0,T665+Q665-Inputs!$B$25),T665)),""))</f>
        <v>0</v>
      </c>
      <c r="S665" s="10" t="n">
        <f aca="false">IF(A665="","",R664)</f>
        <v>0</v>
      </c>
      <c r="T665" s="10" t="n">
        <f aca="false">IF(A665="","",IFERROR(S665*(1+Inputs!$B$23/12),""))</f>
        <v>0</v>
      </c>
      <c r="U665" s="6" t="n">
        <f aca="false">IF(A665="","",IF(D665&lt;=Inputs!$B$8,IF(Inputs!$B$22="Premium Offset",MAX(0,Inputs!$B$25-(Q665+T665)),Inputs!$B$25),0))</f>
        <v>0</v>
      </c>
      <c r="V665" s="10" t="n">
        <f aca="false">IF(A665="","",IF(Inputs!$B$22="Cash",Q665,0))</f>
        <v>0</v>
      </c>
      <c r="W665" s="10" t="n">
        <f aca="false">IF(A665="","",IF(Inputs!$B$22="PUA",Q665,0))</f>
        <v>0</v>
      </c>
      <c r="X665" s="12" t="n">
        <f aca="false">IF(A665="","",IFERROR(INDEX(PUA_TABLE!$D$4:$D$105,MATCH(E665,PUA_TABLE!$C$4:$C$105,1)),0))</f>
        <v>0.808011436716995</v>
      </c>
      <c r="Y665" s="10" t="n">
        <f aca="false">IF(A665="","",IF(W665&gt;0,IF(X665&gt;0,W665/X665,0),0))</f>
        <v>0</v>
      </c>
      <c r="Z665" s="10" t="n">
        <f aca="false">IF(A665="","",N665+Y665)</f>
        <v>0</v>
      </c>
      <c r="AA665" s="10" t="n">
        <f aca="false">IF(A665="","",IFERROR(Z665*INDEX(PUA_TABLE!$I$4:$I$105,MATCH(E665,PUA_TABLE!$C$4:$C$105,1))/1000,0))</f>
        <v>0</v>
      </c>
      <c r="AB665" s="10" t="n">
        <f aca="false">IF(A665="","",IFERROR(L665+AA665,0))</f>
        <v>40535.2199395894</v>
      </c>
      <c r="AC665" s="10" t="n">
        <f aca="false">IF(A665="","",IF(Inputs!$B$22="Premium Offset",MIN(Inputs!$B$25,Q665+T665),0))</f>
        <v>0</v>
      </c>
    </row>
    <row r="666" customFormat="false" ht="15" hidden="false" customHeight="false" outlineLevel="0" collapsed="false">
      <c r="A666" s="1" t="n">
        <f aca="false">IF(A665="","",IF(INT((C665+1)/12)+Inputs!$B$7&gt;MAX(MORTALITY!$A:$A),"",Inputs!$B$4))</f>
        <v>34</v>
      </c>
      <c r="B666" s="3" t="n">
        <f aca="false">IF(A666="","",EOMONTH(B665,1))</f>
        <v>41943</v>
      </c>
      <c r="C666" s="1" t="n">
        <f aca="false">IF(A666="","",C665+1)</f>
        <v>664</v>
      </c>
      <c r="D666" s="1" t="n">
        <f aca="false">IF(A666="","",INT(C666/12))</f>
        <v>55</v>
      </c>
      <c r="E666" s="1" t="n">
        <f aca="false">IF(A666="","",D666+Inputs!$B$7)</f>
        <v>71</v>
      </c>
      <c r="F666" s="3" t="n">
        <f aca="false">IF(A666="","",DATE(YEAR(B$2)+D666,MONTH(B$2),DAY(B$2)))</f>
        <v>41795</v>
      </c>
      <c r="G666" s="3" t="n">
        <f aca="false">IF(A666="","",DATE(YEAR(F666)+1,MONTH(F666),DAY(F666)))</f>
        <v>42160</v>
      </c>
      <c r="H666" s="10" t="n">
        <f aca="false">IF(A666="","",IF(G666&gt;F666,(B666-F666)/(G666-F666),0))</f>
        <v>0.405479452054795</v>
      </c>
      <c r="I666" s="10" t="n">
        <f aca="false">IF(A666="","",IFERROR(INDEX(CV_RATES!$I:$I,MATCH(D666,CV_RATES!$C:$C,0)),0))</f>
        <v>808.011436716995</v>
      </c>
      <c r="J666" s="10" t="n">
        <f aca="false">IF(A666="","",IFERROR(IF(E666=MAX(MORTALITY!$A:$A),1000,INDEX(CV_RATES!$J:$J,MATCH(D666,CV_RATES!$C:$C,0))),0))</f>
        <v>816.412557719556</v>
      </c>
      <c r="K666" s="10" t="n">
        <f aca="false">IF(A666="","",IFERROR(I666+H666*(J666-I666),0))</f>
        <v>811.41791865776</v>
      </c>
      <c r="L666" s="10" t="n">
        <f aca="false">IF(A666="","",IFERROR(K666*Inputs!$B$9,0))</f>
        <v>40570.895932888</v>
      </c>
      <c r="M666" s="10" t="n">
        <f aca="false">IF(A666="","",IFERROR(K666*Inputs!$B$10,0))</f>
        <v>129824.432731486</v>
      </c>
      <c r="N666" s="10" t="n">
        <f aca="false">IF(A666="","",Z665)</f>
        <v>0</v>
      </c>
      <c r="O666" s="6" t="n">
        <f aca="false">IF(A666="","",Inputs!$B$18+N666)</f>
        <v>50000</v>
      </c>
      <c r="P666" s="5" t="n">
        <f aca="false">IF(A666="","",VLOOKUP(D666,DIvidend_Assumption!$A$3:$CX$103,($E$2+2),0)/12)</f>
        <v>0</v>
      </c>
      <c r="Q666" s="10" t="n">
        <f aca="false">IF(A666="","",IFERROR(AB665*P666,""))</f>
        <v>0</v>
      </c>
      <c r="R666" s="10" t="n">
        <f aca="false">IF(A666="","",IFERROR(IF(Inputs!$B$22="Accumulate",T666+Q666,IF(Inputs!$B$22="Premium Offset",MAX(0,T666+Q666-Inputs!$B$25),T666)),""))</f>
        <v>0</v>
      </c>
      <c r="S666" s="10" t="n">
        <f aca="false">IF(A666="","",R665)</f>
        <v>0</v>
      </c>
      <c r="T666" s="10" t="n">
        <f aca="false">IF(A666="","",IFERROR(S666*(1+Inputs!$B$23/12),""))</f>
        <v>0</v>
      </c>
      <c r="U666" s="6" t="n">
        <f aca="false">IF(A666="","",IF(D666&lt;=Inputs!$B$8,IF(Inputs!$B$22="Premium Offset",MAX(0,Inputs!$B$25-(Q666+T666)),Inputs!$B$25),0))</f>
        <v>0</v>
      </c>
      <c r="V666" s="10" t="n">
        <f aca="false">IF(A666="","",IF(Inputs!$B$22="Cash",Q666,0))</f>
        <v>0</v>
      </c>
      <c r="W666" s="10" t="n">
        <f aca="false">IF(A666="","",IF(Inputs!$B$22="PUA",Q666,0))</f>
        <v>0</v>
      </c>
      <c r="X666" s="12" t="n">
        <f aca="false">IF(A666="","",IFERROR(INDEX(PUA_TABLE!$D$4:$D$105,MATCH(E666,PUA_TABLE!$C$4:$C$105,1)),0))</f>
        <v>0.808011436716995</v>
      </c>
      <c r="Y666" s="10" t="n">
        <f aca="false">IF(A666="","",IF(W666&gt;0,IF(X666&gt;0,W666/X666,0),0))</f>
        <v>0</v>
      </c>
      <c r="Z666" s="10" t="n">
        <f aca="false">IF(A666="","",N666+Y666)</f>
        <v>0</v>
      </c>
      <c r="AA666" s="10" t="n">
        <f aca="false">IF(A666="","",IFERROR(Z666*INDEX(PUA_TABLE!$I$4:$I$105,MATCH(E666,PUA_TABLE!$C$4:$C$105,1))/1000,0))</f>
        <v>0</v>
      </c>
      <c r="AB666" s="10" t="n">
        <f aca="false">IF(A666="","",IFERROR(L666+AA666,0))</f>
        <v>40570.895932888</v>
      </c>
      <c r="AC666" s="10" t="n">
        <f aca="false">IF(A666="","",IF(Inputs!$B$22="Premium Offset",MIN(Inputs!$B$25,Q666+T666),0))</f>
        <v>0</v>
      </c>
    </row>
    <row r="667" customFormat="false" ht="15" hidden="false" customHeight="false" outlineLevel="0" collapsed="false">
      <c r="A667" s="1" t="n">
        <f aca="false">IF(A666="","",IF(INT((C666+1)/12)+Inputs!$B$7&gt;MAX(MORTALITY!$A:$A),"",Inputs!$B$4))</f>
        <v>34</v>
      </c>
      <c r="B667" s="3" t="n">
        <f aca="false">IF(A667="","",EOMONTH(B666,1))</f>
        <v>41973</v>
      </c>
      <c r="C667" s="1" t="n">
        <f aca="false">IF(A667="","",C666+1)</f>
        <v>665</v>
      </c>
      <c r="D667" s="1" t="n">
        <f aca="false">IF(A667="","",INT(C667/12))</f>
        <v>55</v>
      </c>
      <c r="E667" s="1" t="n">
        <f aca="false">IF(A667="","",D667+Inputs!$B$7)</f>
        <v>71</v>
      </c>
      <c r="F667" s="3" t="n">
        <f aca="false">IF(A667="","",DATE(YEAR(B$2)+D667,MONTH(B$2),DAY(B$2)))</f>
        <v>41795</v>
      </c>
      <c r="G667" s="3" t="n">
        <f aca="false">IF(A667="","",DATE(YEAR(F667)+1,MONTH(F667),DAY(F667)))</f>
        <v>42160</v>
      </c>
      <c r="H667" s="10" t="n">
        <f aca="false">IF(A667="","",IF(G667&gt;F667,(B667-F667)/(G667-F667),0))</f>
        <v>0.487671232876712</v>
      </c>
      <c r="I667" s="10" t="n">
        <f aca="false">IF(A667="","",IFERROR(INDEX(CV_RATES!$I:$I,MATCH(D667,CV_RATES!$C:$C,0)),0))</f>
        <v>808.011436716995</v>
      </c>
      <c r="J667" s="10" t="n">
        <f aca="false">IF(A667="","",IFERROR(IF(E667=MAX(MORTALITY!$A:$A),1000,INDEX(CV_RATES!$J:$J,MATCH(D667,CV_RATES!$C:$C,0))),0))</f>
        <v>816.412557719556</v>
      </c>
      <c r="K667" s="10" t="n">
        <f aca="false">IF(A667="","",IFERROR(I667+H667*(J667-I667),0))</f>
        <v>812.10842175386</v>
      </c>
      <c r="L667" s="10" t="n">
        <f aca="false">IF(A667="","",IFERROR(K667*Inputs!$B$9,0))</f>
        <v>40605.421087693</v>
      </c>
      <c r="M667" s="10" t="n">
        <f aca="false">IF(A667="","",IFERROR(K667*Inputs!$B$10,0))</f>
        <v>129934.911155352</v>
      </c>
      <c r="N667" s="10" t="n">
        <f aca="false">IF(A667="","",Z666)</f>
        <v>0</v>
      </c>
      <c r="O667" s="6" t="n">
        <f aca="false">IF(A667="","",Inputs!$B$18+N667)</f>
        <v>50000</v>
      </c>
      <c r="P667" s="5" t="n">
        <f aca="false">IF(A667="","",VLOOKUP(D667,DIvidend_Assumption!$A$3:$CX$103,($E$2+2),0)/12)</f>
        <v>0</v>
      </c>
      <c r="Q667" s="10" t="n">
        <f aca="false">IF(A667="","",IFERROR(AB666*P667,""))</f>
        <v>0</v>
      </c>
      <c r="R667" s="10" t="n">
        <f aca="false">IF(A667="","",IFERROR(IF(Inputs!$B$22="Accumulate",T667+Q667,IF(Inputs!$B$22="Premium Offset",MAX(0,T667+Q667-Inputs!$B$25),T667)),""))</f>
        <v>0</v>
      </c>
      <c r="S667" s="10" t="n">
        <f aca="false">IF(A667="","",R666)</f>
        <v>0</v>
      </c>
      <c r="T667" s="10" t="n">
        <f aca="false">IF(A667="","",IFERROR(S667*(1+Inputs!$B$23/12),""))</f>
        <v>0</v>
      </c>
      <c r="U667" s="6" t="n">
        <f aca="false">IF(A667="","",IF(D667&lt;=Inputs!$B$8,IF(Inputs!$B$22="Premium Offset",MAX(0,Inputs!$B$25-(Q667+T667)),Inputs!$B$25),0))</f>
        <v>0</v>
      </c>
      <c r="V667" s="10" t="n">
        <f aca="false">IF(A667="","",IF(Inputs!$B$22="Cash",Q667,0))</f>
        <v>0</v>
      </c>
      <c r="W667" s="10" t="n">
        <f aca="false">IF(A667="","",IF(Inputs!$B$22="PUA",Q667,0))</f>
        <v>0</v>
      </c>
      <c r="X667" s="12" t="n">
        <f aca="false">IF(A667="","",IFERROR(INDEX(PUA_TABLE!$D$4:$D$105,MATCH(E667,PUA_TABLE!$C$4:$C$105,1)),0))</f>
        <v>0.808011436716995</v>
      </c>
      <c r="Y667" s="10" t="n">
        <f aca="false">IF(A667="","",IF(W667&gt;0,IF(X667&gt;0,W667/X667,0),0))</f>
        <v>0</v>
      </c>
      <c r="Z667" s="10" t="n">
        <f aca="false">IF(A667="","",N667+Y667)</f>
        <v>0</v>
      </c>
      <c r="AA667" s="10" t="n">
        <f aca="false">IF(A667="","",IFERROR(Z667*INDEX(PUA_TABLE!$I$4:$I$105,MATCH(E667,PUA_TABLE!$C$4:$C$105,1))/1000,0))</f>
        <v>0</v>
      </c>
      <c r="AB667" s="10" t="n">
        <f aca="false">IF(A667="","",IFERROR(L667+AA667,0))</f>
        <v>40605.421087693</v>
      </c>
      <c r="AC667" s="10" t="n">
        <f aca="false">IF(A667="","",IF(Inputs!$B$22="Premium Offset",MIN(Inputs!$B$25,Q667+T667),0))</f>
        <v>0</v>
      </c>
    </row>
    <row r="668" customFormat="false" ht="15" hidden="false" customHeight="false" outlineLevel="0" collapsed="false">
      <c r="A668" s="1" t="n">
        <f aca="false">IF(A667="","",IF(INT((C667+1)/12)+Inputs!$B$7&gt;MAX(MORTALITY!$A:$A),"",Inputs!$B$4))</f>
        <v>34</v>
      </c>
      <c r="B668" s="3" t="n">
        <f aca="false">IF(A668="","",EOMONTH(B667,1))</f>
        <v>42004</v>
      </c>
      <c r="C668" s="1" t="n">
        <f aca="false">IF(A668="","",C667+1)</f>
        <v>666</v>
      </c>
      <c r="D668" s="1" t="n">
        <f aca="false">IF(A668="","",INT(C668/12))</f>
        <v>55</v>
      </c>
      <c r="E668" s="1" t="n">
        <f aca="false">IF(A668="","",D668+Inputs!$B$7)</f>
        <v>71</v>
      </c>
      <c r="F668" s="3" t="n">
        <f aca="false">IF(A668="","",DATE(YEAR(B$2)+D668,MONTH(B$2),DAY(B$2)))</f>
        <v>41795</v>
      </c>
      <c r="G668" s="3" t="n">
        <f aca="false">IF(A668="","",DATE(YEAR(F668)+1,MONTH(F668),DAY(F668)))</f>
        <v>42160</v>
      </c>
      <c r="H668" s="10" t="n">
        <f aca="false">IF(A668="","",IF(G668&gt;F668,(B668-F668)/(G668-F668),0))</f>
        <v>0.572602739726027</v>
      </c>
      <c r="I668" s="10" t="n">
        <f aca="false">IF(A668="","",IFERROR(INDEX(CV_RATES!$I:$I,MATCH(D668,CV_RATES!$C:$C,0)),0))</f>
        <v>808.011436716995</v>
      </c>
      <c r="J668" s="10" t="n">
        <f aca="false">IF(A668="","",IFERROR(IF(E668=MAX(MORTALITY!$A:$A),1000,INDEX(CV_RATES!$J:$J,MATCH(D668,CV_RATES!$C:$C,0))),0))</f>
        <v>816.412557719556</v>
      </c>
      <c r="K668" s="10" t="n">
        <f aca="false">IF(A668="","",IFERROR(I668+H668*(J668-I668),0))</f>
        <v>812.821941619831</v>
      </c>
      <c r="L668" s="10" t="n">
        <f aca="false">IF(A668="","",IFERROR(K668*Inputs!$B$9,0))</f>
        <v>40641.0970809916</v>
      </c>
      <c r="M668" s="10" t="n">
        <f aca="false">IF(A668="","",IFERROR(K668*Inputs!$B$10,0))</f>
        <v>130049.072193348</v>
      </c>
      <c r="N668" s="10" t="n">
        <f aca="false">IF(A668="","",Z667)</f>
        <v>0</v>
      </c>
      <c r="O668" s="6" t="n">
        <f aca="false">IF(A668="","",Inputs!$B$18+N668)</f>
        <v>50000</v>
      </c>
      <c r="P668" s="5" t="n">
        <f aca="false">IF(A668="","",VLOOKUP(D668,DIvidend_Assumption!$A$3:$CX$103,($E$2+2),0)/12)</f>
        <v>0</v>
      </c>
      <c r="Q668" s="10" t="n">
        <f aca="false">IF(A668="","",IFERROR(AB667*P668,""))</f>
        <v>0</v>
      </c>
      <c r="R668" s="10" t="n">
        <f aca="false">IF(A668="","",IFERROR(IF(Inputs!$B$22="Accumulate",T668+Q668,IF(Inputs!$B$22="Premium Offset",MAX(0,T668+Q668-Inputs!$B$25),T668)),""))</f>
        <v>0</v>
      </c>
      <c r="S668" s="10" t="n">
        <f aca="false">IF(A668="","",R667)</f>
        <v>0</v>
      </c>
      <c r="T668" s="10" t="n">
        <f aca="false">IF(A668="","",IFERROR(S668*(1+Inputs!$B$23/12),""))</f>
        <v>0</v>
      </c>
      <c r="U668" s="6" t="n">
        <f aca="false">IF(A668="","",IF(D668&lt;=Inputs!$B$8,IF(Inputs!$B$22="Premium Offset",MAX(0,Inputs!$B$25-(Q668+T668)),Inputs!$B$25),0))</f>
        <v>0</v>
      </c>
      <c r="V668" s="10" t="n">
        <f aca="false">IF(A668="","",IF(Inputs!$B$22="Cash",Q668,0))</f>
        <v>0</v>
      </c>
      <c r="W668" s="10" t="n">
        <f aca="false">IF(A668="","",IF(Inputs!$B$22="PUA",Q668,0))</f>
        <v>0</v>
      </c>
      <c r="X668" s="12" t="n">
        <f aca="false">IF(A668="","",IFERROR(INDEX(PUA_TABLE!$D$4:$D$105,MATCH(E668,PUA_TABLE!$C$4:$C$105,1)),0))</f>
        <v>0.808011436716995</v>
      </c>
      <c r="Y668" s="10" t="n">
        <f aca="false">IF(A668="","",IF(W668&gt;0,IF(X668&gt;0,W668/X668,0),0))</f>
        <v>0</v>
      </c>
      <c r="Z668" s="10" t="n">
        <f aca="false">IF(A668="","",N668+Y668)</f>
        <v>0</v>
      </c>
      <c r="AA668" s="10" t="n">
        <f aca="false">IF(A668="","",IFERROR(Z668*INDEX(PUA_TABLE!$I$4:$I$105,MATCH(E668,PUA_TABLE!$C$4:$C$105,1))/1000,0))</f>
        <v>0</v>
      </c>
      <c r="AB668" s="10" t="n">
        <f aca="false">IF(A668="","",IFERROR(L668+AA668,0))</f>
        <v>40641.0970809916</v>
      </c>
      <c r="AC668" s="10" t="n">
        <f aca="false">IF(A668="","",IF(Inputs!$B$22="Premium Offset",MIN(Inputs!$B$25,Q668+T668),0))</f>
        <v>0</v>
      </c>
    </row>
    <row r="669" customFormat="false" ht="15" hidden="false" customHeight="false" outlineLevel="0" collapsed="false">
      <c r="A669" s="1" t="n">
        <f aca="false">IF(A668="","",IF(INT((C668+1)/12)+Inputs!$B$7&gt;MAX(MORTALITY!$A:$A),"",Inputs!$B$4))</f>
        <v>34</v>
      </c>
      <c r="B669" s="3" t="n">
        <f aca="false">IF(A669="","",EOMONTH(B668,1))</f>
        <v>42035</v>
      </c>
      <c r="C669" s="1" t="n">
        <f aca="false">IF(A669="","",C668+1)</f>
        <v>667</v>
      </c>
      <c r="D669" s="1" t="n">
        <f aca="false">IF(A669="","",INT(C669/12))</f>
        <v>55</v>
      </c>
      <c r="E669" s="1" t="n">
        <f aca="false">IF(A669="","",D669+Inputs!$B$7)</f>
        <v>71</v>
      </c>
      <c r="F669" s="3" t="n">
        <f aca="false">IF(A669="","",DATE(YEAR(B$2)+D669,MONTH(B$2),DAY(B$2)))</f>
        <v>41795</v>
      </c>
      <c r="G669" s="3" t="n">
        <f aca="false">IF(A669="","",DATE(YEAR(F669)+1,MONTH(F669),DAY(F669)))</f>
        <v>42160</v>
      </c>
      <c r="H669" s="10" t="n">
        <f aca="false">IF(A669="","",IF(G669&gt;F669,(B669-F669)/(G669-F669),0))</f>
        <v>0.657534246575342</v>
      </c>
      <c r="I669" s="10" t="n">
        <f aca="false">IF(A669="","",IFERROR(INDEX(CV_RATES!$I:$I,MATCH(D669,CV_RATES!$C:$C,0)),0))</f>
        <v>808.011436716995</v>
      </c>
      <c r="J669" s="10" t="n">
        <f aca="false">IF(A669="","",IFERROR(IF(E669=MAX(MORTALITY!$A:$A),1000,INDEX(CV_RATES!$J:$J,MATCH(D669,CV_RATES!$C:$C,0))),0))</f>
        <v>816.412557719556</v>
      </c>
      <c r="K669" s="10" t="n">
        <f aca="false">IF(A669="","",IFERROR(I669+H669*(J669-I669),0))</f>
        <v>813.535461485802</v>
      </c>
      <c r="L669" s="10" t="n">
        <f aca="false">IF(A669="","",IFERROR(K669*Inputs!$B$9,0))</f>
        <v>40676.7730742901</v>
      </c>
      <c r="M669" s="10" t="n">
        <f aca="false">IF(A669="","",IFERROR(K669*Inputs!$B$10,0))</f>
        <v>130163.233231344</v>
      </c>
      <c r="N669" s="10" t="n">
        <f aca="false">IF(A669="","",Z668)</f>
        <v>0</v>
      </c>
      <c r="O669" s="6" t="n">
        <f aca="false">IF(A669="","",Inputs!$B$18+N669)</f>
        <v>50000</v>
      </c>
      <c r="P669" s="5" t="n">
        <f aca="false">IF(A669="","",VLOOKUP(D669,DIvidend_Assumption!$A$3:$CX$103,($E$2+2),0)/12)</f>
        <v>0</v>
      </c>
      <c r="Q669" s="10" t="n">
        <f aca="false">IF(A669="","",IFERROR(AB668*P669,""))</f>
        <v>0</v>
      </c>
      <c r="R669" s="10" t="n">
        <f aca="false">IF(A669="","",IFERROR(IF(Inputs!$B$22="Accumulate",T669+Q669,IF(Inputs!$B$22="Premium Offset",MAX(0,T669+Q669-Inputs!$B$25),T669)),""))</f>
        <v>0</v>
      </c>
      <c r="S669" s="10" t="n">
        <f aca="false">IF(A669="","",R668)</f>
        <v>0</v>
      </c>
      <c r="T669" s="10" t="n">
        <f aca="false">IF(A669="","",IFERROR(S669*(1+Inputs!$B$23/12),""))</f>
        <v>0</v>
      </c>
      <c r="U669" s="6" t="n">
        <f aca="false">IF(A669="","",IF(D669&lt;=Inputs!$B$8,IF(Inputs!$B$22="Premium Offset",MAX(0,Inputs!$B$25-(Q669+T669)),Inputs!$B$25),0))</f>
        <v>0</v>
      </c>
      <c r="V669" s="10" t="n">
        <f aca="false">IF(A669="","",IF(Inputs!$B$22="Cash",Q669,0))</f>
        <v>0</v>
      </c>
      <c r="W669" s="10" t="n">
        <f aca="false">IF(A669="","",IF(Inputs!$B$22="PUA",Q669,0))</f>
        <v>0</v>
      </c>
      <c r="X669" s="12" t="n">
        <f aca="false">IF(A669="","",IFERROR(INDEX(PUA_TABLE!$D$4:$D$105,MATCH(E669,PUA_TABLE!$C$4:$C$105,1)),0))</f>
        <v>0.808011436716995</v>
      </c>
      <c r="Y669" s="10" t="n">
        <f aca="false">IF(A669="","",IF(W669&gt;0,IF(X669&gt;0,W669/X669,0),0))</f>
        <v>0</v>
      </c>
      <c r="Z669" s="10" t="n">
        <f aca="false">IF(A669="","",N669+Y669)</f>
        <v>0</v>
      </c>
      <c r="AA669" s="10" t="n">
        <f aca="false">IF(A669="","",IFERROR(Z669*INDEX(PUA_TABLE!$I$4:$I$105,MATCH(E669,PUA_TABLE!$C$4:$C$105,1))/1000,0))</f>
        <v>0</v>
      </c>
      <c r="AB669" s="10" t="n">
        <f aca="false">IF(A669="","",IFERROR(L669+AA669,0))</f>
        <v>40676.7730742901</v>
      </c>
      <c r="AC669" s="10" t="n">
        <f aca="false">IF(A669="","",IF(Inputs!$B$22="Premium Offset",MIN(Inputs!$B$25,Q669+T669),0))</f>
        <v>0</v>
      </c>
    </row>
    <row r="670" customFormat="false" ht="15" hidden="false" customHeight="false" outlineLevel="0" collapsed="false">
      <c r="A670" s="1" t="n">
        <f aca="false">IF(A669="","",IF(INT((C669+1)/12)+Inputs!$B$7&gt;MAX(MORTALITY!$A:$A),"",Inputs!$B$4))</f>
        <v>34</v>
      </c>
      <c r="B670" s="3" t="n">
        <f aca="false">IF(A670="","",EOMONTH(B669,1))</f>
        <v>42063</v>
      </c>
      <c r="C670" s="1" t="n">
        <f aca="false">IF(A670="","",C669+1)</f>
        <v>668</v>
      </c>
      <c r="D670" s="1" t="n">
        <f aca="false">IF(A670="","",INT(C670/12))</f>
        <v>55</v>
      </c>
      <c r="E670" s="1" t="n">
        <f aca="false">IF(A670="","",D670+Inputs!$B$7)</f>
        <v>71</v>
      </c>
      <c r="F670" s="3" t="n">
        <f aca="false">IF(A670="","",DATE(YEAR(B$2)+D670,MONTH(B$2),DAY(B$2)))</f>
        <v>41795</v>
      </c>
      <c r="G670" s="3" t="n">
        <f aca="false">IF(A670="","",DATE(YEAR(F670)+1,MONTH(F670),DAY(F670)))</f>
        <v>42160</v>
      </c>
      <c r="H670" s="10" t="n">
        <f aca="false">IF(A670="","",IF(G670&gt;F670,(B670-F670)/(G670-F670),0))</f>
        <v>0.734246575342466</v>
      </c>
      <c r="I670" s="10" t="n">
        <f aca="false">IF(A670="","",IFERROR(INDEX(CV_RATES!$I:$I,MATCH(D670,CV_RATES!$C:$C,0)),0))</f>
        <v>808.011436716995</v>
      </c>
      <c r="J670" s="10" t="n">
        <f aca="false">IF(A670="","",IFERROR(IF(E670=MAX(MORTALITY!$A:$A),1000,INDEX(CV_RATES!$J:$J,MATCH(D670,CV_RATES!$C:$C,0))),0))</f>
        <v>816.412557719556</v>
      </c>
      <c r="K670" s="10" t="n">
        <f aca="false">IF(A670="","",IFERROR(I670+H670*(J670-I670),0))</f>
        <v>814.179931042163</v>
      </c>
      <c r="L670" s="10" t="n">
        <f aca="false">IF(A670="","",IFERROR(K670*Inputs!$B$9,0))</f>
        <v>40708.9965521082</v>
      </c>
      <c r="M670" s="10" t="n">
        <f aca="false">IF(A670="","",IFERROR(K670*Inputs!$B$10,0))</f>
        <v>130266.346426953</v>
      </c>
      <c r="N670" s="10" t="n">
        <f aca="false">IF(A670="","",Z669)</f>
        <v>0</v>
      </c>
      <c r="O670" s="6" t="n">
        <f aca="false">IF(A670="","",Inputs!$B$18+N670)</f>
        <v>50000</v>
      </c>
      <c r="P670" s="5" t="n">
        <f aca="false">IF(A670="","",VLOOKUP(D670,DIvidend_Assumption!$A$3:$CX$103,($E$2+2),0)/12)</f>
        <v>0</v>
      </c>
      <c r="Q670" s="10" t="n">
        <f aca="false">IF(A670="","",IFERROR(AB669*P670,""))</f>
        <v>0</v>
      </c>
      <c r="R670" s="10" t="n">
        <f aca="false">IF(A670="","",IFERROR(IF(Inputs!$B$22="Accumulate",T670+Q670,IF(Inputs!$B$22="Premium Offset",MAX(0,T670+Q670-Inputs!$B$25),T670)),""))</f>
        <v>0</v>
      </c>
      <c r="S670" s="10" t="n">
        <f aca="false">IF(A670="","",R669)</f>
        <v>0</v>
      </c>
      <c r="T670" s="10" t="n">
        <f aca="false">IF(A670="","",IFERROR(S670*(1+Inputs!$B$23/12),""))</f>
        <v>0</v>
      </c>
      <c r="U670" s="6" t="n">
        <f aca="false">IF(A670="","",IF(D670&lt;=Inputs!$B$8,IF(Inputs!$B$22="Premium Offset",MAX(0,Inputs!$B$25-(Q670+T670)),Inputs!$B$25),0))</f>
        <v>0</v>
      </c>
      <c r="V670" s="10" t="n">
        <f aca="false">IF(A670="","",IF(Inputs!$B$22="Cash",Q670,0))</f>
        <v>0</v>
      </c>
      <c r="W670" s="10" t="n">
        <f aca="false">IF(A670="","",IF(Inputs!$B$22="PUA",Q670,0))</f>
        <v>0</v>
      </c>
      <c r="X670" s="12" t="n">
        <f aca="false">IF(A670="","",IFERROR(INDEX(PUA_TABLE!$D$4:$D$105,MATCH(E670,PUA_TABLE!$C$4:$C$105,1)),0))</f>
        <v>0.808011436716995</v>
      </c>
      <c r="Y670" s="10" t="n">
        <f aca="false">IF(A670="","",IF(W670&gt;0,IF(X670&gt;0,W670/X670,0),0))</f>
        <v>0</v>
      </c>
      <c r="Z670" s="10" t="n">
        <f aca="false">IF(A670="","",N670+Y670)</f>
        <v>0</v>
      </c>
      <c r="AA670" s="10" t="n">
        <f aca="false">IF(A670="","",IFERROR(Z670*INDEX(PUA_TABLE!$I$4:$I$105,MATCH(E670,PUA_TABLE!$C$4:$C$105,1))/1000,0))</f>
        <v>0</v>
      </c>
      <c r="AB670" s="10" t="n">
        <f aca="false">IF(A670="","",IFERROR(L670+AA670,0))</f>
        <v>40708.9965521082</v>
      </c>
      <c r="AC670" s="10" t="n">
        <f aca="false">IF(A670="","",IF(Inputs!$B$22="Premium Offset",MIN(Inputs!$B$25,Q670+T670),0))</f>
        <v>0</v>
      </c>
    </row>
    <row r="671" customFormat="false" ht="15" hidden="false" customHeight="false" outlineLevel="0" collapsed="false">
      <c r="A671" s="1" t="n">
        <f aca="false">IF(A670="","",IF(INT((C670+1)/12)+Inputs!$B$7&gt;MAX(MORTALITY!$A:$A),"",Inputs!$B$4))</f>
        <v>34</v>
      </c>
      <c r="B671" s="3" t="n">
        <f aca="false">IF(A671="","",EOMONTH(B670,1))</f>
        <v>42094</v>
      </c>
      <c r="C671" s="1" t="n">
        <f aca="false">IF(A671="","",C670+1)</f>
        <v>669</v>
      </c>
      <c r="D671" s="1" t="n">
        <f aca="false">IF(A671="","",INT(C671/12))</f>
        <v>55</v>
      </c>
      <c r="E671" s="1" t="n">
        <f aca="false">IF(A671="","",D671+Inputs!$B$7)</f>
        <v>71</v>
      </c>
      <c r="F671" s="3" t="n">
        <f aca="false">IF(A671="","",DATE(YEAR(B$2)+D671,MONTH(B$2),DAY(B$2)))</f>
        <v>41795</v>
      </c>
      <c r="G671" s="3" t="n">
        <f aca="false">IF(A671="","",DATE(YEAR(F671)+1,MONTH(F671),DAY(F671)))</f>
        <v>42160</v>
      </c>
      <c r="H671" s="10" t="n">
        <f aca="false">IF(A671="","",IF(G671&gt;F671,(B671-F671)/(G671-F671),0))</f>
        <v>0.819178082191781</v>
      </c>
      <c r="I671" s="10" t="n">
        <f aca="false">IF(A671="","",IFERROR(INDEX(CV_RATES!$I:$I,MATCH(D671,CV_RATES!$C:$C,0)),0))</f>
        <v>808.011436716995</v>
      </c>
      <c r="J671" s="10" t="n">
        <f aca="false">IF(A671="","",IFERROR(IF(E671=MAX(MORTALITY!$A:$A),1000,INDEX(CV_RATES!$J:$J,MATCH(D671,CV_RATES!$C:$C,0))),0))</f>
        <v>816.412557719556</v>
      </c>
      <c r="K671" s="10" t="n">
        <f aca="false">IF(A671="","",IFERROR(I671+H671*(J671-I671),0))</f>
        <v>814.893450908134</v>
      </c>
      <c r="L671" s="10" t="n">
        <f aca="false">IF(A671="","",IFERROR(K671*Inputs!$B$9,0))</f>
        <v>40744.6725454067</v>
      </c>
      <c r="M671" s="10" t="n">
        <f aca="false">IF(A671="","",IFERROR(K671*Inputs!$B$10,0))</f>
        <v>130380.507464949</v>
      </c>
      <c r="N671" s="10" t="n">
        <f aca="false">IF(A671="","",Z670)</f>
        <v>0</v>
      </c>
      <c r="O671" s="6" t="n">
        <f aca="false">IF(A671="","",Inputs!$B$18+N671)</f>
        <v>50000</v>
      </c>
      <c r="P671" s="5" t="n">
        <f aca="false">IF(A671="","",VLOOKUP(D671,DIvidend_Assumption!$A$3:$CX$103,($E$2+2),0)/12)</f>
        <v>0</v>
      </c>
      <c r="Q671" s="10" t="n">
        <f aca="false">IF(A671="","",IFERROR(AB670*P671,""))</f>
        <v>0</v>
      </c>
      <c r="R671" s="10" t="n">
        <f aca="false">IF(A671="","",IFERROR(IF(Inputs!$B$22="Accumulate",T671+Q671,IF(Inputs!$B$22="Premium Offset",MAX(0,T671+Q671-Inputs!$B$25),T671)),""))</f>
        <v>0</v>
      </c>
      <c r="S671" s="10" t="n">
        <f aca="false">IF(A671="","",R670)</f>
        <v>0</v>
      </c>
      <c r="T671" s="10" t="n">
        <f aca="false">IF(A671="","",IFERROR(S671*(1+Inputs!$B$23/12),""))</f>
        <v>0</v>
      </c>
      <c r="U671" s="6" t="n">
        <f aca="false">IF(A671="","",IF(D671&lt;=Inputs!$B$8,IF(Inputs!$B$22="Premium Offset",MAX(0,Inputs!$B$25-(Q671+T671)),Inputs!$B$25),0))</f>
        <v>0</v>
      </c>
      <c r="V671" s="10" t="n">
        <f aca="false">IF(A671="","",IF(Inputs!$B$22="Cash",Q671,0))</f>
        <v>0</v>
      </c>
      <c r="W671" s="10" t="n">
        <f aca="false">IF(A671="","",IF(Inputs!$B$22="PUA",Q671,0))</f>
        <v>0</v>
      </c>
      <c r="X671" s="12" t="n">
        <f aca="false">IF(A671="","",IFERROR(INDEX(PUA_TABLE!$D$4:$D$105,MATCH(E671,PUA_TABLE!$C$4:$C$105,1)),0))</f>
        <v>0.808011436716995</v>
      </c>
      <c r="Y671" s="10" t="n">
        <f aca="false">IF(A671="","",IF(W671&gt;0,IF(X671&gt;0,W671/X671,0),0))</f>
        <v>0</v>
      </c>
      <c r="Z671" s="10" t="n">
        <f aca="false">IF(A671="","",N671+Y671)</f>
        <v>0</v>
      </c>
      <c r="AA671" s="10" t="n">
        <f aca="false">IF(A671="","",IFERROR(Z671*INDEX(PUA_TABLE!$I$4:$I$105,MATCH(E671,PUA_TABLE!$C$4:$C$105,1))/1000,0))</f>
        <v>0</v>
      </c>
      <c r="AB671" s="10" t="n">
        <f aca="false">IF(A671="","",IFERROR(L671+AA671,0))</f>
        <v>40744.6725454067</v>
      </c>
      <c r="AC671" s="10" t="n">
        <f aca="false">IF(A671="","",IF(Inputs!$B$22="Premium Offset",MIN(Inputs!$B$25,Q671+T671),0))</f>
        <v>0</v>
      </c>
    </row>
    <row r="672" customFormat="false" ht="15" hidden="false" customHeight="false" outlineLevel="0" collapsed="false">
      <c r="A672" s="1" t="n">
        <f aca="false">IF(A671="","",IF(INT((C671+1)/12)+Inputs!$B$7&gt;MAX(MORTALITY!$A:$A),"",Inputs!$B$4))</f>
        <v>34</v>
      </c>
      <c r="B672" s="3" t="n">
        <f aca="false">IF(A672="","",EOMONTH(B671,1))</f>
        <v>42124</v>
      </c>
      <c r="C672" s="1" t="n">
        <f aca="false">IF(A672="","",C671+1)</f>
        <v>670</v>
      </c>
      <c r="D672" s="1" t="n">
        <f aca="false">IF(A672="","",INT(C672/12))</f>
        <v>55</v>
      </c>
      <c r="E672" s="1" t="n">
        <f aca="false">IF(A672="","",D672+Inputs!$B$7)</f>
        <v>71</v>
      </c>
      <c r="F672" s="3" t="n">
        <f aca="false">IF(A672="","",DATE(YEAR(B$2)+D672,MONTH(B$2),DAY(B$2)))</f>
        <v>41795</v>
      </c>
      <c r="G672" s="3" t="n">
        <f aca="false">IF(A672="","",DATE(YEAR(F672)+1,MONTH(F672),DAY(F672)))</f>
        <v>42160</v>
      </c>
      <c r="H672" s="10" t="n">
        <f aca="false">IF(A672="","",IF(G672&gt;F672,(B672-F672)/(G672-F672),0))</f>
        <v>0.901369863013699</v>
      </c>
      <c r="I672" s="10" t="n">
        <f aca="false">IF(A672="","",IFERROR(INDEX(CV_RATES!$I:$I,MATCH(D672,CV_RATES!$C:$C,0)),0))</f>
        <v>808.011436716995</v>
      </c>
      <c r="J672" s="10" t="n">
        <f aca="false">IF(A672="","",IFERROR(IF(E672=MAX(MORTALITY!$A:$A),1000,INDEX(CV_RATES!$J:$J,MATCH(D672,CV_RATES!$C:$C,0))),0))</f>
        <v>816.412557719556</v>
      </c>
      <c r="K672" s="10" t="n">
        <f aca="false">IF(A672="","",IFERROR(I672+H672*(J672-I672),0))</f>
        <v>815.583954004235</v>
      </c>
      <c r="L672" s="10" t="n">
        <f aca="false">IF(A672="","",IFERROR(K672*Inputs!$B$9,0))</f>
        <v>40779.1977002117</v>
      </c>
      <c r="M672" s="10" t="n">
        <f aca="false">IF(A672="","",IFERROR(K672*Inputs!$B$10,0))</f>
        <v>130490.985888816</v>
      </c>
      <c r="N672" s="10" t="n">
        <f aca="false">IF(A672="","",Z671)</f>
        <v>0</v>
      </c>
      <c r="O672" s="6" t="n">
        <f aca="false">IF(A672="","",Inputs!$B$18+N672)</f>
        <v>50000</v>
      </c>
      <c r="P672" s="5" t="n">
        <f aca="false">IF(A672="","",VLOOKUP(D672,DIvidend_Assumption!$A$3:$CX$103,($E$2+2),0)/12)</f>
        <v>0</v>
      </c>
      <c r="Q672" s="10" t="n">
        <f aca="false">IF(A672="","",IFERROR(AB671*P672,""))</f>
        <v>0</v>
      </c>
      <c r="R672" s="10" t="n">
        <f aca="false">IF(A672="","",IFERROR(IF(Inputs!$B$22="Accumulate",T672+Q672,IF(Inputs!$B$22="Premium Offset",MAX(0,T672+Q672-Inputs!$B$25),T672)),""))</f>
        <v>0</v>
      </c>
      <c r="S672" s="10" t="n">
        <f aca="false">IF(A672="","",R671)</f>
        <v>0</v>
      </c>
      <c r="T672" s="10" t="n">
        <f aca="false">IF(A672="","",IFERROR(S672*(1+Inputs!$B$23/12),""))</f>
        <v>0</v>
      </c>
      <c r="U672" s="6" t="n">
        <f aca="false">IF(A672="","",IF(D672&lt;=Inputs!$B$8,IF(Inputs!$B$22="Premium Offset",MAX(0,Inputs!$B$25-(Q672+T672)),Inputs!$B$25),0))</f>
        <v>0</v>
      </c>
      <c r="V672" s="10" t="n">
        <f aca="false">IF(A672="","",IF(Inputs!$B$22="Cash",Q672,0))</f>
        <v>0</v>
      </c>
      <c r="W672" s="10" t="n">
        <f aca="false">IF(A672="","",IF(Inputs!$B$22="PUA",Q672,0))</f>
        <v>0</v>
      </c>
      <c r="X672" s="12" t="n">
        <f aca="false">IF(A672="","",IFERROR(INDEX(PUA_TABLE!$D$4:$D$105,MATCH(E672,PUA_TABLE!$C$4:$C$105,1)),0))</f>
        <v>0.808011436716995</v>
      </c>
      <c r="Y672" s="10" t="n">
        <f aca="false">IF(A672="","",IF(W672&gt;0,IF(X672&gt;0,W672/X672,0),0))</f>
        <v>0</v>
      </c>
      <c r="Z672" s="10" t="n">
        <f aca="false">IF(A672="","",N672+Y672)</f>
        <v>0</v>
      </c>
      <c r="AA672" s="10" t="n">
        <f aca="false">IF(A672="","",IFERROR(Z672*INDEX(PUA_TABLE!$I$4:$I$105,MATCH(E672,PUA_TABLE!$C$4:$C$105,1))/1000,0))</f>
        <v>0</v>
      </c>
      <c r="AB672" s="10" t="n">
        <f aca="false">IF(A672="","",IFERROR(L672+AA672,0))</f>
        <v>40779.1977002117</v>
      </c>
      <c r="AC672" s="10" t="n">
        <f aca="false">IF(A672="","",IF(Inputs!$B$22="Premium Offset",MIN(Inputs!$B$25,Q672+T672),0))</f>
        <v>0</v>
      </c>
    </row>
    <row r="673" customFormat="false" ht="15" hidden="false" customHeight="false" outlineLevel="0" collapsed="false">
      <c r="A673" s="1" t="n">
        <f aca="false">IF(A672="","",IF(INT((C672+1)/12)+Inputs!$B$7&gt;MAX(MORTALITY!$A:$A),"",Inputs!$B$4))</f>
        <v>34</v>
      </c>
      <c r="B673" s="3" t="n">
        <f aca="false">IF(A673="","",EOMONTH(B672,1))</f>
        <v>42155</v>
      </c>
      <c r="C673" s="1" t="n">
        <f aca="false">IF(A673="","",C672+1)</f>
        <v>671</v>
      </c>
      <c r="D673" s="1" t="n">
        <f aca="false">IF(A673="","",INT(C673/12))</f>
        <v>55</v>
      </c>
      <c r="E673" s="1" t="n">
        <f aca="false">IF(A673="","",D673+Inputs!$B$7)</f>
        <v>71</v>
      </c>
      <c r="F673" s="3" t="n">
        <f aca="false">IF(A673="","",DATE(YEAR(B$2)+D673,MONTH(B$2),DAY(B$2)))</f>
        <v>41795</v>
      </c>
      <c r="G673" s="3" t="n">
        <f aca="false">IF(A673="","",DATE(YEAR(F673)+1,MONTH(F673),DAY(F673)))</f>
        <v>42160</v>
      </c>
      <c r="H673" s="10" t="n">
        <f aca="false">IF(A673="","",IF(G673&gt;F673,(B673-F673)/(G673-F673),0))</f>
        <v>0.986301369863014</v>
      </c>
      <c r="I673" s="10" t="n">
        <f aca="false">IF(A673="","",IFERROR(INDEX(CV_RATES!$I:$I,MATCH(D673,CV_RATES!$C:$C,0)),0))</f>
        <v>808.011436716995</v>
      </c>
      <c r="J673" s="10" t="n">
        <f aca="false">IF(A673="","",IFERROR(IF(E673=MAX(MORTALITY!$A:$A),1000,INDEX(CV_RATES!$J:$J,MATCH(D673,CV_RATES!$C:$C,0))),0))</f>
        <v>816.412557719556</v>
      </c>
      <c r="K673" s="10" t="n">
        <f aca="false">IF(A673="","",IFERROR(I673+H673*(J673-I673),0))</f>
        <v>816.297473870206</v>
      </c>
      <c r="L673" s="10" t="n">
        <f aca="false">IF(A673="","",IFERROR(K673*Inputs!$B$9,0))</f>
        <v>40814.8736935103</v>
      </c>
      <c r="M673" s="10" t="n">
        <f aca="false">IF(A673="","",IFERROR(K673*Inputs!$B$10,0))</f>
        <v>130605.146926811</v>
      </c>
      <c r="N673" s="10" t="n">
        <f aca="false">IF(A673="","",Z672)</f>
        <v>0</v>
      </c>
      <c r="O673" s="6" t="n">
        <f aca="false">IF(A673="","",Inputs!$B$18+N673)</f>
        <v>50000</v>
      </c>
      <c r="P673" s="5" t="n">
        <f aca="false">IF(A673="","",VLOOKUP(D673,DIvidend_Assumption!$A$3:$CX$103,($E$2+2),0)/12)</f>
        <v>0</v>
      </c>
      <c r="Q673" s="10" t="n">
        <f aca="false">IF(A673="","",IFERROR(AB672*P673,""))</f>
        <v>0</v>
      </c>
      <c r="R673" s="10" t="n">
        <f aca="false">IF(A673="","",IFERROR(IF(Inputs!$B$22="Accumulate",T673+Q673,IF(Inputs!$B$22="Premium Offset",MAX(0,T673+Q673-Inputs!$B$25),T673)),""))</f>
        <v>0</v>
      </c>
      <c r="S673" s="10" t="n">
        <f aca="false">IF(A673="","",R672)</f>
        <v>0</v>
      </c>
      <c r="T673" s="10" t="n">
        <f aca="false">IF(A673="","",IFERROR(S673*(1+Inputs!$B$23/12),""))</f>
        <v>0</v>
      </c>
      <c r="U673" s="6" t="n">
        <f aca="false">IF(A673="","",IF(D673&lt;=Inputs!$B$8,IF(Inputs!$B$22="Premium Offset",MAX(0,Inputs!$B$25-(Q673+T673)),Inputs!$B$25),0))</f>
        <v>0</v>
      </c>
      <c r="V673" s="10" t="n">
        <f aca="false">IF(A673="","",IF(Inputs!$B$22="Cash",Q673,0))</f>
        <v>0</v>
      </c>
      <c r="W673" s="10" t="n">
        <f aca="false">IF(A673="","",IF(Inputs!$B$22="PUA",Q673,0))</f>
        <v>0</v>
      </c>
      <c r="X673" s="12" t="n">
        <f aca="false">IF(A673="","",IFERROR(INDEX(PUA_TABLE!$D$4:$D$105,MATCH(E673,PUA_TABLE!$C$4:$C$105,1)),0))</f>
        <v>0.808011436716995</v>
      </c>
      <c r="Y673" s="10" t="n">
        <f aca="false">IF(A673="","",IF(W673&gt;0,IF(X673&gt;0,W673/X673,0),0))</f>
        <v>0</v>
      </c>
      <c r="Z673" s="10" t="n">
        <f aca="false">IF(A673="","",N673+Y673)</f>
        <v>0</v>
      </c>
      <c r="AA673" s="10" t="n">
        <f aca="false">IF(A673="","",IFERROR(Z673*INDEX(PUA_TABLE!$I$4:$I$105,MATCH(E673,PUA_TABLE!$C$4:$C$105,1))/1000,0))</f>
        <v>0</v>
      </c>
      <c r="AB673" s="10" t="n">
        <f aca="false">IF(A673="","",IFERROR(L673+AA673,0))</f>
        <v>40814.8736935103</v>
      </c>
      <c r="AC673" s="10" t="n">
        <f aca="false">IF(A673="","",IF(Inputs!$B$22="Premium Offset",MIN(Inputs!$B$25,Q673+T673),0))</f>
        <v>0</v>
      </c>
    </row>
    <row r="674" customFormat="false" ht="15" hidden="false" customHeight="false" outlineLevel="0" collapsed="false">
      <c r="A674" s="1" t="n">
        <f aca="false">IF(A673="","",IF(INT((C673+1)/12)+Inputs!$B$7&gt;MAX(MORTALITY!$A:$A),"",Inputs!$B$4))</f>
        <v>34</v>
      </c>
      <c r="B674" s="3" t="n">
        <f aca="false">IF(A674="","",EOMONTH(B673,1))</f>
        <v>42185</v>
      </c>
      <c r="C674" s="1" t="n">
        <f aca="false">IF(A674="","",C673+1)</f>
        <v>672</v>
      </c>
      <c r="D674" s="1" t="n">
        <f aca="false">IF(A674="","",INT(C674/12))</f>
        <v>56</v>
      </c>
      <c r="E674" s="1" t="n">
        <f aca="false">IF(A674="","",D674+Inputs!$B$7)</f>
        <v>72</v>
      </c>
      <c r="F674" s="3" t="n">
        <f aca="false">IF(A674="","",DATE(YEAR(B$2)+D674,MONTH(B$2),DAY(B$2)))</f>
        <v>42160</v>
      </c>
      <c r="G674" s="3" t="n">
        <f aca="false">IF(A674="","",DATE(YEAR(F674)+1,MONTH(F674),DAY(F674)))</f>
        <v>42526</v>
      </c>
      <c r="H674" s="10" t="n">
        <f aca="false">IF(A674="","",IF(G674&gt;F674,(B674-F674)/(G674-F674),0))</f>
        <v>0.0683060109289618</v>
      </c>
      <c r="I674" s="10" t="n">
        <f aca="false">IF(A674="","",IFERROR(INDEX(CV_RATES!$I:$I,MATCH(D674,CV_RATES!$C:$C,0)),0))</f>
        <v>816.412557719556</v>
      </c>
      <c r="J674" s="10" t="n">
        <f aca="false">IF(A674="","",IFERROR(IF(E674=MAX(MORTALITY!$A:$A),1000,INDEX(CV_RATES!$J:$J,MATCH(D674,CV_RATES!$C:$C,0))),0))</f>
        <v>824.604845177618</v>
      </c>
      <c r="K674" s="10" t="n">
        <f aca="false">IF(A674="","",IFERROR(I674+H674*(J674-I674),0))</f>
        <v>816.9721401962</v>
      </c>
      <c r="L674" s="10" t="n">
        <f aca="false">IF(A674="","",IFERROR(K674*Inputs!$B$9,0))</f>
        <v>40848.60700981</v>
      </c>
      <c r="M674" s="10" t="n">
        <f aca="false">IF(A674="","",IFERROR(K674*Inputs!$B$10,0))</f>
        <v>130713.091514971</v>
      </c>
      <c r="N674" s="10" t="n">
        <f aca="false">IF(A674="","",Z673)</f>
        <v>0</v>
      </c>
      <c r="O674" s="6" t="n">
        <f aca="false">IF(A674="","",Inputs!$B$18+N674)</f>
        <v>50000</v>
      </c>
      <c r="P674" s="5" t="n">
        <f aca="false">IF(A674="","",VLOOKUP(D674,DIvidend_Assumption!$A$3:$CX$103,($E$2+2),0)/12)</f>
        <v>0</v>
      </c>
      <c r="Q674" s="10" t="n">
        <f aca="false">IF(A674="","",IFERROR(AB673*P674,""))</f>
        <v>0</v>
      </c>
      <c r="R674" s="10" t="n">
        <f aca="false">IF(A674="","",IFERROR(IF(Inputs!$B$22="Accumulate",T674+Q674,IF(Inputs!$B$22="Premium Offset",MAX(0,T674+Q674-Inputs!$B$25),T674)),""))</f>
        <v>0</v>
      </c>
      <c r="S674" s="10" t="n">
        <f aca="false">IF(A674="","",R673)</f>
        <v>0</v>
      </c>
      <c r="T674" s="10" t="n">
        <f aca="false">IF(A674="","",IFERROR(S674*(1+Inputs!$B$23/12),""))</f>
        <v>0</v>
      </c>
      <c r="U674" s="6" t="n">
        <f aca="false">IF(A674="","",IF(D674&lt;=Inputs!$B$8,IF(Inputs!$B$22="Premium Offset",MAX(0,Inputs!$B$25-(Q674+T674)),Inputs!$B$25),0))</f>
        <v>0</v>
      </c>
      <c r="V674" s="10" t="n">
        <f aca="false">IF(A674="","",IF(Inputs!$B$22="Cash",Q674,0))</f>
        <v>0</v>
      </c>
      <c r="W674" s="10" t="n">
        <f aca="false">IF(A674="","",IF(Inputs!$B$22="PUA",Q674,0))</f>
        <v>0</v>
      </c>
      <c r="X674" s="12" t="n">
        <f aca="false">IF(A674="","",IFERROR(INDEX(PUA_TABLE!$D$4:$D$105,MATCH(E674,PUA_TABLE!$C$4:$C$105,1)),0))</f>
        <v>0.816412557719556</v>
      </c>
      <c r="Y674" s="10" t="n">
        <f aca="false">IF(A674="","",IF(W674&gt;0,IF(X674&gt;0,W674/X674,0),0))</f>
        <v>0</v>
      </c>
      <c r="Z674" s="10" t="n">
        <f aca="false">IF(A674="","",N674+Y674)</f>
        <v>0</v>
      </c>
      <c r="AA674" s="10" t="n">
        <f aca="false">IF(A674="","",IFERROR(Z674*INDEX(PUA_TABLE!$I$4:$I$105,MATCH(E674,PUA_TABLE!$C$4:$C$105,1))/1000,0))</f>
        <v>0</v>
      </c>
      <c r="AB674" s="10" t="n">
        <f aca="false">IF(A674="","",IFERROR(L674+AA674,0))</f>
        <v>40848.60700981</v>
      </c>
      <c r="AC674" s="10" t="n">
        <f aca="false">IF(A674="","",IF(Inputs!$B$22="Premium Offset",MIN(Inputs!$B$25,Q674+T674),0))</f>
        <v>0</v>
      </c>
    </row>
    <row r="675" customFormat="false" ht="15" hidden="false" customHeight="false" outlineLevel="0" collapsed="false">
      <c r="A675" s="1" t="n">
        <f aca="false">IF(A674="","",IF(INT((C674+1)/12)+Inputs!$B$7&gt;MAX(MORTALITY!$A:$A),"",Inputs!$B$4))</f>
        <v>34</v>
      </c>
      <c r="B675" s="3" t="n">
        <f aca="false">IF(A675="","",EOMONTH(B674,1))</f>
        <v>42216</v>
      </c>
      <c r="C675" s="1" t="n">
        <f aca="false">IF(A675="","",C674+1)</f>
        <v>673</v>
      </c>
      <c r="D675" s="1" t="n">
        <f aca="false">IF(A675="","",INT(C675/12))</f>
        <v>56</v>
      </c>
      <c r="E675" s="1" t="n">
        <f aca="false">IF(A675="","",D675+Inputs!$B$7)</f>
        <v>72</v>
      </c>
      <c r="F675" s="3" t="n">
        <f aca="false">IF(A675="","",DATE(YEAR(B$2)+D675,MONTH(B$2),DAY(B$2)))</f>
        <v>42160</v>
      </c>
      <c r="G675" s="3" t="n">
        <f aca="false">IF(A675="","",DATE(YEAR(F675)+1,MONTH(F675),DAY(F675)))</f>
        <v>42526</v>
      </c>
      <c r="H675" s="10" t="n">
        <f aca="false">IF(A675="","",IF(G675&gt;F675,(B675-F675)/(G675-F675),0))</f>
        <v>0.153005464480874</v>
      </c>
      <c r="I675" s="10" t="n">
        <f aca="false">IF(A675="","",IFERROR(INDEX(CV_RATES!$I:$I,MATCH(D675,CV_RATES!$C:$C,0)),0))</f>
        <v>816.412557719556</v>
      </c>
      <c r="J675" s="10" t="n">
        <f aca="false">IF(A675="","",IFERROR(IF(E675=MAX(MORTALITY!$A:$A),1000,INDEX(CV_RATES!$J:$J,MATCH(D675,CV_RATES!$C:$C,0))),0))</f>
        <v>824.604845177618</v>
      </c>
      <c r="K675" s="10" t="n">
        <f aca="false">IF(A675="","",IFERROR(I675+H675*(J675-I675),0))</f>
        <v>817.666022467238</v>
      </c>
      <c r="L675" s="10" t="n">
        <f aca="false">IF(A675="","",IFERROR(K675*Inputs!$B$9,0))</f>
        <v>40883.3011233619</v>
      </c>
      <c r="M675" s="10" t="n">
        <f aca="false">IF(A675="","",IFERROR(K675*Inputs!$B$10,0))</f>
        <v>130824.110596691</v>
      </c>
      <c r="N675" s="10" t="n">
        <f aca="false">IF(A675="","",Z674)</f>
        <v>0</v>
      </c>
      <c r="O675" s="6" t="n">
        <f aca="false">IF(A675="","",Inputs!$B$18+N675)</f>
        <v>50000</v>
      </c>
      <c r="P675" s="5" t="n">
        <f aca="false">IF(A675="","",VLOOKUP(D675,DIvidend_Assumption!$A$3:$CX$103,($E$2+2),0)/12)</f>
        <v>0</v>
      </c>
      <c r="Q675" s="10" t="n">
        <f aca="false">IF(A675="","",IFERROR(AB674*P675,""))</f>
        <v>0</v>
      </c>
      <c r="R675" s="10" t="n">
        <f aca="false">IF(A675="","",IFERROR(IF(Inputs!$B$22="Accumulate",T675+Q675,IF(Inputs!$B$22="Premium Offset",MAX(0,T675+Q675-Inputs!$B$25),T675)),""))</f>
        <v>0</v>
      </c>
      <c r="S675" s="10" t="n">
        <f aca="false">IF(A675="","",R674)</f>
        <v>0</v>
      </c>
      <c r="T675" s="10" t="n">
        <f aca="false">IF(A675="","",IFERROR(S675*(1+Inputs!$B$23/12),""))</f>
        <v>0</v>
      </c>
      <c r="U675" s="6" t="n">
        <f aca="false">IF(A675="","",IF(D675&lt;=Inputs!$B$8,IF(Inputs!$B$22="Premium Offset",MAX(0,Inputs!$B$25-(Q675+T675)),Inputs!$B$25),0))</f>
        <v>0</v>
      </c>
      <c r="V675" s="10" t="n">
        <f aca="false">IF(A675="","",IF(Inputs!$B$22="Cash",Q675,0))</f>
        <v>0</v>
      </c>
      <c r="W675" s="10" t="n">
        <f aca="false">IF(A675="","",IF(Inputs!$B$22="PUA",Q675,0))</f>
        <v>0</v>
      </c>
      <c r="X675" s="12" t="n">
        <f aca="false">IF(A675="","",IFERROR(INDEX(PUA_TABLE!$D$4:$D$105,MATCH(E675,PUA_TABLE!$C$4:$C$105,1)),0))</f>
        <v>0.816412557719556</v>
      </c>
      <c r="Y675" s="10" t="n">
        <f aca="false">IF(A675="","",IF(W675&gt;0,IF(X675&gt;0,W675/X675,0),0))</f>
        <v>0</v>
      </c>
      <c r="Z675" s="10" t="n">
        <f aca="false">IF(A675="","",N675+Y675)</f>
        <v>0</v>
      </c>
      <c r="AA675" s="10" t="n">
        <f aca="false">IF(A675="","",IFERROR(Z675*INDEX(PUA_TABLE!$I$4:$I$105,MATCH(E675,PUA_TABLE!$C$4:$C$105,1))/1000,0))</f>
        <v>0</v>
      </c>
      <c r="AB675" s="10" t="n">
        <f aca="false">IF(A675="","",IFERROR(L675+AA675,0))</f>
        <v>40883.3011233619</v>
      </c>
      <c r="AC675" s="10" t="n">
        <f aca="false">IF(A675="","",IF(Inputs!$B$22="Premium Offset",MIN(Inputs!$B$25,Q675+T675),0))</f>
        <v>0</v>
      </c>
    </row>
    <row r="676" customFormat="false" ht="15" hidden="false" customHeight="false" outlineLevel="0" collapsed="false">
      <c r="A676" s="1" t="n">
        <f aca="false">IF(A675="","",IF(INT((C675+1)/12)+Inputs!$B$7&gt;MAX(MORTALITY!$A:$A),"",Inputs!$B$4))</f>
        <v>34</v>
      </c>
      <c r="B676" s="3" t="n">
        <f aca="false">IF(A676="","",EOMONTH(B675,1))</f>
        <v>42247</v>
      </c>
      <c r="C676" s="1" t="n">
        <f aca="false">IF(A676="","",C675+1)</f>
        <v>674</v>
      </c>
      <c r="D676" s="1" t="n">
        <f aca="false">IF(A676="","",INT(C676/12))</f>
        <v>56</v>
      </c>
      <c r="E676" s="1" t="n">
        <f aca="false">IF(A676="","",D676+Inputs!$B$7)</f>
        <v>72</v>
      </c>
      <c r="F676" s="3" t="n">
        <f aca="false">IF(A676="","",DATE(YEAR(B$2)+D676,MONTH(B$2),DAY(B$2)))</f>
        <v>42160</v>
      </c>
      <c r="G676" s="3" t="n">
        <f aca="false">IF(A676="","",DATE(YEAR(F676)+1,MONTH(F676),DAY(F676)))</f>
        <v>42526</v>
      </c>
      <c r="H676" s="10" t="n">
        <f aca="false">IF(A676="","",IF(G676&gt;F676,(B676-F676)/(G676-F676),0))</f>
        <v>0.237704918032787</v>
      </c>
      <c r="I676" s="10" t="n">
        <f aca="false">IF(A676="","",IFERROR(INDEX(CV_RATES!$I:$I,MATCH(D676,CV_RATES!$C:$C,0)),0))</f>
        <v>816.412557719556</v>
      </c>
      <c r="J676" s="10" t="n">
        <f aca="false">IF(A676="","",IFERROR(IF(E676=MAX(MORTALITY!$A:$A),1000,INDEX(CV_RATES!$J:$J,MATCH(D676,CV_RATES!$C:$C,0))),0))</f>
        <v>824.604845177618</v>
      </c>
      <c r="K676" s="10" t="n">
        <f aca="false">IF(A676="","",IFERROR(I676+H676*(J676-I676),0))</f>
        <v>818.359904738276</v>
      </c>
      <c r="L676" s="10" t="n">
        <f aca="false">IF(A676="","",IFERROR(K676*Inputs!$B$9,0))</f>
        <v>40917.9952369138</v>
      </c>
      <c r="M676" s="10" t="n">
        <f aca="false">IF(A676="","",IFERROR(K676*Inputs!$B$10,0))</f>
        <v>130935.12967841</v>
      </c>
      <c r="N676" s="10" t="n">
        <f aca="false">IF(A676="","",Z675)</f>
        <v>0</v>
      </c>
      <c r="O676" s="6" t="n">
        <f aca="false">IF(A676="","",Inputs!$B$18+N676)</f>
        <v>50000</v>
      </c>
      <c r="P676" s="5" t="n">
        <f aca="false">IF(A676="","",VLOOKUP(D676,DIvidend_Assumption!$A$3:$CX$103,($E$2+2),0)/12)</f>
        <v>0</v>
      </c>
      <c r="Q676" s="10" t="n">
        <f aca="false">IF(A676="","",IFERROR(AB675*P676,""))</f>
        <v>0</v>
      </c>
      <c r="R676" s="10" t="n">
        <f aca="false">IF(A676="","",IFERROR(IF(Inputs!$B$22="Accumulate",T676+Q676,IF(Inputs!$B$22="Premium Offset",MAX(0,T676+Q676-Inputs!$B$25),T676)),""))</f>
        <v>0</v>
      </c>
      <c r="S676" s="10" t="n">
        <f aca="false">IF(A676="","",R675)</f>
        <v>0</v>
      </c>
      <c r="T676" s="10" t="n">
        <f aca="false">IF(A676="","",IFERROR(S676*(1+Inputs!$B$23/12),""))</f>
        <v>0</v>
      </c>
      <c r="U676" s="6" t="n">
        <f aca="false">IF(A676="","",IF(D676&lt;=Inputs!$B$8,IF(Inputs!$B$22="Premium Offset",MAX(0,Inputs!$B$25-(Q676+T676)),Inputs!$B$25),0))</f>
        <v>0</v>
      </c>
      <c r="V676" s="10" t="n">
        <f aca="false">IF(A676="","",IF(Inputs!$B$22="Cash",Q676,0))</f>
        <v>0</v>
      </c>
      <c r="W676" s="10" t="n">
        <f aca="false">IF(A676="","",IF(Inputs!$B$22="PUA",Q676,0))</f>
        <v>0</v>
      </c>
      <c r="X676" s="12" t="n">
        <f aca="false">IF(A676="","",IFERROR(INDEX(PUA_TABLE!$D$4:$D$105,MATCH(E676,PUA_TABLE!$C$4:$C$105,1)),0))</f>
        <v>0.816412557719556</v>
      </c>
      <c r="Y676" s="10" t="n">
        <f aca="false">IF(A676="","",IF(W676&gt;0,IF(X676&gt;0,W676/X676,0),0))</f>
        <v>0</v>
      </c>
      <c r="Z676" s="10" t="n">
        <f aca="false">IF(A676="","",N676+Y676)</f>
        <v>0</v>
      </c>
      <c r="AA676" s="10" t="n">
        <f aca="false">IF(A676="","",IFERROR(Z676*INDEX(PUA_TABLE!$I$4:$I$105,MATCH(E676,PUA_TABLE!$C$4:$C$105,1))/1000,0))</f>
        <v>0</v>
      </c>
      <c r="AB676" s="10" t="n">
        <f aca="false">IF(A676="","",IFERROR(L676+AA676,0))</f>
        <v>40917.9952369138</v>
      </c>
      <c r="AC676" s="10" t="n">
        <f aca="false">IF(A676="","",IF(Inputs!$B$22="Premium Offset",MIN(Inputs!$B$25,Q676+T676),0))</f>
        <v>0</v>
      </c>
    </row>
    <row r="677" customFormat="false" ht="15" hidden="false" customHeight="false" outlineLevel="0" collapsed="false">
      <c r="A677" s="1" t="n">
        <f aca="false">IF(A676="","",IF(INT((C676+1)/12)+Inputs!$B$7&gt;MAX(MORTALITY!$A:$A),"",Inputs!$B$4))</f>
        <v>34</v>
      </c>
      <c r="B677" s="3" t="n">
        <f aca="false">IF(A677="","",EOMONTH(B676,1))</f>
        <v>42277</v>
      </c>
      <c r="C677" s="1" t="n">
        <f aca="false">IF(A677="","",C676+1)</f>
        <v>675</v>
      </c>
      <c r="D677" s="1" t="n">
        <f aca="false">IF(A677="","",INT(C677/12))</f>
        <v>56</v>
      </c>
      <c r="E677" s="1" t="n">
        <f aca="false">IF(A677="","",D677+Inputs!$B$7)</f>
        <v>72</v>
      </c>
      <c r="F677" s="3" t="n">
        <f aca="false">IF(A677="","",DATE(YEAR(B$2)+D677,MONTH(B$2),DAY(B$2)))</f>
        <v>42160</v>
      </c>
      <c r="G677" s="3" t="n">
        <f aca="false">IF(A677="","",DATE(YEAR(F677)+1,MONTH(F677),DAY(F677)))</f>
        <v>42526</v>
      </c>
      <c r="H677" s="10" t="n">
        <f aca="false">IF(A677="","",IF(G677&gt;F677,(B677-F677)/(G677-F677),0))</f>
        <v>0.319672131147541</v>
      </c>
      <c r="I677" s="10" t="n">
        <f aca="false">IF(A677="","",IFERROR(INDEX(CV_RATES!$I:$I,MATCH(D677,CV_RATES!$C:$C,0)),0))</f>
        <v>816.412557719556</v>
      </c>
      <c r="J677" s="10" t="n">
        <f aca="false">IF(A677="","",IFERROR(IF(E677=MAX(MORTALITY!$A:$A),1000,INDEX(CV_RATES!$J:$J,MATCH(D677,CV_RATES!$C:$C,0))),0))</f>
        <v>824.604845177618</v>
      </c>
      <c r="K677" s="10" t="n">
        <f aca="false">IF(A677="","",IFERROR(I677+H677*(J677-I677),0))</f>
        <v>819.031403710248</v>
      </c>
      <c r="L677" s="10" t="n">
        <f aca="false">IF(A677="","",IFERROR(K677*Inputs!$B$9,0))</f>
        <v>40951.5701855124</v>
      </c>
      <c r="M677" s="10" t="n">
        <f aca="false">IF(A677="","",IFERROR(K677*Inputs!$B$10,0))</f>
        <v>131042.567499429</v>
      </c>
      <c r="N677" s="10" t="n">
        <f aca="false">IF(A677="","",Z676)</f>
        <v>0</v>
      </c>
      <c r="O677" s="6" t="n">
        <f aca="false">IF(A677="","",Inputs!$B$18+N677)</f>
        <v>50000</v>
      </c>
      <c r="P677" s="5" t="n">
        <f aca="false">IF(A677="","",VLOOKUP(D677,DIvidend_Assumption!$A$3:$CX$103,($E$2+2),0)/12)</f>
        <v>0</v>
      </c>
      <c r="Q677" s="10" t="n">
        <f aca="false">IF(A677="","",IFERROR(AB676*P677,""))</f>
        <v>0</v>
      </c>
      <c r="R677" s="10" t="n">
        <f aca="false">IF(A677="","",IFERROR(IF(Inputs!$B$22="Accumulate",T677+Q677,IF(Inputs!$B$22="Premium Offset",MAX(0,T677+Q677-Inputs!$B$25),T677)),""))</f>
        <v>0</v>
      </c>
      <c r="S677" s="10" t="n">
        <f aca="false">IF(A677="","",R676)</f>
        <v>0</v>
      </c>
      <c r="T677" s="10" t="n">
        <f aca="false">IF(A677="","",IFERROR(S677*(1+Inputs!$B$23/12),""))</f>
        <v>0</v>
      </c>
      <c r="U677" s="6" t="n">
        <f aca="false">IF(A677="","",IF(D677&lt;=Inputs!$B$8,IF(Inputs!$B$22="Premium Offset",MAX(0,Inputs!$B$25-(Q677+T677)),Inputs!$B$25),0))</f>
        <v>0</v>
      </c>
      <c r="V677" s="10" t="n">
        <f aca="false">IF(A677="","",IF(Inputs!$B$22="Cash",Q677,0))</f>
        <v>0</v>
      </c>
      <c r="W677" s="10" t="n">
        <f aca="false">IF(A677="","",IF(Inputs!$B$22="PUA",Q677,0))</f>
        <v>0</v>
      </c>
      <c r="X677" s="12" t="n">
        <f aca="false">IF(A677="","",IFERROR(INDEX(PUA_TABLE!$D$4:$D$105,MATCH(E677,PUA_TABLE!$C$4:$C$105,1)),0))</f>
        <v>0.816412557719556</v>
      </c>
      <c r="Y677" s="10" t="n">
        <f aca="false">IF(A677="","",IF(W677&gt;0,IF(X677&gt;0,W677/X677,0),0))</f>
        <v>0</v>
      </c>
      <c r="Z677" s="10" t="n">
        <f aca="false">IF(A677="","",N677+Y677)</f>
        <v>0</v>
      </c>
      <c r="AA677" s="10" t="n">
        <f aca="false">IF(A677="","",IFERROR(Z677*INDEX(PUA_TABLE!$I$4:$I$105,MATCH(E677,PUA_TABLE!$C$4:$C$105,1))/1000,0))</f>
        <v>0</v>
      </c>
      <c r="AB677" s="10" t="n">
        <f aca="false">IF(A677="","",IFERROR(L677+AA677,0))</f>
        <v>40951.5701855124</v>
      </c>
      <c r="AC677" s="10" t="n">
        <f aca="false">IF(A677="","",IF(Inputs!$B$22="Premium Offset",MIN(Inputs!$B$25,Q677+T677),0))</f>
        <v>0</v>
      </c>
    </row>
    <row r="678" customFormat="false" ht="15" hidden="false" customHeight="false" outlineLevel="0" collapsed="false">
      <c r="A678" s="1" t="n">
        <f aca="false">IF(A677="","",IF(INT((C677+1)/12)+Inputs!$B$7&gt;MAX(MORTALITY!$A:$A),"",Inputs!$B$4))</f>
        <v>34</v>
      </c>
      <c r="B678" s="3" t="n">
        <f aca="false">IF(A678="","",EOMONTH(B677,1))</f>
        <v>42308</v>
      </c>
      <c r="C678" s="1" t="n">
        <f aca="false">IF(A678="","",C677+1)</f>
        <v>676</v>
      </c>
      <c r="D678" s="1" t="n">
        <f aca="false">IF(A678="","",INT(C678/12))</f>
        <v>56</v>
      </c>
      <c r="E678" s="1" t="n">
        <f aca="false">IF(A678="","",D678+Inputs!$B$7)</f>
        <v>72</v>
      </c>
      <c r="F678" s="3" t="n">
        <f aca="false">IF(A678="","",DATE(YEAR(B$2)+D678,MONTH(B$2),DAY(B$2)))</f>
        <v>42160</v>
      </c>
      <c r="G678" s="3" t="n">
        <f aca="false">IF(A678="","",DATE(YEAR(F678)+1,MONTH(F678),DAY(F678)))</f>
        <v>42526</v>
      </c>
      <c r="H678" s="10" t="n">
        <f aca="false">IF(A678="","",IF(G678&gt;F678,(B678-F678)/(G678-F678),0))</f>
        <v>0.404371584699454</v>
      </c>
      <c r="I678" s="10" t="n">
        <f aca="false">IF(A678="","",IFERROR(INDEX(CV_RATES!$I:$I,MATCH(D678,CV_RATES!$C:$C,0)),0))</f>
        <v>816.412557719556</v>
      </c>
      <c r="J678" s="10" t="n">
        <f aca="false">IF(A678="","",IFERROR(IF(E678=MAX(MORTALITY!$A:$A),1000,INDEX(CV_RATES!$J:$J,MATCH(D678,CV_RATES!$C:$C,0))),0))</f>
        <v>824.604845177618</v>
      </c>
      <c r="K678" s="10" t="n">
        <f aca="false">IF(A678="","",IFERROR(I678+H678*(J678-I678),0))</f>
        <v>819.725285981286</v>
      </c>
      <c r="L678" s="10" t="n">
        <f aca="false">IF(A678="","",IFERROR(K678*Inputs!$B$9,0))</f>
        <v>40986.2642990643</v>
      </c>
      <c r="M678" s="10" t="n">
        <f aca="false">IF(A678="","",IFERROR(K678*Inputs!$B$10,0))</f>
        <v>131153.586581148</v>
      </c>
      <c r="N678" s="10" t="n">
        <f aca="false">IF(A678="","",Z677)</f>
        <v>0</v>
      </c>
      <c r="O678" s="6" t="n">
        <f aca="false">IF(A678="","",Inputs!$B$18+N678)</f>
        <v>50000</v>
      </c>
      <c r="P678" s="5" t="n">
        <f aca="false">IF(A678="","",VLOOKUP(D678,DIvidend_Assumption!$A$3:$CX$103,($E$2+2),0)/12)</f>
        <v>0</v>
      </c>
      <c r="Q678" s="10" t="n">
        <f aca="false">IF(A678="","",IFERROR(AB677*P678,""))</f>
        <v>0</v>
      </c>
      <c r="R678" s="10" t="n">
        <f aca="false">IF(A678="","",IFERROR(IF(Inputs!$B$22="Accumulate",T678+Q678,IF(Inputs!$B$22="Premium Offset",MAX(0,T678+Q678-Inputs!$B$25),T678)),""))</f>
        <v>0</v>
      </c>
      <c r="S678" s="10" t="n">
        <f aca="false">IF(A678="","",R677)</f>
        <v>0</v>
      </c>
      <c r="T678" s="10" t="n">
        <f aca="false">IF(A678="","",IFERROR(S678*(1+Inputs!$B$23/12),""))</f>
        <v>0</v>
      </c>
      <c r="U678" s="6" t="n">
        <f aca="false">IF(A678="","",IF(D678&lt;=Inputs!$B$8,IF(Inputs!$B$22="Premium Offset",MAX(0,Inputs!$B$25-(Q678+T678)),Inputs!$B$25),0))</f>
        <v>0</v>
      </c>
      <c r="V678" s="10" t="n">
        <f aca="false">IF(A678="","",IF(Inputs!$B$22="Cash",Q678,0))</f>
        <v>0</v>
      </c>
      <c r="W678" s="10" t="n">
        <f aca="false">IF(A678="","",IF(Inputs!$B$22="PUA",Q678,0))</f>
        <v>0</v>
      </c>
      <c r="X678" s="12" t="n">
        <f aca="false">IF(A678="","",IFERROR(INDEX(PUA_TABLE!$D$4:$D$105,MATCH(E678,PUA_TABLE!$C$4:$C$105,1)),0))</f>
        <v>0.816412557719556</v>
      </c>
      <c r="Y678" s="10" t="n">
        <f aca="false">IF(A678="","",IF(W678&gt;0,IF(X678&gt;0,W678/X678,0),0))</f>
        <v>0</v>
      </c>
      <c r="Z678" s="10" t="n">
        <f aca="false">IF(A678="","",N678+Y678)</f>
        <v>0</v>
      </c>
      <c r="AA678" s="10" t="n">
        <f aca="false">IF(A678="","",IFERROR(Z678*INDEX(PUA_TABLE!$I$4:$I$105,MATCH(E678,PUA_TABLE!$C$4:$C$105,1))/1000,0))</f>
        <v>0</v>
      </c>
      <c r="AB678" s="10" t="n">
        <f aca="false">IF(A678="","",IFERROR(L678+AA678,0))</f>
        <v>40986.2642990643</v>
      </c>
      <c r="AC678" s="10" t="n">
        <f aca="false">IF(A678="","",IF(Inputs!$B$22="Premium Offset",MIN(Inputs!$B$25,Q678+T678),0))</f>
        <v>0</v>
      </c>
    </row>
    <row r="679" customFormat="false" ht="15" hidden="false" customHeight="false" outlineLevel="0" collapsed="false">
      <c r="A679" s="1" t="n">
        <f aca="false">IF(A678="","",IF(INT((C678+1)/12)+Inputs!$B$7&gt;MAX(MORTALITY!$A:$A),"",Inputs!$B$4))</f>
        <v>34</v>
      </c>
      <c r="B679" s="3" t="n">
        <f aca="false">IF(A679="","",EOMONTH(B678,1))</f>
        <v>42338</v>
      </c>
      <c r="C679" s="1" t="n">
        <f aca="false">IF(A679="","",C678+1)</f>
        <v>677</v>
      </c>
      <c r="D679" s="1" t="n">
        <f aca="false">IF(A679="","",INT(C679/12))</f>
        <v>56</v>
      </c>
      <c r="E679" s="1" t="n">
        <f aca="false">IF(A679="","",D679+Inputs!$B$7)</f>
        <v>72</v>
      </c>
      <c r="F679" s="3" t="n">
        <f aca="false">IF(A679="","",DATE(YEAR(B$2)+D679,MONTH(B$2),DAY(B$2)))</f>
        <v>42160</v>
      </c>
      <c r="G679" s="3" t="n">
        <f aca="false">IF(A679="","",DATE(YEAR(F679)+1,MONTH(F679),DAY(F679)))</f>
        <v>42526</v>
      </c>
      <c r="H679" s="10" t="n">
        <f aca="false">IF(A679="","",IF(G679&gt;F679,(B679-F679)/(G679-F679),0))</f>
        <v>0.486338797814208</v>
      </c>
      <c r="I679" s="10" t="n">
        <f aca="false">IF(A679="","",IFERROR(INDEX(CV_RATES!$I:$I,MATCH(D679,CV_RATES!$C:$C,0)),0))</f>
        <v>816.412557719556</v>
      </c>
      <c r="J679" s="10" t="n">
        <f aca="false">IF(A679="","",IFERROR(IF(E679=MAX(MORTALITY!$A:$A),1000,INDEX(CV_RATES!$J:$J,MATCH(D679,CV_RATES!$C:$C,0))),0))</f>
        <v>824.604845177618</v>
      </c>
      <c r="K679" s="10" t="n">
        <f aca="false">IF(A679="","",IFERROR(I679+H679*(J679-I679),0))</f>
        <v>820.396784953258</v>
      </c>
      <c r="L679" s="10" t="n">
        <f aca="false">IF(A679="","",IFERROR(K679*Inputs!$B$9,0))</f>
        <v>41019.8392476629</v>
      </c>
      <c r="M679" s="10" t="n">
        <f aca="false">IF(A679="","",IFERROR(K679*Inputs!$B$10,0))</f>
        <v>131261.024402166</v>
      </c>
      <c r="N679" s="10" t="n">
        <f aca="false">IF(A679="","",Z678)</f>
        <v>0</v>
      </c>
      <c r="O679" s="6" t="n">
        <f aca="false">IF(A679="","",Inputs!$B$18+N679)</f>
        <v>50000</v>
      </c>
      <c r="P679" s="5" t="n">
        <f aca="false">IF(A679="","",VLOOKUP(D679,DIvidend_Assumption!$A$3:$CX$103,($E$2+2),0)/12)</f>
        <v>0</v>
      </c>
      <c r="Q679" s="10" t="n">
        <f aca="false">IF(A679="","",IFERROR(AB678*P679,""))</f>
        <v>0</v>
      </c>
      <c r="R679" s="10" t="n">
        <f aca="false">IF(A679="","",IFERROR(IF(Inputs!$B$22="Accumulate",T679+Q679,IF(Inputs!$B$22="Premium Offset",MAX(0,T679+Q679-Inputs!$B$25),T679)),""))</f>
        <v>0</v>
      </c>
      <c r="S679" s="10" t="n">
        <f aca="false">IF(A679="","",R678)</f>
        <v>0</v>
      </c>
      <c r="T679" s="10" t="n">
        <f aca="false">IF(A679="","",IFERROR(S679*(1+Inputs!$B$23/12),""))</f>
        <v>0</v>
      </c>
      <c r="U679" s="6" t="n">
        <f aca="false">IF(A679="","",IF(D679&lt;=Inputs!$B$8,IF(Inputs!$B$22="Premium Offset",MAX(0,Inputs!$B$25-(Q679+T679)),Inputs!$B$25),0))</f>
        <v>0</v>
      </c>
      <c r="V679" s="10" t="n">
        <f aca="false">IF(A679="","",IF(Inputs!$B$22="Cash",Q679,0))</f>
        <v>0</v>
      </c>
      <c r="W679" s="10" t="n">
        <f aca="false">IF(A679="","",IF(Inputs!$B$22="PUA",Q679,0))</f>
        <v>0</v>
      </c>
      <c r="X679" s="12" t="n">
        <f aca="false">IF(A679="","",IFERROR(INDEX(PUA_TABLE!$D$4:$D$105,MATCH(E679,PUA_TABLE!$C$4:$C$105,1)),0))</f>
        <v>0.816412557719556</v>
      </c>
      <c r="Y679" s="10" t="n">
        <f aca="false">IF(A679="","",IF(W679&gt;0,IF(X679&gt;0,W679/X679,0),0))</f>
        <v>0</v>
      </c>
      <c r="Z679" s="10" t="n">
        <f aca="false">IF(A679="","",N679+Y679)</f>
        <v>0</v>
      </c>
      <c r="AA679" s="10" t="n">
        <f aca="false">IF(A679="","",IFERROR(Z679*INDEX(PUA_TABLE!$I$4:$I$105,MATCH(E679,PUA_TABLE!$C$4:$C$105,1))/1000,0))</f>
        <v>0</v>
      </c>
      <c r="AB679" s="10" t="n">
        <f aca="false">IF(A679="","",IFERROR(L679+AA679,0))</f>
        <v>41019.8392476629</v>
      </c>
      <c r="AC679" s="10" t="n">
        <f aca="false">IF(A679="","",IF(Inputs!$B$22="Premium Offset",MIN(Inputs!$B$25,Q679+T679),0))</f>
        <v>0</v>
      </c>
    </row>
    <row r="680" customFormat="false" ht="15" hidden="false" customHeight="false" outlineLevel="0" collapsed="false">
      <c r="A680" s="1" t="n">
        <f aca="false">IF(A679="","",IF(INT((C679+1)/12)+Inputs!$B$7&gt;MAX(MORTALITY!$A:$A),"",Inputs!$B$4))</f>
        <v>34</v>
      </c>
      <c r="B680" s="3" t="n">
        <f aca="false">IF(A680="","",EOMONTH(B679,1))</f>
        <v>42369</v>
      </c>
      <c r="C680" s="1" t="n">
        <f aca="false">IF(A680="","",C679+1)</f>
        <v>678</v>
      </c>
      <c r="D680" s="1" t="n">
        <f aca="false">IF(A680="","",INT(C680/12))</f>
        <v>56</v>
      </c>
      <c r="E680" s="1" t="n">
        <f aca="false">IF(A680="","",D680+Inputs!$B$7)</f>
        <v>72</v>
      </c>
      <c r="F680" s="3" t="n">
        <f aca="false">IF(A680="","",DATE(YEAR(B$2)+D680,MONTH(B$2),DAY(B$2)))</f>
        <v>42160</v>
      </c>
      <c r="G680" s="3" t="n">
        <f aca="false">IF(A680="","",DATE(YEAR(F680)+1,MONTH(F680),DAY(F680)))</f>
        <v>42526</v>
      </c>
      <c r="H680" s="10" t="n">
        <f aca="false">IF(A680="","",IF(G680&gt;F680,(B680-F680)/(G680-F680),0))</f>
        <v>0.57103825136612</v>
      </c>
      <c r="I680" s="10" t="n">
        <f aca="false">IF(A680="","",IFERROR(INDEX(CV_RATES!$I:$I,MATCH(D680,CV_RATES!$C:$C,0)),0))</f>
        <v>816.412557719556</v>
      </c>
      <c r="J680" s="10" t="n">
        <f aca="false">IF(A680="","",IFERROR(IF(E680=MAX(MORTALITY!$A:$A),1000,INDEX(CV_RATES!$J:$J,MATCH(D680,CV_RATES!$C:$C,0))),0))</f>
        <v>824.604845177618</v>
      </c>
      <c r="K680" s="10" t="n">
        <f aca="false">IF(A680="","",IFERROR(I680+H680*(J680-I680),0))</f>
        <v>821.090667224296</v>
      </c>
      <c r="L680" s="10" t="n">
        <f aca="false">IF(A680="","",IFERROR(K680*Inputs!$B$9,0))</f>
        <v>41054.5333612148</v>
      </c>
      <c r="M680" s="10" t="n">
        <f aca="false">IF(A680="","",IFERROR(K680*Inputs!$B$10,0))</f>
        <v>131372.043483886</v>
      </c>
      <c r="N680" s="10" t="n">
        <f aca="false">IF(A680="","",Z679)</f>
        <v>0</v>
      </c>
      <c r="O680" s="6" t="n">
        <f aca="false">IF(A680="","",Inputs!$B$18+N680)</f>
        <v>50000</v>
      </c>
      <c r="P680" s="5" t="n">
        <f aca="false">IF(A680="","",VLOOKUP(D680,DIvidend_Assumption!$A$3:$CX$103,($E$2+2),0)/12)</f>
        <v>0</v>
      </c>
      <c r="Q680" s="10" t="n">
        <f aca="false">IF(A680="","",IFERROR(AB679*P680,""))</f>
        <v>0</v>
      </c>
      <c r="R680" s="10" t="n">
        <f aca="false">IF(A680="","",IFERROR(IF(Inputs!$B$22="Accumulate",T680+Q680,IF(Inputs!$B$22="Premium Offset",MAX(0,T680+Q680-Inputs!$B$25),T680)),""))</f>
        <v>0</v>
      </c>
      <c r="S680" s="10" t="n">
        <f aca="false">IF(A680="","",R679)</f>
        <v>0</v>
      </c>
      <c r="T680" s="10" t="n">
        <f aca="false">IF(A680="","",IFERROR(S680*(1+Inputs!$B$23/12),""))</f>
        <v>0</v>
      </c>
      <c r="U680" s="6" t="n">
        <f aca="false">IF(A680="","",IF(D680&lt;=Inputs!$B$8,IF(Inputs!$B$22="Premium Offset",MAX(0,Inputs!$B$25-(Q680+T680)),Inputs!$B$25),0))</f>
        <v>0</v>
      </c>
      <c r="V680" s="10" t="n">
        <f aca="false">IF(A680="","",IF(Inputs!$B$22="Cash",Q680,0))</f>
        <v>0</v>
      </c>
      <c r="W680" s="10" t="n">
        <f aca="false">IF(A680="","",IF(Inputs!$B$22="PUA",Q680,0))</f>
        <v>0</v>
      </c>
      <c r="X680" s="12" t="n">
        <f aca="false">IF(A680="","",IFERROR(INDEX(PUA_TABLE!$D$4:$D$105,MATCH(E680,PUA_TABLE!$C$4:$C$105,1)),0))</f>
        <v>0.816412557719556</v>
      </c>
      <c r="Y680" s="10" t="n">
        <f aca="false">IF(A680="","",IF(W680&gt;0,IF(X680&gt;0,W680/X680,0),0))</f>
        <v>0</v>
      </c>
      <c r="Z680" s="10" t="n">
        <f aca="false">IF(A680="","",N680+Y680)</f>
        <v>0</v>
      </c>
      <c r="AA680" s="10" t="n">
        <f aca="false">IF(A680="","",IFERROR(Z680*INDEX(PUA_TABLE!$I$4:$I$105,MATCH(E680,PUA_TABLE!$C$4:$C$105,1))/1000,0))</f>
        <v>0</v>
      </c>
      <c r="AB680" s="10" t="n">
        <f aca="false">IF(A680="","",IFERROR(L680+AA680,0))</f>
        <v>41054.5333612148</v>
      </c>
      <c r="AC680" s="10" t="n">
        <f aca="false">IF(A680="","",IF(Inputs!$B$22="Premium Offset",MIN(Inputs!$B$25,Q680+T680),0))</f>
        <v>0</v>
      </c>
    </row>
    <row r="681" customFormat="false" ht="15" hidden="false" customHeight="false" outlineLevel="0" collapsed="false">
      <c r="A681" s="1" t="n">
        <f aca="false">IF(A680="","",IF(INT((C680+1)/12)+Inputs!$B$7&gt;MAX(MORTALITY!$A:$A),"",Inputs!$B$4))</f>
        <v>34</v>
      </c>
      <c r="B681" s="3" t="n">
        <f aca="false">IF(A681="","",EOMONTH(B680,1))</f>
        <v>42400</v>
      </c>
      <c r="C681" s="1" t="n">
        <f aca="false">IF(A681="","",C680+1)</f>
        <v>679</v>
      </c>
      <c r="D681" s="1" t="n">
        <f aca="false">IF(A681="","",INT(C681/12))</f>
        <v>56</v>
      </c>
      <c r="E681" s="1" t="n">
        <f aca="false">IF(A681="","",D681+Inputs!$B$7)</f>
        <v>72</v>
      </c>
      <c r="F681" s="3" t="n">
        <f aca="false">IF(A681="","",DATE(YEAR(B$2)+D681,MONTH(B$2),DAY(B$2)))</f>
        <v>42160</v>
      </c>
      <c r="G681" s="3" t="n">
        <f aca="false">IF(A681="","",DATE(YEAR(F681)+1,MONTH(F681),DAY(F681)))</f>
        <v>42526</v>
      </c>
      <c r="H681" s="10" t="n">
        <f aca="false">IF(A681="","",IF(G681&gt;F681,(B681-F681)/(G681-F681),0))</f>
        <v>0.655737704918033</v>
      </c>
      <c r="I681" s="10" t="n">
        <f aca="false">IF(A681="","",IFERROR(INDEX(CV_RATES!$I:$I,MATCH(D681,CV_RATES!$C:$C,0)),0))</f>
        <v>816.412557719556</v>
      </c>
      <c r="J681" s="10" t="n">
        <f aca="false">IF(A681="","",IFERROR(IF(E681=MAX(MORTALITY!$A:$A),1000,INDEX(CV_RATES!$J:$J,MATCH(D681,CV_RATES!$C:$C,0))),0))</f>
        <v>824.604845177618</v>
      </c>
      <c r="K681" s="10" t="n">
        <f aca="false">IF(A681="","",IFERROR(I681+H681*(J681-I681),0))</f>
        <v>821.784549495334</v>
      </c>
      <c r="L681" s="10" t="n">
        <f aca="false">IF(A681="","",IFERROR(K681*Inputs!$B$9,0))</f>
        <v>41089.2274747667</v>
      </c>
      <c r="M681" s="10" t="n">
        <f aca="false">IF(A681="","",IFERROR(K681*Inputs!$B$10,0))</f>
        <v>131483.062565605</v>
      </c>
      <c r="N681" s="10" t="n">
        <f aca="false">IF(A681="","",Z680)</f>
        <v>0</v>
      </c>
      <c r="O681" s="6" t="n">
        <f aca="false">IF(A681="","",Inputs!$B$18+N681)</f>
        <v>50000</v>
      </c>
      <c r="P681" s="5" t="n">
        <f aca="false">IF(A681="","",VLOOKUP(D681,DIvidend_Assumption!$A$3:$CX$103,($E$2+2),0)/12)</f>
        <v>0</v>
      </c>
      <c r="Q681" s="10" t="n">
        <f aca="false">IF(A681="","",IFERROR(AB680*P681,""))</f>
        <v>0</v>
      </c>
      <c r="R681" s="10" t="n">
        <f aca="false">IF(A681="","",IFERROR(IF(Inputs!$B$22="Accumulate",T681+Q681,IF(Inputs!$B$22="Premium Offset",MAX(0,T681+Q681-Inputs!$B$25),T681)),""))</f>
        <v>0</v>
      </c>
      <c r="S681" s="10" t="n">
        <f aca="false">IF(A681="","",R680)</f>
        <v>0</v>
      </c>
      <c r="T681" s="10" t="n">
        <f aca="false">IF(A681="","",IFERROR(S681*(1+Inputs!$B$23/12),""))</f>
        <v>0</v>
      </c>
      <c r="U681" s="6" t="n">
        <f aca="false">IF(A681="","",IF(D681&lt;=Inputs!$B$8,IF(Inputs!$B$22="Premium Offset",MAX(0,Inputs!$B$25-(Q681+T681)),Inputs!$B$25),0))</f>
        <v>0</v>
      </c>
      <c r="V681" s="10" t="n">
        <f aca="false">IF(A681="","",IF(Inputs!$B$22="Cash",Q681,0))</f>
        <v>0</v>
      </c>
      <c r="W681" s="10" t="n">
        <f aca="false">IF(A681="","",IF(Inputs!$B$22="PUA",Q681,0))</f>
        <v>0</v>
      </c>
      <c r="X681" s="12" t="n">
        <f aca="false">IF(A681="","",IFERROR(INDEX(PUA_TABLE!$D$4:$D$105,MATCH(E681,PUA_TABLE!$C$4:$C$105,1)),0))</f>
        <v>0.816412557719556</v>
      </c>
      <c r="Y681" s="10" t="n">
        <f aca="false">IF(A681="","",IF(W681&gt;0,IF(X681&gt;0,W681/X681,0),0))</f>
        <v>0</v>
      </c>
      <c r="Z681" s="10" t="n">
        <f aca="false">IF(A681="","",N681+Y681)</f>
        <v>0</v>
      </c>
      <c r="AA681" s="10" t="n">
        <f aca="false">IF(A681="","",IFERROR(Z681*INDEX(PUA_TABLE!$I$4:$I$105,MATCH(E681,PUA_TABLE!$C$4:$C$105,1))/1000,0))</f>
        <v>0</v>
      </c>
      <c r="AB681" s="10" t="n">
        <f aca="false">IF(A681="","",IFERROR(L681+AA681,0))</f>
        <v>41089.2274747667</v>
      </c>
      <c r="AC681" s="10" t="n">
        <f aca="false">IF(A681="","",IF(Inputs!$B$22="Premium Offset",MIN(Inputs!$B$25,Q681+T681),0))</f>
        <v>0</v>
      </c>
    </row>
    <row r="682" customFormat="false" ht="15" hidden="false" customHeight="false" outlineLevel="0" collapsed="false">
      <c r="A682" s="1" t="n">
        <f aca="false">IF(A681="","",IF(INT((C681+1)/12)+Inputs!$B$7&gt;MAX(MORTALITY!$A:$A),"",Inputs!$B$4))</f>
        <v>34</v>
      </c>
      <c r="B682" s="3" t="n">
        <f aca="false">IF(A682="","",EOMONTH(B681,1))</f>
        <v>42429</v>
      </c>
      <c r="C682" s="1" t="n">
        <f aca="false">IF(A682="","",C681+1)</f>
        <v>680</v>
      </c>
      <c r="D682" s="1" t="n">
        <f aca="false">IF(A682="","",INT(C682/12))</f>
        <v>56</v>
      </c>
      <c r="E682" s="1" t="n">
        <f aca="false">IF(A682="","",D682+Inputs!$B$7)</f>
        <v>72</v>
      </c>
      <c r="F682" s="3" t="n">
        <f aca="false">IF(A682="","",DATE(YEAR(B$2)+D682,MONTH(B$2),DAY(B$2)))</f>
        <v>42160</v>
      </c>
      <c r="G682" s="3" t="n">
        <f aca="false">IF(A682="","",DATE(YEAR(F682)+1,MONTH(F682),DAY(F682)))</f>
        <v>42526</v>
      </c>
      <c r="H682" s="10" t="n">
        <f aca="false">IF(A682="","",IF(G682&gt;F682,(B682-F682)/(G682-F682),0))</f>
        <v>0.734972677595629</v>
      </c>
      <c r="I682" s="10" t="n">
        <f aca="false">IF(A682="","",IFERROR(INDEX(CV_RATES!$I:$I,MATCH(D682,CV_RATES!$C:$C,0)),0))</f>
        <v>816.412557719556</v>
      </c>
      <c r="J682" s="10" t="n">
        <f aca="false">IF(A682="","",IFERROR(IF(E682=MAX(MORTALITY!$A:$A),1000,INDEX(CV_RATES!$J:$J,MATCH(D682,CV_RATES!$C:$C,0))),0))</f>
        <v>824.604845177618</v>
      </c>
      <c r="K682" s="10" t="n">
        <f aca="false">IF(A682="","",IFERROR(I682+H682*(J682-I682),0))</f>
        <v>822.433665168241</v>
      </c>
      <c r="L682" s="10" t="n">
        <f aca="false">IF(A682="","",IFERROR(K682*Inputs!$B$9,0))</f>
        <v>41121.683258412</v>
      </c>
      <c r="M682" s="10" t="n">
        <f aca="false">IF(A682="","",IFERROR(K682*Inputs!$B$10,0))</f>
        <v>131586.919125923</v>
      </c>
      <c r="N682" s="10" t="n">
        <f aca="false">IF(A682="","",Z681)</f>
        <v>0</v>
      </c>
      <c r="O682" s="6" t="n">
        <f aca="false">IF(A682="","",Inputs!$B$18+N682)</f>
        <v>50000</v>
      </c>
      <c r="P682" s="5" t="n">
        <f aca="false">IF(A682="","",VLOOKUP(D682,DIvidend_Assumption!$A$3:$CX$103,($E$2+2),0)/12)</f>
        <v>0</v>
      </c>
      <c r="Q682" s="10" t="n">
        <f aca="false">IF(A682="","",IFERROR(AB681*P682,""))</f>
        <v>0</v>
      </c>
      <c r="R682" s="10" t="n">
        <f aca="false">IF(A682="","",IFERROR(IF(Inputs!$B$22="Accumulate",T682+Q682,IF(Inputs!$B$22="Premium Offset",MAX(0,T682+Q682-Inputs!$B$25),T682)),""))</f>
        <v>0</v>
      </c>
      <c r="S682" s="10" t="n">
        <f aca="false">IF(A682="","",R681)</f>
        <v>0</v>
      </c>
      <c r="T682" s="10" t="n">
        <f aca="false">IF(A682="","",IFERROR(S682*(1+Inputs!$B$23/12),""))</f>
        <v>0</v>
      </c>
      <c r="U682" s="6" t="n">
        <f aca="false">IF(A682="","",IF(D682&lt;=Inputs!$B$8,IF(Inputs!$B$22="Premium Offset",MAX(0,Inputs!$B$25-(Q682+T682)),Inputs!$B$25),0))</f>
        <v>0</v>
      </c>
      <c r="V682" s="10" t="n">
        <f aca="false">IF(A682="","",IF(Inputs!$B$22="Cash",Q682,0))</f>
        <v>0</v>
      </c>
      <c r="W682" s="10" t="n">
        <f aca="false">IF(A682="","",IF(Inputs!$B$22="PUA",Q682,0))</f>
        <v>0</v>
      </c>
      <c r="X682" s="12" t="n">
        <f aca="false">IF(A682="","",IFERROR(INDEX(PUA_TABLE!$D$4:$D$105,MATCH(E682,PUA_TABLE!$C$4:$C$105,1)),0))</f>
        <v>0.816412557719556</v>
      </c>
      <c r="Y682" s="10" t="n">
        <f aca="false">IF(A682="","",IF(W682&gt;0,IF(X682&gt;0,W682/X682,0),0))</f>
        <v>0</v>
      </c>
      <c r="Z682" s="10" t="n">
        <f aca="false">IF(A682="","",N682+Y682)</f>
        <v>0</v>
      </c>
      <c r="AA682" s="10" t="n">
        <f aca="false">IF(A682="","",IFERROR(Z682*INDEX(PUA_TABLE!$I$4:$I$105,MATCH(E682,PUA_TABLE!$C$4:$C$105,1))/1000,0))</f>
        <v>0</v>
      </c>
      <c r="AB682" s="10" t="n">
        <f aca="false">IF(A682="","",IFERROR(L682+AA682,0))</f>
        <v>41121.683258412</v>
      </c>
      <c r="AC682" s="10" t="n">
        <f aca="false">IF(A682="","",IF(Inputs!$B$22="Premium Offset",MIN(Inputs!$B$25,Q682+T682),0))</f>
        <v>0</v>
      </c>
    </row>
    <row r="683" customFormat="false" ht="15" hidden="false" customHeight="false" outlineLevel="0" collapsed="false">
      <c r="A683" s="1" t="n">
        <f aca="false">IF(A682="","",IF(INT((C682+1)/12)+Inputs!$B$7&gt;MAX(MORTALITY!$A:$A),"",Inputs!$B$4))</f>
        <v>34</v>
      </c>
      <c r="B683" s="3" t="n">
        <f aca="false">IF(A683="","",EOMONTH(B682,1))</f>
        <v>42460</v>
      </c>
      <c r="C683" s="1" t="n">
        <f aca="false">IF(A683="","",C682+1)</f>
        <v>681</v>
      </c>
      <c r="D683" s="1" t="n">
        <f aca="false">IF(A683="","",INT(C683/12))</f>
        <v>56</v>
      </c>
      <c r="E683" s="1" t="n">
        <f aca="false">IF(A683="","",D683+Inputs!$B$7)</f>
        <v>72</v>
      </c>
      <c r="F683" s="3" t="n">
        <f aca="false">IF(A683="","",DATE(YEAR(B$2)+D683,MONTH(B$2),DAY(B$2)))</f>
        <v>42160</v>
      </c>
      <c r="G683" s="3" t="n">
        <f aca="false">IF(A683="","",DATE(YEAR(F683)+1,MONTH(F683),DAY(F683)))</f>
        <v>42526</v>
      </c>
      <c r="H683" s="10" t="n">
        <f aca="false">IF(A683="","",IF(G683&gt;F683,(B683-F683)/(G683-F683),0))</f>
        <v>0.819672131147541</v>
      </c>
      <c r="I683" s="10" t="n">
        <f aca="false">IF(A683="","",IFERROR(INDEX(CV_RATES!$I:$I,MATCH(D683,CV_RATES!$C:$C,0)),0))</f>
        <v>816.412557719556</v>
      </c>
      <c r="J683" s="10" t="n">
        <f aca="false">IF(A683="","",IFERROR(IF(E683=MAX(MORTALITY!$A:$A),1000,INDEX(CV_RATES!$J:$J,MATCH(D683,CV_RATES!$C:$C,0))),0))</f>
        <v>824.604845177618</v>
      </c>
      <c r="K683" s="10" t="n">
        <f aca="false">IF(A683="","",IFERROR(I683+H683*(J683-I683),0))</f>
        <v>823.127547439279</v>
      </c>
      <c r="L683" s="10" t="n">
        <f aca="false">IF(A683="","",IFERROR(K683*Inputs!$B$9,0))</f>
        <v>41156.3773719639</v>
      </c>
      <c r="M683" s="10" t="n">
        <f aca="false">IF(A683="","",IFERROR(K683*Inputs!$B$10,0))</f>
        <v>131697.938207642</v>
      </c>
      <c r="N683" s="10" t="n">
        <f aca="false">IF(A683="","",Z682)</f>
        <v>0</v>
      </c>
      <c r="O683" s="6" t="n">
        <f aca="false">IF(A683="","",Inputs!$B$18+N683)</f>
        <v>50000</v>
      </c>
      <c r="P683" s="5" t="n">
        <f aca="false">IF(A683="","",VLOOKUP(D683,DIvidend_Assumption!$A$3:$CX$103,($E$2+2),0)/12)</f>
        <v>0</v>
      </c>
      <c r="Q683" s="10" t="n">
        <f aca="false">IF(A683="","",IFERROR(AB682*P683,""))</f>
        <v>0</v>
      </c>
      <c r="R683" s="10" t="n">
        <f aca="false">IF(A683="","",IFERROR(IF(Inputs!$B$22="Accumulate",T683+Q683,IF(Inputs!$B$22="Premium Offset",MAX(0,T683+Q683-Inputs!$B$25),T683)),""))</f>
        <v>0</v>
      </c>
      <c r="S683" s="10" t="n">
        <f aca="false">IF(A683="","",R682)</f>
        <v>0</v>
      </c>
      <c r="T683" s="10" t="n">
        <f aca="false">IF(A683="","",IFERROR(S683*(1+Inputs!$B$23/12),""))</f>
        <v>0</v>
      </c>
      <c r="U683" s="6" t="n">
        <f aca="false">IF(A683="","",IF(D683&lt;=Inputs!$B$8,IF(Inputs!$B$22="Premium Offset",MAX(0,Inputs!$B$25-(Q683+T683)),Inputs!$B$25),0))</f>
        <v>0</v>
      </c>
      <c r="V683" s="10" t="n">
        <f aca="false">IF(A683="","",IF(Inputs!$B$22="Cash",Q683,0))</f>
        <v>0</v>
      </c>
      <c r="W683" s="10" t="n">
        <f aca="false">IF(A683="","",IF(Inputs!$B$22="PUA",Q683,0))</f>
        <v>0</v>
      </c>
      <c r="X683" s="12" t="n">
        <f aca="false">IF(A683="","",IFERROR(INDEX(PUA_TABLE!$D$4:$D$105,MATCH(E683,PUA_TABLE!$C$4:$C$105,1)),0))</f>
        <v>0.816412557719556</v>
      </c>
      <c r="Y683" s="10" t="n">
        <f aca="false">IF(A683="","",IF(W683&gt;0,IF(X683&gt;0,W683/X683,0),0))</f>
        <v>0</v>
      </c>
      <c r="Z683" s="10" t="n">
        <f aca="false">IF(A683="","",N683+Y683)</f>
        <v>0</v>
      </c>
      <c r="AA683" s="10" t="n">
        <f aca="false">IF(A683="","",IFERROR(Z683*INDEX(PUA_TABLE!$I$4:$I$105,MATCH(E683,PUA_TABLE!$C$4:$C$105,1))/1000,0))</f>
        <v>0</v>
      </c>
      <c r="AB683" s="10" t="n">
        <f aca="false">IF(A683="","",IFERROR(L683+AA683,0))</f>
        <v>41156.3773719639</v>
      </c>
      <c r="AC683" s="10" t="n">
        <f aca="false">IF(A683="","",IF(Inputs!$B$22="Premium Offset",MIN(Inputs!$B$25,Q683+T683),0))</f>
        <v>0</v>
      </c>
    </row>
    <row r="684" customFormat="false" ht="15" hidden="false" customHeight="false" outlineLevel="0" collapsed="false">
      <c r="A684" s="1" t="n">
        <f aca="false">IF(A683="","",IF(INT((C683+1)/12)+Inputs!$B$7&gt;MAX(MORTALITY!$A:$A),"",Inputs!$B$4))</f>
        <v>34</v>
      </c>
      <c r="B684" s="3" t="n">
        <f aca="false">IF(A684="","",EOMONTH(B683,1))</f>
        <v>42490</v>
      </c>
      <c r="C684" s="1" t="n">
        <f aca="false">IF(A684="","",C683+1)</f>
        <v>682</v>
      </c>
      <c r="D684" s="1" t="n">
        <f aca="false">IF(A684="","",INT(C684/12))</f>
        <v>56</v>
      </c>
      <c r="E684" s="1" t="n">
        <f aca="false">IF(A684="","",D684+Inputs!$B$7)</f>
        <v>72</v>
      </c>
      <c r="F684" s="3" t="n">
        <f aca="false">IF(A684="","",DATE(YEAR(B$2)+D684,MONTH(B$2),DAY(B$2)))</f>
        <v>42160</v>
      </c>
      <c r="G684" s="3" t="n">
        <f aca="false">IF(A684="","",DATE(YEAR(F684)+1,MONTH(F684),DAY(F684)))</f>
        <v>42526</v>
      </c>
      <c r="H684" s="10" t="n">
        <f aca="false">IF(A684="","",IF(G684&gt;F684,(B684-F684)/(G684-F684),0))</f>
        <v>0.901639344262295</v>
      </c>
      <c r="I684" s="10" t="n">
        <f aca="false">IF(A684="","",IFERROR(INDEX(CV_RATES!$I:$I,MATCH(D684,CV_RATES!$C:$C,0)),0))</f>
        <v>816.412557719556</v>
      </c>
      <c r="J684" s="10" t="n">
        <f aca="false">IF(A684="","",IFERROR(IF(E684=MAX(MORTALITY!$A:$A),1000,INDEX(CV_RATES!$J:$J,MATCH(D684,CV_RATES!$C:$C,0))),0))</f>
        <v>824.604845177618</v>
      </c>
      <c r="K684" s="10" t="n">
        <f aca="false">IF(A684="","",IFERROR(I684+H684*(J684-I684),0))</f>
        <v>823.799046411251</v>
      </c>
      <c r="L684" s="10" t="n">
        <f aca="false">IF(A684="","",IFERROR(K684*Inputs!$B$9,0))</f>
        <v>41189.9523205626</v>
      </c>
      <c r="M684" s="10" t="n">
        <f aca="false">IF(A684="","",IFERROR(K684*Inputs!$B$10,0))</f>
        <v>131805.376028661</v>
      </c>
      <c r="N684" s="10" t="n">
        <f aca="false">IF(A684="","",Z683)</f>
        <v>0</v>
      </c>
      <c r="O684" s="6" t="n">
        <f aca="false">IF(A684="","",Inputs!$B$18+N684)</f>
        <v>50000</v>
      </c>
      <c r="P684" s="5" t="n">
        <f aca="false">IF(A684="","",VLOOKUP(D684,DIvidend_Assumption!$A$3:$CX$103,($E$2+2),0)/12)</f>
        <v>0</v>
      </c>
      <c r="Q684" s="10" t="n">
        <f aca="false">IF(A684="","",IFERROR(AB683*P684,""))</f>
        <v>0</v>
      </c>
      <c r="R684" s="10" t="n">
        <f aca="false">IF(A684="","",IFERROR(IF(Inputs!$B$22="Accumulate",T684+Q684,IF(Inputs!$B$22="Premium Offset",MAX(0,T684+Q684-Inputs!$B$25),T684)),""))</f>
        <v>0</v>
      </c>
      <c r="S684" s="10" t="n">
        <f aca="false">IF(A684="","",R683)</f>
        <v>0</v>
      </c>
      <c r="T684" s="10" t="n">
        <f aca="false">IF(A684="","",IFERROR(S684*(1+Inputs!$B$23/12),""))</f>
        <v>0</v>
      </c>
      <c r="U684" s="6" t="n">
        <f aca="false">IF(A684="","",IF(D684&lt;=Inputs!$B$8,IF(Inputs!$B$22="Premium Offset",MAX(0,Inputs!$B$25-(Q684+T684)),Inputs!$B$25),0))</f>
        <v>0</v>
      </c>
      <c r="V684" s="10" t="n">
        <f aca="false">IF(A684="","",IF(Inputs!$B$22="Cash",Q684,0))</f>
        <v>0</v>
      </c>
      <c r="W684" s="10" t="n">
        <f aca="false">IF(A684="","",IF(Inputs!$B$22="PUA",Q684,0))</f>
        <v>0</v>
      </c>
      <c r="X684" s="12" t="n">
        <f aca="false">IF(A684="","",IFERROR(INDEX(PUA_TABLE!$D$4:$D$105,MATCH(E684,PUA_TABLE!$C$4:$C$105,1)),0))</f>
        <v>0.816412557719556</v>
      </c>
      <c r="Y684" s="10" t="n">
        <f aca="false">IF(A684="","",IF(W684&gt;0,IF(X684&gt;0,W684/X684,0),0))</f>
        <v>0</v>
      </c>
      <c r="Z684" s="10" t="n">
        <f aca="false">IF(A684="","",N684+Y684)</f>
        <v>0</v>
      </c>
      <c r="AA684" s="10" t="n">
        <f aca="false">IF(A684="","",IFERROR(Z684*INDEX(PUA_TABLE!$I$4:$I$105,MATCH(E684,PUA_TABLE!$C$4:$C$105,1))/1000,0))</f>
        <v>0</v>
      </c>
      <c r="AB684" s="10" t="n">
        <f aca="false">IF(A684="","",IFERROR(L684+AA684,0))</f>
        <v>41189.9523205626</v>
      </c>
      <c r="AC684" s="10" t="n">
        <f aca="false">IF(A684="","",IF(Inputs!$B$22="Premium Offset",MIN(Inputs!$B$25,Q684+T684),0))</f>
        <v>0</v>
      </c>
    </row>
    <row r="685" customFormat="false" ht="15" hidden="false" customHeight="false" outlineLevel="0" collapsed="false">
      <c r="A685" s="1" t="n">
        <f aca="false">IF(A684="","",IF(INT((C684+1)/12)+Inputs!$B$7&gt;MAX(MORTALITY!$A:$A),"",Inputs!$B$4))</f>
        <v>34</v>
      </c>
      <c r="B685" s="3" t="n">
        <f aca="false">IF(A685="","",EOMONTH(B684,1))</f>
        <v>42521</v>
      </c>
      <c r="C685" s="1" t="n">
        <f aca="false">IF(A685="","",C684+1)</f>
        <v>683</v>
      </c>
      <c r="D685" s="1" t="n">
        <f aca="false">IF(A685="","",INT(C685/12))</f>
        <v>56</v>
      </c>
      <c r="E685" s="1" t="n">
        <f aca="false">IF(A685="","",D685+Inputs!$B$7)</f>
        <v>72</v>
      </c>
      <c r="F685" s="3" t="n">
        <f aca="false">IF(A685="","",DATE(YEAR(B$2)+D685,MONTH(B$2),DAY(B$2)))</f>
        <v>42160</v>
      </c>
      <c r="G685" s="3" t="n">
        <f aca="false">IF(A685="","",DATE(YEAR(F685)+1,MONTH(F685),DAY(F685)))</f>
        <v>42526</v>
      </c>
      <c r="H685" s="10" t="n">
        <f aca="false">IF(A685="","",IF(G685&gt;F685,(B685-F685)/(G685-F685),0))</f>
        <v>0.986338797814208</v>
      </c>
      <c r="I685" s="10" t="n">
        <f aca="false">IF(A685="","",IFERROR(INDEX(CV_RATES!$I:$I,MATCH(D685,CV_RATES!$C:$C,0)),0))</f>
        <v>816.412557719556</v>
      </c>
      <c r="J685" s="10" t="n">
        <f aca="false">IF(A685="","",IFERROR(IF(E685=MAX(MORTALITY!$A:$A),1000,INDEX(CV_RATES!$J:$J,MATCH(D685,CV_RATES!$C:$C,0))),0))</f>
        <v>824.604845177618</v>
      </c>
      <c r="K685" s="10" t="n">
        <f aca="false">IF(A685="","",IFERROR(I685+H685*(J685-I685),0))</f>
        <v>824.492928682289</v>
      </c>
      <c r="L685" s="10" t="n">
        <f aca="false">IF(A685="","",IFERROR(K685*Inputs!$B$9,0))</f>
        <v>41224.6464341144</v>
      </c>
      <c r="M685" s="10" t="n">
        <f aca="false">IF(A685="","",IFERROR(K685*Inputs!$B$10,0))</f>
        <v>131916.39511038</v>
      </c>
      <c r="N685" s="10" t="n">
        <f aca="false">IF(A685="","",Z684)</f>
        <v>0</v>
      </c>
      <c r="O685" s="6" t="n">
        <f aca="false">IF(A685="","",Inputs!$B$18+N685)</f>
        <v>50000</v>
      </c>
      <c r="P685" s="5" t="n">
        <f aca="false">IF(A685="","",VLOOKUP(D685,DIvidend_Assumption!$A$3:$CX$103,($E$2+2),0)/12)</f>
        <v>0</v>
      </c>
      <c r="Q685" s="10" t="n">
        <f aca="false">IF(A685="","",IFERROR(AB684*P685,""))</f>
        <v>0</v>
      </c>
      <c r="R685" s="10" t="n">
        <f aca="false">IF(A685="","",IFERROR(IF(Inputs!$B$22="Accumulate",T685+Q685,IF(Inputs!$B$22="Premium Offset",MAX(0,T685+Q685-Inputs!$B$25),T685)),""))</f>
        <v>0</v>
      </c>
      <c r="S685" s="10" t="n">
        <f aca="false">IF(A685="","",R684)</f>
        <v>0</v>
      </c>
      <c r="T685" s="10" t="n">
        <f aca="false">IF(A685="","",IFERROR(S685*(1+Inputs!$B$23/12),""))</f>
        <v>0</v>
      </c>
      <c r="U685" s="6" t="n">
        <f aca="false">IF(A685="","",IF(D685&lt;=Inputs!$B$8,IF(Inputs!$B$22="Premium Offset",MAX(0,Inputs!$B$25-(Q685+T685)),Inputs!$B$25),0))</f>
        <v>0</v>
      </c>
      <c r="V685" s="10" t="n">
        <f aca="false">IF(A685="","",IF(Inputs!$B$22="Cash",Q685,0))</f>
        <v>0</v>
      </c>
      <c r="W685" s="10" t="n">
        <f aca="false">IF(A685="","",IF(Inputs!$B$22="PUA",Q685,0))</f>
        <v>0</v>
      </c>
      <c r="X685" s="12" t="n">
        <f aca="false">IF(A685="","",IFERROR(INDEX(PUA_TABLE!$D$4:$D$105,MATCH(E685,PUA_TABLE!$C$4:$C$105,1)),0))</f>
        <v>0.816412557719556</v>
      </c>
      <c r="Y685" s="10" t="n">
        <f aca="false">IF(A685="","",IF(W685&gt;0,IF(X685&gt;0,W685/X685,0),0))</f>
        <v>0</v>
      </c>
      <c r="Z685" s="10" t="n">
        <f aca="false">IF(A685="","",N685+Y685)</f>
        <v>0</v>
      </c>
      <c r="AA685" s="10" t="n">
        <f aca="false">IF(A685="","",IFERROR(Z685*INDEX(PUA_TABLE!$I$4:$I$105,MATCH(E685,PUA_TABLE!$C$4:$C$105,1))/1000,0))</f>
        <v>0</v>
      </c>
      <c r="AB685" s="10" t="n">
        <f aca="false">IF(A685="","",IFERROR(L685+AA685,0))</f>
        <v>41224.6464341144</v>
      </c>
      <c r="AC685" s="10" t="n">
        <f aca="false">IF(A685="","",IF(Inputs!$B$22="Premium Offset",MIN(Inputs!$B$25,Q685+T685),0))</f>
        <v>0</v>
      </c>
    </row>
    <row r="686" customFormat="false" ht="15" hidden="false" customHeight="false" outlineLevel="0" collapsed="false">
      <c r="A686" s="1" t="n">
        <f aca="false">IF(A685="","",IF(INT((C685+1)/12)+Inputs!$B$7&gt;MAX(MORTALITY!$A:$A),"",Inputs!$B$4))</f>
        <v>34</v>
      </c>
      <c r="B686" s="3" t="n">
        <f aca="false">IF(A686="","",EOMONTH(B685,1))</f>
        <v>42551</v>
      </c>
      <c r="C686" s="1" t="n">
        <f aca="false">IF(A686="","",C685+1)</f>
        <v>684</v>
      </c>
      <c r="D686" s="1" t="n">
        <f aca="false">IF(A686="","",INT(C686/12))</f>
        <v>57</v>
      </c>
      <c r="E686" s="1" t="n">
        <f aca="false">IF(A686="","",D686+Inputs!$B$7)</f>
        <v>73</v>
      </c>
      <c r="F686" s="3" t="n">
        <f aca="false">IF(A686="","",DATE(YEAR(B$2)+D686,MONTH(B$2),DAY(B$2)))</f>
        <v>42526</v>
      </c>
      <c r="G686" s="3" t="n">
        <f aca="false">IF(A686="","",DATE(YEAR(F686)+1,MONTH(F686),DAY(F686)))</f>
        <v>42891</v>
      </c>
      <c r="H686" s="10" t="n">
        <f aca="false">IF(A686="","",IF(G686&gt;F686,(B686-F686)/(G686-F686),0))</f>
        <v>0.0684931506849315</v>
      </c>
      <c r="I686" s="10" t="n">
        <f aca="false">IF(A686="","",IFERROR(INDEX(CV_RATES!$I:$I,MATCH(D686,CV_RATES!$C:$C,0)),0))</f>
        <v>824.604845177618</v>
      </c>
      <c r="J686" s="10" t="n">
        <f aca="false">IF(A686="","",IFERROR(IF(E686=MAX(MORTALITY!$A:$A),1000,INDEX(CV_RATES!$J:$J,MATCH(D686,CV_RATES!$C:$C,0))),0))</f>
        <v>832.579736405687</v>
      </c>
      <c r="K686" s="10" t="n">
        <f aca="false">IF(A686="","",IFERROR(I686+H686*(J686-I686),0))</f>
        <v>825.151070604198</v>
      </c>
      <c r="L686" s="10" t="n">
        <f aca="false">IF(A686="","",IFERROR(K686*Inputs!$B$9,0))</f>
        <v>41257.5535302099</v>
      </c>
      <c r="M686" s="10" t="n">
        <f aca="false">IF(A686="","",IFERROR(K686*Inputs!$B$10,0))</f>
        <v>132021.69584346</v>
      </c>
      <c r="N686" s="10" t="n">
        <f aca="false">IF(A686="","",Z685)</f>
        <v>0</v>
      </c>
      <c r="O686" s="6" t="n">
        <f aca="false">IF(A686="","",Inputs!$B$18+N686)</f>
        <v>50000</v>
      </c>
      <c r="P686" s="5" t="n">
        <f aca="false">IF(A686="","",VLOOKUP(D686,DIvidend_Assumption!$A$3:$CX$103,($E$2+2),0)/12)</f>
        <v>0</v>
      </c>
      <c r="Q686" s="10" t="n">
        <f aca="false">IF(A686="","",IFERROR(AB685*P686,""))</f>
        <v>0</v>
      </c>
      <c r="R686" s="10" t="n">
        <f aca="false">IF(A686="","",IFERROR(IF(Inputs!$B$22="Accumulate",T686+Q686,IF(Inputs!$B$22="Premium Offset",MAX(0,T686+Q686-Inputs!$B$25),T686)),""))</f>
        <v>0</v>
      </c>
      <c r="S686" s="10" t="n">
        <f aca="false">IF(A686="","",R685)</f>
        <v>0</v>
      </c>
      <c r="T686" s="10" t="n">
        <f aca="false">IF(A686="","",IFERROR(S686*(1+Inputs!$B$23/12),""))</f>
        <v>0</v>
      </c>
      <c r="U686" s="6" t="n">
        <f aca="false">IF(A686="","",IF(D686&lt;=Inputs!$B$8,IF(Inputs!$B$22="Premium Offset",MAX(0,Inputs!$B$25-(Q686+T686)),Inputs!$B$25),0))</f>
        <v>0</v>
      </c>
      <c r="V686" s="10" t="n">
        <f aca="false">IF(A686="","",IF(Inputs!$B$22="Cash",Q686,0))</f>
        <v>0</v>
      </c>
      <c r="W686" s="10" t="n">
        <f aca="false">IF(A686="","",IF(Inputs!$B$22="PUA",Q686,0))</f>
        <v>0</v>
      </c>
      <c r="X686" s="12" t="n">
        <f aca="false">IF(A686="","",IFERROR(INDEX(PUA_TABLE!$D$4:$D$105,MATCH(E686,PUA_TABLE!$C$4:$C$105,1)),0))</f>
        <v>0.824604845177618</v>
      </c>
      <c r="Y686" s="10" t="n">
        <f aca="false">IF(A686="","",IF(W686&gt;0,IF(X686&gt;0,W686/X686,0),0))</f>
        <v>0</v>
      </c>
      <c r="Z686" s="10" t="n">
        <f aca="false">IF(A686="","",N686+Y686)</f>
        <v>0</v>
      </c>
      <c r="AA686" s="10" t="n">
        <f aca="false">IF(A686="","",IFERROR(Z686*INDEX(PUA_TABLE!$I$4:$I$105,MATCH(E686,PUA_TABLE!$C$4:$C$105,1))/1000,0))</f>
        <v>0</v>
      </c>
      <c r="AB686" s="10" t="n">
        <f aca="false">IF(A686="","",IFERROR(L686+AA686,0))</f>
        <v>41257.5535302099</v>
      </c>
      <c r="AC686" s="10" t="n">
        <f aca="false">IF(A686="","",IF(Inputs!$B$22="Premium Offset",MIN(Inputs!$B$25,Q686+T686),0))</f>
        <v>0</v>
      </c>
    </row>
    <row r="687" customFormat="false" ht="15" hidden="false" customHeight="false" outlineLevel="0" collapsed="false">
      <c r="A687" s="1" t="n">
        <f aca="false">IF(A686="","",IF(INT((C686+1)/12)+Inputs!$B$7&gt;MAX(MORTALITY!$A:$A),"",Inputs!$B$4))</f>
        <v>34</v>
      </c>
      <c r="B687" s="3" t="n">
        <f aca="false">IF(A687="","",EOMONTH(B686,1))</f>
        <v>42582</v>
      </c>
      <c r="C687" s="1" t="n">
        <f aca="false">IF(A687="","",C686+1)</f>
        <v>685</v>
      </c>
      <c r="D687" s="1" t="n">
        <f aca="false">IF(A687="","",INT(C687/12))</f>
        <v>57</v>
      </c>
      <c r="E687" s="1" t="n">
        <f aca="false">IF(A687="","",D687+Inputs!$B$7)</f>
        <v>73</v>
      </c>
      <c r="F687" s="3" t="n">
        <f aca="false">IF(A687="","",DATE(YEAR(B$2)+D687,MONTH(B$2),DAY(B$2)))</f>
        <v>42526</v>
      </c>
      <c r="G687" s="3" t="n">
        <f aca="false">IF(A687="","",DATE(YEAR(F687)+1,MONTH(F687),DAY(F687)))</f>
        <v>42891</v>
      </c>
      <c r="H687" s="10" t="n">
        <f aca="false">IF(A687="","",IF(G687&gt;F687,(B687-F687)/(G687-F687),0))</f>
        <v>0.153424657534247</v>
      </c>
      <c r="I687" s="10" t="n">
        <f aca="false">IF(A687="","",IFERROR(INDEX(CV_RATES!$I:$I,MATCH(D687,CV_RATES!$C:$C,0)),0))</f>
        <v>824.604845177618</v>
      </c>
      <c r="J687" s="10" t="n">
        <f aca="false">IF(A687="","",IFERROR(IF(E687=MAX(MORTALITY!$A:$A),1000,INDEX(CV_RATES!$J:$J,MATCH(D687,CV_RATES!$C:$C,0))),0))</f>
        <v>832.579736405687</v>
      </c>
      <c r="K687" s="10" t="n">
        <f aca="false">IF(A687="","",IFERROR(I687+H687*(J687-I687),0))</f>
        <v>825.828390133157</v>
      </c>
      <c r="L687" s="10" t="n">
        <f aca="false">IF(A687="","",IFERROR(K687*Inputs!$B$9,0))</f>
        <v>41291.4195066579</v>
      </c>
      <c r="M687" s="10" t="n">
        <f aca="false">IF(A687="","",IFERROR(K687*Inputs!$B$10,0))</f>
        <v>132130.064936135</v>
      </c>
      <c r="N687" s="10" t="n">
        <f aca="false">IF(A687="","",Z686)</f>
        <v>0</v>
      </c>
      <c r="O687" s="6" t="n">
        <f aca="false">IF(A687="","",Inputs!$B$18+N687)</f>
        <v>50000</v>
      </c>
      <c r="P687" s="5" t="n">
        <f aca="false">IF(A687="","",VLOOKUP(D687,DIvidend_Assumption!$A$3:$CX$103,($E$2+2),0)/12)</f>
        <v>0</v>
      </c>
      <c r="Q687" s="10" t="n">
        <f aca="false">IF(A687="","",IFERROR(AB686*P687,""))</f>
        <v>0</v>
      </c>
      <c r="R687" s="10" t="n">
        <f aca="false">IF(A687="","",IFERROR(IF(Inputs!$B$22="Accumulate",T687+Q687,IF(Inputs!$B$22="Premium Offset",MAX(0,T687+Q687-Inputs!$B$25),T687)),""))</f>
        <v>0</v>
      </c>
      <c r="S687" s="10" t="n">
        <f aca="false">IF(A687="","",R686)</f>
        <v>0</v>
      </c>
      <c r="T687" s="10" t="n">
        <f aca="false">IF(A687="","",IFERROR(S687*(1+Inputs!$B$23/12),""))</f>
        <v>0</v>
      </c>
      <c r="U687" s="6" t="n">
        <f aca="false">IF(A687="","",IF(D687&lt;=Inputs!$B$8,IF(Inputs!$B$22="Premium Offset",MAX(0,Inputs!$B$25-(Q687+T687)),Inputs!$B$25),0))</f>
        <v>0</v>
      </c>
      <c r="V687" s="10" t="n">
        <f aca="false">IF(A687="","",IF(Inputs!$B$22="Cash",Q687,0))</f>
        <v>0</v>
      </c>
      <c r="W687" s="10" t="n">
        <f aca="false">IF(A687="","",IF(Inputs!$B$22="PUA",Q687,0))</f>
        <v>0</v>
      </c>
      <c r="X687" s="12" t="n">
        <f aca="false">IF(A687="","",IFERROR(INDEX(PUA_TABLE!$D$4:$D$105,MATCH(E687,PUA_TABLE!$C$4:$C$105,1)),0))</f>
        <v>0.824604845177618</v>
      </c>
      <c r="Y687" s="10" t="n">
        <f aca="false">IF(A687="","",IF(W687&gt;0,IF(X687&gt;0,W687/X687,0),0))</f>
        <v>0</v>
      </c>
      <c r="Z687" s="10" t="n">
        <f aca="false">IF(A687="","",N687+Y687)</f>
        <v>0</v>
      </c>
      <c r="AA687" s="10" t="n">
        <f aca="false">IF(A687="","",IFERROR(Z687*INDEX(PUA_TABLE!$I$4:$I$105,MATCH(E687,PUA_TABLE!$C$4:$C$105,1))/1000,0))</f>
        <v>0</v>
      </c>
      <c r="AB687" s="10" t="n">
        <f aca="false">IF(A687="","",IFERROR(L687+AA687,0))</f>
        <v>41291.4195066579</v>
      </c>
      <c r="AC687" s="10" t="n">
        <f aca="false">IF(A687="","",IF(Inputs!$B$22="Premium Offset",MIN(Inputs!$B$25,Q687+T687),0))</f>
        <v>0</v>
      </c>
    </row>
    <row r="688" customFormat="false" ht="15" hidden="false" customHeight="false" outlineLevel="0" collapsed="false">
      <c r="A688" s="1" t="n">
        <f aca="false">IF(A687="","",IF(INT((C687+1)/12)+Inputs!$B$7&gt;MAX(MORTALITY!$A:$A),"",Inputs!$B$4))</f>
        <v>34</v>
      </c>
      <c r="B688" s="3" t="n">
        <f aca="false">IF(A688="","",EOMONTH(B687,1))</f>
        <v>42613</v>
      </c>
      <c r="C688" s="1" t="n">
        <f aca="false">IF(A688="","",C687+1)</f>
        <v>686</v>
      </c>
      <c r="D688" s="1" t="n">
        <f aca="false">IF(A688="","",INT(C688/12))</f>
        <v>57</v>
      </c>
      <c r="E688" s="1" t="n">
        <f aca="false">IF(A688="","",D688+Inputs!$B$7)</f>
        <v>73</v>
      </c>
      <c r="F688" s="3" t="n">
        <f aca="false">IF(A688="","",DATE(YEAR(B$2)+D688,MONTH(B$2),DAY(B$2)))</f>
        <v>42526</v>
      </c>
      <c r="G688" s="3" t="n">
        <f aca="false">IF(A688="","",DATE(YEAR(F688)+1,MONTH(F688),DAY(F688)))</f>
        <v>42891</v>
      </c>
      <c r="H688" s="10" t="n">
        <f aca="false">IF(A688="","",IF(G688&gt;F688,(B688-F688)/(G688-F688),0))</f>
        <v>0.238356164383562</v>
      </c>
      <c r="I688" s="10" t="n">
        <f aca="false">IF(A688="","",IFERROR(INDEX(CV_RATES!$I:$I,MATCH(D688,CV_RATES!$C:$C,0)),0))</f>
        <v>824.604845177618</v>
      </c>
      <c r="J688" s="10" t="n">
        <f aca="false">IF(A688="","",IFERROR(IF(E688=MAX(MORTALITY!$A:$A),1000,INDEX(CV_RATES!$J:$J,MATCH(D688,CV_RATES!$C:$C,0))),0))</f>
        <v>832.579736405687</v>
      </c>
      <c r="K688" s="10" t="n">
        <f aca="false">IF(A688="","",IFERROR(I688+H688*(J688-I688),0))</f>
        <v>826.505709662117</v>
      </c>
      <c r="L688" s="10" t="n">
        <f aca="false">IF(A688="","",IFERROR(K688*Inputs!$B$9,0))</f>
        <v>41325.2854831058</v>
      </c>
      <c r="M688" s="10" t="n">
        <f aca="false">IF(A688="","",IFERROR(K688*Inputs!$B$10,0))</f>
        <v>132238.43402881</v>
      </c>
      <c r="N688" s="10" t="n">
        <f aca="false">IF(A688="","",Z687)</f>
        <v>0</v>
      </c>
      <c r="O688" s="6" t="n">
        <f aca="false">IF(A688="","",Inputs!$B$18+N688)</f>
        <v>50000</v>
      </c>
      <c r="P688" s="5" t="n">
        <f aca="false">IF(A688="","",VLOOKUP(D688,DIvidend_Assumption!$A$3:$CX$103,($E$2+2),0)/12)</f>
        <v>0</v>
      </c>
      <c r="Q688" s="10" t="n">
        <f aca="false">IF(A688="","",IFERROR(AB687*P688,""))</f>
        <v>0</v>
      </c>
      <c r="R688" s="10" t="n">
        <f aca="false">IF(A688="","",IFERROR(IF(Inputs!$B$22="Accumulate",T688+Q688,IF(Inputs!$B$22="Premium Offset",MAX(0,T688+Q688-Inputs!$B$25),T688)),""))</f>
        <v>0</v>
      </c>
      <c r="S688" s="10" t="n">
        <f aca="false">IF(A688="","",R687)</f>
        <v>0</v>
      </c>
      <c r="T688" s="10" t="n">
        <f aca="false">IF(A688="","",IFERROR(S688*(1+Inputs!$B$23/12),""))</f>
        <v>0</v>
      </c>
      <c r="U688" s="6" t="n">
        <f aca="false">IF(A688="","",IF(D688&lt;=Inputs!$B$8,IF(Inputs!$B$22="Premium Offset",MAX(0,Inputs!$B$25-(Q688+T688)),Inputs!$B$25),0))</f>
        <v>0</v>
      </c>
      <c r="V688" s="10" t="n">
        <f aca="false">IF(A688="","",IF(Inputs!$B$22="Cash",Q688,0))</f>
        <v>0</v>
      </c>
      <c r="W688" s="10" t="n">
        <f aca="false">IF(A688="","",IF(Inputs!$B$22="PUA",Q688,0))</f>
        <v>0</v>
      </c>
      <c r="X688" s="12" t="n">
        <f aca="false">IF(A688="","",IFERROR(INDEX(PUA_TABLE!$D$4:$D$105,MATCH(E688,PUA_TABLE!$C$4:$C$105,1)),0))</f>
        <v>0.824604845177618</v>
      </c>
      <c r="Y688" s="10" t="n">
        <f aca="false">IF(A688="","",IF(W688&gt;0,IF(X688&gt;0,W688/X688,0),0))</f>
        <v>0</v>
      </c>
      <c r="Z688" s="10" t="n">
        <f aca="false">IF(A688="","",N688+Y688)</f>
        <v>0</v>
      </c>
      <c r="AA688" s="10" t="n">
        <f aca="false">IF(A688="","",IFERROR(Z688*INDEX(PUA_TABLE!$I$4:$I$105,MATCH(E688,PUA_TABLE!$C$4:$C$105,1))/1000,0))</f>
        <v>0</v>
      </c>
      <c r="AB688" s="10" t="n">
        <f aca="false">IF(A688="","",IFERROR(L688+AA688,0))</f>
        <v>41325.2854831058</v>
      </c>
      <c r="AC688" s="10" t="n">
        <f aca="false">IF(A688="","",IF(Inputs!$B$22="Premium Offset",MIN(Inputs!$B$25,Q688+T688),0))</f>
        <v>0</v>
      </c>
    </row>
    <row r="689" customFormat="false" ht="15" hidden="false" customHeight="false" outlineLevel="0" collapsed="false">
      <c r="A689" s="1" t="n">
        <f aca="false">IF(A688="","",IF(INT((C688+1)/12)+Inputs!$B$7&gt;MAX(MORTALITY!$A:$A),"",Inputs!$B$4))</f>
        <v>34</v>
      </c>
      <c r="B689" s="3" t="n">
        <f aca="false">IF(A689="","",EOMONTH(B688,1))</f>
        <v>42643</v>
      </c>
      <c r="C689" s="1" t="n">
        <f aca="false">IF(A689="","",C688+1)</f>
        <v>687</v>
      </c>
      <c r="D689" s="1" t="n">
        <f aca="false">IF(A689="","",INT(C689/12))</f>
        <v>57</v>
      </c>
      <c r="E689" s="1" t="n">
        <f aca="false">IF(A689="","",D689+Inputs!$B$7)</f>
        <v>73</v>
      </c>
      <c r="F689" s="3" t="n">
        <f aca="false">IF(A689="","",DATE(YEAR(B$2)+D689,MONTH(B$2),DAY(B$2)))</f>
        <v>42526</v>
      </c>
      <c r="G689" s="3" t="n">
        <f aca="false">IF(A689="","",DATE(YEAR(F689)+1,MONTH(F689),DAY(F689)))</f>
        <v>42891</v>
      </c>
      <c r="H689" s="10" t="n">
        <f aca="false">IF(A689="","",IF(G689&gt;F689,(B689-F689)/(G689-F689),0))</f>
        <v>0.320547945205479</v>
      </c>
      <c r="I689" s="10" t="n">
        <f aca="false">IF(A689="","",IFERROR(INDEX(CV_RATES!$I:$I,MATCH(D689,CV_RATES!$C:$C,0)),0))</f>
        <v>824.604845177618</v>
      </c>
      <c r="J689" s="10" t="n">
        <f aca="false">IF(A689="","",IFERROR(IF(E689=MAX(MORTALITY!$A:$A),1000,INDEX(CV_RATES!$J:$J,MATCH(D689,CV_RATES!$C:$C,0))),0))</f>
        <v>832.579736405687</v>
      </c>
      <c r="K689" s="10" t="n">
        <f aca="false">IF(A689="","",IFERROR(I689+H689*(J689-I689),0))</f>
        <v>827.161180174013</v>
      </c>
      <c r="L689" s="10" t="n">
        <f aca="false">IF(A689="","",IFERROR(K689*Inputs!$B$9,0))</f>
        <v>41358.0590087006</v>
      </c>
      <c r="M689" s="10" t="n">
        <f aca="false">IF(A689="","",IFERROR(K689*Inputs!$B$10,0))</f>
        <v>132343.307344302</v>
      </c>
      <c r="N689" s="10" t="n">
        <f aca="false">IF(A689="","",Z688)</f>
        <v>0</v>
      </c>
      <c r="O689" s="6" t="n">
        <f aca="false">IF(A689="","",Inputs!$B$18+N689)</f>
        <v>50000</v>
      </c>
      <c r="P689" s="5" t="n">
        <f aca="false">IF(A689="","",VLOOKUP(D689,DIvidend_Assumption!$A$3:$CX$103,($E$2+2),0)/12)</f>
        <v>0</v>
      </c>
      <c r="Q689" s="10" t="n">
        <f aca="false">IF(A689="","",IFERROR(AB688*P689,""))</f>
        <v>0</v>
      </c>
      <c r="R689" s="10" t="n">
        <f aca="false">IF(A689="","",IFERROR(IF(Inputs!$B$22="Accumulate",T689+Q689,IF(Inputs!$B$22="Premium Offset",MAX(0,T689+Q689-Inputs!$B$25),T689)),""))</f>
        <v>0</v>
      </c>
      <c r="S689" s="10" t="n">
        <f aca="false">IF(A689="","",R688)</f>
        <v>0</v>
      </c>
      <c r="T689" s="10" t="n">
        <f aca="false">IF(A689="","",IFERROR(S689*(1+Inputs!$B$23/12),""))</f>
        <v>0</v>
      </c>
      <c r="U689" s="6" t="n">
        <f aca="false">IF(A689="","",IF(D689&lt;=Inputs!$B$8,IF(Inputs!$B$22="Premium Offset",MAX(0,Inputs!$B$25-(Q689+T689)),Inputs!$B$25),0))</f>
        <v>0</v>
      </c>
      <c r="V689" s="10" t="n">
        <f aca="false">IF(A689="","",IF(Inputs!$B$22="Cash",Q689,0))</f>
        <v>0</v>
      </c>
      <c r="W689" s="10" t="n">
        <f aca="false">IF(A689="","",IF(Inputs!$B$22="PUA",Q689,0))</f>
        <v>0</v>
      </c>
      <c r="X689" s="12" t="n">
        <f aca="false">IF(A689="","",IFERROR(INDEX(PUA_TABLE!$D$4:$D$105,MATCH(E689,PUA_TABLE!$C$4:$C$105,1)),0))</f>
        <v>0.824604845177618</v>
      </c>
      <c r="Y689" s="10" t="n">
        <f aca="false">IF(A689="","",IF(W689&gt;0,IF(X689&gt;0,W689/X689,0),0))</f>
        <v>0</v>
      </c>
      <c r="Z689" s="10" t="n">
        <f aca="false">IF(A689="","",N689+Y689)</f>
        <v>0</v>
      </c>
      <c r="AA689" s="10" t="n">
        <f aca="false">IF(A689="","",IFERROR(Z689*INDEX(PUA_TABLE!$I$4:$I$105,MATCH(E689,PUA_TABLE!$C$4:$C$105,1))/1000,0))</f>
        <v>0</v>
      </c>
      <c r="AB689" s="10" t="n">
        <f aca="false">IF(A689="","",IFERROR(L689+AA689,0))</f>
        <v>41358.0590087006</v>
      </c>
      <c r="AC689" s="10" t="n">
        <f aca="false">IF(A689="","",IF(Inputs!$B$22="Premium Offset",MIN(Inputs!$B$25,Q689+T689),0))</f>
        <v>0</v>
      </c>
    </row>
    <row r="690" customFormat="false" ht="15" hidden="false" customHeight="false" outlineLevel="0" collapsed="false">
      <c r="A690" s="1" t="n">
        <f aca="false">IF(A689="","",IF(INT((C689+1)/12)+Inputs!$B$7&gt;MAX(MORTALITY!$A:$A),"",Inputs!$B$4))</f>
        <v>34</v>
      </c>
      <c r="B690" s="3" t="n">
        <f aca="false">IF(A690="","",EOMONTH(B689,1))</f>
        <v>42674</v>
      </c>
      <c r="C690" s="1" t="n">
        <f aca="false">IF(A690="","",C689+1)</f>
        <v>688</v>
      </c>
      <c r="D690" s="1" t="n">
        <f aca="false">IF(A690="","",INT(C690/12))</f>
        <v>57</v>
      </c>
      <c r="E690" s="1" t="n">
        <f aca="false">IF(A690="","",D690+Inputs!$B$7)</f>
        <v>73</v>
      </c>
      <c r="F690" s="3" t="n">
        <f aca="false">IF(A690="","",DATE(YEAR(B$2)+D690,MONTH(B$2),DAY(B$2)))</f>
        <v>42526</v>
      </c>
      <c r="G690" s="3" t="n">
        <f aca="false">IF(A690="","",DATE(YEAR(F690)+1,MONTH(F690),DAY(F690)))</f>
        <v>42891</v>
      </c>
      <c r="H690" s="10" t="n">
        <f aca="false">IF(A690="","",IF(G690&gt;F690,(B690-F690)/(G690-F690),0))</f>
        <v>0.405479452054795</v>
      </c>
      <c r="I690" s="10" t="n">
        <f aca="false">IF(A690="","",IFERROR(INDEX(CV_RATES!$I:$I,MATCH(D690,CV_RATES!$C:$C,0)),0))</f>
        <v>824.604845177618</v>
      </c>
      <c r="J690" s="10" t="n">
        <f aca="false">IF(A690="","",IFERROR(IF(E690=MAX(MORTALITY!$A:$A),1000,INDEX(CV_RATES!$J:$J,MATCH(D690,CV_RATES!$C:$C,0))),0))</f>
        <v>832.579736405687</v>
      </c>
      <c r="K690" s="10" t="n">
        <f aca="false">IF(A690="","",IFERROR(I690+H690*(J690-I690),0))</f>
        <v>827.838499702972</v>
      </c>
      <c r="L690" s="10" t="n">
        <f aca="false">IF(A690="","",IFERROR(K690*Inputs!$B$9,0))</f>
        <v>41391.9249851486</v>
      </c>
      <c r="M690" s="10" t="n">
        <f aca="false">IF(A690="","",IFERROR(K690*Inputs!$B$10,0))</f>
        <v>132451.676436976</v>
      </c>
      <c r="N690" s="10" t="n">
        <f aca="false">IF(A690="","",Z689)</f>
        <v>0</v>
      </c>
      <c r="O690" s="6" t="n">
        <f aca="false">IF(A690="","",Inputs!$B$18+N690)</f>
        <v>50000</v>
      </c>
      <c r="P690" s="5" t="n">
        <f aca="false">IF(A690="","",VLOOKUP(D690,DIvidend_Assumption!$A$3:$CX$103,($E$2+2),0)/12)</f>
        <v>0</v>
      </c>
      <c r="Q690" s="10" t="n">
        <f aca="false">IF(A690="","",IFERROR(AB689*P690,""))</f>
        <v>0</v>
      </c>
      <c r="R690" s="10" t="n">
        <f aca="false">IF(A690="","",IFERROR(IF(Inputs!$B$22="Accumulate",T690+Q690,IF(Inputs!$B$22="Premium Offset",MAX(0,T690+Q690-Inputs!$B$25),T690)),""))</f>
        <v>0</v>
      </c>
      <c r="S690" s="10" t="n">
        <f aca="false">IF(A690="","",R689)</f>
        <v>0</v>
      </c>
      <c r="T690" s="10" t="n">
        <f aca="false">IF(A690="","",IFERROR(S690*(1+Inputs!$B$23/12),""))</f>
        <v>0</v>
      </c>
      <c r="U690" s="6" t="n">
        <f aca="false">IF(A690="","",IF(D690&lt;=Inputs!$B$8,IF(Inputs!$B$22="Premium Offset",MAX(0,Inputs!$B$25-(Q690+T690)),Inputs!$B$25),0))</f>
        <v>0</v>
      </c>
      <c r="V690" s="10" t="n">
        <f aca="false">IF(A690="","",IF(Inputs!$B$22="Cash",Q690,0))</f>
        <v>0</v>
      </c>
      <c r="W690" s="10" t="n">
        <f aca="false">IF(A690="","",IF(Inputs!$B$22="PUA",Q690,0))</f>
        <v>0</v>
      </c>
      <c r="X690" s="12" t="n">
        <f aca="false">IF(A690="","",IFERROR(INDEX(PUA_TABLE!$D$4:$D$105,MATCH(E690,PUA_TABLE!$C$4:$C$105,1)),0))</f>
        <v>0.824604845177618</v>
      </c>
      <c r="Y690" s="10" t="n">
        <f aca="false">IF(A690="","",IF(W690&gt;0,IF(X690&gt;0,W690/X690,0),0))</f>
        <v>0</v>
      </c>
      <c r="Z690" s="10" t="n">
        <f aca="false">IF(A690="","",N690+Y690)</f>
        <v>0</v>
      </c>
      <c r="AA690" s="10" t="n">
        <f aca="false">IF(A690="","",IFERROR(Z690*INDEX(PUA_TABLE!$I$4:$I$105,MATCH(E690,PUA_TABLE!$C$4:$C$105,1))/1000,0))</f>
        <v>0</v>
      </c>
      <c r="AB690" s="10" t="n">
        <f aca="false">IF(A690="","",IFERROR(L690+AA690,0))</f>
        <v>41391.9249851486</v>
      </c>
      <c r="AC690" s="10" t="n">
        <f aca="false">IF(A690="","",IF(Inputs!$B$22="Premium Offset",MIN(Inputs!$B$25,Q690+T690),0))</f>
        <v>0</v>
      </c>
    </row>
    <row r="691" customFormat="false" ht="15" hidden="false" customHeight="false" outlineLevel="0" collapsed="false">
      <c r="A691" s="1" t="n">
        <f aca="false">IF(A690="","",IF(INT((C690+1)/12)+Inputs!$B$7&gt;MAX(MORTALITY!$A:$A),"",Inputs!$B$4))</f>
        <v>34</v>
      </c>
      <c r="B691" s="3" t="n">
        <f aca="false">IF(A691="","",EOMONTH(B690,1))</f>
        <v>42704</v>
      </c>
      <c r="C691" s="1" t="n">
        <f aca="false">IF(A691="","",C690+1)</f>
        <v>689</v>
      </c>
      <c r="D691" s="1" t="n">
        <f aca="false">IF(A691="","",INT(C691/12))</f>
        <v>57</v>
      </c>
      <c r="E691" s="1" t="n">
        <f aca="false">IF(A691="","",D691+Inputs!$B$7)</f>
        <v>73</v>
      </c>
      <c r="F691" s="3" t="n">
        <f aca="false">IF(A691="","",DATE(YEAR(B$2)+D691,MONTH(B$2),DAY(B$2)))</f>
        <v>42526</v>
      </c>
      <c r="G691" s="3" t="n">
        <f aca="false">IF(A691="","",DATE(YEAR(F691)+1,MONTH(F691),DAY(F691)))</f>
        <v>42891</v>
      </c>
      <c r="H691" s="10" t="n">
        <f aca="false">IF(A691="","",IF(G691&gt;F691,(B691-F691)/(G691-F691),0))</f>
        <v>0.487671232876712</v>
      </c>
      <c r="I691" s="10" t="n">
        <f aca="false">IF(A691="","",IFERROR(INDEX(CV_RATES!$I:$I,MATCH(D691,CV_RATES!$C:$C,0)),0))</f>
        <v>824.604845177618</v>
      </c>
      <c r="J691" s="10" t="n">
        <f aca="false">IF(A691="","",IFERROR(IF(E691=MAX(MORTALITY!$A:$A),1000,INDEX(CV_RATES!$J:$J,MATCH(D691,CV_RATES!$C:$C,0))),0))</f>
        <v>832.579736405687</v>
      </c>
      <c r="K691" s="10" t="n">
        <f aca="false">IF(A691="","",IFERROR(I691+H691*(J691-I691),0))</f>
        <v>828.493970214868</v>
      </c>
      <c r="L691" s="10" t="n">
        <f aca="false">IF(A691="","",IFERROR(K691*Inputs!$B$9,0))</f>
        <v>41424.6985107434</v>
      </c>
      <c r="M691" s="10" t="n">
        <f aca="false">IF(A691="","",IFERROR(K691*Inputs!$B$10,0))</f>
        <v>132556.549752468</v>
      </c>
      <c r="N691" s="10" t="n">
        <f aca="false">IF(A691="","",Z690)</f>
        <v>0</v>
      </c>
      <c r="O691" s="6" t="n">
        <f aca="false">IF(A691="","",Inputs!$B$18+N691)</f>
        <v>50000</v>
      </c>
      <c r="P691" s="5" t="n">
        <f aca="false">IF(A691="","",VLOOKUP(D691,DIvidend_Assumption!$A$3:$CX$103,($E$2+2),0)/12)</f>
        <v>0</v>
      </c>
      <c r="Q691" s="10" t="n">
        <f aca="false">IF(A691="","",IFERROR(AB690*P691,""))</f>
        <v>0</v>
      </c>
      <c r="R691" s="10" t="n">
        <f aca="false">IF(A691="","",IFERROR(IF(Inputs!$B$22="Accumulate",T691+Q691,IF(Inputs!$B$22="Premium Offset",MAX(0,T691+Q691-Inputs!$B$25),T691)),""))</f>
        <v>0</v>
      </c>
      <c r="S691" s="10" t="n">
        <f aca="false">IF(A691="","",R690)</f>
        <v>0</v>
      </c>
      <c r="T691" s="10" t="n">
        <f aca="false">IF(A691="","",IFERROR(S691*(1+Inputs!$B$23/12),""))</f>
        <v>0</v>
      </c>
      <c r="U691" s="6" t="n">
        <f aca="false">IF(A691="","",IF(D691&lt;=Inputs!$B$8,IF(Inputs!$B$22="Premium Offset",MAX(0,Inputs!$B$25-(Q691+T691)),Inputs!$B$25),0))</f>
        <v>0</v>
      </c>
      <c r="V691" s="10" t="n">
        <f aca="false">IF(A691="","",IF(Inputs!$B$22="Cash",Q691,0))</f>
        <v>0</v>
      </c>
      <c r="W691" s="10" t="n">
        <f aca="false">IF(A691="","",IF(Inputs!$B$22="PUA",Q691,0))</f>
        <v>0</v>
      </c>
      <c r="X691" s="12" t="n">
        <f aca="false">IF(A691="","",IFERROR(INDEX(PUA_TABLE!$D$4:$D$105,MATCH(E691,PUA_TABLE!$C$4:$C$105,1)),0))</f>
        <v>0.824604845177618</v>
      </c>
      <c r="Y691" s="10" t="n">
        <f aca="false">IF(A691="","",IF(W691&gt;0,IF(X691&gt;0,W691/X691,0),0))</f>
        <v>0</v>
      </c>
      <c r="Z691" s="10" t="n">
        <f aca="false">IF(A691="","",N691+Y691)</f>
        <v>0</v>
      </c>
      <c r="AA691" s="10" t="n">
        <f aca="false">IF(A691="","",IFERROR(Z691*INDEX(PUA_TABLE!$I$4:$I$105,MATCH(E691,PUA_TABLE!$C$4:$C$105,1))/1000,0))</f>
        <v>0</v>
      </c>
      <c r="AB691" s="10" t="n">
        <f aca="false">IF(A691="","",IFERROR(L691+AA691,0))</f>
        <v>41424.6985107434</v>
      </c>
      <c r="AC691" s="10" t="n">
        <f aca="false">IF(A691="","",IF(Inputs!$B$22="Premium Offset",MIN(Inputs!$B$25,Q691+T691),0))</f>
        <v>0</v>
      </c>
    </row>
    <row r="692" customFormat="false" ht="15" hidden="false" customHeight="false" outlineLevel="0" collapsed="false">
      <c r="A692" s="1" t="n">
        <f aca="false">IF(A691="","",IF(INT((C691+1)/12)+Inputs!$B$7&gt;MAX(MORTALITY!$A:$A),"",Inputs!$B$4))</f>
        <v>34</v>
      </c>
      <c r="B692" s="3" t="n">
        <f aca="false">IF(A692="","",EOMONTH(B691,1))</f>
        <v>42735</v>
      </c>
      <c r="C692" s="1" t="n">
        <f aca="false">IF(A692="","",C691+1)</f>
        <v>690</v>
      </c>
      <c r="D692" s="1" t="n">
        <f aca="false">IF(A692="","",INT(C692/12))</f>
        <v>57</v>
      </c>
      <c r="E692" s="1" t="n">
        <f aca="false">IF(A692="","",D692+Inputs!$B$7)</f>
        <v>73</v>
      </c>
      <c r="F692" s="3" t="n">
        <f aca="false">IF(A692="","",DATE(YEAR(B$2)+D692,MONTH(B$2),DAY(B$2)))</f>
        <v>42526</v>
      </c>
      <c r="G692" s="3" t="n">
        <f aca="false">IF(A692="","",DATE(YEAR(F692)+1,MONTH(F692),DAY(F692)))</f>
        <v>42891</v>
      </c>
      <c r="H692" s="10" t="n">
        <f aca="false">IF(A692="","",IF(G692&gt;F692,(B692-F692)/(G692-F692),0))</f>
        <v>0.572602739726027</v>
      </c>
      <c r="I692" s="10" t="n">
        <f aca="false">IF(A692="","",IFERROR(INDEX(CV_RATES!$I:$I,MATCH(D692,CV_RATES!$C:$C,0)),0))</f>
        <v>824.604845177618</v>
      </c>
      <c r="J692" s="10" t="n">
        <f aca="false">IF(A692="","",IFERROR(IF(E692=MAX(MORTALITY!$A:$A),1000,INDEX(CV_RATES!$J:$J,MATCH(D692,CV_RATES!$C:$C,0))),0))</f>
        <v>832.579736405687</v>
      </c>
      <c r="K692" s="10" t="n">
        <f aca="false">IF(A692="","",IFERROR(I692+H692*(J692-I692),0))</f>
        <v>829.171289743828</v>
      </c>
      <c r="L692" s="10" t="n">
        <f aca="false">IF(A692="","",IFERROR(K692*Inputs!$B$9,0))</f>
        <v>41458.5644871914</v>
      </c>
      <c r="M692" s="10" t="n">
        <f aca="false">IF(A692="","",IFERROR(K692*Inputs!$B$10,0))</f>
        <v>132664.918845143</v>
      </c>
      <c r="N692" s="10" t="n">
        <f aca="false">IF(A692="","",Z691)</f>
        <v>0</v>
      </c>
      <c r="O692" s="6" t="n">
        <f aca="false">IF(A692="","",Inputs!$B$18+N692)</f>
        <v>50000</v>
      </c>
      <c r="P692" s="5" t="n">
        <f aca="false">IF(A692="","",VLOOKUP(D692,DIvidend_Assumption!$A$3:$CX$103,($E$2+2),0)/12)</f>
        <v>0</v>
      </c>
      <c r="Q692" s="10" t="n">
        <f aca="false">IF(A692="","",IFERROR(AB691*P692,""))</f>
        <v>0</v>
      </c>
      <c r="R692" s="10" t="n">
        <f aca="false">IF(A692="","",IFERROR(IF(Inputs!$B$22="Accumulate",T692+Q692,IF(Inputs!$B$22="Premium Offset",MAX(0,T692+Q692-Inputs!$B$25),T692)),""))</f>
        <v>0</v>
      </c>
      <c r="S692" s="10" t="n">
        <f aca="false">IF(A692="","",R691)</f>
        <v>0</v>
      </c>
      <c r="T692" s="10" t="n">
        <f aca="false">IF(A692="","",IFERROR(S692*(1+Inputs!$B$23/12),""))</f>
        <v>0</v>
      </c>
      <c r="U692" s="6" t="n">
        <f aca="false">IF(A692="","",IF(D692&lt;=Inputs!$B$8,IF(Inputs!$B$22="Premium Offset",MAX(0,Inputs!$B$25-(Q692+T692)),Inputs!$B$25),0))</f>
        <v>0</v>
      </c>
      <c r="V692" s="10" t="n">
        <f aca="false">IF(A692="","",IF(Inputs!$B$22="Cash",Q692,0))</f>
        <v>0</v>
      </c>
      <c r="W692" s="10" t="n">
        <f aca="false">IF(A692="","",IF(Inputs!$B$22="PUA",Q692,0))</f>
        <v>0</v>
      </c>
      <c r="X692" s="12" t="n">
        <f aca="false">IF(A692="","",IFERROR(INDEX(PUA_TABLE!$D$4:$D$105,MATCH(E692,PUA_TABLE!$C$4:$C$105,1)),0))</f>
        <v>0.824604845177618</v>
      </c>
      <c r="Y692" s="10" t="n">
        <f aca="false">IF(A692="","",IF(W692&gt;0,IF(X692&gt;0,W692/X692,0),0))</f>
        <v>0</v>
      </c>
      <c r="Z692" s="10" t="n">
        <f aca="false">IF(A692="","",N692+Y692)</f>
        <v>0</v>
      </c>
      <c r="AA692" s="10" t="n">
        <f aca="false">IF(A692="","",IFERROR(Z692*INDEX(PUA_TABLE!$I$4:$I$105,MATCH(E692,PUA_TABLE!$C$4:$C$105,1))/1000,0))</f>
        <v>0</v>
      </c>
      <c r="AB692" s="10" t="n">
        <f aca="false">IF(A692="","",IFERROR(L692+AA692,0))</f>
        <v>41458.5644871914</v>
      </c>
      <c r="AC692" s="10" t="n">
        <f aca="false">IF(A692="","",IF(Inputs!$B$22="Premium Offset",MIN(Inputs!$B$25,Q692+T692),0))</f>
        <v>0</v>
      </c>
    </row>
    <row r="693" customFormat="false" ht="15" hidden="false" customHeight="false" outlineLevel="0" collapsed="false">
      <c r="A693" s="1" t="n">
        <f aca="false">IF(A692="","",IF(INT((C692+1)/12)+Inputs!$B$7&gt;MAX(MORTALITY!$A:$A),"",Inputs!$B$4))</f>
        <v>34</v>
      </c>
      <c r="B693" s="3" t="n">
        <f aca="false">IF(A693="","",EOMONTH(B692,1))</f>
        <v>42766</v>
      </c>
      <c r="C693" s="1" t="n">
        <f aca="false">IF(A693="","",C692+1)</f>
        <v>691</v>
      </c>
      <c r="D693" s="1" t="n">
        <f aca="false">IF(A693="","",INT(C693/12))</f>
        <v>57</v>
      </c>
      <c r="E693" s="1" t="n">
        <f aca="false">IF(A693="","",D693+Inputs!$B$7)</f>
        <v>73</v>
      </c>
      <c r="F693" s="3" t="n">
        <f aca="false">IF(A693="","",DATE(YEAR(B$2)+D693,MONTH(B$2),DAY(B$2)))</f>
        <v>42526</v>
      </c>
      <c r="G693" s="3" t="n">
        <f aca="false">IF(A693="","",DATE(YEAR(F693)+1,MONTH(F693),DAY(F693)))</f>
        <v>42891</v>
      </c>
      <c r="H693" s="10" t="n">
        <f aca="false">IF(A693="","",IF(G693&gt;F693,(B693-F693)/(G693-F693),0))</f>
        <v>0.657534246575342</v>
      </c>
      <c r="I693" s="10" t="n">
        <f aca="false">IF(A693="","",IFERROR(INDEX(CV_RATES!$I:$I,MATCH(D693,CV_RATES!$C:$C,0)),0))</f>
        <v>824.604845177618</v>
      </c>
      <c r="J693" s="10" t="n">
        <f aca="false">IF(A693="","",IFERROR(IF(E693=MAX(MORTALITY!$A:$A),1000,INDEX(CV_RATES!$J:$J,MATCH(D693,CV_RATES!$C:$C,0))),0))</f>
        <v>832.579736405687</v>
      </c>
      <c r="K693" s="10" t="n">
        <f aca="false">IF(A693="","",IFERROR(I693+H693*(J693-I693),0))</f>
        <v>829.848609272787</v>
      </c>
      <c r="L693" s="10" t="n">
        <f aca="false">IF(A693="","",IFERROR(K693*Inputs!$B$9,0))</f>
        <v>41492.4304636393</v>
      </c>
      <c r="M693" s="10" t="n">
        <f aca="false">IF(A693="","",IFERROR(K693*Inputs!$B$10,0))</f>
        <v>132773.287937818</v>
      </c>
      <c r="N693" s="10" t="n">
        <f aca="false">IF(A693="","",Z692)</f>
        <v>0</v>
      </c>
      <c r="O693" s="6" t="n">
        <f aca="false">IF(A693="","",Inputs!$B$18+N693)</f>
        <v>50000</v>
      </c>
      <c r="P693" s="5" t="n">
        <f aca="false">IF(A693="","",VLOOKUP(D693,DIvidend_Assumption!$A$3:$CX$103,($E$2+2),0)/12)</f>
        <v>0</v>
      </c>
      <c r="Q693" s="10" t="n">
        <f aca="false">IF(A693="","",IFERROR(AB692*P693,""))</f>
        <v>0</v>
      </c>
      <c r="R693" s="10" t="n">
        <f aca="false">IF(A693="","",IFERROR(IF(Inputs!$B$22="Accumulate",T693+Q693,IF(Inputs!$B$22="Premium Offset",MAX(0,T693+Q693-Inputs!$B$25),T693)),""))</f>
        <v>0</v>
      </c>
      <c r="S693" s="10" t="n">
        <f aca="false">IF(A693="","",R692)</f>
        <v>0</v>
      </c>
      <c r="T693" s="10" t="n">
        <f aca="false">IF(A693="","",IFERROR(S693*(1+Inputs!$B$23/12),""))</f>
        <v>0</v>
      </c>
      <c r="U693" s="6" t="n">
        <f aca="false">IF(A693="","",IF(D693&lt;=Inputs!$B$8,IF(Inputs!$B$22="Premium Offset",MAX(0,Inputs!$B$25-(Q693+T693)),Inputs!$B$25),0))</f>
        <v>0</v>
      </c>
      <c r="V693" s="10" t="n">
        <f aca="false">IF(A693="","",IF(Inputs!$B$22="Cash",Q693,0))</f>
        <v>0</v>
      </c>
      <c r="W693" s="10" t="n">
        <f aca="false">IF(A693="","",IF(Inputs!$B$22="PUA",Q693,0))</f>
        <v>0</v>
      </c>
      <c r="X693" s="12" t="n">
        <f aca="false">IF(A693="","",IFERROR(INDEX(PUA_TABLE!$D$4:$D$105,MATCH(E693,PUA_TABLE!$C$4:$C$105,1)),0))</f>
        <v>0.824604845177618</v>
      </c>
      <c r="Y693" s="10" t="n">
        <f aca="false">IF(A693="","",IF(W693&gt;0,IF(X693&gt;0,W693/X693,0),0))</f>
        <v>0</v>
      </c>
      <c r="Z693" s="10" t="n">
        <f aca="false">IF(A693="","",N693+Y693)</f>
        <v>0</v>
      </c>
      <c r="AA693" s="10" t="n">
        <f aca="false">IF(A693="","",IFERROR(Z693*INDEX(PUA_TABLE!$I$4:$I$105,MATCH(E693,PUA_TABLE!$C$4:$C$105,1))/1000,0))</f>
        <v>0</v>
      </c>
      <c r="AB693" s="10" t="n">
        <f aca="false">IF(A693="","",IFERROR(L693+AA693,0))</f>
        <v>41492.4304636393</v>
      </c>
      <c r="AC693" s="10" t="n">
        <f aca="false">IF(A693="","",IF(Inputs!$B$22="Premium Offset",MIN(Inputs!$B$25,Q693+T693),0))</f>
        <v>0</v>
      </c>
    </row>
    <row r="694" customFormat="false" ht="15" hidden="false" customHeight="false" outlineLevel="0" collapsed="false">
      <c r="A694" s="1" t="n">
        <f aca="false">IF(A693="","",IF(INT((C693+1)/12)+Inputs!$B$7&gt;MAX(MORTALITY!$A:$A),"",Inputs!$B$4))</f>
        <v>34</v>
      </c>
      <c r="B694" s="3" t="n">
        <f aca="false">IF(A694="","",EOMONTH(B693,1))</f>
        <v>42794</v>
      </c>
      <c r="C694" s="1" t="n">
        <f aca="false">IF(A694="","",C693+1)</f>
        <v>692</v>
      </c>
      <c r="D694" s="1" t="n">
        <f aca="false">IF(A694="","",INT(C694/12))</f>
        <v>57</v>
      </c>
      <c r="E694" s="1" t="n">
        <f aca="false">IF(A694="","",D694+Inputs!$B$7)</f>
        <v>73</v>
      </c>
      <c r="F694" s="3" t="n">
        <f aca="false">IF(A694="","",DATE(YEAR(B$2)+D694,MONTH(B$2),DAY(B$2)))</f>
        <v>42526</v>
      </c>
      <c r="G694" s="3" t="n">
        <f aca="false">IF(A694="","",DATE(YEAR(F694)+1,MONTH(F694),DAY(F694)))</f>
        <v>42891</v>
      </c>
      <c r="H694" s="10" t="n">
        <f aca="false">IF(A694="","",IF(G694&gt;F694,(B694-F694)/(G694-F694),0))</f>
        <v>0.734246575342466</v>
      </c>
      <c r="I694" s="10" t="n">
        <f aca="false">IF(A694="","",IFERROR(INDEX(CV_RATES!$I:$I,MATCH(D694,CV_RATES!$C:$C,0)),0))</f>
        <v>824.604845177618</v>
      </c>
      <c r="J694" s="10" t="n">
        <f aca="false">IF(A694="","",IFERROR(IF(E694=MAX(MORTALITY!$A:$A),1000,INDEX(CV_RATES!$J:$J,MATCH(D694,CV_RATES!$C:$C,0))),0))</f>
        <v>832.579736405687</v>
      </c>
      <c r="K694" s="10" t="n">
        <f aca="false">IF(A694="","",IFERROR(I694+H694*(J694-I694),0))</f>
        <v>830.460381750557</v>
      </c>
      <c r="L694" s="10" t="n">
        <f aca="false">IF(A694="","",IFERROR(K694*Inputs!$B$9,0))</f>
        <v>41523.0190875278</v>
      </c>
      <c r="M694" s="10" t="n">
        <f aca="false">IF(A694="","",IFERROR(K694*Inputs!$B$10,0))</f>
        <v>132871.169698944</v>
      </c>
      <c r="N694" s="10" t="n">
        <f aca="false">IF(A694="","",Z693)</f>
        <v>0</v>
      </c>
      <c r="O694" s="6" t="n">
        <f aca="false">IF(A694="","",Inputs!$B$18+N694)</f>
        <v>50000</v>
      </c>
      <c r="P694" s="5" t="n">
        <f aca="false">IF(A694="","",VLOOKUP(D694,DIvidend_Assumption!$A$3:$CX$103,($E$2+2),0)/12)</f>
        <v>0</v>
      </c>
      <c r="Q694" s="10" t="n">
        <f aca="false">IF(A694="","",IFERROR(AB693*P694,""))</f>
        <v>0</v>
      </c>
      <c r="R694" s="10" t="n">
        <f aca="false">IF(A694="","",IFERROR(IF(Inputs!$B$22="Accumulate",T694+Q694,IF(Inputs!$B$22="Premium Offset",MAX(0,T694+Q694-Inputs!$B$25),T694)),""))</f>
        <v>0</v>
      </c>
      <c r="S694" s="10" t="n">
        <f aca="false">IF(A694="","",R693)</f>
        <v>0</v>
      </c>
      <c r="T694" s="10" t="n">
        <f aca="false">IF(A694="","",IFERROR(S694*(1+Inputs!$B$23/12),""))</f>
        <v>0</v>
      </c>
      <c r="U694" s="6" t="n">
        <f aca="false">IF(A694="","",IF(D694&lt;=Inputs!$B$8,IF(Inputs!$B$22="Premium Offset",MAX(0,Inputs!$B$25-(Q694+T694)),Inputs!$B$25),0))</f>
        <v>0</v>
      </c>
      <c r="V694" s="10" t="n">
        <f aca="false">IF(A694="","",IF(Inputs!$B$22="Cash",Q694,0))</f>
        <v>0</v>
      </c>
      <c r="W694" s="10" t="n">
        <f aca="false">IF(A694="","",IF(Inputs!$B$22="PUA",Q694,0))</f>
        <v>0</v>
      </c>
      <c r="X694" s="12" t="n">
        <f aca="false">IF(A694="","",IFERROR(INDEX(PUA_TABLE!$D$4:$D$105,MATCH(E694,PUA_TABLE!$C$4:$C$105,1)),0))</f>
        <v>0.824604845177618</v>
      </c>
      <c r="Y694" s="10" t="n">
        <f aca="false">IF(A694="","",IF(W694&gt;0,IF(X694&gt;0,W694/X694,0),0))</f>
        <v>0</v>
      </c>
      <c r="Z694" s="10" t="n">
        <f aca="false">IF(A694="","",N694+Y694)</f>
        <v>0</v>
      </c>
      <c r="AA694" s="10" t="n">
        <f aca="false">IF(A694="","",IFERROR(Z694*INDEX(PUA_TABLE!$I$4:$I$105,MATCH(E694,PUA_TABLE!$C$4:$C$105,1))/1000,0))</f>
        <v>0</v>
      </c>
      <c r="AB694" s="10" t="n">
        <f aca="false">IF(A694="","",IFERROR(L694+AA694,0))</f>
        <v>41523.0190875278</v>
      </c>
      <c r="AC694" s="10" t="n">
        <f aca="false">IF(A694="","",IF(Inputs!$B$22="Premium Offset",MIN(Inputs!$B$25,Q694+T694),0))</f>
        <v>0</v>
      </c>
    </row>
    <row r="695" customFormat="false" ht="15" hidden="false" customHeight="false" outlineLevel="0" collapsed="false">
      <c r="A695" s="1" t="n">
        <f aca="false">IF(A694="","",IF(INT((C694+1)/12)+Inputs!$B$7&gt;MAX(MORTALITY!$A:$A),"",Inputs!$B$4))</f>
        <v>34</v>
      </c>
      <c r="B695" s="3" t="n">
        <f aca="false">IF(A695="","",EOMONTH(B694,1))</f>
        <v>42825</v>
      </c>
      <c r="C695" s="1" t="n">
        <f aca="false">IF(A695="","",C694+1)</f>
        <v>693</v>
      </c>
      <c r="D695" s="1" t="n">
        <f aca="false">IF(A695="","",INT(C695/12))</f>
        <v>57</v>
      </c>
      <c r="E695" s="1" t="n">
        <f aca="false">IF(A695="","",D695+Inputs!$B$7)</f>
        <v>73</v>
      </c>
      <c r="F695" s="3" t="n">
        <f aca="false">IF(A695="","",DATE(YEAR(B$2)+D695,MONTH(B$2),DAY(B$2)))</f>
        <v>42526</v>
      </c>
      <c r="G695" s="3" t="n">
        <f aca="false">IF(A695="","",DATE(YEAR(F695)+1,MONTH(F695),DAY(F695)))</f>
        <v>42891</v>
      </c>
      <c r="H695" s="10" t="n">
        <f aca="false">IF(A695="","",IF(G695&gt;F695,(B695-F695)/(G695-F695),0))</f>
        <v>0.819178082191781</v>
      </c>
      <c r="I695" s="10" t="n">
        <f aca="false">IF(A695="","",IFERROR(INDEX(CV_RATES!$I:$I,MATCH(D695,CV_RATES!$C:$C,0)),0))</f>
        <v>824.604845177618</v>
      </c>
      <c r="J695" s="10" t="n">
        <f aca="false">IF(A695="","",IFERROR(IF(E695=MAX(MORTALITY!$A:$A),1000,INDEX(CV_RATES!$J:$J,MATCH(D695,CV_RATES!$C:$C,0))),0))</f>
        <v>832.579736405687</v>
      </c>
      <c r="K695" s="10" t="n">
        <f aca="false">IF(A695="","",IFERROR(I695+H695*(J695-I695),0))</f>
        <v>831.137701279516</v>
      </c>
      <c r="L695" s="10" t="n">
        <f aca="false">IF(A695="","",IFERROR(K695*Inputs!$B$9,0))</f>
        <v>41556.8850639758</v>
      </c>
      <c r="M695" s="10" t="n">
        <f aca="false">IF(A695="","",IFERROR(K695*Inputs!$B$10,0))</f>
        <v>132979.538791619</v>
      </c>
      <c r="N695" s="10" t="n">
        <f aca="false">IF(A695="","",Z694)</f>
        <v>0</v>
      </c>
      <c r="O695" s="6" t="n">
        <f aca="false">IF(A695="","",Inputs!$B$18+N695)</f>
        <v>50000</v>
      </c>
      <c r="P695" s="5" t="n">
        <f aca="false">IF(A695="","",VLOOKUP(D695,DIvidend_Assumption!$A$3:$CX$103,($E$2+2),0)/12)</f>
        <v>0</v>
      </c>
      <c r="Q695" s="10" t="n">
        <f aca="false">IF(A695="","",IFERROR(AB694*P695,""))</f>
        <v>0</v>
      </c>
      <c r="R695" s="10" t="n">
        <f aca="false">IF(A695="","",IFERROR(IF(Inputs!$B$22="Accumulate",T695+Q695,IF(Inputs!$B$22="Premium Offset",MAX(0,T695+Q695-Inputs!$B$25),T695)),""))</f>
        <v>0</v>
      </c>
      <c r="S695" s="10" t="n">
        <f aca="false">IF(A695="","",R694)</f>
        <v>0</v>
      </c>
      <c r="T695" s="10" t="n">
        <f aca="false">IF(A695="","",IFERROR(S695*(1+Inputs!$B$23/12),""))</f>
        <v>0</v>
      </c>
      <c r="U695" s="6" t="n">
        <f aca="false">IF(A695="","",IF(D695&lt;=Inputs!$B$8,IF(Inputs!$B$22="Premium Offset",MAX(0,Inputs!$B$25-(Q695+T695)),Inputs!$B$25),0))</f>
        <v>0</v>
      </c>
      <c r="V695" s="10" t="n">
        <f aca="false">IF(A695="","",IF(Inputs!$B$22="Cash",Q695,0))</f>
        <v>0</v>
      </c>
      <c r="W695" s="10" t="n">
        <f aca="false">IF(A695="","",IF(Inputs!$B$22="PUA",Q695,0))</f>
        <v>0</v>
      </c>
      <c r="X695" s="12" t="n">
        <f aca="false">IF(A695="","",IFERROR(INDEX(PUA_TABLE!$D$4:$D$105,MATCH(E695,PUA_TABLE!$C$4:$C$105,1)),0))</f>
        <v>0.824604845177618</v>
      </c>
      <c r="Y695" s="10" t="n">
        <f aca="false">IF(A695="","",IF(W695&gt;0,IF(X695&gt;0,W695/X695,0),0))</f>
        <v>0</v>
      </c>
      <c r="Z695" s="10" t="n">
        <f aca="false">IF(A695="","",N695+Y695)</f>
        <v>0</v>
      </c>
      <c r="AA695" s="10" t="n">
        <f aca="false">IF(A695="","",IFERROR(Z695*INDEX(PUA_TABLE!$I$4:$I$105,MATCH(E695,PUA_TABLE!$C$4:$C$105,1))/1000,0))</f>
        <v>0</v>
      </c>
      <c r="AB695" s="10" t="n">
        <f aca="false">IF(A695="","",IFERROR(L695+AA695,0))</f>
        <v>41556.8850639758</v>
      </c>
      <c r="AC695" s="10" t="n">
        <f aca="false">IF(A695="","",IF(Inputs!$B$22="Premium Offset",MIN(Inputs!$B$25,Q695+T695),0))</f>
        <v>0</v>
      </c>
    </row>
    <row r="696" customFormat="false" ht="15" hidden="false" customHeight="false" outlineLevel="0" collapsed="false">
      <c r="A696" s="1" t="n">
        <f aca="false">IF(A695="","",IF(INT((C695+1)/12)+Inputs!$B$7&gt;MAX(MORTALITY!$A:$A),"",Inputs!$B$4))</f>
        <v>34</v>
      </c>
      <c r="B696" s="3" t="n">
        <f aca="false">IF(A696="","",EOMONTH(B695,1))</f>
        <v>42855</v>
      </c>
      <c r="C696" s="1" t="n">
        <f aca="false">IF(A696="","",C695+1)</f>
        <v>694</v>
      </c>
      <c r="D696" s="1" t="n">
        <f aca="false">IF(A696="","",INT(C696/12))</f>
        <v>57</v>
      </c>
      <c r="E696" s="1" t="n">
        <f aca="false">IF(A696="","",D696+Inputs!$B$7)</f>
        <v>73</v>
      </c>
      <c r="F696" s="3" t="n">
        <f aca="false">IF(A696="","",DATE(YEAR(B$2)+D696,MONTH(B$2),DAY(B$2)))</f>
        <v>42526</v>
      </c>
      <c r="G696" s="3" t="n">
        <f aca="false">IF(A696="","",DATE(YEAR(F696)+1,MONTH(F696),DAY(F696)))</f>
        <v>42891</v>
      </c>
      <c r="H696" s="10" t="n">
        <f aca="false">IF(A696="","",IF(G696&gt;F696,(B696-F696)/(G696-F696),0))</f>
        <v>0.901369863013699</v>
      </c>
      <c r="I696" s="10" t="n">
        <f aca="false">IF(A696="","",IFERROR(INDEX(CV_RATES!$I:$I,MATCH(D696,CV_RATES!$C:$C,0)),0))</f>
        <v>824.604845177618</v>
      </c>
      <c r="J696" s="10" t="n">
        <f aca="false">IF(A696="","",IFERROR(IF(E696=MAX(MORTALITY!$A:$A),1000,INDEX(CV_RATES!$J:$J,MATCH(D696,CV_RATES!$C:$C,0))),0))</f>
        <v>832.579736405687</v>
      </c>
      <c r="K696" s="10" t="n">
        <f aca="false">IF(A696="","",IFERROR(I696+H696*(J696-I696),0))</f>
        <v>831.793171791412</v>
      </c>
      <c r="L696" s="10" t="n">
        <f aca="false">IF(A696="","",IFERROR(K696*Inputs!$B$9,0))</f>
        <v>41589.6585895706</v>
      </c>
      <c r="M696" s="10" t="n">
        <f aca="false">IF(A696="","",IFERROR(K696*Inputs!$B$10,0))</f>
        <v>133084.412107111</v>
      </c>
      <c r="N696" s="10" t="n">
        <f aca="false">IF(A696="","",Z695)</f>
        <v>0</v>
      </c>
      <c r="O696" s="6" t="n">
        <f aca="false">IF(A696="","",Inputs!$B$18+N696)</f>
        <v>50000</v>
      </c>
      <c r="P696" s="5" t="n">
        <f aca="false">IF(A696="","",VLOOKUP(D696,DIvidend_Assumption!$A$3:$CX$103,($E$2+2),0)/12)</f>
        <v>0</v>
      </c>
      <c r="Q696" s="10" t="n">
        <f aca="false">IF(A696="","",IFERROR(AB695*P696,""))</f>
        <v>0</v>
      </c>
      <c r="R696" s="10" t="n">
        <f aca="false">IF(A696="","",IFERROR(IF(Inputs!$B$22="Accumulate",T696+Q696,IF(Inputs!$B$22="Premium Offset",MAX(0,T696+Q696-Inputs!$B$25),T696)),""))</f>
        <v>0</v>
      </c>
      <c r="S696" s="10" t="n">
        <f aca="false">IF(A696="","",R695)</f>
        <v>0</v>
      </c>
      <c r="T696" s="10" t="n">
        <f aca="false">IF(A696="","",IFERROR(S696*(1+Inputs!$B$23/12),""))</f>
        <v>0</v>
      </c>
      <c r="U696" s="6" t="n">
        <f aca="false">IF(A696="","",IF(D696&lt;=Inputs!$B$8,IF(Inputs!$B$22="Premium Offset",MAX(0,Inputs!$B$25-(Q696+T696)),Inputs!$B$25),0))</f>
        <v>0</v>
      </c>
      <c r="V696" s="10" t="n">
        <f aca="false">IF(A696="","",IF(Inputs!$B$22="Cash",Q696,0))</f>
        <v>0</v>
      </c>
      <c r="W696" s="10" t="n">
        <f aca="false">IF(A696="","",IF(Inputs!$B$22="PUA",Q696,0))</f>
        <v>0</v>
      </c>
      <c r="X696" s="12" t="n">
        <f aca="false">IF(A696="","",IFERROR(INDEX(PUA_TABLE!$D$4:$D$105,MATCH(E696,PUA_TABLE!$C$4:$C$105,1)),0))</f>
        <v>0.824604845177618</v>
      </c>
      <c r="Y696" s="10" t="n">
        <f aca="false">IF(A696="","",IF(W696&gt;0,IF(X696&gt;0,W696/X696,0),0))</f>
        <v>0</v>
      </c>
      <c r="Z696" s="10" t="n">
        <f aca="false">IF(A696="","",N696+Y696)</f>
        <v>0</v>
      </c>
      <c r="AA696" s="10" t="n">
        <f aca="false">IF(A696="","",IFERROR(Z696*INDEX(PUA_TABLE!$I$4:$I$105,MATCH(E696,PUA_TABLE!$C$4:$C$105,1))/1000,0))</f>
        <v>0</v>
      </c>
      <c r="AB696" s="10" t="n">
        <f aca="false">IF(A696="","",IFERROR(L696+AA696,0))</f>
        <v>41589.6585895706</v>
      </c>
      <c r="AC696" s="10" t="n">
        <f aca="false">IF(A696="","",IF(Inputs!$B$22="Premium Offset",MIN(Inputs!$B$25,Q696+T696),0))</f>
        <v>0</v>
      </c>
    </row>
    <row r="697" customFormat="false" ht="15" hidden="false" customHeight="false" outlineLevel="0" collapsed="false">
      <c r="A697" s="1" t="n">
        <f aca="false">IF(A696="","",IF(INT((C696+1)/12)+Inputs!$B$7&gt;MAX(MORTALITY!$A:$A),"",Inputs!$B$4))</f>
        <v>34</v>
      </c>
      <c r="B697" s="3" t="n">
        <f aca="false">IF(A697="","",EOMONTH(B696,1))</f>
        <v>42886</v>
      </c>
      <c r="C697" s="1" t="n">
        <f aca="false">IF(A697="","",C696+1)</f>
        <v>695</v>
      </c>
      <c r="D697" s="1" t="n">
        <f aca="false">IF(A697="","",INT(C697/12))</f>
        <v>57</v>
      </c>
      <c r="E697" s="1" t="n">
        <f aca="false">IF(A697="","",D697+Inputs!$B$7)</f>
        <v>73</v>
      </c>
      <c r="F697" s="3" t="n">
        <f aca="false">IF(A697="","",DATE(YEAR(B$2)+D697,MONTH(B$2),DAY(B$2)))</f>
        <v>42526</v>
      </c>
      <c r="G697" s="3" t="n">
        <f aca="false">IF(A697="","",DATE(YEAR(F697)+1,MONTH(F697),DAY(F697)))</f>
        <v>42891</v>
      </c>
      <c r="H697" s="10" t="n">
        <f aca="false">IF(A697="","",IF(G697&gt;F697,(B697-F697)/(G697-F697),0))</f>
        <v>0.986301369863014</v>
      </c>
      <c r="I697" s="10" t="n">
        <f aca="false">IF(A697="","",IFERROR(INDEX(CV_RATES!$I:$I,MATCH(D697,CV_RATES!$C:$C,0)),0))</f>
        <v>824.604845177618</v>
      </c>
      <c r="J697" s="10" t="n">
        <f aca="false">IF(A697="","",IFERROR(IF(E697=MAX(MORTALITY!$A:$A),1000,INDEX(CV_RATES!$J:$J,MATCH(D697,CV_RATES!$C:$C,0))),0))</f>
        <v>832.579736405687</v>
      </c>
      <c r="K697" s="10" t="n">
        <f aca="false">IF(A697="","",IFERROR(I697+H697*(J697-I697),0))</f>
        <v>832.470491320371</v>
      </c>
      <c r="L697" s="10" t="n">
        <f aca="false">IF(A697="","",IFERROR(K697*Inputs!$B$9,0))</f>
        <v>41623.5245660186</v>
      </c>
      <c r="M697" s="10" t="n">
        <f aca="false">IF(A697="","",IFERROR(K697*Inputs!$B$10,0))</f>
        <v>133192.781199785</v>
      </c>
      <c r="N697" s="10" t="n">
        <f aca="false">IF(A697="","",Z696)</f>
        <v>0</v>
      </c>
      <c r="O697" s="6" t="n">
        <f aca="false">IF(A697="","",Inputs!$B$18+N697)</f>
        <v>50000</v>
      </c>
      <c r="P697" s="5" t="n">
        <f aca="false">IF(A697="","",VLOOKUP(D697,DIvidend_Assumption!$A$3:$CX$103,($E$2+2),0)/12)</f>
        <v>0</v>
      </c>
      <c r="Q697" s="10" t="n">
        <f aca="false">IF(A697="","",IFERROR(AB696*P697,""))</f>
        <v>0</v>
      </c>
      <c r="R697" s="10" t="n">
        <f aca="false">IF(A697="","",IFERROR(IF(Inputs!$B$22="Accumulate",T697+Q697,IF(Inputs!$B$22="Premium Offset",MAX(0,T697+Q697-Inputs!$B$25),T697)),""))</f>
        <v>0</v>
      </c>
      <c r="S697" s="10" t="n">
        <f aca="false">IF(A697="","",R696)</f>
        <v>0</v>
      </c>
      <c r="T697" s="10" t="n">
        <f aca="false">IF(A697="","",IFERROR(S697*(1+Inputs!$B$23/12),""))</f>
        <v>0</v>
      </c>
      <c r="U697" s="6" t="n">
        <f aca="false">IF(A697="","",IF(D697&lt;=Inputs!$B$8,IF(Inputs!$B$22="Premium Offset",MAX(0,Inputs!$B$25-(Q697+T697)),Inputs!$B$25),0))</f>
        <v>0</v>
      </c>
      <c r="V697" s="10" t="n">
        <f aca="false">IF(A697="","",IF(Inputs!$B$22="Cash",Q697,0))</f>
        <v>0</v>
      </c>
      <c r="W697" s="10" t="n">
        <f aca="false">IF(A697="","",IF(Inputs!$B$22="PUA",Q697,0))</f>
        <v>0</v>
      </c>
      <c r="X697" s="12" t="n">
        <f aca="false">IF(A697="","",IFERROR(INDEX(PUA_TABLE!$D$4:$D$105,MATCH(E697,PUA_TABLE!$C$4:$C$105,1)),0))</f>
        <v>0.824604845177618</v>
      </c>
      <c r="Y697" s="10" t="n">
        <f aca="false">IF(A697="","",IF(W697&gt;0,IF(X697&gt;0,W697/X697,0),0))</f>
        <v>0</v>
      </c>
      <c r="Z697" s="10" t="n">
        <f aca="false">IF(A697="","",N697+Y697)</f>
        <v>0</v>
      </c>
      <c r="AA697" s="10" t="n">
        <f aca="false">IF(A697="","",IFERROR(Z697*INDEX(PUA_TABLE!$I$4:$I$105,MATCH(E697,PUA_TABLE!$C$4:$C$105,1))/1000,0))</f>
        <v>0</v>
      </c>
      <c r="AB697" s="10" t="n">
        <f aca="false">IF(A697="","",IFERROR(L697+AA697,0))</f>
        <v>41623.5245660186</v>
      </c>
      <c r="AC697" s="10" t="n">
        <f aca="false">IF(A697="","",IF(Inputs!$B$22="Premium Offset",MIN(Inputs!$B$25,Q697+T697),0))</f>
        <v>0</v>
      </c>
    </row>
    <row r="698" customFormat="false" ht="15" hidden="false" customHeight="false" outlineLevel="0" collapsed="false">
      <c r="A698" s="1" t="n">
        <f aca="false">IF(A697="","",IF(INT((C697+1)/12)+Inputs!$B$7&gt;MAX(MORTALITY!$A:$A),"",Inputs!$B$4))</f>
        <v>34</v>
      </c>
      <c r="B698" s="3" t="n">
        <f aca="false">IF(A698="","",EOMONTH(B697,1))</f>
        <v>42916</v>
      </c>
      <c r="C698" s="1" t="n">
        <f aca="false">IF(A698="","",C697+1)</f>
        <v>696</v>
      </c>
      <c r="D698" s="1" t="n">
        <f aca="false">IF(A698="","",INT(C698/12))</f>
        <v>58</v>
      </c>
      <c r="E698" s="1" t="n">
        <f aca="false">IF(A698="","",D698+Inputs!$B$7)</f>
        <v>74</v>
      </c>
      <c r="F698" s="3" t="n">
        <f aca="false">IF(A698="","",DATE(YEAR(B$2)+D698,MONTH(B$2),DAY(B$2)))</f>
        <v>42891</v>
      </c>
      <c r="G698" s="3" t="n">
        <f aca="false">IF(A698="","",DATE(YEAR(F698)+1,MONTH(F698),DAY(F698)))</f>
        <v>43256</v>
      </c>
      <c r="H698" s="10" t="n">
        <f aca="false">IF(A698="","",IF(G698&gt;F698,(B698-F698)/(G698-F698),0))</f>
        <v>0.0684931506849315</v>
      </c>
      <c r="I698" s="10" t="n">
        <f aca="false">IF(A698="","",IFERROR(INDEX(CV_RATES!$I:$I,MATCH(D698,CV_RATES!$C:$C,0)),0))</f>
        <v>832.579736405687</v>
      </c>
      <c r="J698" s="10" t="n">
        <f aca="false">IF(A698="","",IFERROR(IF(E698=MAX(MORTALITY!$A:$A),1000,INDEX(CV_RATES!$J:$J,MATCH(D698,CV_RATES!$C:$C,0))),0))</f>
        <v>840.331772090558</v>
      </c>
      <c r="K698" s="10" t="n">
        <f aca="false">IF(A698="","",IFERROR(I698+H698*(J698-I698),0))</f>
        <v>833.110697753966</v>
      </c>
      <c r="L698" s="10" t="n">
        <f aca="false">IF(A698="","",IFERROR(K698*Inputs!$B$9,0))</f>
        <v>41655.5348876983</v>
      </c>
      <c r="M698" s="10" t="n">
        <f aca="false">IF(A698="","",IFERROR(K698*Inputs!$B$10,0))</f>
        <v>133295.212308541</v>
      </c>
      <c r="N698" s="10" t="n">
        <f aca="false">IF(A698="","",Z697)</f>
        <v>0</v>
      </c>
      <c r="O698" s="6" t="n">
        <f aca="false">IF(A698="","",Inputs!$B$18+N698)</f>
        <v>50000</v>
      </c>
      <c r="P698" s="5" t="n">
        <f aca="false">IF(A698="","",VLOOKUP(D698,DIvidend_Assumption!$A$3:$CX$103,($E$2+2),0)/12)</f>
        <v>0</v>
      </c>
      <c r="Q698" s="10" t="n">
        <f aca="false">IF(A698="","",IFERROR(AB697*P698,""))</f>
        <v>0</v>
      </c>
      <c r="R698" s="10" t="n">
        <f aca="false">IF(A698="","",IFERROR(IF(Inputs!$B$22="Accumulate",T698+Q698,IF(Inputs!$B$22="Premium Offset",MAX(0,T698+Q698-Inputs!$B$25),T698)),""))</f>
        <v>0</v>
      </c>
      <c r="S698" s="10" t="n">
        <f aca="false">IF(A698="","",R697)</f>
        <v>0</v>
      </c>
      <c r="T698" s="10" t="n">
        <f aca="false">IF(A698="","",IFERROR(S698*(1+Inputs!$B$23/12),""))</f>
        <v>0</v>
      </c>
      <c r="U698" s="6" t="n">
        <f aca="false">IF(A698="","",IF(D698&lt;=Inputs!$B$8,IF(Inputs!$B$22="Premium Offset",MAX(0,Inputs!$B$25-(Q698+T698)),Inputs!$B$25),0))</f>
        <v>0</v>
      </c>
      <c r="V698" s="10" t="n">
        <f aca="false">IF(A698="","",IF(Inputs!$B$22="Cash",Q698,0))</f>
        <v>0</v>
      </c>
      <c r="W698" s="10" t="n">
        <f aca="false">IF(A698="","",IF(Inputs!$B$22="PUA",Q698,0))</f>
        <v>0</v>
      </c>
      <c r="X698" s="12" t="n">
        <f aca="false">IF(A698="","",IFERROR(INDEX(PUA_TABLE!$D$4:$D$105,MATCH(E698,PUA_TABLE!$C$4:$C$105,1)),0))</f>
        <v>0.832579736405687</v>
      </c>
      <c r="Y698" s="10" t="n">
        <f aca="false">IF(A698="","",IF(W698&gt;0,IF(X698&gt;0,W698/X698,0),0))</f>
        <v>0</v>
      </c>
      <c r="Z698" s="10" t="n">
        <f aca="false">IF(A698="","",N698+Y698)</f>
        <v>0</v>
      </c>
      <c r="AA698" s="10" t="n">
        <f aca="false">IF(A698="","",IFERROR(Z698*INDEX(PUA_TABLE!$I$4:$I$105,MATCH(E698,PUA_TABLE!$C$4:$C$105,1))/1000,0))</f>
        <v>0</v>
      </c>
      <c r="AB698" s="10" t="n">
        <f aca="false">IF(A698="","",IFERROR(L698+AA698,0))</f>
        <v>41655.5348876983</v>
      </c>
      <c r="AC698" s="10" t="n">
        <f aca="false">IF(A698="","",IF(Inputs!$B$22="Premium Offset",MIN(Inputs!$B$25,Q698+T698),0))</f>
        <v>0</v>
      </c>
    </row>
    <row r="699" customFormat="false" ht="15" hidden="false" customHeight="false" outlineLevel="0" collapsed="false">
      <c r="A699" s="1" t="n">
        <f aca="false">IF(A698="","",IF(INT((C698+1)/12)+Inputs!$B$7&gt;MAX(MORTALITY!$A:$A),"",Inputs!$B$4))</f>
        <v>34</v>
      </c>
      <c r="B699" s="3" t="n">
        <f aca="false">IF(A699="","",EOMONTH(B698,1))</f>
        <v>42947</v>
      </c>
      <c r="C699" s="1" t="n">
        <f aca="false">IF(A699="","",C698+1)</f>
        <v>697</v>
      </c>
      <c r="D699" s="1" t="n">
        <f aca="false">IF(A699="","",INT(C699/12))</f>
        <v>58</v>
      </c>
      <c r="E699" s="1" t="n">
        <f aca="false">IF(A699="","",D699+Inputs!$B$7)</f>
        <v>74</v>
      </c>
      <c r="F699" s="3" t="n">
        <f aca="false">IF(A699="","",DATE(YEAR(B$2)+D699,MONTH(B$2),DAY(B$2)))</f>
        <v>42891</v>
      </c>
      <c r="G699" s="3" t="n">
        <f aca="false">IF(A699="","",DATE(YEAR(F699)+1,MONTH(F699),DAY(F699)))</f>
        <v>43256</v>
      </c>
      <c r="H699" s="10" t="n">
        <f aca="false">IF(A699="","",IF(G699&gt;F699,(B699-F699)/(G699-F699),0))</f>
        <v>0.153424657534247</v>
      </c>
      <c r="I699" s="10" t="n">
        <f aca="false">IF(A699="","",IFERROR(INDEX(CV_RATES!$I:$I,MATCH(D699,CV_RATES!$C:$C,0)),0))</f>
        <v>832.579736405687</v>
      </c>
      <c r="J699" s="10" t="n">
        <f aca="false">IF(A699="","",IFERROR(IF(E699=MAX(MORTALITY!$A:$A),1000,INDEX(CV_RATES!$J:$J,MATCH(D699,CV_RATES!$C:$C,0))),0))</f>
        <v>840.331772090558</v>
      </c>
      <c r="K699" s="10" t="n">
        <f aca="false">IF(A699="","",IFERROR(I699+H699*(J699-I699),0))</f>
        <v>833.769089825832</v>
      </c>
      <c r="L699" s="10" t="n">
        <f aca="false">IF(A699="","",IFERROR(K699*Inputs!$B$9,0))</f>
        <v>41688.4544912916</v>
      </c>
      <c r="M699" s="10" t="n">
        <f aca="false">IF(A699="","",IFERROR(K699*Inputs!$B$10,0))</f>
        <v>133400.553064864</v>
      </c>
      <c r="N699" s="10" t="n">
        <f aca="false">IF(A699="","",Z698)</f>
        <v>0</v>
      </c>
      <c r="O699" s="6" t="n">
        <f aca="false">IF(A699="","",Inputs!$B$18+N699)</f>
        <v>50000</v>
      </c>
      <c r="P699" s="5" t="n">
        <f aca="false">IF(A699="","",VLOOKUP(D699,DIvidend_Assumption!$A$3:$CX$103,($E$2+2),0)/12)</f>
        <v>0</v>
      </c>
      <c r="Q699" s="10" t="n">
        <f aca="false">IF(A699="","",IFERROR(AB698*P699,""))</f>
        <v>0</v>
      </c>
      <c r="R699" s="10" t="n">
        <f aca="false">IF(A699="","",IFERROR(IF(Inputs!$B$22="Accumulate",T699+Q699,IF(Inputs!$B$22="Premium Offset",MAX(0,T699+Q699-Inputs!$B$25),T699)),""))</f>
        <v>0</v>
      </c>
      <c r="S699" s="10" t="n">
        <f aca="false">IF(A699="","",R698)</f>
        <v>0</v>
      </c>
      <c r="T699" s="10" t="n">
        <f aca="false">IF(A699="","",IFERROR(S699*(1+Inputs!$B$23/12),""))</f>
        <v>0</v>
      </c>
      <c r="U699" s="6" t="n">
        <f aca="false">IF(A699="","",IF(D699&lt;=Inputs!$B$8,IF(Inputs!$B$22="Premium Offset",MAX(0,Inputs!$B$25-(Q699+T699)),Inputs!$B$25),0))</f>
        <v>0</v>
      </c>
      <c r="V699" s="10" t="n">
        <f aca="false">IF(A699="","",IF(Inputs!$B$22="Cash",Q699,0))</f>
        <v>0</v>
      </c>
      <c r="W699" s="10" t="n">
        <f aca="false">IF(A699="","",IF(Inputs!$B$22="PUA",Q699,0))</f>
        <v>0</v>
      </c>
      <c r="X699" s="12" t="n">
        <f aca="false">IF(A699="","",IFERROR(INDEX(PUA_TABLE!$D$4:$D$105,MATCH(E699,PUA_TABLE!$C$4:$C$105,1)),0))</f>
        <v>0.832579736405687</v>
      </c>
      <c r="Y699" s="10" t="n">
        <f aca="false">IF(A699="","",IF(W699&gt;0,IF(X699&gt;0,W699/X699,0),0))</f>
        <v>0</v>
      </c>
      <c r="Z699" s="10" t="n">
        <f aca="false">IF(A699="","",N699+Y699)</f>
        <v>0</v>
      </c>
      <c r="AA699" s="10" t="n">
        <f aca="false">IF(A699="","",IFERROR(Z699*INDEX(PUA_TABLE!$I$4:$I$105,MATCH(E699,PUA_TABLE!$C$4:$C$105,1))/1000,0))</f>
        <v>0</v>
      </c>
      <c r="AB699" s="10" t="n">
        <f aca="false">IF(A699="","",IFERROR(L699+AA699,0))</f>
        <v>41688.4544912916</v>
      </c>
      <c r="AC699" s="10" t="n">
        <f aca="false">IF(A699="","",IF(Inputs!$B$22="Premium Offset",MIN(Inputs!$B$25,Q699+T699),0))</f>
        <v>0</v>
      </c>
    </row>
    <row r="700" customFormat="false" ht="15" hidden="false" customHeight="false" outlineLevel="0" collapsed="false">
      <c r="A700" s="1" t="n">
        <f aca="false">IF(A699="","",IF(INT((C699+1)/12)+Inputs!$B$7&gt;MAX(MORTALITY!$A:$A),"",Inputs!$B$4))</f>
        <v>34</v>
      </c>
      <c r="B700" s="3" t="n">
        <f aca="false">IF(A700="","",EOMONTH(B699,1))</f>
        <v>42978</v>
      </c>
      <c r="C700" s="1" t="n">
        <f aca="false">IF(A700="","",C699+1)</f>
        <v>698</v>
      </c>
      <c r="D700" s="1" t="n">
        <f aca="false">IF(A700="","",INT(C700/12))</f>
        <v>58</v>
      </c>
      <c r="E700" s="1" t="n">
        <f aca="false">IF(A700="","",D700+Inputs!$B$7)</f>
        <v>74</v>
      </c>
      <c r="F700" s="3" t="n">
        <f aca="false">IF(A700="","",DATE(YEAR(B$2)+D700,MONTH(B$2),DAY(B$2)))</f>
        <v>42891</v>
      </c>
      <c r="G700" s="3" t="n">
        <f aca="false">IF(A700="","",DATE(YEAR(F700)+1,MONTH(F700),DAY(F700)))</f>
        <v>43256</v>
      </c>
      <c r="H700" s="10" t="n">
        <f aca="false">IF(A700="","",IF(G700&gt;F700,(B700-F700)/(G700-F700),0))</f>
        <v>0.238356164383562</v>
      </c>
      <c r="I700" s="10" t="n">
        <f aca="false">IF(A700="","",IFERROR(INDEX(CV_RATES!$I:$I,MATCH(D700,CV_RATES!$C:$C,0)),0))</f>
        <v>832.579736405687</v>
      </c>
      <c r="J700" s="10" t="n">
        <f aca="false">IF(A700="","",IFERROR(IF(E700=MAX(MORTALITY!$A:$A),1000,INDEX(CV_RATES!$J:$J,MATCH(D700,CV_RATES!$C:$C,0))),0))</f>
        <v>840.331772090558</v>
      </c>
      <c r="K700" s="10" t="n">
        <f aca="false">IF(A700="","",IFERROR(I700+H700*(J700-I700),0))</f>
        <v>834.427481897698</v>
      </c>
      <c r="L700" s="10" t="n">
        <f aca="false">IF(A700="","",IFERROR(K700*Inputs!$B$9,0))</f>
        <v>41721.3740948849</v>
      </c>
      <c r="M700" s="10" t="n">
        <f aca="false">IF(A700="","",IFERROR(K700*Inputs!$B$10,0))</f>
        <v>133505.893821186</v>
      </c>
      <c r="N700" s="10" t="n">
        <f aca="false">IF(A700="","",Z699)</f>
        <v>0</v>
      </c>
      <c r="O700" s="6" t="n">
        <f aca="false">IF(A700="","",Inputs!$B$18+N700)</f>
        <v>50000</v>
      </c>
      <c r="P700" s="5" t="n">
        <f aca="false">IF(A700="","",VLOOKUP(D700,DIvidend_Assumption!$A$3:$CX$103,($E$2+2),0)/12)</f>
        <v>0</v>
      </c>
      <c r="Q700" s="10" t="n">
        <f aca="false">IF(A700="","",IFERROR(AB699*P700,""))</f>
        <v>0</v>
      </c>
      <c r="R700" s="10" t="n">
        <f aca="false">IF(A700="","",IFERROR(IF(Inputs!$B$22="Accumulate",T700+Q700,IF(Inputs!$B$22="Premium Offset",MAX(0,T700+Q700-Inputs!$B$25),T700)),""))</f>
        <v>0</v>
      </c>
      <c r="S700" s="10" t="n">
        <f aca="false">IF(A700="","",R699)</f>
        <v>0</v>
      </c>
      <c r="T700" s="10" t="n">
        <f aca="false">IF(A700="","",IFERROR(S700*(1+Inputs!$B$23/12),""))</f>
        <v>0</v>
      </c>
      <c r="U700" s="6" t="n">
        <f aca="false">IF(A700="","",IF(D700&lt;=Inputs!$B$8,IF(Inputs!$B$22="Premium Offset",MAX(0,Inputs!$B$25-(Q700+T700)),Inputs!$B$25),0))</f>
        <v>0</v>
      </c>
      <c r="V700" s="10" t="n">
        <f aca="false">IF(A700="","",IF(Inputs!$B$22="Cash",Q700,0))</f>
        <v>0</v>
      </c>
      <c r="W700" s="10" t="n">
        <f aca="false">IF(A700="","",IF(Inputs!$B$22="PUA",Q700,0))</f>
        <v>0</v>
      </c>
      <c r="X700" s="12" t="n">
        <f aca="false">IF(A700="","",IFERROR(INDEX(PUA_TABLE!$D$4:$D$105,MATCH(E700,PUA_TABLE!$C$4:$C$105,1)),0))</f>
        <v>0.832579736405687</v>
      </c>
      <c r="Y700" s="10" t="n">
        <f aca="false">IF(A700="","",IF(W700&gt;0,IF(X700&gt;0,W700/X700,0),0))</f>
        <v>0</v>
      </c>
      <c r="Z700" s="10" t="n">
        <f aca="false">IF(A700="","",N700+Y700)</f>
        <v>0</v>
      </c>
      <c r="AA700" s="10" t="n">
        <f aca="false">IF(A700="","",IFERROR(Z700*INDEX(PUA_TABLE!$I$4:$I$105,MATCH(E700,PUA_TABLE!$C$4:$C$105,1))/1000,0))</f>
        <v>0</v>
      </c>
      <c r="AB700" s="10" t="n">
        <f aca="false">IF(A700="","",IFERROR(L700+AA700,0))</f>
        <v>41721.3740948849</v>
      </c>
      <c r="AC700" s="10" t="n">
        <f aca="false">IF(A700="","",IF(Inputs!$B$22="Premium Offset",MIN(Inputs!$B$25,Q700+T700),0))</f>
        <v>0</v>
      </c>
    </row>
    <row r="701" customFormat="false" ht="15" hidden="false" customHeight="false" outlineLevel="0" collapsed="false">
      <c r="A701" s="1" t="n">
        <f aca="false">IF(A700="","",IF(INT((C700+1)/12)+Inputs!$B$7&gt;MAX(MORTALITY!$A:$A),"",Inputs!$B$4))</f>
        <v>34</v>
      </c>
      <c r="B701" s="3" t="n">
        <f aca="false">IF(A701="","",EOMONTH(B700,1))</f>
        <v>43008</v>
      </c>
      <c r="C701" s="1" t="n">
        <f aca="false">IF(A701="","",C700+1)</f>
        <v>699</v>
      </c>
      <c r="D701" s="1" t="n">
        <f aca="false">IF(A701="","",INT(C701/12))</f>
        <v>58</v>
      </c>
      <c r="E701" s="1" t="n">
        <f aca="false">IF(A701="","",D701+Inputs!$B$7)</f>
        <v>74</v>
      </c>
      <c r="F701" s="3" t="n">
        <f aca="false">IF(A701="","",DATE(YEAR(B$2)+D701,MONTH(B$2),DAY(B$2)))</f>
        <v>42891</v>
      </c>
      <c r="G701" s="3" t="n">
        <f aca="false">IF(A701="","",DATE(YEAR(F701)+1,MONTH(F701),DAY(F701)))</f>
        <v>43256</v>
      </c>
      <c r="H701" s="10" t="n">
        <f aca="false">IF(A701="","",IF(G701&gt;F701,(B701-F701)/(G701-F701),0))</f>
        <v>0.320547945205479</v>
      </c>
      <c r="I701" s="10" t="n">
        <f aca="false">IF(A701="","",IFERROR(INDEX(CV_RATES!$I:$I,MATCH(D701,CV_RATES!$C:$C,0)),0))</f>
        <v>832.579736405687</v>
      </c>
      <c r="J701" s="10" t="n">
        <f aca="false">IF(A701="","",IFERROR(IF(E701=MAX(MORTALITY!$A:$A),1000,INDEX(CV_RATES!$J:$J,MATCH(D701,CV_RATES!$C:$C,0))),0))</f>
        <v>840.331772090558</v>
      </c>
      <c r="K701" s="10" t="n">
        <f aca="false">IF(A701="","",IFERROR(I701+H701*(J701-I701),0))</f>
        <v>835.064635515632</v>
      </c>
      <c r="L701" s="10" t="n">
        <f aca="false">IF(A701="","",IFERROR(K701*Inputs!$B$9,0))</f>
        <v>41753.2317757816</v>
      </c>
      <c r="M701" s="10" t="n">
        <f aca="false">IF(A701="","",IFERROR(K701*Inputs!$B$10,0))</f>
        <v>133607.836488595</v>
      </c>
      <c r="N701" s="10" t="n">
        <f aca="false">IF(A701="","",Z700)</f>
        <v>0</v>
      </c>
      <c r="O701" s="6" t="n">
        <f aca="false">IF(A701="","",Inputs!$B$18+N701)</f>
        <v>50000</v>
      </c>
      <c r="P701" s="5" t="n">
        <f aca="false">IF(A701="","",VLOOKUP(D701,DIvidend_Assumption!$A$3:$CX$103,($E$2+2),0)/12)</f>
        <v>0</v>
      </c>
      <c r="Q701" s="10" t="n">
        <f aca="false">IF(A701="","",IFERROR(AB700*P701,""))</f>
        <v>0</v>
      </c>
      <c r="R701" s="10" t="n">
        <f aca="false">IF(A701="","",IFERROR(IF(Inputs!$B$22="Accumulate",T701+Q701,IF(Inputs!$B$22="Premium Offset",MAX(0,T701+Q701-Inputs!$B$25),T701)),""))</f>
        <v>0</v>
      </c>
      <c r="S701" s="10" t="n">
        <f aca="false">IF(A701="","",R700)</f>
        <v>0</v>
      </c>
      <c r="T701" s="10" t="n">
        <f aca="false">IF(A701="","",IFERROR(S701*(1+Inputs!$B$23/12),""))</f>
        <v>0</v>
      </c>
      <c r="U701" s="6" t="n">
        <f aca="false">IF(A701="","",IF(D701&lt;=Inputs!$B$8,IF(Inputs!$B$22="Premium Offset",MAX(0,Inputs!$B$25-(Q701+T701)),Inputs!$B$25),0))</f>
        <v>0</v>
      </c>
      <c r="V701" s="10" t="n">
        <f aca="false">IF(A701="","",IF(Inputs!$B$22="Cash",Q701,0))</f>
        <v>0</v>
      </c>
      <c r="W701" s="10" t="n">
        <f aca="false">IF(A701="","",IF(Inputs!$B$22="PUA",Q701,0))</f>
        <v>0</v>
      </c>
      <c r="X701" s="12" t="n">
        <f aca="false">IF(A701="","",IFERROR(INDEX(PUA_TABLE!$D$4:$D$105,MATCH(E701,PUA_TABLE!$C$4:$C$105,1)),0))</f>
        <v>0.832579736405687</v>
      </c>
      <c r="Y701" s="10" t="n">
        <f aca="false">IF(A701="","",IF(W701&gt;0,IF(X701&gt;0,W701/X701,0),0))</f>
        <v>0</v>
      </c>
      <c r="Z701" s="10" t="n">
        <f aca="false">IF(A701="","",N701+Y701)</f>
        <v>0</v>
      </c>
      <c r="AA701" s="10" t="n">
        <f aca="false">IF(A701="","",IFERROR(Z701*INDEX(PUA_TABLE!$I$4:$I$105,MATCH(E701,PUA_TABLE!$C$4:$C$105,1))/1000,0))</f>
        <v>0</v>
      </c>
      <c r="AB701" s="10" t="n">
        <f aca="false">IF(A701="","",IFERROR(L701+AA701,0))</f>
        <v>41753.2317757816</v>
      </c>
      <c r="AC701" s="10" t="n">
        <f aca="false">IF(A701="","",IF(Inputs!$B$22="Premium Offset",MIN(Inputs!$B$25,Q701+T701),0))</f>
        <v>0</v>
      </c>
    </row>
    <row r="702" customFormat="false" ht="15" hidden="false" customHeight="false" outlineLevel="0" collapsed="false">
      <c r="A702" s="1" t="n">
        <f aca="false">IF(A701="","",IF(INT((C701+1)/12)+Inputs!$B$7&gt;MAX(MORTALITY!$A:$A),"",Inputs!$B$4))</f>
        <v>34</v>
      </c>
      <c r="B702" s="3" t="n">
        <f aca="false">IF(A702="","",EOMONTH(B701,1))</f>
        <v>43039</v>
      </c>
      <c r="C702" s="1" t="n">
        <f aca="false">IF(A702="","",C701+1)</f>
        <v>700</v>
      </c>
      <c r="D702" s="1" t="n">
        <f aca="false">IF(A702="","",INT(C702/12))</f>
        <v>58</v>
      </c>
      <c r="E702" s="1" t="n">
        <f aca="false">IF(A702="","",D702+Inputs!$B$7)</f>
        <v>74</v>
      </c>
      <c r="F702" s="3" t="n">
        <f aca="false">IF(A702="","",DATE(YEAR(B$2)+D702,MONTH(B$2),DAY(B$2)))</f>
        <v>42891</v>
      </c>
      <c r="G702" s="3" t="n">
        <f aca="false">IF(A702="","",DATE(YEAR(F702)+1,MONTH(F702),DAY(F702)))</f>
        <v>43256</v>
      </c>
      <c r="H702" s="10" t="n">
        <f aca="false">IF(A702="","",IF(G702&gt;F702,(B702-F702)/(G702-F702),0))</f>
        <v>0.405479452054795</v>
      </c>
      <c r="I702" s="10" t="n">
        <f aca="false">IF(A702="","",IFERROR(INDEX(CV_RATES!$I:$I,MATCH(D702,CV_RATES!$C:$C,0)),0))</f>
        <v>832.579736405687</v>
      </c>
      <c r="J702" s="10" t="n">
        <f aca="false">IF(A702="","",IFERROR(IF(E702=MAX(MORTALITY!$A:$A),1000,INDEX(CV_RATES!$J:$J,MATCH(D702,CV_RATES!$C:$C,0))),0))</f>
        <v>840.331772090558</v>
      </c>
      <c r="K702" s="10" t="n">
        <f aca="false">IF(A702="","",IFERROR(I702+H702*(J702-I702),0))</f>
        <v>835.723027587498</v>
      </c>
      <c r="L702" s="10" t="n">
        <f aca="false">IF(A702="","",IFERROR(K702*Inputs!$B$9,0))</f>
        <v>41786.1513793749</v>
      </c>
      <c r="M702" s="10" t="n">
        <f aca="false">IF(A702="","",IFERROR(K702*Inputs!$B$10,0))</f>
        <v>133713.177244917</v>
      </c>
      <c r="N702" s="10" t="n">
        <f aca="false">IF(A702="","",Z701)</f>
        <v>0</v>
      </c>
      <c r="O702" s="6" t="n">
        <f aca="false">IF(A702="","",Inputs!$B$18+N702)</f>
        <v>50000</v>
      </c>
      <c r="P702" s="5" t="n">
        <f aca="false">IF(A702="","",VLOOKUP(D702,DIvidend_Assumption!$A$3:$CX$103,($E$2+2),0)/12)</f>
        <v>0</v>
      </c>
      <c r="Q702" s="10" t="n">
        <f aca="false">IF(A702="","",IFERROR(AB701*P702,""))</f>
        <v>0</v>
      </c>
      <c r="R702" s="10" t="n">
        <f aca="false">IF(A702="","",IFERROR(IF(Inputs!$B$22="Accumulate",T702+Q702,IF(Inputs!$B$22="Premium Offset",MAX(0,T702+Q702-Inputs!$B$25),T702)),""))</f>
        <v>0</v>
      </c>
      <c r="S702" s="10" t="n">
        <f aca="false">IF(A702="","",R701)</f>
        <v>0</v>
      </c>
      <c r="T702" s="10" t="n">
        <f aca="false">IF(A702="","",IFERROR(S702*(1+Inputs!$B$23/12),""))</f>
        <v>0</v>
      </c>
      <c r="U702" s="6" t="n">
        <f aca="false">IF(A702="","",IF(D702&lt;=Inputs!$B$8,IF(Inputs!$B$22="Premium Offset",MAX(0,Inputs!$B$25-(Q702+T702)),Inputs!$B$25),0))</f>
        <v>0</v>
      </c>
      <c r="V702" s="10" t="n">
        <f aca="false">IF(A702="","",IF(Inputs!$B$22="Cash",Q702,0))</f>
        <v>0</v>
      </c>
      <c r="W702" s="10" t="n">
        <f aca="false">IF(A702="","",IF(Inputs!$B$22="PUA",Q702,0))</f>
        <v>0</v>
      </c>
      <c r="X702" s="12" t="n">
        <f aca="false">IF(A702="","",IFERROR(INDEX(PUA_TABLE!$D$4:$D$105,MATCH(E702,PUA_TABLE!$C$4:$C$105,1)),0))</f>
        <v>0.832579736405687</v>
      </c>
      <c r="Y702" s="10" t="n">
        <f aca="false">IF(A702="","",IF(W702&gt;0,IF(X702&gt;0,W702/X702,0),0))</f>
        <v>0</v>
      </c>
      <c r="Z702" s="10" t="n">
        <f aca="false">IF(A702="","",N702+Y702)</f>
        <v>0</v>
      </c>
      <c r="AA702" s="10" t="n">
        <f aca="false">IF(A702="","",IFERROR(Z702*INDEX(PUA_TABLE!$I$4:$I$105,MATCH(E702,PUA_TABLE!$C$4:$C$105,1))/1000,0))</f>
        <v>0</v>
      </c>
      <c r="AB702" s="10" t="n">
        <f aca="false">IF(A702="","",IFERROR(L702+AA702,0))</f>
        <v>41786.1513793749</v>
      </c>
      <c r="AC702" s="10" t="n">
        <f aca="false">IF(A702="","",IF(Inputs!$B$22="Premium Offset",MIN(Inputs!$B$25,Q702+T702),0))</f>
        <v>0</v>
      </c>
    </row>
    <row r="703" customFormat="false" ht="15" hidden="false" customHeight="false" outlineLevel="0" collapsed="false">
      <c r="A703" s="1" t="n">
        <f aca="false">IF(A702="","",IF(INT((C702+1)/12)+Inputs!$B$7&gt;MAX(MORTALITY!$A:$A),"",Inputs!$B$4))</f>
        <v>34</v>
      </c>
      <c r="B703" s="3" t="n">
        <f aca="false">IF(A703="","",EOMONTH(B702,1))</f>
        <v>43069</v>
      </c>
      <c r="C703" s="1" t="n">
        <f aca="false">IF(A703="","",C702+1)</f>
        <v>701</v>
      </c>
      <c r="D703" s="1" t="n">
        <f aca="false">IF(A703="","",INT(C703/12))</f>
        <v>58</v>
      </c>
      <c r="E703" s="1" t="n">
        <f aca="false">IF(A703="","",D703+Inputs!$B$7)</f>
        <v>74</v>
      </c>
      <c r="F703" s="3" t="n">
        <f aca="false">IF(A703="","",DATE(YEAR(B$2)+D703,MONTH(B$2),DAY(B$2)))</f>
        <v>42891</v>
      </c>
      <c r="G703" s="3" t="n">
        <f aca="false">IF(A703="","",DATE(YEAR(F703)+1,MONTH(F703),DAY(F703)))</f>
        <v>43256</v>
      </c>
      <c r="H703" s="10" t="n">
        <f aca="false">IF(A703="","",IF(G703&gt;F703,(B703-F703)/(G703-F703),0))</f>
        <v>0.487671232876712</v>
      </c>
      <c r="I703" s="10" t="n">
        <f aca="false">IF(A703="","",IFERROR(INDEX(CV_RATES!$I:$I,MATCH(D703,CV_RATES!$C:$C,0)),0))</f>
        <v>832.579736405687</v>
      </c>
      <c r="J703" s="10" t="n">
        <f aca="false">IF(A703="","",IFERROR(IF(E703=MAX(MORTALITY!$A:$A),1000,INDEX(CV_RATES!$J:$J,MATCH(D703,CV_RATES!$C:$C,0))),0))</f>
        <v>840.331772090558</v>
      </c>
      <c r="K703" s="10" t="n">
        <f aca="false">IF(A703="","",IFERROR(I703+H703*(J703-I703),0))</f>
        <v>836.360181205433</v>
      </c>
      <c r="L703" s="10" t="n">
        <f aca="false">IF(A703="","",IFERROR(K703*Inputs!$B$9,0))</f>
        <v>41818.0090602716</v>
      </c>
      <c r="M703" s="10" t="n">
        <f aca="false">IF(A703="","",IFERROR(K703*Inputs!$B$10,0))</f>
        <v>133815.119912326</v>
      </c>
      <c r="N703" s="10" t="n">
        <f aca="false">IF(A703="","",Z702)</f>
        <v>0</v>
      </c>
      <c r="O703" s="6" t="n">
        <f aca="false">IF(A703="","",Inputs!$B$18+N703)</f>
        <v>50000</v>
      </c>
      <c r="P703" s="5" t="n">
        <f aca="false">IF(A703="","",VLOOKUP(D703,DIvidend_Assumption!$A$3:$CX$103,($E$2+2),0)/12)</f>
        <v>0</v>
      </c>
      <c r="Q703" s="10" t="n">
        <f aca="false">IF(A703="","",IFERROR(AB702*P703,""))</f>
        <v>0</v>
      </c>
      <c r="R703" s="10" t="n">
        <f aca="false">IF(A703="","",IFERROR(IF(Inputs!$B$22="Accumulate",T703+Q703,IF(Inputs!$B$22="Premium Offset",MAX(0,T703+Q703-Inputs!$B$25),T703)),""))</f>
        <v>0</v>
      </c>
      <c r="S703" s="10" t="n">
        <f aca="false">IF(A703="","",R702)</f>
        <v>0</v>
      </c>
      <c r="T703" s="10" t="n">
        <f aca="false">IF(A703="","",IFERROR(S703*(1+Inputs!$B$23/12),""))</f>
        <v>0</v>
      </c>
      <c r="U703" s="6" t="n">
        <f aca="false">IF(A703="","",IF(D703&lt;=Inputs!$B$8,IF(Inputs!$B$22="Premium Offset",MAX(0,Inputs!$B$25-(Q703+T703)),Inputs!$B$25),0))</f>
        <v>0</v>
      </c>
      <c r="V703" s="10" t="n">
        <f aca="false">IF(A703="","",IF(Inputs!$B$22="Cash",Q703,0))</f>
        <v>0</v>
      </c>
      <c r="W703" s="10" t="n">
        <f aca="false">IF(A703="","",IF(Inputs!$B$22="PUA",Q703,0))</f>
        <v>0</v>
      </c>
      <c r="X703" s="12" t="n">
        <f aca="false">IF(A703="","",IFERROR(INDEX(PUA_TABLE!$D$4:$D$105,MATCH(E703,PUA_TABLE!$C$4:$C$105,1)),0))</f>
        <v>0.832579736405687</v>
      </c>
      <c r="Y703" s="10" t="n">
        <f aca="false">IF(A703="","",IF(W703&gt;0,IF(X703&gt;0,W703/X703,0),0))</f>
        <v>0</v>
      </c>
      <c r="Z703" s="10" t="n">
        <f aca="false">IF(A703="","",N703+Y703)</f>
        <v>0</v>
      </c>
      <c r="AA703" s="10" t="n">
        <f aca="false">IF(A703="","",IFERROR(Z703*INDEX(PUA_TABLE!$I$4:$I$105,MATCH(E703,PUA_TABLE!$C$4:$C$105,1))/1000,0))</f>
        <v>0</v>
      </c>
      <c r="AB703" s="10" t="n">
        <f aca="false">IF(A703="","",IFERROR(L703+AA703,0))</f>
        <v>41818.0090602716</v>
      </c>
      <c r="AC703" s="10" t="n">
        <f aca="false">IF(A703="","",IF(Inputs!$B$22="Premium Offset",MIN(Inputs!$B$25,Q703+T703),0))</f>
        <v>0</v>
      </c>
    </row>
    <row r="704" customFormat="false" ht="15" hidden="false" customHeight="false" outlineLevel="0" collapsed="false">
      <c r="A704" s="1" t="n">
        <f aca="false">IF(A703="","",IF(INT((C703+1)/12)+Inputs!$B$7&gt;MAX(MORTALITY!$A:$A),"",Inputs!$B$4))</f>
        <v>34</v>
      </c>
      <c r="B704" s="3" t="n">
        <f aca="false">IF(A704="","",EOMONTH(B703,1))</f>
        <v>43100</v>
      </c>
      <c r="C704" s="1" t="n">
        <f aca="false">IF(A704="","",C703+1)</f>
        <v>702</v>
      </c>
      <c r="D704" s="1" t="n">
        <f aca="false">IF(A704="","",INT(C704/12))</f>
        <v>58</v>
      </c>
      <c r="E704" s="1" t="n">
        <f aca="false">IF(A704="","",D704+Inputs!$B$7)</f>
        <v>74</v>
      </c>
      <c r="F704" s="3" t="n">
        <f aca="false">IF(A704="","",DATE(YEAR(B$2)+D704,MONTH(B$2),DAY(B$2)))</f>
        <v>42891</v>
      </c>
      <c r="G704" s="3" t="n">
        <f aca="false">IF(A704="","",DATE(YEAR(F704)+1,MONTH(F704),DAY(F704)))</f>
        <v>43256</v>
      </c>
      <c r="H704" s="10" t="n">
        <f aca="false">IF(A704="","",IF(G704&gt;F704,(B704-F704)/(G704-F704),0))</f>
        <v>0.572602739726027</v>
      </c>
      <c r="I704" s="10" t="n">
        <f aca="false">IF(A704="","",IFERROR(INDEX(CV_RATES!$I:$I,MATCH(D704,CV_RATES!$C:$C,0)),0))</f>
        <v>832.579736405687</v>
      </c>
      <c r="J704" s="10" t="n">
        <f aca="false">IF(A704="","",IFERROR(IF(E704=MAX(MORTALITY!$A:$A),1000,INDEX(CV_RATES!$J:$J,MATCH(D704,CV_RATES!$C:$C,0))),0))</f>
        <v>840.331772090558</v>
      </c>
      <c r="K704" s="10" t="n">
        <f aca="false">IF(A704="","",IFERROR(I704+H704*(J704-I704),0))</f>
        <v>837.018573277298</v>
      </c>
      <c r="L704" s="10" t="n">
        <f aca="false">IF(A704="","",IFERROR(K704*Inputs!$B$9,0))</f>
        <v>41850.9286638649</v>
      </c>
      <c r="M704" s="10" t="n">
        <f aca="false">IF(A704="","",IFERROR(K704*Inputs!$B$10,0))</f>
        <v>133920.460668648</v>
      </c>
      <c r="N704" s="10" t="n">
        <f aca="false">IF(A704="","",Z703)</f>
        <v>0</v>
      </c>
      <c r="O704" s="6" t="n">
        <f aca="false">IF(A704="","",Inputs!$B$18+N704)</f>
        <v>50000</v>
      </c>
      <c r="P704" s="5" t="n">
        <f aca="false">IF(A704="","",VLOOKUP(D704,DIvidend_Assumption!$A$3:$CX$103,($E$2+2),0)/12)</f>
        <v>0</v>
      </c>
      <c r="Q704" s="10" t="n">
        <f aca="false">IF(A704="","",IFERROR(AB703*P704,""))</f>
        <v>0</v>
      </c>
      <c r="R704" s="10" t="n">
        <f aca="false">IF(A704="","",IFERROR(IF(Inputs!$B$22="Accumulate",T704+Q704,IF(Inputs!$B$22="Premium Offset",MAX(0,T704+Q704-Inputs!$B$25),T704)),""))</f>
        <v>0</v>
      </c>
      <c r="S704" s="10" t="n">
        <f aca="false">IF(A704="","",R703)</f>
        <v>0</v>
      </c>
      <c r="T704" s="10" t="n">
        <f aca="false">IF(A704="","",IFERROR(S704*(1+Inputs!$B$23/12),""))</f>
        <v>0</v>
      </c>
      <c r="U704" s="6" t="n">
        <f aca="false">IF(A704="","",IF(D704&lt;=Inputs!$B$8,IF(Inputs!$B$22="Premium Offset",MAX(0,Inputs!$B$25-(Q704+T704)),Inputs!$B$25),0))</f>
        <v>0</v>
      </c>
      <c r="V704" s="10" t="n">
        <f aca="false">IF(A704="","",IF(Inputs!$B$22="Cash",Q704,0))</f>
        <v>0</v>
      </c>
      <c r="W704" s="10" t="n">
        <f aca="false">IF(A704="","",IF(Inputs!$B$22="PUA",Q704,0))</f>
        <v>0</v>
      </c>
      <c r="X704" s="12" t="n">
        <f aca="false">IF(A704="","",IFERROR(INDEX(PUA_TABLE!$D$4:$D$105,MATCH(E704,PUA_TABLE!$C$4:$C$105,1)),0))</f>
        <v>0.832579736405687</v>
      </c>
      <c r="Y704" s="10" t="n">
        <f aca="false">IF(A704="","",IF(W704&gt;0,IF(X704&gt;0,W704/X704,0),0))</f>
        <v>0</v>
      </c>
      <c r="Z704" s="10" t="n">
        <f aca="false">IF(A704="","",N704+Y704)</f>
        <v>0</v>
      </c>
      <c r="AA704" s="10" t="n">
        <f aca="false">IF(A704="","",IFERROR(Z704*INDEX(PUA_TABLE!$I$4:$I$105,MATCH(E704,PUA_TABLE!$C$4:$C$105,1))/1000,0))</f>
        <v>0</v>
      </c>
      <c r="AB704" s="10" t="n">
        <f aca="false">IF(A704="","",IFERROR(L704+AA704,0))</f>
        <v>41850.9286638649</v>
      </c>
      <c r="AC704" s="10" t="n">
        <f aca="false">IF(A704="","",IF(Inputs!$B$22="Premium Offset",MIN(Inputs!$B$25,Q704+T704),0))</f>
        <v>0</v>
      </c>
    </row>
    <row r="705" customFormat="false" ht="15" hidden="false" customHeight="false" outlineLevel="0" collapsed="false">
      <c r="A705" s="1" t="n">
        <f aca="false">IF(A704="","",IF(INT((C704+1)/12)+Inputs!$B$7&gt;MAX(MORTALITY!$A:$A),"",Inputs!$B$4))</f>
        <v>34</v>
      </c>
      <c r="B705" s="3" t="n">
        <f aca="false">IF(A705="","",EOMONTH(B704,1))</f>
        <v>43131</v>
      </c>
      <c r="C705" s="1" t="n">
        <f aca="false">IF(A705="","",C704+1)</f>
        <v>703</v>
      </c>
      <c r="D705" s="1" t="n">
        <f aca="false">IF(A705="","",INT(C705/12))</f>
        <v>58</v>
      </c>
      <c r="E705" s="1" t="n">
        <f aca="false">IF(A705="","",D705+Inputs!$B$7)</f>
        <v>74</v>
      </c>
      <c r="F705" s="3" t="n">
        <f aca="false">IF(A705="","",DATE(YEAR(B$2)+D705,MONTH(B$2),DAY(B$2)))</f>
        <v>42891</v>
      </c>
      <c r="G705" s="3" t="n">
        <f aca="false">IF(A705="","",DATE(YEAR(F705)+1,MONTH(F705),DAY(F705)))</f>
        <v>43256</v>
      </c>
      <c r="H705" s="10" t="n">
        <f aca="false">IF(A705="","",IF(G705&gt;F705,(B705-F705)/(G705-F705),0))</f>
        <v>0.657534246575342</v>
      </c>
      <c r="I705" s="10" t="n">
        <f aca="false">IF(A705="","",IFERROR(INDEX(CV_RATES!$I:$I,MATCH(D705,CV_RATES!$C:$C,0)),0))</f>
        <v>832.579736405687</v>
      </c>
      <c r="J705" s="10" t="n">
        <f aca="false">IF(A705="","",IFERROR(IF(E705=MAX(MORTALITY!$A:$A),1000,INDEX(CV_RATES!$J:$J,MATCH(D705,CV_RATES!$C:$C,0))),0))</f>
        <v>840.331772090558</v>
      </c>
      <c r="K705" s="10" t="n">
        <f aca="false">IF(A705="","",IFERROR(I705+H705*(J705-I705),0))</f>
        <v>837.676965349164</v>
      </c>
      <c r="L705" s="10" t="n">
        <f aca="false">IF(A705="","",IFERROR(K705*Inputs!$B$9,0))</f>
        <v>41883.8482674582</v>
      </c>
      <c r="M705" s="10" t="n">
        <f aca="false">IF(A705="","",IFERROR(K705*Inputs!$B$10,0))</f>
        <v>134025.80142497</v>
      </c>
      <c r="N705" s="10" t="n">
        <f aca="false">IF(A705="","",Z704)</f>
        <v>0</v>
      </c>
      <c r="O705" s="6" t="n">
        <f aca="false">IF(A705="","",Inputs!$B$18+N705)</f>
        <v>50000</v>
      </c>
      <c r="P705" s="5" t="n">
        <f aca="false">IF(A705="","",VLOOKUP(D705,DIvidend_Assumption!$A$3:$CX$103,($E$2+2),0)/12)</f>
        <v>0</v>
      </c>
      <c r="Q705" s="10" t="n">
        <f aca="false">IF(A705="","",IFERROR(AB704*P705,""))</f>
        <v>0</v>
      </c>
      <c r="R705" s="10" t="n">
        <f aca="false">IF(A705="","",IFERROR(IF(Inputs!$B$22="Accumulate",T705+Q705,IF(Inputs!$B$22="Premium Offset",MAX(0,T705+Q705-Inputs!$B$25),T705)),""))</f>
        <v>0</v>
      </c>
      <c r="S705" s="10" t="n">
        <f aca="false">IF(A705="","",R704)</f>
        <v>0</v>
      </c>
      <c r="T705" s="10" t="n">
        <f aca="false">IF(A705="","",IFERROR(S705*(1+Inputs!$B$23/12),""))</f>
        <v>0</v>
      </c>
      <c r="U705" s="6" t="n">
        <f aca="false">IF(A705="","",IF(D705&lt;=Inputs!$B$8,IF(Inputs!$B$22="Premium Offset",MAX(0,Inputs!$B$25-(Q705+T705)),Inputs!$B$25),0))</f>
        <v>0</v>
      </c>
      <c r="V705" s="10" t="n">
        <f aca="false">IF(A705="","",IF(Inputs!$B$22="Cash",Q705,0))</f>
        <v>0</v>
      </c>
      <c r="W705" s="10" t="n">
        <f aca="false">IF(A705="","",IF(Inputs!$B$22="PUA",Q705,0))</f>
        <v>0</v>
      </c>
      <c r="X705" s="12" t="n">
        <f aca="false">IF(A705="","",IFERROR(INDEX(PUA_TABLE!$D$4:$D$105,MATCH(E705,PUA_TABLE!$C$4:$C$105,1)),0))</f>
        <v>0.832579736405687</v>
      </c>
      <c r="Y705" s="10" t="n">
        <f aca="false">IF(A705="","",IF(W705&gt;0,IF(X705&gt;0,W705/X705,0),0))</f>
        <v>0</v>
      </c>
      <c r="Z705" s="10" t="n">
        <f aca="false">IF(A705="","",N705+Y705)</f>
        <v>0</v>
      </c>
      <c r="AA705" s="10" t="n">
        <f aca="false">IF(A705="","",IFERROR(Z705*INDEX(PUA_TABLE!$I$4:$I$105,MATCH(E705,PUA_TABLE!$C$4:$C$105,1))/1000,0))</f>
        <v>0</v>
      </c>
      <c r="AB705" s="10" t="n">
        <f aca="false">IF(A705="","",IFERROR(L705+AA705,0))</f>
        <v>41883.8482674582</v>
      </c>
      <c r="AC705" s="10" t="n">
        <f aca="false">IF(A705="","",IF(Inputs!$B$22="Premium Offset",MIN(Inputs!$B$25,Q705+T705),0))</f>
        <v>0</v>
      </c>
    </row>
    <row r="706" customFormat="false" ht="15" hidden="false" customHeight="false" outlineLevel="0" collapsed="false">
      <c r="A706" s="1" t="n">
        <f aca="false">IF(A705="","",IF(INT((C705+1)/12)+Inputs!$B$7&gt;MAX(MORTALITY!$A:$A),"",Inputs!$B$4))</f>
        <v>34</v>
      </c>
      <c r="B706" s="3" t="n">
        <f aca="false">IF(A706="","",EOMONTH(B705,1))</f>
        <v>43159</v>
      </c>
      <c r="C706" s="1" t="n">
        <f aca="false">IF(A706="","",C705+1)</f>
        <v>704</v>
      </c>
      <c r="D706" s="1" t="n">
        <f aca="false">IF(A706="","",INT(C706/12))</f>
        <v>58</v>
      </c>
      <c r="E706" s="1" t="n">
        <f aca="false">IF(A706="","",D706+Inputs!$B$7)</f>
        <v>74</v>
      </c>
      <c r="F706" s="3" t="n">
        <f aca="false">IF(A706="","",DATE(YEAR(B$2)+D706,MONTH(B$2),DAY(B$2)))</f>
        <v>42891</v>
      </c>
      <c r="G706" s="3" t="n">
        <f aca="false">IF(A706="","",DATE(YEAR(F706)+1,MONTH(F706),DAY(F706)))</f>
        <v>43256</v>
      </c>
      <c r="H706" s="10" t="n">
        <f aca="false">IF(A706="","",IF(G706&gt;F706,(B706-F706)/(G706-F706),0))</f>
        <v>0.734246575342466</v>
      </c>
      <c r="I706" s="10" t="n">
        <f aca="false">IF(A706="","",IFERROR(INDEX(CV_RATES!$I:$I,MATCH(D706,CV_RATES!$C:$C,0)),0))</f>
        <v>832.579736405687</v>
      </c>
      <c r="J706" s="10" t="n">
        <f aca="false">IF(A706="","",IFERROR(IF(E706=MAX(MORTALITY!$A:$A),1000,INDEX(CV_RATES!$J:$J,MATCH(D706,CV_RATES!$C:$C,0))),0))</f>
        <v>840.331772090558</v>
      </c>
      <c r="K706" s="10" t="n">
        <f aca="false">IF(A706="","",IFERROR(I706+H706*(J706-I706),0))</f>
        <v>838.271642059236</v>
      </c>
      <c r="L706" s="10" t="n">
        <f aca="false">IF(A706="","",IFERROR(K706*Inputs!$B$9,0))</f>
        <v>41913.5821029618</v>
      </c>
      <c r="M706" s="10" t="n">
        <f aca="false">IF(A706="","",IFERROR(K706*Inputs!$B$10,0))</f>
        <v>134120.947914552</v>
      </c>
      <c r="N706" s="10" t="n">
        <f aca="false">IF(A706="","",Z705)</f>
        <v>0</v>
      </c>
      <c r="O706" s="6" t="n">
        <f aca="false">IF(A706="","",Inputs!$B$18+N706)</f>
        <v>50000</v>
      </c>
      <c r="P706" s="5" t="n">
        <f aca="false">IF(A706="","",VLOOKUP(D706,DIvidend_Assumption!$A$3:$CX$103,($E$2+2),0)/12)</f>
        <v>0</v>
      </c>
      <c r="Q706" s="10" t="n">
        <f aca="false">IF(A706="","",IFERROR(AB705*P706,""))</f>
        <v>0</v>
      </c>
      <c r="R706" s="10" t="n">
        <f aca="false">IF(A706="","",IFERROR(IF(Inputs!$B$22="Accumulate",T706+Q706,IF(Inputs!$B$22="Premium Offset",MAX(0,T706+Q706-Inputs!$B$25),T706)),""))</f>
        <v>0</v>
      </c>
      <c r="S706" s="10" t="n">
        <f aca="false">IF(A706="","",R705)</f>
        <v>0</v>
      </c>
      <c r="T706" s="10" t="n">
        <f aca="false">IF(A706="","",IFERROR(S706*(1+Inputs!$B$23/12),""))</f>
        <v>0</v>
      </c>
      <c r="U706" s="6" t="n">
        <f aca="false">IF(A706="","",IF(D706&lt;=Inputs!$B$8,IF(Inputs!$B$22="Premium Offset",MAX(0,Inputs!$B$25-(Q706+T706)),Inputs!$B$25),0))</f>
        <v>0</v>
      </c>
      <c r="V706" s="10" t="n">
        <f aca="false">IF(A706="","",IF(Inputs!$B$22="Cash",Q706,0))</f>
        <v>0</v>
      </c>
      <c r="W706" s="10" t="n">
        <f aca="false">IF(A706="","",IF(Inputs!$B$22="PUA",Q706,0))</f>
        <v>0</v>
      </c>
      <c r="X706" s="12" t="n">
        <f aca="false">IF(A706="","",IFERROR(INDEX(PUA_TABLE!$D$4:$D$105,MATCH(E706,PUA_TABLE!$C$4:$C$105,1)),0))</f>
        <v>0.832579736405687</v>
      </c>
      <c r="Y706" s="10" t="n">
        <f aca="false">IF(A706="","",IF(W706&gt;0,IF(X706&gt;0,W706/X706,0),0))</f>
        <v>0</v>
      </c>
      <c r="Z706" s="10" t="n">
        <f aca="false">IF(A706="","",N706+Y706)</f>
        <v>0</v>
      </c>
      <c r="AA706" s="10" t="n">
        <f aca="false">IF(A706="","",IFERROR(Z706*INDEX(PUA_TABLE!$I$4:$I$105,MATCH(E706,PUA_TABLE!$C$4:$C$105,1))/1000,0))</f>
        <v>0</v>
      </c>
      <c r="AB706" s="10" t="n">
        <f aca="false">IF(A706="","",IFERROR(L706+AA706,0))</f>
        <v>41913.5821029618</v>
      </c>
      <c r="AC706" s="10" t="n">
        <f aca="false">IF(A706="","",IF(Inputs!$B$22="Premium Offset",MIN(Inputs!$B$25,Q706+T706),0))</f>
        <v>0</v>
      </c>
    </row>
    <row r="707" customFormat="false" ht="15" hidden="false" customHeight="false" outlineLevel="0" collapsed="false">
      <c r="A707" s="1" t="n">
        <f aca="false">IF(A706="","",IF(INT((C706+1)/12)+Inputs!$B$7&gt;MAX(MORTALITY!$A:$A),"",Inputs!$B$4))</f>
        <v>34</v>
      </c>
      <c r="B707" s="3" t="n">
        <f aca="false">IF(A707="","",EOMONTH(B706,1))</f>
        <v>43190</v>
      </c>
      <c r="C707" s="1" t="n">
        <f aca="false">IF(A707="","",C706+1)</f>
        <v>705</v>
      </c>
      <c r="D707" s="1" t="n">
        <f aca="false">IF(A707="","",INT(C707/12))</f>
        <v>58</v>
      </c>
      <c r="E707" s="1" t="n">
        <f aca="false">IF(A707="","",D707+Inputs!$B$7)</f>
        <v>74</v>
      </c>
      <c r="F707" s="3" t="n">
        <f aca="false">IF(A707="","",DATE(YEAR(B$2)+D707,MONTH(B$2),DAY(B$2)))</f>
        <v>42891</v>
      </c>
      <c r="G707" s="3" t="n">
        <f aca="false">IF(A707="","",DATE(YEAR(F707)+1,MONTH(F707),DAY(F707)))</f>
        <v>43256</v>
      </c>
      <c r="H707" s="10" t="n">
        <f aca="false">IF(A707="","",IF(G707&gt;F707,(B707-F707)/(G707-F707),0))</f>
        <v>0.819178082191781</v>
      </c>
      <c r="I707" s="10" t="n">
        <f aca="false">IF(A707="","",IFERROR(INDEX(CV_RATES!$I:$I,MATCH(D707,CV_RATES!$C:$C,0)),0))</f>
        <v>832.579736405687</v>
      </c>
      <c r="J707" s="10" t="n">
        <f aca="false">IF(A707="","",IFERROR(IF(E707=MAX(MORTALITY!$A:$A),1000,INDEX(CV_RATES!$J:$J,MATCH(D707,CV_RATES!$C:$C,0))),0))</f>
        <v>840.331772090558</v>
      </c>
      <c r="K707" s="10" t="n">
        <f aca="false">IF(A707="","",IFERROR(I707+H707*(J707-I707),0))</f>
        <v>838.930034131102</v>
      </c>
      <c r="L707" s="10" t="n">
        <f aca="false">IF(A707="","",IFERROR(K707*Inputs!$B$9,0))</f>
        <v>41946.5017065551</v>
      </c>
      <c r="M707" s="10" t="n">
        <f aca="false">IF(A707="","",IFERROR(K707*Inputs!$B$10,0))</f>
        <v>134226.288670874</v>
      </c>
      <c r="N707" s="10" t="n">
        <f aca="false">IF(A707="","",Z706)</f>
        <v>0</v>
      </c>
      <c r="O707" s="6" t="n">
        <f aca="false">IF(A707="","",Inputs!$B$18+N707)</f>
        <v>50000</v>
      </c>
      <c r="P707" s="5" t="n">
        <f aca="false">IF(A707="","",VLOOKUP(D707,DIvidend_Assumption!$A$3:$CX$103,($E$2+2),0)/12)</f>
        <v>0</v>
      </c>
      <c r="Q707" s="10" t="n">
        <f aca="false">IF(A707="","",IFERROR(AB706*P707,""))</f>
        <v>0</v>
      </c>
      <c r="R707" s="10" t="n">
        <f aca="false">IF(A707="","",IFERROR(IF(Inputs!$B$22="Accumulate",T707+Q707,IF(Inputs!$B$22="Premium Offset",MAX(0,T707+Q707-Inputs!$B$25),T707)),""))</f>
        <v>0</v>
      </c>
      <c r="S707" s="10" t="n">
        <f aca="false">IF(A707="","",R706)</f>
        <v>0</v>
      </c>
      <c r="T707" s="10" t="n">
        <f aca="false">IF(A707="","",IFERROR(S707*(1+Inputs!$B$23/12),""))</f>
        <v>0</v>
      </c>
      <c r="U707" s="6" t="n">
        <f aca="false">IF(A707="","",IF(D707&lt;=Inputs!$B$8,IF(Inputs!$B$22="Premium Offset",MAX(0,Inputs!$B$25-(Q707+T707)),Inputs!$B$25),0))</f>
        <v>0</v>
      </c>
      <c r="V707" s="10" t="n">
        <f aca="false">IF(A707="","",IF(Inputs!$B$22="Cash",Q707,0))</f>
        <v>0</v>
      </c>
      <c r="W707" s="10" t="n">
        <f aca="false">IF(A707="","",IF(Inputs!$B$22="PUA",Q707,0))</f>
        <v>0</v>
      </c>
      <c r="X707" s="12" t="n">
        <f aca="false">IF(A707="","",IFERROR(INDEX(PUA_TABLE!$D$4:$D$105,MATCH(E707,PUA_TABLE!$C$4:$C$105,1)),0))</f>
        <v>0.832579736405687</v>
      </c>
      <c r="Y707" s="10" t="n">
        <f aca="false">IF(A707="","",IF(W707&gt;0,IF(X707&gt;0,W707/X707,0),0))</f>
        <v>0</v>
      </c>
      <c r="Z707" s="10" t="n">
        <f aca="false">IF(A707="","",N707+Y707)</f>
        <v>0</v>
      </c>
      <c r="AA707" s="10" t="n">
        <f aca="false">IF(A707="","",IFERROR(Z707*INDEX(PUA_TABLE!$I$4:$I$105,MATCH(E707,PUA_TABLE!$C$4:$C$105,1))/1000,0))</f>
        <v>0</v>
      </c>
      <c r="AB707" s="10" t="n">
        <f aca="false">IF(A707="","",IFERROR(L707+AA707,0))</f>
        <v>41946.5017065551</v>
      </c>
      <c r="AC707" s="10" t="n">
        <f aca="false">IF(A707="","",IF(Inputs!$B$22="Premium Offset",MIN(Inputs!$B$25,Q707+T707),0))</f>
        <v>0</v>
      </c>
    </row>
    <row r="708" customFormat="false" ht="15" hidden="false" customHeight="false" outlineLevel="0" collapsed="false">
      <c r="A708" s="1" t="n">
        <f aca="false">IF(A707="","",IF(INT((C707+1)/12)+Inputs!$B$7&gt;MAX(MORTALITY!$A:$A),"",Inputs!$B$4))</f>
        <v>34</v>
      </c>
      <c r="B708" s="3" t="n">
        <f aca="false">IF(A708="","",EOMONTH(B707,1))</f>
        <v>43220</v>
      </c>
      <c r="C708" s="1" t="n">
        <f aca="false">IF(A708="","",C707+1)</f>
        <v>706</v>
      </c>
      <c r="D708" s="1" t="n">
        <f aca="false">IF(A708="","",INT(C708/12))</f>
        <v>58</v>
      </c>
      <c r="E708" s="1" t="n">
        <f aca="false">IF(A708="","",D708+Inputs!$B$7)</f>
        <v>74</v>
      </c>
      <c r="F708" s="3" t="n">
        <f aca="false">IF(A708="","",DATE(YEAR(B$2)+D708,MONTH(B$2),DAY(B$2)))</f>
        <v>42891</v>
      </c>
      <c r="G708" s="3" t="n">
        <f aca="false">IF(A708="","",DATE(YEAR(F708)+1,MONTH(F708),DAY(F708)))</f>
        <v>43256</v>
      </c>
      <c r="H708" s="10" t="n">
        <f aca="false">IF(A708="","",IF(G708&gt;F708,(B708-F708)/(G708-F708),0))</f>
        <v>0.901369863013699</v>
      </c>
      <c r="I708" s="10" t="n">
        <f aca="false">IF(A708="","",IFERROR(INDEX(CV_RATES!$I:$I,MATCH(D708,CV_RATES!$C:$C,0)),0))</f>
        <v>832.579736405687</v>
      </c>
      <c r="J708" s="10" t="n">
        <f aca="false">IF(A708="","",IFERROR(IF(E708=MAX(MORTALITY!$A:$A),1000,INDEX(CV_RATES!$J:$J,MATCH(D708,CV_RATES!$C:$C,0))),0))</f>
        <v>840.331772090558</v>
      </c>
      <c r="K708" s="10" t="n">
        <f aca="false">IF(A708="","",IFERROR(I708+H708*(J708-I708),0))</f>
        <v>839.567187749036</v>
      </c>
      <c r="L708" s="10" t="n">
        <f aca="false">IF(A708="","",IFERROR(K708*Inputs!$B$9,0))</f>
        <v>41978.3593874518</v>
      </c>
      <c r="M708" s="10" t="n">
        <f aca="false">IF(A708="","",IFERROR(K708*Inputs!$B$10,0))</f>
        <v>134328.231338283</v>
      </c>
      <c r="N708" s="10" t="n">
        <f aca="false">IF(A708="","",Z707)</f>
        <v>0</v>
      </c>
      <c r="O708" s="6" t="n">
        <f aca="false">IF(A708="","",Inputs!$B$18+N708)</f>
        <v>50000</v>
      </c>
      <c r="P708" s="5" t="n">
        <f aca="false">IF(A708="","",VLOOKUP(D708,DIvidend_Assumption!$A$3:$CX$103,($E$2+2),0)/12)</f>
        <v>0</v>
      </c>
      <c r="Q708" s="10" t="n">
        <f aca="false">IF(A708="","",IFERROR(AB707*P708,""))</f>
        <v>0</v>
      </c>
      <c r="R708" s="10" t="n">
        <f aca="false">IF(A708="","",IFERROR(IF(Inputs!$B$22="Accumulate",T708+Q708,IF(Inputs!$B$22="Premium Offset",MAX(0,T708+Q708-Inputs!$B$25),T708)),""))</f>
        <v>0</v>
      </c>
      <c r="S708" s="10" t="n">
        <f aca="false">IF(A708="","",R707)</f>
        <v>0</v>
      </c>
      <c r="T708" s="10" t="n">
        <f aca="false">IF(A708="","",IFERROR(S708*(1+Inputs!$B$23/12),""))</f>
        <v>0</v>
      </c>
      <c r="U708" s="6" t="n">
        <f aca="false">IF(A708="","",IF(D708&lt;=Inputs!$B$8,IF(Inputs!$B$22="Premium Offset",MAX(0,Inputs!$B$25-(Q708+T708)),Inputs!$B$25),0))</f>
        <v>0</v>
      </c>
      <c r="V708" s="10" t="n">
        <f aca="false">IF(A708="","",IF(Inputs!$B$22="Cash",Q708,0))</f>
        <v>0</v>
      </c>
      <c r="W708" s="10" t="n">
        <f aca="false">IF(A708="","",IF(Inputs!$B$22="PUA",Q708,0))</f>
        <v>0</v>
      </c>
      <c r="X708" s="12" t="n">
        <f aca="false">IF(A708="","",IFERROR(INDEX(PUA_TABLE!$D$4:$D$105,MATCH(E708,PUA_TABLE!$C$4:$C$105,1)),0))</f>
        <v>0.832579736405687</v>
      </c>
      <c r="Y708" s="10" t="n">
        <f aca="false">IF(A708="","",IF(W708&gt;0,IF(X708&gt;0,W708/X708,0),0))</f>
        <v>0</v>
      </c>
      <c r="Z708" s="10" t="n">
        <f aca="false">IF(A708="","",N708+Y708)</f>
        <v>0</v>
      </c>
      <c r="AA708" s="10" t="n">
        <f aca="false">IF(A708="","",IFERROR(Z708*INDEX(PUA_TABLE!$I$4:$I$105,MATCH(E708,PUA_TABLE!$C$4:$C$105,1))/1000,0))</f>
        <v>0</v>
      </c>
      <c r="AB708" s="10" t="n">
        <f aca="false">IF(A708="","",IFERROR(L708+AA708,0))</f>
        <v>41978.3593874518</v>
      </c>
      <c r="AC708" s="10" t="n">
        <f aca="false">IF(A708="","",IF(Inputs!$B$22="Premium Offset",MIN(Inputs!$B$25,Q708+T708),0))</f>
        <v>0</v>
      </c>
    </row>
    <row r="709" customFormat="false" ht="15" hidden="false" customHeight="false" outlineLevel="0" collapsed="false">
      <c r="A709" s="1" t="n">
        <f aca="false">IF(A708="","",IF(INT((C708+1)/12)+Inputs!$B$7&gt;MAX(MORTALITY!$A:$A),"",Inputs!$B$4))</f>
        <v>34</v>
      </c>
      <c r="B709" s="3" t="n">
        <f aca="false">IF(A709="","",EOMONTH(B708,1))</f>
        <v>43251</v>
      </c>
      <c r="C709" s="1" t="n">
        <f aca="false">IF(A709="","",C708+1)</f>
        <v>707</v>
      </c>
      <c r="D709" s="1" t="n">
        <f aca="false">IF(A709="","",INT(C709/12))</f>
        <v>58</v>
      </c>
      <c r="E709" s="1" t="n">
        <f aca="false">IF(A709="","",D709+Inputs!$B$7)</f>
        <v>74</v>
      </c>
      <c r="F709" s="3" t="n">
        <f aca="false">IF(A709="","",DATE(YEAR(B$2)+D709,MONTH(B$2),DAY(B$2)))</f>
        <v>42891</v>
      </c>
      <c r="G709" s="3" t="n">
        <f aca="false">IF(A709="","",DATE(YEAR(F709)+1,MONTH(F709),DAY(F709)))</f>
        <v>43256</v>
      </c>
      <c r="H709" s="10" t="n">
        <f aca="false">IF(A709="","",IF(G709&gt;F709,(B709-F709)/(G709-F709),0))</f>
        <v>0.986301369863014</v>
      </c>
      <c r="I709" s="10" t="n">
        <f aca="false">IF(A709="","",IFERROR(INDEX(CV_RATES!$I:$I,MATCH(D709,CV_RATES!$C:$C,0)),0))</f>
        <v>832.579736405687</v>
      </c>
      <c r="J709" s="10" t="n">
        <f aca="false">IF(A709="","",IFERROR(IF(E709=MAX(MORTALITY!$A:$A),1000,INDEX(CV_RATES!$J:$J,MATCH(D709,CV_RATES!$C:$C,0))),0))</f>
        <v>840.331772090558</v>
      </c>
      <c r="K709" s="10" t="n">
        <f aca="false">IF(A709="","",IFERROR(I709+H709*(J709-I709),0))</f>
        <v>840.225579820902</v>
      </c>
      <c r="L709" s="10" t="n">
        <f aca="false">IF(A709="","",IFERROR(K709*Inputs!$B$9,0))</f>
        <v>42011.2789910451</v>
      </c>
      <c r="M709" s="10" t="n">
        <f aca="false">IF(A709="","",IFERROR(K709*Inputs!$B$10,0))</f>
        <v>134433.572094605</v>
      </c>
      <c r="N709" s="10" t="n">
        <f aca="false">IF(A709="","",Z708)</f>
        <v>0</v>
      </c>
      <c r="O709" s="6" t="n">
        <f aca="false">IF(A709="","",Inputs!$B$18+N709)</f>
        <v>50000</v>
      </c>
      <c r="P709" s="5" t="n">
        <f aca="false">IF(A709="","",VLOOKUP(D709,DIvidend_Assumption!$A$3:$CX$103,($E$2+2),0)/12)</f>
        <v>0</v>
      </c>
      <c r="Q709" s="10" t="n">
        <f aca="false">IF(A709="","",IFERROR(AB708*P709,""))</f>
        <v>0</v>
      </c>
      <c r="R709" s="10" t="n">
        <f aca="false">IF(A709="","",IFERROR(IF(Inputs!$B$22="Accumulate",T709+Q709,IF(Inputs!$B$22="Premium Offset",MAX(0,T709+Q709-Inputs!$B$25),T709)),""))</f>
        <v>0</v>
      </c>
      <c r="S709" s="10" t="n">
        <f aca="false">IF(A709="","",R708)</f>
        <v>0</v>
      </c>
      <c r="T709" s="10" t="n">
        <f aca="false">IF(A709="","",IFERROR(S709*(1+Inputs!$B$23/12),""))</f>
        <v>0</v>
      </c>
      <c r="U709" s="6" t="n">
        <f aca="false">IF(A709="","",IF(D709&lt;=Inputs!$B$8,IF(Inputs!$B$22="Premium Offset",MAX(0,Inputs!$B$25-(Q709+T709)),Inputs!$B$25),0))</f>
        <v>0</v>
      </c>
      <c r="V709" s="10" t="n">
        <f aca="false">IF(A709="","",IF(Inputs!$B$22="Cash",Q709,0))</f>
        <v>0</v>
      </c>
      <c r="W709" s="10" t="n">
        <f aca="false">IF(A709="","",IF(Inputs!$B$22="PUA",Q709,0))</f>
        <v>0</v>
      </c>
      <c r="X709" s="12" t="n">
        <f aca="false">IF(A709="","",IFERROR(INDEX(PUA_TABLE!$D$4:$D$105,MATCH(E709,PUA_TABLE!$C$4:$C$105,1)),0))</f>
        <v>0.832579736405687</v>
      </c>
      <c r="Y709" s="10" t="n">
        <f aca="false">IF(A709="","",IF(W709&gt;0,IF(X709&gt;0,W709/X709,0),0))</f>
        <v>0</v>
      </c>
      <c r="Z709" s="10" t="n">
        <f aca="false">IF(A709="","",N709+Y709)</f>
        <v>0</v>
      </c>
      <c r="AA709" s="10" t="n">
        <f aca="false">IF(A709="","",IFERROR(Z709*INDEX(PUA_TABLE!$I$4:$I$105,MATCH(E709,PUA_TABLE!$C$4:$C$105,1))/1000,0))</f>
        <v>0</v>
      </c>
      <c r="AB709" s="10" t="n">
        <f aca="false">IF(A709="","",IFERROR(L709+AA709,0))</f>
        <v>42011.2789910451</v>
      </c>
      <c r="AC709" s="10" t="n">
        <f aca="false">IF(A709="","",IF(Inputs!$B$22="Premium Offset",MIN(Inputs!$B$25,Q709+T709),0))</f>
        <v>0</v>
      </c>
    </row>
    <row r="710" customFormat="false" ht="15" hidden="false" customHeight="false" outlineLevel="0" collapsed="false">
      <c r="A710" s="1" t="n">
        <f aca="false">IF(A709="","",IF(INT((C709+1)/12)+Inputs!$B$7&gt;MAX(MORTALITY!$A:$A),"",Inputs!$B$4))</f>
        <v>34</v>
      </c>
      <c r="B710" s="3" t="n">
        <f aca="false">IF(A710="","",EOMONTH(B709,1))</f>
        <v>43281</v>
      </c>
      <c r="C710" s="1" t="n">
        <f aca="false">IF(A710="","",C709+1)</f>
        <v>708</v>
      </c>
      <c r="D710" s="1" t="n">
        <f aca="false">IF(A710="","",INT(C710/12))</f>
        <v>59</v>
      </c>
      <c r="E710" s="1" t="n">
        <f aca="false">IF(A710="","",D710+Inputs!$B$7)</f>
        <v>75</v>
      </c>
      <c r="F710" s="3" t="n">
        <f aca="false">IF(A710="","",DATE(YEAR(B$2)+D710,MONTH(B$2),DAY(B$2)))</f>
        <v>43256</v>
      </c>
      <c r="G710" s="3" t="n">
        <f aca="false">IF(A710="","",DATE(YEAR(F710)+1,MONTH(F710),DAY(F710)))</f>
        <v>43621</v>
      </c>
      <c r="H710" s="10" t="n">
        <f aca="false">IF(A710="","",IF(G710&gt;F710,(B710-F710)/(G710-F710),0))</f>
        <v>0.0684931506849315</v>
      </c>
      <c r="I710" s="10" t="n">
        <f aca="false">IF(A710="","",IFERROR(INDEX(CV_RATES!$I:$I,MATCH(D710,CV_RATES!$C:$C,0)),0))</f>
        <v>840.331772090558</v>
      </c>
      <c r="J710" s="10" t="n">
        <f aca="false">IF(A710="","",IFERROR(IF(E710=MAX(MORTALITY!$A:$A),1000,INDEX(CV_RATES!$J:$J,MATCH(D710,CV_RATES!$C:$C,0))),0))</f>
        <v>847.853829872742</v>
      </c>
      <c r="K710" s="10" t="n">
        <f aca="false">IF(A710="","",IFERROR(I710+H710*(J710-I710),0))</f>
        <v>840.846981527694</v>
      </c>
      <c r="L710" s="10" t="n">
        <f aca="false">IF(A710="","",IFERROR(K710*Inputs!$B$9,0))</f>
        <v>42042.3490763847</v>
      </c>
      <c r="M710" s="10" t="n">
        <f aca="false">IF(A710="","",IFERROR(K710*Inputs!$B$10,0))</f>
        <v>134532.994503486</v>
      </c>
      <c r="N710" s="10" t="n">
        <f aca="false">IF(A710="","",Z709)</f>
        <v>0</v>
      </c>
      <c r="O710" s="6" t="n">
        <f aca="false">IF(A710="","",Inputs!$B$18+N710)</f>
        <v>50000</v>
      </c>
      <c r="P710" s="5" t="n">
        <f aca="false">IF(A710="","",VLOOKUP(D710,DIvidend_Assumption!$A$3:$CX$103,($E$2+2),0)/12)</f>
        <v>0</v>
      </c>
      <c r="Q710" s="10" t="n">
        <f aca="false">IF(A710="","",IFERROR(AB709*P710,""))</f>
        <v>0</v>
      </c>
      <c r="R710" s="10" t="n">
        <f aca="false">IF(A710="","",IFERROR(IF(Inputs!$B$22="Accumulate",T710+Q710,IF(Inputs!$B$22="Premium Offset",MAX(0,T710+Q710-Inputs!$B$25),T710)),""))</f>
        <v>0</v>
      </c>
      <c r="S710" s="10" t="n">
        <f aca="false">IF(A710="","",R709)</f>
        <v>0</v>
      </c>
      <c r="T710" s="10" t="n">
        <f aca="false">IF(A710="","",IFERROR(S710*(1+Inputs!$B$23/12),""))</f>
        <v>0</v>
      </c>
      <c r="U710" s="6" t="n">
        <f aca="false">IF(A710="","",IF(D710&lt;=Inputs!$B$8,IF(Inputs!$B$22="Premium Offset",MAX(0,Inputs!$B$25-(Q710+T710)),Inputs!$B$25),0))</f>
        <v>0</v>
      </c>
      <c r="V710" s="10" t="n">
        <f aca="false">IF(A710="","",IF(Inputs!$B$22="Cash",Q710,0))</f>
        <v>0</v>
      </c>
      <c r="W710" s="10" t="n">
        <f aca="false">IF(A710="","",IF(Inputs!$B$22="PUA",Q710,0))</f>
        <v>0</v>
      </c>
      <c r="X710" s="12" t="n">
        <f aca="false">IF(A710="","",IFERROR(INDEX(PUA_TABLE!$D$4:$D$105,MATCH(E710,PUA_TABLE!$C$4:$C$105,1)),0))</f>
        <v>0.840331772090558</v>
      </c>
      <c r="Y710" s="10" t="n">
        <f aca="false">IF(A710="","",IF(W710&gt;0,IF(X710&gt;0,W710/X710,0),0))</f>
        <v>0</v>
      </c>
      <c r="Z710" s="10" t="n">
        <f aca="false">IF(A710="","",N710+Y710)</f>
        <v>0</v>
      </c>
      <c r="AA710" s="10" t="n">
        <f aca="false">IF(A710="","",IFERROR(Z710*INDEX(PUA_TABLE!$I$4:$I$105,MATCH(E710,PUA_TABLE!$C$4:$C$105,1))/1000,0))</f>
        <v>0</v>
      </c>
      <c r="AB710" s="10" t="n">
        <f aca="false">IF(A710="","",IFERROR(L710+AA710,0))</f>
        <v>42042.3490763847</v>
      </c>
      <c r="AC710" s="10" t="n">
        <f aca="false">IF(A710="","",IF(Inputs!$B$22="Premium Offset",MIN(Inputs!$B$25,Q710+T710),0))</f>
        <v>0</v>
      </c>
    </row>
    <row r="711" customFormat="false" ht="15" hidden="false" customHeight="false" outlineLevel="0" collapsed="false">
      <c r="A711" s="1" t="n">
        <f aca="false">IF(A710="","",IF(INT((C710+1)/12)+Inputs!$B$7&gt;MAX(MORTALITY!$A:$A),"",Inputs!$B$4))</f>
        <v>34</v>
      </c>
      <c r="B711" s="3" t="n">
        <f aca="false">IF(A711="","",EOMONTH(B710,1))</f>
        <v>43312</v>
      </c>
      <c r="C711" s="1" t="n">
        <f aca="false">IF(A711="","",C710+1)</f>
        <v>709</v>
      </c>
      <c r="D711" s="1" t="n">
        <f aca="false">IF(A711="","",INT(C711/12))</f>
        <v>59</v>
      </c>
      <c r="E711" s="1" t="n">
        <f aca="false">IF(A711="","",D711+Inputs!$B$7)</f>
        <v>75</v>
      </c>
      <c r="F711" s="3" t="n">
        <f aca="false">IF(A711="","",DATE(YEAR(B$2)+D711,MONTH(B$2),DAY(B$2)))</f>
        <v>43256</v>
      </c>
      <c r="G711" s="3" t="n">
        <f aca="false">IF(A711="","",DATE(YEAR(F711)+1,MONTH(F711),DAY(F711)))</f>
        <v>43621</v>
      </c>
      <c r="H711" s="10" t="n">
        <f aca="false">IF(A711="","",IF(G711&gt;F711,(B711-F711)/(G711-F711),0))</f>
        <v>0.153424657534247</v>
      </c>
      <c r="I711" s="10" t="n">
        <f aca="false">IF(A711="","",IFERROR(INDEX(CV_RATES!$I:$I,MATCH(D711,CV_RATES!$C:$C,0)),0))</f>
        <v>840.331772090558</v>
      </c>
      <c r="J711" s="10" t="n">
        <f aca="false">IF(A711="","",IFERROR(IF(E711=MAX(MORTALITY!$A:$A),1000,INDEX(CV_RATES!$J:$J,MATCH(D711,CV_RATES!$C:$C,0))),0))</f>
        <v>847.853829872742</v>
      </c>
      <c r="K711" s="10" t="n">
        <f aca="false">IF(A711="","",IFERROR(I711+H711*(J711-I711),0))</f>
        <v>841.485841229742</v>
      </c>
      <c r="L711" s="10" t="n">
        <f aca="false">IF(A711="","",IFERROR(K711*Inputs!$B$9,0))</f>
        <v>42074.2920614871</v>
      </c>
      <c r="M711" s="10" t="n">
        <f aca="false">IF(A711="","",IFERROR(K711*Inputs!$B$10,0))</f>
        <v>134635.210139235</v>
      </c>
      <c r="N711" s="10" t="n">
        <f aca="false">IF(A711="","",Z710)</f>
        <v>0</v>
      </c>
      <c r="O711" s="6" t="n">
        <f aca="false">IF(A711="","",Inputs!$B$18+N711)</f>
        <v>50000</v>
      </c>
      <c r="P711" s="5" t="n">
        <f aca="false">IF(A711="","",VLOOKUP(D711,DIvidend_Assumption!$A$3:$CX$103,($E$2+2),0)/12)</f>
        <v>0</v>
      </c>
      <c r="Q711" s="10" t="n">
        <f aca="false">IF(A711="","",IFERROR(AB710*P711,""))</f>
        <v>0</v>
      </c>
      <c r="R711" s="10" t="n">
        <f aca="false">IF(A711="","",IFERROR(IF(Inputs!$B$22="Accumulate",T711+Q711,IF(Inputs!$B$22="Premium Offset",MAX(0,T711+Q711-Inputs!$B$25),T711)),""))</f>
        <v>0</v>
      </c>
      <c r="S711" s="10" t="n">
        <f aca="false">IF(A711="","",R710)</f>
        <v>0</v>
      </c>
      <c r="T711" s="10" t="n">
        <f aca="false">IF(A711="","",IFERROR(S711*(1+Inputs!$B$23/12),""))</f>
        <v>0</v>
      </c>
      <c r="U711" s="6" t="n">
        <f aca="false">IF(A711="","",IF(D711&lt;=Inputs!$B$8,IF(Inputs!$B$22="Premium Offset",MAX(0,Inputs!$B$25-(Q711+T711)),Inputs!$B$25),0))</f>
        <v>0</v>
      </c>
      <c r="V711" s="10" t="n">
        <f aca="false">IF(A711="","",IF(Inputs!$B$22="Cash",Q711,0))</f>
        <v>0</v>
      </c>
      <c r="W711" s="10" t="n">
        <f aca="false">IF(A711="","",IF(Inputs!$B$22="PUA",Q711,0))</f>
        <v>0</v>
      </c>
      <c r="X711" s="12" t="n">
        <f aca="false">IF(A711="","",IFERROR(INDEX(PUA_TABLE!$D$4:$D$105,MATCH(E711,PUA_TABLE!$C$4:$C$105,1)),0))</f>
        <v>0.840331772090558</v>
      </c>
      <c r="Y711" s="10" t="n">
        <f aca="false">IF(A711="","",IF(W711&gt;0,IF(X711&gt;0,W711/X711,0),0))</f>
        <v>0</v>
      </c>
      <c r="Z711" s="10" t="n">
        <f aca="false">IF(A711="","",N711+Y711)</f>
        <v>0</v>
      </c>
      <c r="AA711" s="10" t="n">
        <f aca="false">IF(A711="","",IFERROR(Z711*INDEX(PUA_TABLE!$I$4:$I$105,MATCH(E711,PUA_TABLE!$C$4:$C$105,1))/1000,0))</f>
        <v>0</v>
      </c>
      <c r="AB711" s="10" t="n">
        <f aca="false">IF(A711="","",IFERROR(L711+AA711,0))</f>
        <v>42074.2920614871</v>
      </c>
      <c r="AC711" s="10" t="n">
        <f aca="false">IF(A711="","",IF(Inputs!$B$22="Premium Offset",MIN(Inputs!$B$25,Q711+T711),0))</f>
        <v>0</v>
      </c>
    </row>
    <row r="712" customFormat="false" ht="15" hidden="false" customHeight="false" outlineLevel="0" collapsed="false">
      <c r="A712" s="1" t="n">
        <f aca="false">IF(A711="","",IF(INT((C711+1)/12)+Inputs!$B$7&gt;MAX(MORTALITY!$A:$A),"",Inputs!$B$4))</f>
        <v>34</v>
      </c>
      <c r="B712" s="3" t="n">
        <f aca="false">IF(A712="","",EOMONTH(B711,1))</f>
        <v>43343</v>
      </c>
      <c r="C712" s="1" t="n">
        <f aca="false">IF(A712="","",C711+1)</f>
        <v>710</v>
      </c>
      <c r="D712" s="1" t="n">
        <f aca="false">IF(A712="","",INT(C712/12))</f>
        <v>59</v>
      </c>
      <c r="E712" s="1" t="n">
        <f aca="false">IF(A712="","",D712+Inputs!$B$7)</f>
        <v>75</v>
      </c>
      <c r="F712" s="3" t="n">
        <f aca="false">IF(A712="","",DATE(YEAR(B$2)+D712,MONTH(B$2),DAY(B$2)))</f>
        <v>43256</v>
      </c>
      <c r="G712" s="3" t="n">
        <f aca="false">IF(A712="","",DATE(YEAR(F712)+1,MONTH(F712),DAY(F712)))</f>
        <v>43621</v>
      </c>
      <c r="H712" s="10" t="n">
        <f aca="false">IF(A712="","",IF(G712&gt;F712,(B712-F712)/(G712-F712),0))</f>
        <v>0.238356164383562</v>
      </c>
      <c r="I712" s="10" t="n">
        <f aca="false">IF(A712="","",IFERROR(INDEX(CV_RATES!$I:$I,MATCH(D712,CV_RATES!$C:$C,0)),0))</f>
        <v>840.331772090558</v>
      </c>
      <c r="J712" s="10" t="n">
        <f aca="false">IF(A712="","",IFERROR(IF(E712=MAX(MORTALITY!$A:$A),1000,INDEX(CV_RATES!$J:$J,MATCH(D712,CV_RATES!$C:$C,0))),0))</f>
        <v>847.853829872742</v>
      </c>
      <c r="K712" s="10" t="n">
        <f aca="false">IF(A712="","",IFERROR(I712+H712*(J712-I712),0))</f>
        <v>842.124700931791</v>
      </c>
      <c r="L712" s="10" t="n">
        <f aca="false">IF(A712="","",IFERROR(K712*Inputs!$B$9,0))</f>
        <v>42106.2350465895</v>
      </c>
      <c r="M712" s="10" t="n">
        <f aca="false">IF(A712="","",IFERROR(K712*Inputs!$B$10,0))</f>
        <v>134737.425774984</v>
      </c>
      <c r="N712" s="10" t="n">
        <f aca="false">IF(A712="","",Z711)</f>
        <v>0</v>
      </c>
      <c r="O712" s="6" t="n">
        <f aca="false">IF(A712="","",Inputs!$B$18+N712)</f>
        <v>50000</v>
      </c>
      <c r="P712" s="5" t="n">
        <f aca="false">IF(A712="","",VLOOKUP(D712,DIvidend_Assumption!$A$3:$CX$103,($E$2+2),0)/12)</f>
        <v>0</v>
      </c>
      <c r="Q712" s="10" t="n">
        <f aca="false">IF(A712="","",IFERROR(AB711*P712,""))</f>
        <v>0</v>
      </c>
      <c r="R712" s="10" t="n">
        <f aca="false">IF(A712="","",IFERROR(IF(Inputs!$B$22="Accumulate",T712+Q712,IF(Inputs!$B$22="Premium Offset",MAX(0,T712+Q712-Inputs!$B$25),T712)),""))</f>
        <v>0</v>
      </c>
      <c r="S712" s="10" t="n">
        <f aca="false">IF(A712="","",R711)</f>
        <v>0</v>
      </c>
      <c r="T712" s="10" t="n">
        <f aca="false">IF(A712="","",IFERROR(S712*(1+Inputs!$B$23/12),""))</f>
        <v>0</v>
      </c>
      <c r="U712" s="6" t="n">
        <f aca="false">IF(A712="","",IF(D712&lt;=Inputs!$B$8,IF(Inputs!$B$22="Premium Offset",MAX(0,Inputs!$B$25-(Q712+T712)),Inputs!$B$25),0))</f>
        <v>0</v>
      </c>
      <c r="V712" s="10" t="n">
        <f aca="false">IF(A712="","",IF(Inputs!$B$22="Cash",Q712,0))</f>
        <v>0</v>
      </c>
      <c r="W712" s="10" t="n">
        <f aca="false">IF(A712="","",IF(Inputs!$B$22="PUA",Q712,0))</f>
        <v>0</v>
      </c>
      <c r="X712" s="12" t="n">
        <f aca="false">IF(A712="","",IFERROR(INDEX(PUA_TABLE!$D$4:$D$105,MATCH(E712,PUA_TABLE!$C$4:$C$105,1)),0))</f>
        <v>0.840331772090558</v>
      </c>
      <c r="Y712" s="10" t="n">
        <f aca="false">IF(A712="","",IF(W712&gt;0,IF(X712&gt;0,W712/X712,0),0))</f>
        <v>0</v>
      </c>
      <c r="Z712" s="10" t="n">
        <f aca="false">IF(A712="","",N712+Y712)</f>
        <v>0</v>
      </c>
      <c r="AA712" s="10" t="n">
        <f aca="false">IF(A712="","",IFERROR(Z712*INDEX(PUA_TABLE!$I$4:$I$105,MATCH(E712,PUA_TABLE!$C$4:$C$105,1))/1000,0))</f>
        <v>0</v>
      </c>
      <c r="AB712" s="10" t="n">
        <f aca="false">IF(A712="","",IFERROR(L712+AA712,0))</f>
        <v>42106.2350465895</v>
      </c>
      <c r="AC712" s="10" t="n">
        <f aca="false">IF(A712="","",IF(Inputs!$B$22="Premium Offset",MIN(Inputs!$B$25,Q712+T712),0))</f>
        <v>0</v>
      </c>
    </row>
    <row r="713" customFormat="false" ht="15" hidden="false" customHeight="false" outlineLevel="0" collapsed="false">
      <c r="A713" s="1" t="n">
        <f aca="false">IF(A712="","",IF(INT((C712+1)/12)+Inputs!$B$7&gt;MAX(MORTALITY!$A:$A),"",Inputs!$B$4))</f>
        <v>34</v>
      </c>
      <c r="B713" s="3" t="n">
        <f aca="false">IF(A713="","",EOMONTH(B712,1))</f>
        <v>43373</v>
      </c>
      <c r="C713" s="1" t="n">
        <f aca="false">IF(A713="","",C712+1)</f>
        <v>711</v>
      </c>
      <c r="D713" s="1" t="n">
        <f aca="false">IF(A713="","",INT(C713/12))</f>
        <v>59</v>
      </c>
      <c r="E713" s="1" t="n">
        <f aca="false">IF(A713="","",D713+Inputs!$B$7)</f>
        <v>75</v>
      </c>
      <c r="F713" s="3" t="n">
        <f aca="false">IF(A713="","",DATE(YEAR(B$2)+D713,MONTH(B$2),DAY(B$2)))</f>
        <v>43256</v>
      </c>
      <c r="G713" s="3" t="n">
        <f aca="false">IF(A713="","",DATE(YEAR(F713)+1,MONTH(F713),DAY(F713)))</f>
        <v>43621</v>
      </c>
      <c r="H713" s="10" t="n">
        <f aca="false">IF(A713="","",IF(G713&gt;F713,(B713-F713)/(G713-F713),0))</f>
        <v>0.320547945205479</v>
      </c>
      <c r="I713" s="10" t="n">
        <f aca="false">IF(A713="","",IFERROR(INDEX(CV_RATES!$I:$I,MATCH(D713,CV_RATES!$C:$C,0)),0))</f>
        <v>840.331772090558</v>
      </c>
      <c r="J713" s="10" t="n">
        <f aca="false">IF(A713="","",IFERROR(IF(E713=MAX(MORTALITY!$A:$A),1000,INDEX(CV_RATES!$J:$J,MATCH(D713,CV_RATES!$C:$C,0))),0))</f>
        <v>847.853829872742</v>
      </c>
      <c r="K713" s="10" t="n">
        <f aca="false">IF(A713="","",IFERROR(I713+H713*(J713-I713),0))</f>
        <v>842.742952256354</v>
      </c>
      <c r="L713" s="10" t="n">
        <f aca="false">IF(A713="","",IFERROR(K713*Inputs!$B$9,0))</f>
        <v>42137.1476128177</v>
      </c>
      <c r="M713" s="10" t="n">
        <f aca="false">IF(A713="","",IFERROR(K713*Inputs!$B$10,0))</f>
        <v>134836.34413216</v>
      </c>
      <c r="N713" s="10" t="n">
        <f aca="false">IF(A713="","",Z712)</f>
        <v>0</v>
      </c>
      <c r="O713" s="6" t="n">
        <f aca="false">IF(A713="","",Inputs!$B$18+N713)</f>
        <v>50000</v>
      </c>
      <c r="P713" s="5" t="n">
        <f aca="false">IF(A713="","",VLOOKUP(D713,DIvidend_Assumption!$A$3:$CX$103,($E$2+2),0)/12)</f>
        <v>0</v>
      </c>
      <c r="Q713" s="10" t="n">
        <f aca="false">IF(A713="","",IFERROR(AB712*P713,""))</f>
        <v>0</v>
      </c>
      <c r="R713" s="10" t="n">
        <f aca="false">IF(A713="","",IFERROR(IF(Inputs!$B$22="Accumulate",T713+Q713,IF(Inputs!$B$22="Premium Offset",MAX(0,T713+Q713-Inputs!$B$25),T713)),""))</f>
        <v>0</v>
      </c>
      <c r="S713" s="10" t="n">
        <f aca="false">IF(A713="","",R712)</f>
        <v>0</v>
      </c>
      <c r="T713" s="10" t="n">
        <f aca="false">IF(A713="","",IFERROR(S713*(1+Inputs!$B$23/12),""))</f>
        <v>0</v>
      </c>
      <c r="U713" s="6" t="n">
        <f aca="false">IF(A713="","",IF(D713&lt;=Inputs!$B$8,IF(Inputs!$B$22="Premium Offset",MAX(0,Inputs!$B$25-(Q713+T713)),Inputs!$B$25),0))</f>
        <v>0</v>
      </c>
      <c r="V713" s="10" t="n">
        <f aca="false">IF(A713="","",IF(Inputs!$B$22="Cash",Q713,0))</f>
        <v>0</v>
      </c>
      <c r="W713" s="10" t="n">
        <f aca="false">IF(A713="","",IF(Inputs!$B$22="PUA",Q713,0))</f>
        <v>0</v>
      </c>
      <c r="X713" s="12" t="n">
        <f aca="false">IF(A713="","",IFERROR(INDEX(PUA_TABLE!$D$4:$D$105,MATCH(E713,PUA_TABLE!$C$4:$C$105,1)),0))</f>
        <v>0.840331772090558</v>
      </c>
      <c r="Y713" s="10" t="n">
        <f aca="false">IF(A713="","",IF(W713&gt;0,IF(X713&gt;0,W713/X713,0),0))</f>
        <v>0</v>
      </c>
      <c r="Z713" s="10" t="n">
        <f aca="false">IF(A713="","",N713+Y713)</f>
        <v>0</v>
      </c>
      <c r="AA713" s="10" t="n">
        <f aca="false">IF(A713="","",IFERROR(Z713*INDEX(PUA_TABLE!$I$4:$I$105,MATCH(E713,PUA_TABLE!$C$4:$C$105,1))/1000,0))</f>
        <v>0</v>
      </c>
      <c r="AB713" s="10" t="n">
        <f aca="false">IF(A713="","",IFERROR(L713+AA713,0))</f>
        <v>42137.1476128177</v>
      </c>
      <c r="AC713" s="10" t="n">
        <f aca="false">IF(A713="","",IF(Inputs!$B$22="Premium Offset",MIN(Inputs!$B$25,Q713+T713),0))</f>
        <v>0</v>
      </c>
    </row>
    <row r="714" customFormat="false" ht="15" hidden="false" customHeight="false" outlineLevel="0" collapsed="false">
      <c r="A714" s="1" t="n">
        <f aca="false">IF(A713="","",IF(INT((C713+1)/12)+Inputs!$B$7&gt;MAX(MORTALITY!$A:$A),"",Inputs!$B$4))</f>
        <v>34</v>
      </c>
      <c r="B714" s="3" t="n">
        <f aca="false">IF(A714="","",EOMONTH(B713,1))</f>
        <v>43404</v>
      </c>
      <c r="C714" s="1" t="n">
        <f aca="false">IF(A714="","",C713+1)</f>
        <v>712</v>
      </c>
      <c r="D714" s="1" t="n">
        <f aca="false">IF(A714="","",INT(C714/12))</f>
        <v>59</v>
      </c>
      <c r="E714" s="1" t="n">
        <f aca="false">IF(A714="","",D714+Inputs!$B$7)</f>
        <v>75</v>
      </c>
      <c r="F714" s="3" t="n">
        <f aca="false">IF(A714="","",DATE(YEAR(B$2)+D714,MONTH(B$2),DAY(B$2)))</f>
        <v>43256</v>
      </c>
      <c r="G714" s="3" t="n">
        <f aca="false">IF(A714="","",DATE(YEAR(F714)+1,MONTH(F714),DAY(F714)))</f>
        <v>43621</v>
      </c>
      <c r="H714" s="10" t="n">
        <f aca="false">IF(A714="","",IF(G714&gt;F714,(B714-F714)/(G714-F714),0))</f>
        <v>0.405479452054795</v>
      </c>
      <c r="I714" s="10" t="n">
        <f aca="false">IF(A714="","",IFERROR(INDEX(CV_RATES!$I:$I,MATCH(D714,CV_RATES!$C:$C,0)),0))</f>
        <v>840.331772090558</v>
      </c>
      <c r="J714" s="10" t="n">
        <f aca="false">IF(A714="","",IFERROR(IF(E714=MAX(MORTALITY!$A:$A),1000,INDEX(CV_RATES!$J:$J,MATCH(D714,CV_RATES!$C:$C,0))),0))</f>
        <v>847.853829872742</v>
      </c>
      <c r="K714" s="10" t="n">
        <f aca="false">IF(A714="","",IFERROR(I714+H714*(J714-I714),0))</f>
        <v>843.381811958402</v>
      </c>
      <c r="L714" s="10" t="n">
        <f aca="false">IF(A714="","",IFERROR(K714*Inputs!$B$9,0))</f>
        <v>42169.0905979201</v>
      </c>
      <c r="M714" s="10" t="n">
        <f aca="false">IF(A714="","",IFERROR(K714*Inputs!$B$10,0))</f>
        <v>134938.559767909</v>
      </c>
      <c r="N714" s="10" t="n">
        <f aca="false">IF(A714="","",Z713)</f>
        <v>0</v>
      </c>
      <c r="O714" s="6" t="n">
        <f aca="false">IF(A714="","",Inputs!$B$18+N714)</f>
        <v>50000</v>
      </c>
      <c r="P714" s="5" t="n">
        <f aca="false">IF(A714="","",VLOOKUP(D714,DIvidend_Assumption!$A$3:$CX$103,($E$2+2),0)/12)</f>
        <v>0</v>
      </c>
      <c r="Q714" s="10" t="n">
        <f aca="false">IF(A714="","",IFERROR(AB713*P714,""))</f>
        <v>0</v>
      </c>
      <c r="R714" s="10" t="n">
        <f aca="false">IF(A714="","",IFERROR(IF(Inputs!$B$22="Accumulate",T714+Q714,IF(Inputs!$B$22="Premium Offset",MAX(0,T714+Q714-Inputs!$B$25),T714)),""))</f>
        <v>0</v>
      </c>
      <c r="S714" s="10" t="n">
        <f aca="false">IF(A714="","",R713)</f>
        <v>0</v>
      </c>
      <c r="T714" s="10" t="n">
        <f aca="false">IF(A714="","",IFERROR(S714*(1+Inputs!$B$23/12),""))</f>
        <v>0</v>
      </c>
      <c r="U714" s="6" t="n">
        <f aca="false">IF(A714="","",IF(D714&lt;=Inputs!$B$8,IF(Inputs!$B$22="Premium Offset",MAX(0,Inputs!$B$25-(Q714+T714)),Inputs!$B$25),0))</f>
        <v>0</v>
      </c>
      <c r="V714" s="10" t="n">
        <f aca="false">IF(A714="","",IF(Inputs!$B$22="Cash",Q714,0))</f>
        <v>0</v>
      </c>
      <c r="W714" s="10" t="n">
        <f aca="false">IF(A714="","",IF(Inputs!$B$22="PUA",Q714,0))</f>
        <v>0</v>
      </c>
      <c r="X714" s="12" t="n">
        <f aca="false">IF(A714="","",IFERROR(INDEX(PUA_TABLE!$D$4:$D$105,MATCH(E714,PUA_TABLE!$C$4:$C$105,1)),0))</f>
        <v>0.840331772090558</v>
      </c>
      <c r="Y714" s="10" t="n">
        <f aca="false">IF(A714="","",IF(W714&gt;0,IF(X714&gt;0,W714/X714,0),0))</f>
        <v>0</v>
      </c>
      <c r="Z714" s="10" t="n">
        <f aca="false">IF(A714="","",N714+Y714)</f>
        <v>0</v>
      </c>
      <c r="AA714" s="10" t="n">
        <f aca="false">IF(A714="","",IFERROR(Z714*INDEX(PUA_TABLE!$I$4:$I$105,MATCH(E714,PUA_TABLE!$C$4:$C$105,1))/1000,0))</f>
        <v>0</v>
      </c>
      <c r="AB714" s="10" t="n">
        <f aca="false">IF(A714="","",IFERROR(L714+AA714,0))</f>
        <v>42169.0905979201</v>
      </c>
      <c r="AC714" s="10" t="n">
        <f aca="false">IF(A714="","",IF(Inputs!$B$22="Premium Offset",MIN(Inputs!$B$25,Q714+T714),0))</f>
        <v>0</v>
      </c>
    </row>
    <row r="715" customFormat="false" ht="15" hidden="false" customHeight="false" outlineLevel="0" collapsed="false">
      <c r="A715" s="1" t="n">
        <f aca="false">IF(A714="","",IF(INT((C714+1)/12)+Inputs!$B$7&gt;MAX(MORTALITY!$A:$A),"",Inputs!$B$4))</f>
        <v>34</v>
      </c>
      <c r="B715" s="3" t="n">
        <f aca="false">IF(A715="","",EOMONTH(B714,1))</f>
        <v>43434</v>
      </c>
      <c r="C715" s="1" t="n">
        <f aca="false">IF(A715="","",C714+1)</f>
        <v>713</v>
      </c>
      <c r="D715" s="1" t="n">
        <f aca="false">IF(A715="","",INT(C715/12))</f>
        <v>59</v>
      </c>
      <c r="E715" s="1" t="n">
        <f aca="false">IF(A715="","",D715+Inputs!$B$7)</f>
        <v>75</v>
      </c>
      <c r="F715" s="3" t="n">
        <f aca="false">IF(A715="","",DATE(YEAR(B$2)+D715,MONTH(B$2),DAY(B$2)))</f>
        <v>43256</v>
      </c>
      <c r="G715" s="3" t="n">
        <f aca="false">IF(A715="","",DATE(YEAR(F715)+1,MONTH(F715),DAY(F715)))</f>
        <v>43621</v>
      </c>
      <c r="H715" s="10" t="n">
        <f aca="false">IF(A715="","",IF(G715&gt;F715,(B715-F715)/(G715-F715),0))</f>
        <v>0.487671232876712</v>
      </c>
      <c r="I715" s="10" t="n">
        <f aca="false">IF(A715="","",IFERROR(INDEX(CV_RATES!$I:$I,MATCH(D715,CV_RATES!$C:$C,0)),0))</f>
        <v>840.331772090558</v>
      </c>
      <c r="J715" s="10" t="n">
        <f aca="false">IF(A715="","",IFERROR(IF(E715=MAX(MORTALITY!$A:$A),1000,INDEX(CV_RATES!$J:$J,MATCH(D715,CV_RATES!$C:$C,0))),0))</f>
        <v>847.853829872742</v>
      </c>
      <c r="K715" s="10" t="n">
        <f aca="false">IF(A715="","",IFERROR(I715+H715*(J715-I715),0))</f>
        <v>844.000063282965</v>
      </c>
      <c r="L715" s="10" t="n">
        <f aca="false">IF(A715="","",IFERROR(K715*Inputs!$B$9,0))</f>
        <v>42200.0031641483</v>
      </c>
      <c r="M715" s="10" t="n">
        <f aca="false">IF(A715="","",IFERROR(K715*Inputs!$B$10,0))</f>
        <v>135037.478125085</v>
      </c>
      <c r="N715" s="10" t="n">
        <f aca="false">IF(A715="","",Z714)</f>
        <v>0</v>
      </c>
      <c r="O715" s="6" t="n">
        <f aca="false">IF(A715="","",Inputs!$B$18+N715)</f>
        <v>50000</v>
      </c>
      <c r="P715" s="5" t="n">
        <f aca="false">IF(A715="","",VLOOKUP(D715,DIvidend_Assumption!$A$3:$CX$103,($E$2+2),0)/12)</f>
        <v>0</v>
      </c>
      <c r="Q715" s="10" t="n">
        <f aca="false">IF(A715="","",IFERROR(AB714*P715,""))</f>
        <v>0</v>
      </c>
      <c r="R715" s="10" t="n">
        <f aca="false">IF(A715="","",IFERROR(IF(Inputs!$B$22="Accumulate",T715+Q715,IF(Inputs!$B$22="Premium Offset",MAX(0,T715+Q715-Inputs!$B$25),T715)),""))</f>
        <v>0</v>
      </c>
      <c r="S715" s="10" t="n">
        <f aca="false">IF(A715="","",R714)</f>
        <v>0</v>
      </c>
      <c r="T715" s="10" t="n">
        <f aca="false">IF(A715="","",IFERROR(S715*(1+Inputs!$B$23/12),""))</f>
        <v>0</v>
      </c>
      <c r="U715" s="6" t="n">
        <f aca="false">IF(A715="","",IF(D715&lt;=Inputs!$B$8,IF(Inputs!$B$22="Premium Offset",MAX(0,Inputs!$B$25-(Q715+T715)),Inputs!$B$25),0))</f>
        <v>0</v>
      </c>
      <c r="V715" s="10" t="n">
        <f aca="false">IF(A715="","",IF(Inputs!$B$22="Cash",Q715,0))</f>
        <v>0</v>
      </c>
      <c r="W715" s="10" t="n">
        <f aca="false">IF(A715="","",IF(Inputs!$B$22="PUA",Q715,0))</f>
        <v>0</v>
      </c>
      <c r="X715" s="12" t="n">
        <f aca="false">IF(A715="","",IFERROR(INDEX(PUA_TABLE!$D$4:$D$105,MATCH(E715,PUA_TABLE!$C$4:$C$105,1)),0))</f>
        <v>0.840331772090558</v>
      </c>
      <c r="Y715" s="10" t="n">
        <f aca="false">IF(A715="","",IF(W715&gt;0,IF(X715&gt;0,W715/X715,0),0))</f>
        <v>0</v>
      </c>
      <c r="Z715" s="10" t="n">
        <f aca="false">IF(A715="","",N715+Y715)</f>
        <v>0</v>
      </c>
      <c r="AA715" s="10" t="n">
        <f aca="false">IF(A715="","",IFERROR(Z715*INDEX(PUA_TABLE!$I$4:$I$105,MATCH(E715,PUA_TABLE!$C$4:$C$105,1))/1000,0))</f>
        <v>0</v>
      </c>
      <c r="AB715" s="10" t="n">
        <f aca="false">IF(A715="","",IFERROR(L715+AA715,0))</f>
        <v>42200.0031641483</v>
      </c>
      <c r="AC715" s="10" t="n">
        <f aca="false">IF(A715="","",IF(Inputs!$B$22="Premium Offset",MIN(Inputs!$B$25,Q715+T715),0))</f>
        <v>0</v>
      </c>
    </row>
    <row r="716" customFormat="false" ht="15" hidden="false" customHeight="false" outlineLevel="0" collapsed="false">
      <c r="A716" s="1" t="n">
        <f aca="false">IF(A715="","",IF(INT((C715+1)/12)+Inputs!$B$7&gt;MAX(MORTALITY!$A:$A),"",Inputs!$B$4))</f>
        <v>34</v>
      </c>
      <c r="B716" s="3" t="n">
        <f aca="false">IF(A716="","",EOMONTH(B715,1))</f>
        <v>43465</v>
      </c>
      <c r="C716" s="1" t="n">
        <f aca="false">IF(A716="","",C715+1)</f>
        <v>714</v>
      </c>
      <c r="D716" s="1" t="n">
        <f aca="false">IF(A716="","",INT(C716/12))</f>
        <v>59</v>
      </c>
      <c r="E716" s="1" t="n">
        <f aca="false">IF(A716="","",D716+Inputs!$B$7)</f>
        <v>75</v>
      </c>
      <c r="F716" s="3" t="n">
        <f aca="false">IF(A716="","",DATE(YEAR(B$2)+D716,MONTH(B$2),DAY(B$2)))</f>
        <v>43256</v>
      </c>
      <c r="G716" s="3" t="n">
        <f aca="false">IF(A716="","",DATE(YEAR(F716)+1,MONTH(F716),DAY(F716)))</f>
        <v>43621</v>
      </c>
      <c r="H716" s="10" t="n">
        <f aca="false">IF(A716="","",IF(G716&gt;F716,(B716-F716)/(G716-F716),0))</f>
        <v>0.572602739726027</v>
      </c>
      <c r="I716" s="10" t="n">
        <f aca="false">IF(A716="","",IFERROR(INDEX(CV_RATES!$I:$I,MATCH(D716,CV_RATES!$C:$C,0)),0))</f>
        <v>840.331772090558</v>
      </c>
      <c r="J716" s="10" t="n">
        <f aca="false">IF(A716="","",IFERROR(IF(E716=MAX(MORTALITY!$A:$A),1000,INDEX(CV_RATES!$J:$J,MATCH(D716,CV_RATES!$C:$C,0))),0))</f>
        <v>847.853829872742</v>
      </c>
      <c r="K716" s="10" t="n">
        <f aca="false">IF(A716="","",IFERROR(I716+H716*(J716-I716),0))</f>
        <v>844.638922985014</v>
      </c>
      <c r="L716" s="10" t="n">
        <f aca="false">IF(A716="","",IFERROR(K716*Inputs!$B$9,0))</f>
        <v>42231.9461492507</v>
      </c>
      <c r="M716" s="10" t="n">
        <f aca="false">IF(A716="","",IFERROR(K716*Inputs!$B$10,0))</f>
        <v>135139.693760833</v>
      </c>
      <c r="N716" s="10" t="n">
        <f aca="false">IF(A716="","",Z715)</f>
        <v>0</v>
      </c>
      <c r="O716" s="6" t="n">
        <f aca="false">IF(A716="","",Inputs!$B$18+N716)</f>
        <v>50000</v>
      </c>
      <c r="P716" s="5" t="n">
        <f aca="false">IF(A716="","",VLOOKUP(D716,DIvidend_Assumption!$A$3:$CX$103,($E$2+2),0)/12)</f>
        <v>0</v>
      </c>
      <c r="Q716" s="10" t="n">
        <f aca="false">IF(A716="","",IFERROR(AB715*P716,""))</f>
        <v>0</v>
      </c>
      <c r="R716" s="10" t="n">
        <f aca="false">IF(A716="","",IFERROR(IF(Inputs!$B$22="Accumulate",T716+Q716,IF(Inputs!$B$22="Premium Offset",MAX(0,T716+Q716-Inputs!$B$25),T716)),""))</f>
        <v>0</v>
      </c>
      <c r="S716" s="10" t="n">
        <f aca="false">IF(A716="","",R715)</f>
        <v>0</v>
      </c>
      <c r="T716" s="10" t="n">
        <f aca="false">IF(A716="","",IFERROR(S716*(1+Inputs!$B$23/12),""))</f>
        <v>0</v>
      </c>
      <c r="U716" s="6" t="n">
        <f aca="false">IF(A716="","",IF(D716&lt;=Inputs!$B$8,IF(Inputs!$B$22="Premium Offset",MAX(0,Inputs!$B$25-(Q716+T716)),Inputs!$B$25),0))</f>
        <v>0</v>
      </c>
      <c r="V716" s="10" t="n">
        <f aca="false">IF(A716="","",IF(Inputs!$B$22="Cash",Q716,0))</f>
        <v>0</v>
      </c>
      <c r="W716" s="10" t="n">
        <f aca="false">IF(A716="","",IF(Inputs!$B$22="PUA",Q716,0))</f>
        <v>0</v>
      </c>
      <c r="X716" s="12" t="n">
        <f aca="false">IF(A716="","",IFERROR(INDEX(PUA_TABLE!$D$4:$D$105,MATCH(E716,PUA_TABLE!$C$4:$C$105,1)),0))</f>
        <v>0.840331772090558</v>
      </c>
      <c r="Y716" s="10" t="n">
        <f aca="false">IF(A716="","",IF(W716&gt;0,IF(X716&gt;0,W716/X716,0),0))</f>
        <v>0</v>
      </c>
      <c r="Z716" s="10" t="n">
        <f aca="false">IF(A716="","",N716+Y716)</f>
        <v>0</v>
      </c>
      <c r="AA716" s="10" t="n">
        <f aca="false">IF(A716="","",IFERROR(Z716*INDEX(PUA_TABLE!$I$4:$I$105,MATCH(E716,PUA_TABLE!$C$4:$C$105,1))/1000,0))</f>
        <v>0</v>
      </c>
      <c r="AB716" s="10" t="n">
        <f aca="false">IF(A716="","",IFERROR(L716+AA716,0))</f>
        <v>42231.9461492507</v>
      </c>
      <c r="AC716" s="10" t="n">
        <f aca="false">IF(A716="","",IF(Inputs!$B$22="Premium Offset",MIN(Inputs!$B$25,Q716+T716),0))</f>
        <v>0</v>
      </c>
    </row>
    <row r="717" customFormat="false" ht="15" hidden="false" customHeight="false" outlineLevel="0" collapsed="false">
      <c r="A717" s="1" t="n">
        <f aca="false">IF(A716="","",IF(INT((C716+1)/12)+Inputs!$B$7&gt;MAX(MORTALITY!$A:$A),"",Inputs!$B$4))</f>
        <v>34</v>
      </c>
      <c r="B717" s="3" t="n">
        <f aca="false">IF(A717="","",EOMONTH(B716,1))</f>
        <v>43496</v>
      </c>
      <c r="C717" s="1" t="n">
        <f aca="false">IF(A717="","",C716+1)</f>
        <v>715</v>
      </c>
      <c r="D717" s="1" t="n">
        <f aca="false">IF(A717="","",INT(C717/12))</f>
        <v>59</v>
      </c>
      <c r="E717" s="1" t="n">
        <f aca="false">IF(A717="","",D717+Inputs!$B$7)</f>
        <v>75</v>
      </c>
      <c r="F717" s="3" t="n">
        <f aca="false">IF(A717="","",DATE(YEAR(B$2)+D717,MONTH(B$2),DAY(B$2)))</f>
        <v>43256</v>
      </c>
      <c r="G717" s="3" t="n">
        <f aca="false">IF(A717="","",DATE(YEAR(F717)+1,MONTH(F717),DAY(F717)))</f>
        <v>43621</v>
      </c>
      <c r="H717" s="10" t="n">
        <f aca="false">IF(A717="","",IF(G717&gt;F717,(B717-F717)/(G717-F717),0))</f>
        <v>0.657534246575342</v>
      </c>
      <c r="I717" s="10" t="n">
        <f aca="false">IF(A717="","",IFERROR(INDEX(CV_RATES!$I:$I,MATCH(D717,CV_RATES!$C:$C,0)),0))</f>
        <v>840.331772090558</v>
      </c>
      <c r="J717" s="10" t="n">
        <f aca="false">IF(A717="","",IFERROR(IF(E717=MAX(MORTALITY!$A:$A),1000,INDEX(CV_RATES!$J:$J,MATCH(D717,CV_RATES!$C:$C,0))),0))</f>
        <v>847.853829872742</v>
      </c>
      <c r="K717" s="10" t="n">
        <f aca="false">IF(A717="","",IFERROR(I717+H717*(J717-I717),0))</f>
        <v>845.277782687062</v>
      </c>
      <c r="L717" s="10" t="n">
        <f aca="false">IF(A717="","",IFERROR(K717*Inputs!$B$9,0))</f>
        <v>42263.8891343531</v>
      </c>
      <c r="M717" s="10" t="n">
        <f aca="false">IF(A717="","",IFERROR(K717*Inputs!$B$10,0))</f>
        <v>135241.909396582</v>
      </c>
      <c r="N717" s="10" t="n">
        <f aca="false">IF(A717="","",Z716)</f>
        <v>0</v>
      </c>
      <c r="O717" s="6" t="n">
        <f aca="false">IF(A717="","",Inputs!$B$18+N717)</f>
        <v>50000</v>
      </c>
      <c r="P717" s="5" t="n">
        <f aca="false">IF(A717="","",VLOOKUP(D717,DIvidend_Assumption!$A$3:$CX$103,($E$2+2),0)/12)</f>
        <v>0</v>
      </c>
      <c r="Q717" s="10" t="n">
        <f aca="false">IF(A717="","",IFERROR(AB716*P717,""))</f>
        <v>0</v>
      </c>
      <c r="R717" s="10" t="n">
        <f aca="false">IF(A717="","",IFERROR(IF(Inputs!$B$22="Accumulate",T717+Q717,IF(Inputs!$B$22="Premium Offset",MAX(0,T717+Q717-Inputs!$B$25),T717)),""))</f>
        <v>0</v>
      </c>
      <c r="S717" s="10" t="n">
        <f aca="false">IF(A717="","",R716)</f>
        <v>0</v>
      </c>
      <c r="T717" s="10" t="n">
        <f aca="false">IF(A717="","",IFERROR(S717*(1+Inputs!$B$23/12),""))</f>
        <v>0</v>
      </c>
      <c r="U717" s="6" t="n">
        <f aca="false">IF(A717="","",IF(D717&lt;=Inputs!$B$8,IF(Inputs!$B$22="Premium Offset",MAX(0,Inputs!$B$25-(Q717+T717)),Inputs!$B$25),0))</f>
        <v>0</v>
      </c>
      <c r="V717" s="10" t="n">
        <f aca="false">IF(A717="","",IF(Inputs!$B$22="Cash",Q717,0))</f>
        <v>0</v>
      </c>
      <c r="W717" s="10" t="n">
        <f aca="false">IF(A717="","",IF(Inputs!$B$22="PUA",Q717,0))</f>
        <v>0</v>
      </c>
      <c r="X717" s="12" t="n">
        <f aca="false">IF(A717="","",IFERROR(INDEX(PUA_TABLE!$D$4:$D$105,MATCH(E717,PUA_TABLE!$C$4:$C$105,1)),0))</f>
        <v>0.840331772090558</v>
      </c>
      <c r="Y717" s="10" t="n">
        <f aca="false">IF(A717="","",IF(W717&gt;0,IF(X717&gt;0,W717/X717,0),0))</f>
        <v>0</v>
      </c>
      <c r="Z717" s="10" t="n">
        <f aca="false">IF(A717="","",N717+Y717)</f>
        <v>0</v>
      </c>
      <c r="AA717" s="10" t="n">
        <f aca="false">IF(A717="","",IFERROR(Z717*INDEX(PUA_TABLE!$I$4:$I$105,MATCH(E717,PUA_TABLE!$C$4:$C$105,1))/1000,0))</f>
        <v>0</v>
      </c>
      <c r="AB717" s="10" t="n">
        <f aca="false">IF(A717="","",IFERROR(L717+AA717,0))</f>
        <v>42263.8891343531</v>
      </c>
      <c r="AC717" s="10" t="n">
        <f aca="false">IF(A717="","",IF(Inputs!$B$22="Premium Offset",MIN(Inputs!$B$25,Q717+T717),0))</f>
        <v>0</v>
      </c>
    </row>
    <row r="718" customFormat="false" ht="15" hidden="false" customHeight="false" outlineLevel="0" collapsed="false">
      <c r="A718" s="1" t="n">
        <f aca="false">IF(A717="","",IF(INT((C717+1)/12)+Inputs!$B$7&gt;MAX(MORTALITY!$A:$A),"",Inputs!$B$4))</f>
        <v>34</v>
      </c>
      <c r="B718" s="3" t="n">
        <f aca="false">IF(A718="","",EOMONTH(B717,1))</f>
        <v>43524</v>
      </c>
      <c r="C718" s="1" t="n">
        <f aca="false">IF(A718="","",C717+1)</f>
        <v>716</v>
      </c>
      <c r="D718" s="1" t="n">
        <f aca="false">IF(A718="","",INT(C718/12))</f>
        <v>59</v>
      </c>
      <c r="E718" s="1" t="n">
        <f aca="false">IF(A718="","",D718+Inputs!$B$7)</f>
        <v>75</v>
      </c>
      <c r="F718" s="3" t="n">
        <f aca="false">IF(A718="","",DATE(YEAR(B$2)+D718,MONTH(B$2),DAY(B$2)))</f>
        <v>43256</v>
      </c>
      <c r="G718" s="3" t="n">
        <f aca="false">IF(A718="","",DATE(YEAR(F718)+1,MONTH(F718),DAY(F718)))</f>
        <v>43621</v>
      </c>
      <c r="H718" s="10" t="n">
        <f aca="false">IF(A718="","",IF(G718&gt;F718,(B718-F718)/(G718-F718),0))</f>
        <v>0.734246575342466</v>
      </c>
      <c r="I718" s="10" t="n">
        <f aca="false">IF(A718="","",IFERROR(INDEX(CV_RATES!$I:$I,MATCH(D718,CV_RATES!$C:$C,0)),0))</f>
        <v>840.331772090558</v>
      </c>
      <c r="J718" s="10" t="n">
        <f aca="false">IF(A718="","",IFERROR(IF(E718=MAX(MORTALITY!$A:$A),1000,INDEX(CV_RATES!$J:$J,MATCH(D718,CV_RATES!$C:$C,0))),0))</f>
        <v>847.853829872742</v>
      </c>
      <c r="K718" s="10" t="n">
        <f aca="false">IF(A718="","",IFERROR(I718+H718*(J718-I718),0))</f>
        <v>845.854817256654</v>
      </c>
      <c r="L718" s="10" t="n">
        <f aca="false">IF(A718="","",IFERROR(K718*Inputs!$B$9,0))</f>
        <v>42292.7408628327</v>
      </c>
      <c r="M718" s="10" t="n">
        <f aca="false">IF(A718="","",IFERROR(K718*Inputs!$B$10,0))</f>
        <v>135334.233196613</v>
      </c>
      <c r="N718" s="10" t="n">
        <f aca="false">IF(A718="","",Z717)</f>
        <v>0</v>
      </c>
      <c r="O718" s="6" t="n">
        <f aca="false">IF(A718="","",Inputs!$B$18+N718)</f>
        <v>50000</v>
      </c>
      <c r="P718" s="5" t="n">
        <f aca="false">IF(A718="","",VLOOKUP(D718,DIvidend_Assumption!$A$3:$CX$103,($E$2+2),0)/12)</f>
        <v>0</v>
      </c>
      <c r="Q718" s="10" t="n">
        <f aca="false">IF(A718="","",IFERROR(AB717*P718,""))</f>
        <v>0</v>
      </c>
      <c r="R718" s="10" t="n">
        <f aca="false">IF(A718="","",IFERROR(IF(Inputs!$B$22="Accumulate",T718+Q718,IF(Inputs!$B$22="Premium Offset",MAX(0,T718+Q718-Inputs!$B$25),T718)),""))</f>
        <v>0</v>
      </c>
      <c r="S718" s="10" t="n">
        <f aca="false">IF(A718="","",R717)</f>
        <v>0</v>
      </c>
      <c r="T718" s="10" t="n">
        <f aca="false">IF(A718="","",IFERROR(S718*(1+Inputs!$B$23/12),""))</f>
        <v>0</v>
      </c>
      <c r="U718" s="6" t="n">
        <f aca="false">IF(A718="","",IF(D718&lt;=Inputs!$B$8,IF(Inputs!$B$22="Premium Offset",MAX(0,Inputs!$B$25-(Q718+T718)),Inputs!$B$25),0))</f>
        <v>0</v>
      </c>
      <c r="V718" s="10" t="n">
        <f aca="false">IF(A718="","",IF(Inputs!$B$22="Cash",Q718,0))</f>
        <v>0</v>
      </c>
      <c r="W718" s="10" t="n">
        <f aca="false">IF(A718="","",IF(Inputs!$B$22="PUA",Q718,0))</f>
        <v>0</v>
      </c>
      <c r="X718" s="12" t="n">
        <f aca="false">IF(A718="","",IFERROR(INDEX(PUA_TABLE!$D$4:$D$105,MATCH(E718,PUA_TABLE!$C$4:$C$105,1)),0))</f>
        <v>0.840331772090558</v>
      </c>
      <c r="Y718" s="10" t="n">
        <f aca="false">IF(A718="","",IF(W718&gt;0,IF(X718&gt;0,W718/X718,0),0))</f>
        <v>0</v>
      </c>
      <c r="Z718" s="10" t="n">
        <f aca="false">IF(A718="","",N718+Y718)</f>
        <v>0</v>
      </c>
      <c r="AA718" s="10" t="n">
        <f aca="false">IF(A718="","",IFERROR(Z718*INDEX(PUA_TABLE!$I$4:$I$105,MATCH(E718,PUA_TABLE!$C$4:$C$105,1))/1000,0))</f>
        <v>0</v>
      </c>
      <c r="AB718" s="10" t="n">
        <f aca="false">IF(A718="","",IFERROR(L718+AA718,0))</f>
        <v>42292.7408628327</v>
      </c>
      <c r="AC718" s="10" t="n">
        <f aca="false">IF(A718="","",IF(Inputs!$B$22="Premium Offset",MIN(Inputs!$B$25,Q718+T718),0))</f>
        <v>0</v>
      </c>
    </row>
    <row r="719" customFormat="false" ht="15" hidden="false" customHeight="false" outlineLevel="0" collapsed="false">
      <c r="A719" s="1" t="n">
        <f aca="false">IF(A718="","",IF(INT((C718+1)/12)+Inputs!$B$7&gt;MAX(MORTALITY!$A:$A),"",Inputs!$B$4))</f>
        <v>34</v>
      </c>
      <c r="B719" s="3" t="n">
        <f aca="false">IF(A719="","",EOMONTH(B718,1))</f>
        <v>43555</v>
      </c>
      <c r="C719" s="1" t="n">
        <f aca="false">IF(A719="","",C718+1)</f>
        <v>717</v>
      </c>
      <c r="D719" s="1" t="n">
        <f aca="false">IF(A719="","",INT(C719/12))</f>
        <v>59</v>
      </c>
      <c r="E719" s="1" t="n">
        <f aca="false">IF(A719="","",D719+Inputs!$B$7)</f>
        <v>75</v>
      </c>
      <c r="F719" s="3" t="n">
        <f aca="false">IF(A719="","",DATE(YEAR(B$2)+D719,MONTH(B$2),DAY(B$2)))</f>
        <v>43256</v>
      </c>
      <c r="G719" s="3" t="n">
        <f aca="false">IF(A719="","",DATE(YEAR(F719)+1,MONTH(F719),DAY(F719)))</f>
        <v>43621</v>
      </c>
      <c r="H719" s="10" t="n">
        <f aca="false">IF(A719="","",IF(G719&gt;F719,(B719-F719)/(G719-F719),0))</f>
        <v>0.819178082191781</v>
      </c>
      <c r="I719" s="10" t="n">
        <f aca="false">IF(A719="","",IFERROR(INDEX(CV_RATES!$I:$I,MATCH(D719,CV_RATES!$C:$C,0)),0))</f>
        <v>840.331772090558</v>
      </c>
      <c r="J719" s="10" t="n">
        <f aca="false">IF(A719="","",IFERROR(IF(E719=MAX(MORTALITY!$A:$A),1000,INDEX(CV_RATES!$J:$J,MATCH(D719,CV_RATES!$C:$C,0))),0))</f>
        <v>847.853829872742</v>
      </c>
      <c r="K719" s="10" t="n">
        <f aca="false">IF(A719="","",IFERROR(I719+H719*(J719-I719),0))</f>
        <v>846.493676958703</v>
      </c>
      <c r="L719" s="10" t="n">
        <f aca="false">IF(A719="","",IFERROR(K719*Inputs!$B$9,0))</f>
        <v>42324.6838479351</v>
      </c>
      <c r="M719" s="10" t="n">
        <f aca="false">IF(A719="","",IFERROR(K719*Inputs!$B$10,0))</f>
        <v>135436.448832362</v>
      </c>
      <c r="N719" s="10" t="n">
        <f aca="false">IF(A719="","",Z718)</f>
        <v>0</v>
      </c>
      <c r="O719" s="6" t="n">
        <f aca="false">IF(A719="","",Inputs!$B$18+N719)</f>
        <v>50000</v>
      </c>
      <c r="P719" s="5" t="n">
        <f aca="false">IF(A719="","",VLOOKUP(D719,DIvidend_Assumption!$A$3:$CX$103,($E$2+2),0)/12)</f>
        <v>0</v>
      </c>
      <c r="Q719" s="10" t="n">
        <f aca="false">IF(A719="","",IFERROR(AB718*P719,""))</f>
        <v>0</v>
      </c>
      <c r="R719" s="10" t="n">
        <f aca="false">IF(A719="","",IFERROR(IF(Inputs!$B$22="Accumulate",T719+Q719,IF(Inputs!$B$22="Premium Offset",MAX(0,T719+Q719-Inputs!$B$25),T719)),""))</f>
        <v>0</v>
      </c>
      <c r="S719" s="10" t="n">
        <f aca="false">IF(A719="","",R718)</f>
        <v>0</v>
      </c>
      <c r="T719" s="10" t="n">
        <f aca="false">IF(A719="","",IFERROR(S719*(1+Inputs!$B$23/12),""))</f>
        <v>0</v>
      </c>
      <c r="U719" s="6" t="n">
        <f aca="false">IF(A719="","",IF(D719&lt;=Inputs!$B$8,IF(Inputs!$B$22="Premium Offset",MAX(0,Inputs!$B$25-(Q719+T719)),Inputs!$B$25),0))</f>
        <v>0</v>
      </c>
      <c r="V719" s="10" t="n">
        <f aca="false">IF(A719="","",IF(Inputs!$B$22="Cash",Q719,0))</f>
        <v>0</v>
      </c>
      <c r="W719" s="10" t="n">
        <f aca="false">IF(A719="","",IF(Inputs!$B$22="PUA",Q719,0))</f>
        <v>0</v>
      </c>
      <c r="X719" s="12" t="n">
        <f aca="false">IF(A719="","",IFERROR(INDEX(PUA_TABLE!$D$4:$D$105,MATCH(E719,PUA_TABLE!$C$4:$C$105,1)),0))</f>
        <v>0.840331772090558</v>
      </c>
      <c r="Y719" s="10" t="n">
        <f aca="false">IF(A719="","",IF(W719&gt;0,IF(X719&gt;0,W719/X719,0),0))</f>
        <v>0</v>
      </c>
      <c r="Z719" s="10" t="n">
        <f aca="false">IF(A719="","",N719+Y719)</f>
        <v>0</v>
      </c>
      <c r="AA719" s="10" t="n">
        <f aca="false">IF(A719="","",IFERROR(Z719*INDEX(PUA_TABLE!$I$4:$I$105,MATCH(E719,PUA_TABLE!$C$4:$C$105,1))/1000,0))</f>
        <v>0</v>
      </c>
      <c r="AB719" s="10" t="n">
        <f aca="false">IF(A719="","",IFERROR(L719+AA719,0))</f>
        <v>42324.6838479351</v>
      </c>
      <c r="AC719" s="10" t="n">
        <f aca="false">IF(A719="","",IF(Inputs!$B$22="Premium Offset",MIN(Inputs!$B$25,Q719+T719),0))</f>
        <v>0</v>
      </c>
    </row>
    <row r="720" customFormat="false" ht="15" hidden="false" customHeight="false" outlineLevel="0" collapsed="false">
      <c r="A720" s="1" t="n">
        <f aca="false">IF(A719="","",IF(INT((C719+1)/12)+Inputs!$B$7&gt;MAX(MORTALITY!$A:$A),"",Inputs!$B$4))</f>
        <v>34</v>
      </c>
      <c r="B720" s="3" t="n">
        <f aca="false">IF(A720="","",EOMONTH(B719,1))</f>
        <v>43585</v>
      </c>
      <c r="C720" s="1" t="n">
        <f aca="false">IF(A720="","",C719+1)</f>
        <v>718</v>
      </c>
      <c r="D720" s="1" t="n">
        <f aca="false">IF(A720="","",INT(C720/12))</f>
        <v>59</v>
      </c>
      <c r="E720" s="1" t="n">
        <f aca="false">IF(A720="","",D720+Inputs!$B$7)</f>
        <v>75</v>
      </c>
      <c r="F720" s="3" t="n">
        <f aca="false">IF(A720="","",DATE(YEAR(B$2)+D720,MONTH(B$2),DAY(B$2)))</f>
        <v>43256</v>
      </c>
      <c r="G720" s="3" t="n">
        <f aca="false">IF(A720="","",DATE(YEAR(F720)+1,MONTH(F720),DAY(F720)))</f>
        <v>43621</v>
      </c>
      <c r="H720" s="10" t="n">
        <f aca="false">IF(A720="","",IF(G720&gt;F720,(B720-F720)/(G720-F720),0))</f>
        <v>0.901369863013699</v>
      </c>
      <c r="I720" s="10" t="n">
        <f aca="false">IF(A720="","",IFERROR(INDEX(CV_RATES!$I:$I,MATCH(D720,CV_RATES!$C:$C,0)),0))</f>
        <v>840.331772090558</v>
      </c>
      <c r="J720" s="10" t="n">
        <f aca="false">IF(A720="","",IFERROR(IF(E720=MAX(MORTALITY!$A:$A),1000,INDEX(CV_RATES!$J:$J,MATCH(D720,CV_RATES!$C:$C,0))),0))</f>
        <v>847.853829872742</v>
      </c>
      <c r="K720" s="10" t="n">
        <f aca="false">IF(A720="","",IFERROR(I720+H720*(J720-I720),0))</f>
        <v>847.111928283266</v>
      </c>
      <c r="L720" s="10" t="n">
        <f aca="false">IF(A720="","",IFERROR(K720*Inputs!$B$9,0))</f>
        <v>42355.5964141633</v>
      </c>
      <c r="M720" s="10" t="n">
        <f aca="false">IF(A720="","",IFERROR(K720*Inputs!$B$10,0))</f>
        <v>135535.367189538</v>
      </c>
      <c r="N720" s="10" t="n">
        <f aca="false">IF(A720="","",Z719)</f>
        <v>0</v>
      </c>
      <c r="O720" s="6" t="n">
        <f aca="false">IF(A720="","",Inputs!$B$18+N720)</f>
        <v>50000</v>
      </c>
      <c r="P720" s="5" t="n">
        <f aca="false">IF(A720="","",VLOOKUP(D720,DIvidend_Assumption!$A$3:$CX$103,($E$2+2),0)/12)</f>
        <v>0</v>
      </c>
      <c r="Q720" s="10" t="n">
        <f aca="false">IF(A720="","",IFERROR(AB719*P720,""))</f>
        <v>0</v>
      </c>
      <c r="R720" s="10" t="n">
        <f aca="false">IF(A720="","",IFERROR(IF(Inputs!$B$22="Accumulate",T720+Q720,IF(Inputs!$B$22="Premium Offset",MAX(0,T720+Q720-Inputs!$B$25),T720)),""))</f>
        <v>0</v>
      </c>
      <c r="S720" s="10" t="n">
        <f aca="false">IF(A720="","",R719)</f>
        <v>0</v>
      </c>
      <c r="T720" s="10" t="n">
        <f aca="false">IF(A720="","",IFERROR(S720*(1+Inputs!$B$23/12),""))</f>
        <v>0</v>
      </c>
      <c r="U720" s="6" t="n">
        <f aca="false">IF(A720="","",IF(D720&lt;=Inputs!$B$8,IF(Inputs!$B$22="Premium Offset",MAX(0,Inputs!$B$25-(Q720+T720)),Inputs!$B$25),0))</f>
        <v>0</v>
      </c>
      <c r="V720" s="10" t="n">
        <f aca="false">IF(A720="","",IF(Inputs!$B$22="Cash",Q720,0))</f>
        <v>0</v>
      </c>
      <c r="W720" s="10" t="n">
        <f aca="false">IF(A720="","",IF(Inputs!$B$22="PUA",Q720,0))</f>
        <v>0</v>
      </c>
      <c r="X720" s="12" t="n">
        <f aca="false">IF(A720="","",IFERROR(INDEX(PUA_TABLE!$D$4:$D$105,MATCH(E720,PUA_TABLE!$C$4:$C$105,1)),0))</f>
        <v>0.840331772090558</v>
      </c>
      <c r="Y720" s="10" t="n">
        <f aca="false">IF(A720="","",IF(W720&gt;0,IF(X720&gt;0,W720/X720,0),0))</f>
        <v>0</v>
      </c>
      <c r="Z720" s="10" t="n">
        <f aca="false">IF(A720="","",N720+Y720)</f>
        <v>0</v>
      </c>
      <c r="AA720" s="10" t="n">
        <f aca="false">IF(A720="","",IFERROR(Z720*INDEX(PUA_TABLE!$I$4:$I$105,MATCH(E720,PUA_TABLE!$C$4:$C$105,1))/1000,0))</f>
        <v>0</v>
      </c>
      <c r="AB720" s="10" t="n">
        <f aca="false">IF(A720="","",IFERROR(L720+AA720,0))</f>
        <v>42355.5964141633</v>
      </c>
      <c r="AC720" s="10" t="n">
        <f aca="false">IF(A720="","",IF(Inputs!$B$22="Premium Offset",MIN(Inputs!$B$25,Q720+T720),0))</f>
        <v>0</v>
      </c>
    </row>
    <row r="721" customFormat="false" ht="15" hidden="false" customHeight="false" outlineLevel="0" collapsed="false">
      <c r="A721" s="1" t="n">
        <f aca="false">IF(A720="","",IF(INT((C720+1)/12)+Inputs!$B$7&gt;MAX(MORTALITY!$A:$A),"",Inputs!$B$4))</f>
        <v>34</v>
      </c>
      <c r="B721" s="3" t="n">
        <f aca="false">IF(A721="","",EOMONTH(B720,1))</f>
        <v>43616</v>
      </c>
      <c r="C721" s="1" t="n">
        <f aca="false">IF(A721="","",C720+1)</f>
        <v>719</v>
      </c>
      <c r="D721" s="1" t="n">
        <f aca="false">IF(A721="","",INT(C721/12))</f>
        <v>59</v>
      </c>
      <c r="E721" s="1" t="n">
        <f aca="false">IF(A721="","",D721+Inputs!$B$7)</f>
        <v>75</v>
      </c>
      <c r="F721" s="3" t="n">
        <f aca="false">IF(A721="","",DATE(YEAR(B$2)+D721,MONTH(B$2),DAY(B$2)))</f>
        <v>43256</v>
      </c>
      <c r="G721" s="3" t="n">
        <f aca="false">IF(A721="","",DATE(YEAR(F721)+1,MONTH(F721),DAY(F721)))</f>
        <v>43621</v>
      </c>
      <c r="H721" s="10" t="n">
        <f aca="false">IF(A721="","",IF(G721&gt;F721,(B721-F721)/(G721-F721),0))</f>
        <v>0.986301369863014</v>
      </c>
      <c r="I721" s="10" t="n">
        <f aca="false">IF(A721="","",IFERROR(INDEX(CV_RATES!$I:$I,MATCH(D721,CV_RATES!$C:$C,0)),0))</f>
        <v>840.331772090558</v>
      </c>
      <c r="J721" s="10" t="n">
        <f aca="false">IF(A721="","",IFERROR(IF(E721=MAX(MORTALITY!$A:$A),1000,INDEX(CV_RATES!$J:$J,MATCH(D721,CV_RATES!$C:$C,0))),0))</f>
        <v>847.853829872742</v>
      </c>
      <c r="K721" s="10" t="n">
        <f aca="false">IF(A721="","",IFERROR(I721+H721*(J721-I721),0))</f>
        <v>847.750787985314</v>
      </c>
      <c r="L721" s="10" t="n">
        <f aca="false">IF(A721="","",IFERROR(K721*Inputs!$B$9,0))</f>
        <v>42387.5393992657</v>
      </c>
      <c r="M721" s="10" t="n">
        <f aca="false">IF(A721="","",IFERROR(K721*Inputs!$B$10,0))</f>
        <v>135637.582825286</v>
      </c>
      <c r="N721" s="10" t="n">
        <f aca="false">IF(A721="","",Z720)</f>
        <v>0</v>
      </c>
      <c r="O721" s="6" t="n">
        <f aca="false">IF(A721="","",Inputs!$B$18+N721)</f>
        <v>50000</v>
      </c>
      <c r="P721" s="5" t="n">
        <f aca="false">IF(A721="","",VLOOKUP(D721,DIvidend_Assumption!$A$3:$CX$103,($E$2+2),0)/12)</f>
        <v>0</v>
      </c>
      <c r="Q721" s="10" t="n">
        <f aca="false">IF(A721="","",IFERROR(AB720*P721,""))</f>
        <v>0</v>
      </c>
      <c r="R721" s="10" t="n">
        <f aca="false">IF(A721="","",IFERROR(IF(Inputs!$B$22="Accumulate",T721+Q721,IF(Inputs!$B$22="Premium Offset",MAX(0,T721+Q721-Inputs!$B$25),T721)),""))</f>
        <v>0</v>
      </c>
      <c r="S721" s="10" t="n">
        <f aca="false">IF(A721="","",R720)</f>
        <v>0</v>
      </c>
      <c r="T721" s="10" t="n">
        <f aca="false">IF(A721="","",IFERROR(S721*(1+Inputs!$B$23/12),""))</f>
        <v>0</v>
      </c>
      <c r="U721" s="6" t="n">
        <f aca="false">IF(A721="","",IF(D721&lt;=Inputs!$B$8,IF(Inputs!$B$22="Premium Offset",MAX(0,Inputs!$B$25-(Q721+T721)),Inputs!$B$25),0))</f>
        <v>0</v>
      </c>
      <c r="V721" s="10" t="n">
        <f aca="false">IF(A721="","",IF(Inputs!$B$22="Cash",Q721,0))</f>
        <v>0</v>
      </c>
      <c r="W721" s="10" t="n">
        <f aca="false">IF(A721="","",IF(Inputs!$B$22="PUA",Q721,0))</f>
        <v>0</v>
      </c>
      <c r="X721" s="12" t="n">
        <f aca="false">IF(A721="","",IFERROR(INDEX(PUA_TABLE!$D$4:$D$105,MATCH(E721,PUA_TABLE!$C$4:$C$105,1)),0))</f>
        <v>0.840331772090558</v>
      </c>
      <c r="Y721" s="10" t="n">
        <f aca="false">IF(A721="","",IF(W721&gt;0,IF(X721&gt;0,W721/X721,0),0))</f>
        <v>0</v>
      </c>
      <c r="Z721" s="10" t="n">
        <f aca="false">IF(A721="","",N721+Y721)</f>
        <v>0</v>
      </c>
      <c r="AA721" s="10" t="n">
        <f aca="false">IF(A721="","",IFERROR(Z721*INDEX(PUA_TABLE!$I$4:$I$105,MATCH(E721,PUA_TABLE!$C$4:$C$105,1))/1000,0))</f>
        <v>0</v>
      </c>
      <c r="AB721" s="10" t="n">
        <f aca="false">IF(A721="","",IFERROR(L721+AA721,0))</f>
        <v>42387.5393992657</v>
      </c>
      <c r="AC721" s="10" t="n">
        <f aca="false">IF(A721="","",IF(Inputs!$B$22="Premium Offset",MIN(Inputs!$B$25,Q721+T721),0))</f>
        <v>0</v>
      </c>
    </row>
    <row r="722" customFormat="false" ht="15" hidden="false" customHeight="false" outlineLevel="0" collapsed="false">
      <c r="A722" s="1" t="n">
        <f aca="false">IF(A721="","",IF(INT((C721+1)/12)+Inputs!$B$7&gt;MAX(MORTALITY!$A:$A),"",Inputs!$B$4))</f>
        <v>34</v>
      </c>
      <c r="B722" s="3" t="n">
        <f aca="false">IF(A722="","",EOMONTH(B721,1))</f>
        <v>43646</v>
      </c>
      <c r="C722" s="1" t="n">
        <f aca="false">IF(A722="","",C721+1)</f>
        <v>720</v>
      </c>
      <c r="D722" s="1" t="n">
        <f aca="false">IF(A722="","",INT(C722/12))</f>
        <v>60</v>
      </c>
      <c r="E722" s="1" t="n">
        <f aca="false">IF(A722="","",D722+Inputs!$B$7)</f>
        <v>76</v>
      </c>
      <c r="F722" s="3" t="n">
        <f aca="false">IF(A722="","",DATE(YEAR(B$2)+D722,MONTH(B$2),DAY(B$2)))</f>
        <v>43621</v>
      </c>
      <c r="G722" s="3" t="n">
        <f aca="false">IF(A722="","",DATE(YEAR(F722)+1,MONTH(F722),DAY(F722)))</f>
        <v>43987</v>
      </c>
      <c r="H722" s="10" t="n">
        <f aca="false">IF(A722="","",IF(G722&gt;F722,(B722-F722)/(G722-F722),0))</f>
        <v>0.0683060109289618</v>
      </c>
      <c r="I722" s="10" t="n">
        <f aca="false">IF(A722="","",IFERROR(INDEX(CV_RATES!$I:$I,MATCH(D722,CV_RATES!$C:$C,0)),0))</f>
        <v>847.853829872742</v>
      </c>
      <c r="J722" s="10" t="n">
        <f aca="false">IF(A722="","",IFERROR(IF(E722=MAX(MORTALITY!$A:$A),1000,INDEX(CV_RATES!$J:$J,MATCH(D722,CV_RATES!$C:$C,0))),0))</f>
        <v>855.140794729485</v>
      </c>
      <c r="K722" s="10" t="n">
        <f aca="false">IF(A722="","",IFERROR(I722+H722*(J722-I722),0))</f>
        <v>848.351573373885</v>
      </c>
      <c r="L722" s="10" t="n">
        <f aca="false">IF(A722="","",IFERROR(K722*Inputs!$B$9,0))</f>
        <v>42417.5786686943</v>
      </c>
      <c r="M722" s="10" t="n">
        <f aca="false">IF(A722="","",IFERROR(K722*Inputs!$B$10,0))</f>
        <v>135733.706685102</v>
      </c>
      <c r="N722" s="10" t="n">
        <f aca="false">IF(A722="","",Z721)</f>
        <v>0</v>
      </c>
      <c r="O722" s="6" t="n">
        <f aca="false">IF(A722="","",Inputs!$B$18+N722)</f>
        <v>50000</v>
      </c>
      <c r="P722" s="5" t="n">
        <f aca="false">IF(A722="","",VLOOKUP(D722,DIvidend_Assumption!$A$3:$CX$103,($E$2+2),0)/12)</f>
        <v>0</v>
      </c>
      <c r="Q722" s="10" t="n">
        <f aca="false">IF(A722="","",IFERROR(AB721*P722,""))</f>
        <v>0</v>
      </c>
      <c r="R722" s="10" t="n">
        <f aca="false">IF(A722="","",IFERROR(IF(Inputs!$B$22="Accumulate",T722+Q722,IF(Inputs!$B$22="Premium Offset",MAX(0,T722+Q722-Inputs!$B$25),T722)),""))</f>
        <v>0</v>
      </c>
      <c r="S722" s="10" t="n">
        <f aca="false">IF(A722="","",R721)</f>
        <v>0</v>
      </c>
      <c r="T722" s="10" t="n">
        <f aca="false">IF(A722="","",IFERROR(S722*(1+Inputs!$B$23/12),""))</f>
        <v>0</v>
      </c>
      <c r="U722" s="6" t="n">
        <f aca="false">IF(A722="","",IF(D722&lt;=Inputs!$B$8,IF(Inputs!$B$22="Premium Offset",MAX(0,Inputs!$B$25-(Q722+T722)),Inputs!$B$25),0))</f>
        <v>0</v>
      </c>
      <c r="V722" s="10" t="n">
        <f aca="false">IF(A722="","",IF(Inputs!$B$22="Cash",Q722,0))</f>
        <v>0</v>
      </c>
      <c r="W722" s="10" t="n">
        <f aca="false">IF(A722="","",IF(Inputs!$B$22="PUA",Q722,0))</f>
        <v>0</v>
      </c>
      <c r="X722" s="12" t="n">
        <f aca="false">IF(A722="","",IFERROR(INDEX(PUA_TABLE!$D$4:$D$105,MATCH(E722,PUA_TABLE!$C$4:$C$105,1)),0))</f>
        <v>0.847853829872742</v>
      </c>
      <c r="Y722" s="10" t="n">
        <f aca="false">IF(A722="","",IF(W722&gt;0,IF(X722&gt;0,W722/X722,0),0))</f>
        <v>0</v>
      </c>
      <c r="Z722" s="10" t="n">
        <f aca="false">IF(A722="","",N722+Y722)</f>
        <v>0</v>
      </c>
      <c r="AA722" s="10" t="n">
        <f aca="false">IF(A722="","",IFERROR(Z722*INDEX(PUA_TABLE!$I$4:$I$105,MATCH(E722,PUA_TABLE!$C$4:$C$105,1))/1000,0))</f>
        <v>0</v>
      </c>
      <c r="AB722" s="10" t="n">
        <f aca="false">IF(A722="","",IFERROR(L722+AA722,0))</f>
        <v>42417.5786686943</v>
      </c>
      <c r="AC722" s="10" t="n">
        <f aca="false">IF(A722="","",IF(Inputs!$B$22="Premium Offset",MIN(Inputs!$B$25,Q722+T722),0))</f>
        <v>0</v>
      </c>
    </row>
    <row r="723" customFormat="false" ht="15" hidden="false" customHeight="false" outlineLevel="0" collapsed="false">
      <c r="A723" s="1" t="n">
        <f aca="false">IF(A722="","",IF(INT((C722+1)/12)+Inputs!$B$7&gt;MAX(MORTALITY!$A:$A),"",Inputs!$B$4))</f>
        <v>34</v>
      </c>
      <c r="B723" s="3" t="n">
        <f aca="false">IF(A723="","",EOMONTH(B722,1))</f>
        <v>43677</v>
      </c>
      <c r="C723" s="1" t="n">
        <f aca="false">IF(A723="","",C722+1)</f>
        <v>721</v>
      </c>
      <c r="D723" s="1" t="n">
        <f aca="false">IF(A723="","",INT(C723/12))</f>
        <v>60</v>
      </c>
      <c r="E723" s="1" t="n">
        <f aca="false">IF(A723="","",D723+Inputs!$B$7)</f>
        <v>76</v>
      </c>
      <c r="F723" s="3" t="n">
        <f aca="false">IF(A723="","",DATE(YEAR(B$2)+D723,MONTH(B$2),DAY(B$2)))</f>
        <v>43621</v>
      </c>
      <c r="G723" s="3" t="n">
        <f aca="false">IF(A723="","",DATE(YEAR(F723)+1,MONTH(F723),DAY(F723)))</f>
        <v>43987</v>
      </c>
      <c r="H723" s="10" t="n">
        <f aca="false">IF(A723="","",IF(G723&gt;F723,(B723-F723)/(G723-F723),0))</f>
        <v>0.153005464480874</v>
      </c>
      <c r="I723" s="10" t="n">
        <f aca="false">IF(A723="","",IFERROR(INDEX(CV_RATES!$I:$I,MATCH(D723,CV_RATES!$C:$C,0)),0))</f>
        <v>847.853829872742</v>
      </c>
      <c r="J723" s="10" t="n">
        <f aca="false">IF(A723="","",IFERROR(IF(E723=MAX(MORTALITY!$A:$A),1000,INDEX(CV_RATES!$J:$J,MATCH(D723,CV_RATES!$C:$C,0))),0))</f>
        <v>855.140794729485</v>
      </c>
      <c r="K723" s="10" t="n">
        <f aca="false">IF(A723="","",IFERROR(I723+H723*(J723-I723),0))</f>
        <v>848.968775315303</v>
      </c>
      <c r="L723" s="10" t="n">
        <f aca="false">IF(A723="","",IFERROR(K723*Inputs!$B$9,0))</f>
        <v>42448.4387657652</v>
      </c>
      <c r="M723" s="10" t="n">
        <f aca="false">IF(A723="","",IFERROR(K723*Inputs!$B$10,0))</f>
        <v>135832.457144123</v>
      </c>
      <c r="N723" s="10" t="n">
        <f aca="false">IF(A723="","",Z722)</f>
        <v>0</v>
      </c>
      <c r="O723" s="6" t="n">
        <f aca="false">IF(A723="","",Inputs!$B$18+N723)</f>
        <v>50000</v>
      </c>
      <c r="P723" s="5" t="n">
        <f aca="false">IF(A723="","",VLOOKUP(D723,DIvidend_Assumption!$A$3:$CX$103,($E$2+2),0)/12)</f>
        <v>0</v>
      </c>
      <c r="Q723" s="10" t="n">
        <f aca="false">IF(A723="","",IFERROR(AB722*P723,""))</f>
        <v>0</v>
      </c>
      <c r="R723" s="10" t="n">
        <f aca="false">IF(A723="","",IFERROR(IF(Inputs!$B$22="Accumulate",T723+Q723,IF(Inputs!$B$22="Premium Offset",MAX(0,T723+Q723-Inputs!$B$25),T723)),""))</f>
        <v>0</v>
      </c>
      <c r="S723" s="10" t="n">
        <f aca="false">IF(A723="","",R722)</f>
        <v>0</v>
      </c>
      <c r="T723" s="10" t="n">
        <f aca="false">IF(A723="","",IFERROR(S723*(1+Inputs!$B$23/12),""))</f>
        <v>0</v>
      </c>
      <c r="U723" s="6" t="n">
        <f aca="false">IF(A723="","",IF(D723&lt;=Inputs!$B$8,IF(Inputs!$B$22="Premium Offset",MAX(0,Inputs!$B$25-(Q723+T723)),Inputs!$B$25),0))</f>
        <v>0</v>
      </c>
      <c r="V723" s="10" t="n">
        <f aca="false">IF(A723="","",IF(Inputs!$B$22="Cash",Q723,0))</f>
        <v>0</v>
      </c>
      <c r="W723" s="10" t="n">
        <f aca="false">IF(A723="","",IF(Inputs!$B$22="PUA",Q723,0))</f>
        <v>0</v>
      </c>
      <c r="X723" s="12" t="n">
        <f aca="false">IF(A723="","",IFERROR(INDEX(PUA_TABLE!$D$4:$D$105,MATCH(E723,PUA_TABLE!$C$4:$C$105,1)),0))</f>
        <v>0.847853829872742</v>
      </c>
      <c r="Y723" s="10" t="n">
        <f aca="false">IF(A723="","",IF(W723&gt;0,IF(X723&gt;0,W723/X723,0),0))</f>
        <v>0</v>
      </c>
      <c r="Z723" s="10" t="n">
        <f aca="false">IF(A723="","",N723+Y723)</f>
        <v>0</v>
      </c>
      <c r="AA723" s="10" t="n">
        <f aca="false">IF(A723="","",IFERROR(Z723*INDEX(PUA_TABLE!$I$4:$I$105,MATCH(E723,PUA_TABLE!$C$4:$C$105,1))/1000,0))</f>
        <v>0</v>
      </c>
      <c r="AB723" s="10" t="n">
        <f aca="false">IF(A723="","",IFERROR(L723+AA723,0))</f>
        <v>42448.4387657652</v>
      </c>
      <c r="AC723" s="10" t="n">
        <f aca="false">IF(A723="","",IF(Inputs!$B$22="Premium Offset",MIN(Inputs!$B$25,Q723+T723),0))</f>
        <v>0</v>
      </c>
    </row>
    <row r="724" customFormat="false" ht="15" hidden="false" customHeight="false" outlineLevel="0" collapsed="false">
      <c r="A724" s="1" t="n">
        <f aca="false">IF(A723="","",IF(INT((C723+1)/12)+Inputs!$B$7&gt;MAX(MORTALITY!$A:$A),"",Inputs!$B$4))</f>
        <v>34</v>
      </c>
      <c r="B724" s="3" t="n">
        <f aca="false">IF(A724="","",EOMONTH(B723,1))</f>
        <v>43708</v>
      </c>
      <c r="C724" s="1" t="n">
        <f aca="false">IF(A724="","",C723+1)</f>
        <v>722</v>
      </c>
      <c r="D724" s="1" t="n">
        <f aca="false">IF(A724="","",INT(C724/12))</f>
        <v>60</v>
      </c>
      <c r="E724" s="1" t="n">
        <f aca="false">IF(A724="","",D724+Inputs!$B$7)</f>
        <v>76</v>
      </c>
      <c r="F724" s="3" t="n">
        <f aca="false">IF(A724="","",DATE(YEAR(B$2)+D724,MONTH(B$2),DAY(B$2)))</f>
        <v>43621</v>
      </c>
      <c r="G724" s="3" t="n">
        <f aca="false">IF(A724="","",DATE(YEAR(F724)+1,MONTH(F724),DAY(F724)))</f>
        <v>43987</v>
      </c>
      <c r="H724" s="10" t="n">
        <f aca="false">IF(A724="","",IF(G724&gt;F724,(B724-F724)/(G724-F724),0))</f>
        <v>0.237704918032787</v>
      </c>
      <c r="I724" s="10" t="n">
        <f aca="false">IF(A724="","",IFERROR(INDEX(CV_RATES!$I:$I,MATCH(D724,CV_RATES!$C:$C,0)),0))</f>
        <v>847.853829872742</v>
      </c>
      <c r="J724" s="10" t="n">
        <f aca="false">IF(A724="","",IFERROR(IF(E724=MAX(MORTALITY!$A:$A),1000,INDEX(CV_RATES!$J:$J,MATCH(D724,CV_RATES!$C:$C,0))),0))</f>
        <v>855.140794729485</v>
      </c>
      <c r="K724" s="10" t="n">
        <f aca="false">IF(A724="","",IFERROR(I724+H724*(J724-I724),0))</f>
        <v>849.585977256722</v>
      </c>
      <c r="L724" s="10" t="n">
        <f aca="false">IF(A724="","",IFERROR(K724*Inputs!$B$9,0))</f>
        <v>42479.2988628361</v>
      </c>
      <c r="M724" s="10" t="n">
        <f aca="false">IF(A724="","",IFERROR(K724*Inputs!$B$10,0))</f>
        <v>135931.207603144</v>
      </c>
      <c r="N724" s="10" t="n">
        <f aca="false">IF(A724="","",Z723)</f>
        <v>0</v>
      </c>
      <c r="O724" s="6" t="n">
        <f aca="false">IF(A724="","",Inputs!$B$18+N724)</f>
        <v>50000</v>
      </c>
      <c r="P724" s="5" t="n">
        <f aca="false">IF(A724="","",VLOOKUP(D724,DIvidend_Assumption!$A$3:$CX$103,($E$2+2),0)/12)</f>
        <v>0</v>
      </c>
      <c r="Q724" s="10" t="n">
        <f aca="false">IF(A724="","",IFERROR(AB723*P724,""))</f>
        <v>0</v>
      </c>
      <c r="R724" s="10" t="n">
        <f aca="false">IF(A724="","",IFERROR(IF(Inputs!$B$22="Accumulate",T724+Q724,IF(Inputs!$B$22="Premium Offset",MAX(0,T724+Q724-Inputs!$B$25),T724)),""))</f>
        <v>0</v>
      </c>
      <c r="S724" s="10" t="n">
        <f aca="false">IF(A724="","",R723)</f>
        <v>0</v>
      </c>
      <c r="T724" s="10" t="n">
        <f aca="false">IF(A724="","",IFERROR(S724*(1+Inputs!$B$23/12),""))</f>
        <v>0</v>
      </c>
      <c r="U724" s="6" t="n">
        <f aca="false">IF(A724="","",IF(D724&lt;=Inputs!$B$8,IF(Inputs!$B$22="Premium Offset",MAX(0,Inputs!$B$25-(Q724+T724)),Inputs!$B$25),0))</f>
        <v>0</v>
      </c>
      <c r="V724" s="10" t="n">
        <f aca="false">IF(A724="","",IF(Inputs!$B$22="Cash",Q724,0))</f>
        <v>0</v>
      </c>
      <c r="W724" s="10" t="n">
        <f aca="false">IF(A724="","",IF(Inputs!$B$22="PUA",Q724,0))</f>
        <v>0</v>
      </c>
      <c r="X724" s="12" t="n">
        <f aca="false">IF(A724="","",IFERROR(INDEX(PUA_TABLE!$D$4:$D$105,MATCH(E724,PUA_TABLE!$C$4:$C$105,1)),0))</f>
        <v>0.847853829872742</v>
      </c>
      <c r="Y724" s="10" t="n">
        <f aca="false">IF(A724="","",IF(W724&gt;0,IF(X724&gt;0,W724/X724,0),0))</f>
        <v>0</v>
      </c>
      <c r="Z724" s="10" t="n">
        <f aca="false">IF(A724="","",N724+Y724)</f>
        <v>0</v>
      </c>
      <c r="AA724" s="10" t="n">
        <f aca="false">IF(A724="","",IFERROR(Z724*INDEX(PUA_TABLE!$I$4:$I$105,MATCH(E724,PUA_TABLE!$C$4:$C$105,1))/1000,0))</f>
        <v>0</v>
      </c>
      <c r="AB724" s="10" t="n">
        <f aca="false">IF(A724="","",IFERROR(L724+AA724,0))</f>
        <v>42479.2988628361</v>
      </c>
      <c r="AC724" s="10" t="n">
        <f aca="false">IF(A724="","",IF(Inputs!$B$22="Premium Offset",MIN(Inputs!$B$25,Q724+T724),0))</f>
        <v>0</v>
      </c>
    </row>
    <row r="725" customFormat="false" ht="15" hidden="false" customHeight="false" outlineLevel="0" collapsed="false">
      <c r="A725" s="1" t="n">
        <f aca="false">IF(A724="","",IF(INT((C724+1)/12)+Inputs!$B$7&gt;MAX(MORTALITY!$A:$A),"",Inputs!$B$4))</f>
        <v>34</v>
      </c>
      <c r="B725" s="3" t="n">
        <f aca="false">IF(A725="","",EOMONTH(B724,1))</f>
        <v>43738</v>
      </c>
      <c r="C725" s="1" t="n">
        <f aca="false">IF(A725="","",C724+1)</f>
        <v>723</v>
      </c>
      <c r="D725" s="1" t="n">
        <f aca="false">IF(A725="","",INT(C725/12))</f>
        <v>60</v>
      </c>
      <c r="E725" s="1" t="n">
        <f aca="false">IF(A725="","",D725+Inputs!$B$7)</f>
        <v>76</v>
      </c>
      <c r="F725" s="3" t="n">
        <f aca="false">IF(A725="","",DATE(YEAR(B$2)+D725,MONTH(B$2),DAY(B$2)))</f>
        <v>43621</v>
      </c>
      <c r="G725" s="3" t="n">
        <f aca="false">IF(A725="","",DATE(YEAR(F725)+1,MONTH(F725),DAY(F725)))</f>
        <v>43987</v>
      </c>
      <c r="H725" s="10" t="n">
        <f aca="false">IF(A725="","",IF(G725&gt;F725,(B725-F725)/(G725-F725),0))</f>
        <v>0.319672131147541</v>
      </c>
      <c r="I725" s="10" t="n">
        <f aca="false">IF(A725="","",IFERROR(INDEX(CV_RATES!$I:$I,MATCH(D725,CV_RATES!$C:$C,0)),0))</f>
        <v>847.853829872742</v>
      </c>
      <c r="J725" s="10" t="n">
        <f aca="false">IF(A725="","",IFERROR(IF(E725=MAX(MORTALITY!$A:$A),1000,INDEX(CV_RATES!$J:$J,MATCH(D725,CV_RATES!$C:$C,0))),0))</f>
        <v>855.140794729485</v>
      </c>
      <c r="K725" s="10" t="n">
        <f aca="false">IF(A725="","",IFERROR(I725+H725*(J725-I725),0))</f>
        <v>850.183269458094</v>
      </c>
      <c r="L725" s="10" t="n">
        <f aca="false">IF(A725="","",IFERROR(K725*Inputs!$B$9,0))</f>
        <v>42509.1634729047</v>
      </c>
      <c r="M725" s="10" t="n">
        <f aca="false">IF(A725="","",IFERROR(K725*Inputs!$B$10,0))</f>
        <v>136026.772563487</v>
      </c>
      <c r="N725" s="10" t="n">
        <f aca="false">IF(A725="","",Z724)</f>
        <v>0</v>
      </c>
      <c r="O725" s="6" t="n">
        <f aca="false">IF(A725="","",Inputs!$B$18+N725)</f>
        <v>50000</v>
      </c>
      <c r="P725" s="5" t="n">
        <f aca="false">IF(A725="","",VLOOKUP(D725,DIvidend_Assumption!$A$3:$CX$103,($E$2+2),0)/12)</f>
        <v>0</v>
      </c>
      <c r="Q725" s="10" t="n">
        <f aca="false">IF(A725="","",IFERROR(AB724*P725,""))</f>
        <v>0</v>
      </c>
      <c r="R725" s="10" t="n">
        <f aca="false">IF(A725="","",IFERROR(IF(Inputs!$B$22="Accumulate",T725+Q725,IF(Inputs!$B$22="Premium Offset",MAX(0,T725+Q725-Inputs!$B$25),T725)),""))</f>
        <v>0</v>
      </c>
      <c r="S725" s="10" t="n">
        <f aca="false">IF(A725="","",R724)</f>
        <v>0</v>
      </c>
      <c r="T725" s="10" t="n">
        <f aca="false">IF(A725="","",IFERROR(S725*(1+Inputs!$B$23/12),""))</f>
        <v>0</v>
      </c>
      <c r="U725" s="6" t="n">
        <f aca="false">IF(A725="","",IF(D725&lt;=Inputs!$B$8,IF(Inputs!$B$22="Premium Offset",MAX(0,Inputs!$B$25-(Q725+T725)),Inputs!$B$25),0))</f>
        <v>0</v>
      </c>
      <c r="V725" s="10" t="n">
        <f aca="false">IF(A725="","",IF(Inputs!$B$22="Cash",Q725,0))</f>
        <v>0</v>
      </c>
      <c r="W725" s="10" t="n">
        <f aca="false">IF(A725="","",IF(Inputs!$B$22="PUA",Q725,0))</f>
        <v>0</v>
      </c>
      <c r="X725" s="12" t="n">
        <f aca="false">IF(A725="","",IFERROR(INDEX(PUA_TABLE!$D$4:$D$105,MATCH(E725,PUA_TABLE!$C$4:$C$105,1)),0))</f>
        <v>0.847853829872742</v>
      </c>
      <c r="Y725" s="10" t="n">
        <f aca="false">IF(A725="","",IF(W725&gt;0,IF(X725&gt;0,W725/X725,0),0))</f>
        <v>0</v>
      </c>
      <c r="Z725" s="10" t="n">
        <f aca="false">IF(A725="","",N725+Y725)</f>
        <v>0</v>
      </c>
      <c r="AA725" s="10" t="n">
        <f aca="false">IF(A725="","",IFERROR(Z725*INDEX(PUA_TABLE!$I$4:$I$105,MATCH(E725,PUA_TABLE!$C$4:$C$105,1))/1000,0))</f>
        <v>0</v>
      </c>
      <c r="AB725" s="10" t="n">
        <f aca="false">IF(A725="","",IFERROR(L725+AA725,0))</f>
        <v>42509.1634729047</v>
      </c>
      <c r="AC725" s="10" t="n">
        <f aca="false">IF(A725="","",IF(Inputs!$B$22="Premium Offset",MIN(Inputs!$B$25,Q725+T725),0))</f>
        <v>0</v>
      </c>
    </row>
    <row r="726" customFormat="false" ht="15" hidden="false" customHeight="false" outlineLevel="0" collapsed="false">
      <c r="A726" s="1" t="n">
        <f aca="false">IF(A725="","",IF(INT((C725+1)/12)+Inputs!$B$7&gt;MAX(MORTALITY!$A:$A),"",Inputs!$B$4))</f>
        <v>34</v>
      </c>
      <c r="B726" s="3" t="n">
        <f aca="false">IF(A726="","",EOMONTH(B725,1))</f>
        <v>43769</v>
      </c>
      <c r="C726" s="1" t="n">
        <f aca="false">IF(A726="","",C725+1)</f>
        <v>724</v>
      </c>
      <c r="D726" s="1" t="n">
        <f aca="false">IF(A726="","",INT(C726/12))</f>
        <v>60</v>
      </c>
      <c r="E726" s="1" t="n">
        <f aca="false">IF(A726="","",D726+Inputs!$B$7)</f>
        <v>76</v>
      </c>
      <c r="F726" s="3" t="n">
        <f aca="false">IF(A726="","",DATE(YEAR(B$2)+D726,MONTH(B$2),DAY(B$2)))</f>
        <v>43621</v>
      </c>
      <c r="G726" s="3" t="n">
        <f aca="false">IF(A726="","",DATE(YEAR(F726)+1,MONTH(F726),DAY(F726)))</f>
        <v>43987</v>
      </c>
      <c r="H726" s="10" t="n">
        <f aca="false">IF(A726="","",IF(G726&gt;F726,(B726-F726)/(G726-F726),0))</f>
        <v>0.404371584699454</v>
      </c>
      <c r="I726" s="10" t="n">
        <f aca="false">IF(A726="","",IFERROR(INDEX(CV_RATES!$I:$I,MATCH(D726,CV_RATES!$C:$C,0)),0))</f>
        <v>847.853829872742</v>
      </c>
      <c r="J726" s="10" t="n">
        <f aca="false">IF(A726="","",IFERROR(IF(E726=MAX(MORTALITY!$A:$A),1000,INDEX(CV_RATES!$J:$J,MATCH(D726,CV_RATES!$C:$C,0))),0))</f>
        <v>855.140794729485</v>
      </c>
      <c r="K726" s="10" t="n">
        <f aca="false">IF(A726="","",IFERROR(I726+H726*(J726-I726),0))</f>
        <v>850.800471399512</v>
      </c>
      <c r="L726" s="10" t="n">
        <f aca="false">IF(A726="","",IFERROR(K726*Inputs!$B$9,0))</f>
        <v>42540.0235699756</v>
      </c>
      <c r="M726" s="10" t="n">
        <f aca="false">IF(A726="","",IFERROR(K726*Inputs!$B$10,0))</f>
        <v>136125.523022508</v>
      </c>
      <c r="N726" s="10" t="n">
        <f aca="false">IF(A726="","",Z725)</f>
        <v>0</v>
      </c>
      <c r="O726" s="6" t="n">
        <f aca="false">IF(A726="","",Inputs!$B$18+N726)</f>
        <v>50000</v>
      </c>
      <c r="P726" s="5" t="n">
        <f aca="false">IF(A726="","",VLOOKUP(D726,DIvidend_Assumption!$A$3:$CX$103,($E$2+2),0)/12)</f>
        <v>0</v>
      </c>
      <c r="Q726" s="10" t="n">
        <f aca="false">IF(A726="","",IFERROR(AB725*P726,""))</f>
        <v>0</v>
      </c>
      <c r="R726" s="10" t="n">
        <f aca="false">IF(A726="","",IFERROR(IF(Inputs!$B$22="Accumulate",T726+Q726,IF(Inputs!$B$22="Premium Offset",MAX(0,T726+Q726-Inputs!$B$25),T726)),""))</f>
        <v>0</v>
      </c>
      <c r="S726" s="10" t="n">
        <f aca="false">IF(A726="","",R725)</f>
        <v>0</v>
      </c>
      <c r="T726" s="10" t="n">
        <f aca="false">IF(A726="","",IFERROR(S726*(1+Inputs!$B$23/12),""))</f>
        <v>0</v>
      </c>
      <c r="U726" s="6" t="n">
        <f aca="false">IF(A726="","",IF(D726&lt;=Inputs!$B$8,IF(Inputs!$B$22="Premium Offset",MAX(0,Inputs!$B$25-(Q726+T726)),Inputs!$B$25),0))</f>
        <v>0</v>
      </c>
      <c r="V726" s="10" t="n">
        <f aca="false">IF(A726="","",IF(Inputs!$B$22="Cash",Q726,0))</f>
        <v>0</v>
      </c>
      <c r="W726" s="10" t="n">
        <f aca="false">IF(A726="","",IF(Inputs!$B$22="PUA",Q726,0))</f>
        <v>0</v>
      </c>
      <c r="X726" s="12" t="n">
        <f aca="false">IF(A726="","",IFERROR(INDEX(PUA_TABLE!$D$4:$D$105,MATCH(E726,PUA_TABLE!$C$4:$C$105,1)),0))</f>
        <v>0.847853829872742</v>
      </c>
      <c r="Y726" s="10" t="n">
        <f aca="false">IF(A726="","",IF(W726&gt;0,IF(X726&gt;0,W726/X726,0),0))</f>
        <v>0</v>
      </c>
      <c r="Z726" s="10" t="n">
        <f aca="false">IF(A726="","",N726+Y726)</f>
        <v>0</v>
      </c>
      <c r="AA726" s="10" t="n">
        <f aca="false">IF(A726="","",IFERROR(Z726*INDEX(PUA_TABLE!$I$4:$I$105,MATCH(E726,PUA_TABLE!$C$4:$C$105,1))/1000,0))</f>
        <v>0</v>
      </c>
      <c r="AB726" s="10" t="n">
        <f aca="false">IF(A726="","",IFERROR(L726+AA726,0))</f>
        <v>42540.0235699756</v>
      </c>
      <c r="AC726" s="10" t="n">
        <f aca="false">IF(A726="","",IF(Inputs!$B$22="Premium Offset",MIN(Inputs!$B$25,Q726+T726),0))</f>
        <v>0</v>
      </c>
    </row>
    <row r="727" customFormat="false" ht="15" hidden="false" customHeight="false" outlineLevel="0" collapsed="false">
      <c r="A727" s="1" t="n">
        <f aca="false">IF(A726="","",IF(INT((C726+1)/12)+Inputs!$B$7&gt;MAX(MORTALITY!$A:$A),"",Inputs!$B$4))</f>
        <v>34</v>
      </c>
      <c r="B727" s="3" t="n">
        <f aca="false">IF(A727="","",EOMONTH(B726,1))</f>
        <v>43799</v>
      </c>
      <c r="C727" s="1" t="n">
        <f aca="false">IF(A727="","",C726+1)</f>
        <v>725</v>
      </c>
      <c r="D727" s="1" t="n">
        <f aca="false">IF(A727="","",INT(C727/12))</f>
        <v>60</v>
      </c>
      <c r="E727" s="1" t="n">
        <f aca="false">IF(A727="","",D727+Inputs!$B$7)</f>
        <v>76</v>
      </c>
      <c r="F727" s="3" t="n">
        <f aca="false">IF(A727="","",DATE(YEAR(B$2)+D727,MONTH(B$2),DAY(B$2)))</f>
        <v>43621</v>
      </c>
      <c r="G727" s="3" t="n">
        <f aca="false">IF(A727="","",DATE(YEAR(F727)+1,MONTH(F727),DAY(F727)))</f>
        <v>43987</v>
      </c>
      <c r="H727" s="10" t="n">
        <f aca="false">IF(A727="","",IF(G727&gt;F727,(B727-F727)/(G727-F727),0))</f>
        <v>0.486338797814208</v>
      </c>
      <c r="I727" s="10" t="n">
        <f aca="false">IF(A727="","",IFERROR(INDEX(CV_RATES!$I:$I,MATCH(D727,CV_RATES!$C:$C,0)),0))</f>
        <v>847.853829872742</v>
      </c>
      <c r="J727" s="10" t="n">
        <f aca="false">IF(A727="","",IFERROR(IF(E727=MAX(MORTALITY!$A:$A),1000,INDEX(CV_RATES!$J:$J,MATCH(D727,CV_RATES!$C:$C,0))),0))</f>
        <v>855.140794729485</v>
      </c>
      <c r="K727" s="10" t="n">
        <f aca="false">IF(A727="","",IFERROR(I727+H727*(J727-I727),0))</f>
        <v>851.397763600885</v>
      </c>
      <c r="L727" s="10" t="n">
        <f aca="false">IF(A727="","",IFERROR(K727*Inputs!$B$9,0))</f>
        <v>42569.8881800442</v>
      </c>
      <c r="M727" s="10" t="n">
        <f aca="false">IF(A727="","",IFERROR(K727*Inputs!$B$10,0))</f>
        <v>136221.087982851</v>
      </c>
      <c r="N727" s="10" t="n">
        <f aca="false">IF(A727="","",Z726)</f>
        <v>0</v>
      </c>
      <c r="O727" s="6" t="n">
        <f aca="false">IF(A727="","",Inputs!$B$18+N727)</f>
        <v>50000</v>
      </c>
      <c r="P727" s="5" t="n">
        <f aca="false">IF(A727="","",VLOOKUP(D727,DIvidend_Assumption!$A$3:$CX$103,($E$2+2),0)/12)</f>
        <v>0</v>
      </c>
      <c r="Q727" s="10" t="n">
        <f aca="false">IF(A727="","",IFERROR(AB726*P727,""))</f>
        <v>0</v>
      </c>
      <c r="R727" s="10" t="n">
        <f aca="false">IF(A727="","",IFERROR(IF(Inputs!$B$22="Accumulate",T727+Q727,IF(Inputs!$B$22="Premium Offset",MAX(0,T727+Q727-Inputs!$B$25),T727)),""))</f>
        <v>0</v>
      </c>
      <c r="S727" s="10" t="n">
        <f aca="false">IF(A727="","",R726)</f>
        <v>0</v>
      </c>
      <c r="T727" s="10" t="n">
        <f aca="false">IF(A727="","",IFERROR(S727*(1+Inputs!$B$23/12),""))</f>
        <v>0</v>
      </c>
      <c r="U727" s="6" t="n">
        <f aca="false">IF(A727="","",IF(D727&lt;=Inputs!$B$8,IF(Inputs!$B$22="Premium Offset",MAX(0,Inputs!$B$25-(Q727+T727)),Inputs!$B$25),0))</f>
        <v>0</v>
      </c>
      <c r="V727" s="10" t="n">
        <f aca="false">IF(A727="","",IF(Inputs!$B$22="Cash",Q727,0))</f>
        <v>0</v>
      </c>
      <c r="W727" s="10" t="n">
        <f aca="false">IF(A727="","",IF(Inputs!$B$22="PUA",Q727,0))</f>
        <v>0</v>
      </c>
      <c r="X727" s="12" t="n">
        <f aca="false">IF(A727="","",IFERROR(INDEX(PUA_TABLE!$D$4:$D$105,MATCH(E727,PUA_TABLE!$C$4:$C$105,1)),0))</f>
        <v>0.847853829872742</v>
      </c>
      <c r="Y727" s="10" t="n">
        <f aca="false">IF(A727="","",IF(W727&gt;0,IF(X727&gt;0,W727/X727,0),0))</f>
        <v>0</v>
      </c>
      <c r="Z727" s="10" t="n">
        <f aca="false">IF(A727="","",N727+Y727)</f>
        <v>0</v>
      </c>
      <c r="AA727" s="10" t="n">
        <f aca="false">IF(A727="","",IFERROR(Z727*INDEX(PUA_TABLE!$I$4:$I$105,MATCH(E727,PUA_TABLE!$C$4:$C$105,1))/1000,0))</f>
        <v>0</v>
      </c>
      <c r="AB727" s="10" t="n">
        <f aca="false">IF(A727="","",IFERROR(L727+AA727,0))</f>
        <v>42569.8881800442</v>
      </c>
      <c r="AC727" s="10" t="n">
        <f aca="false">IF(A727="","",IF(Inputs!$B$22="Premium Offset",MIN(Inputs!$B$25,Q727+T727),0))</f>
        <v>0</v>
      </c>
    </row>
    <row r="728" customFormat="false" ht="15" hidden="false" customHeight="false" outlineLevel="0" collapsed="false">
      <c r="A728" s="1" t="n">
        <f aca="false">IF(A727="","",IF(INT((C727+1)/12)+Inputs!$B$7&gt;MAX(MORTALITY!$A:$A),"",Inputs!$B$4))</f>
        <v>34</v>
      </c>
      <c r="B728" s="3" t="n">
        <f aca="false">IF(A728="","",EOMONTH(B727,1))</f>
        <v>43830</v>
      </c>
      <c r="C728" s="1" t="n">
        <f aca="false">IF(A728="","",C727+1)</f>
        <v>726</v>
      </c>
      <c r="D728" s="1" t="n">
        <f aca="false">IF(A728="","",INT(C728/12))</f>
        <v>60</v>
      </c>
      <c r="E728" s="1" t="n">
        <f aca="false">IF(A728="","",D728+Inputs!$B$7)</f>
        <v>76</v>
      </c>
      <c r="F728" s="3" t="n">
        <f aca="false">IF(A728="","",DATE(YEAR(B$2)+D728,MONTH(B$2),DAY(B$2)))</f>
        <v>43621</v>
      </c>
      <c r="G728" s="3" t="n">
        <f aca="false">IF(A728="","",DATE(YEAR(F728)+1,MONTH(F728),DAY(F728)))</f>
        <v>43987</v>
      </c>
      <c r="H728" s="10" t="n">
        <f aca="false">IF(A728="","",IF(G728&gt;F728,(B728-F728)/(G728-F728),0))</f>
        <v>0.57103825136612</v>
      </c>
      <c r="I728" s="10" t="n">
        <f aca="false">IF(A728="","",IFERROR(INDEX(CV_RATES!$I:$I,MATCH(D728,CV_RATES!$C:$C,0)),0))</f>
        <v>847.853829872742</v>
      </c>
      <c r="J728" s="10" t="n">
        <f aca="false">IF(A728="","",IFERROR(IF(E728=MAX(MORTALITY!$A:$A),1000,INDEX(CV_RATES!$J:$J,MATCH(D728,CV_RATES!$C:$C,0))),0))</f>
        <v>855.140794729485</v>
      </c>
      <c r="K728" s="10" t="n">
        <f aca="false">IF(A728="","",IFERROR(I728+H728*(J728-I728),0))</f>
        <v>852.014965542303</v>
      </c>
      <c r="L728" s="10" t="n">
        <f aca="false">IF(A728="","",IFERROR(K728*Inputs!$B$9,0))</f>
        <v>42600.7482771151</v>
      </c>
      <c r="M728" s="10" t="n">
        <f aca="false">IF(A728="","",IFERROR(K728*Inputs!$B$10,0))</f>
        <v>136319.838441872</v>
      </c>
      <c r="N728" s="10" t="n">
        <f aca="false">IF(A728="","",Z727)</f>
        <v>0</v>
      </c>
      <c r="O728" s="6" t="n">
        <f aca="false">IF(A728="","",Inputs!$B$18+N728)</f>
        <v>50000</v>
      </c>
      <c r="P728" s="5" t="n">
        <f aca="false">IF(A728="","",VLOOKUP(D728,DIvidend_Assumption!$A$3:$CX$103,($E$2+2),0)/12)</f>
        <v>0</v>
      </c>
      <c r="Q728" s="10" t="n">
        <f aca="false">IF(A728="","",IFERROR(AB727*P728,""))</f>
        <v>0</v>
      </c>
      <c r="R728" s="10" t="n">
        <f aca="false">IF(A728="","",IFERROR(IF(Inputs!$B$22="Accumulate",T728+Q728,IF(Inputs!$B$22="Premium Offset",MAX(0,T728+Q728-Inputs!$B$25),T728)),""))</f>
        <v>0</v>
      </c>
      <c r="S728" s="10" t="n">
        <f aca="false">IF(A728="","",R727)</f>
        <v>0</v>
      </c>
      <c r="T728" s="10" t="n">
        <f aca="false">IF(A728="","",IFERROR(S728*(1+Inputs!$B$23/12),""))</f>
        <v>0</v>
      </c>
      <c r="U728" s="6" t="n">
        <f aca="false">IF(A728="","",IF(D728&lt;=Inputs!$B$8,IF(Inputs!$B$22="Premium Offset",MAX(0,Inputs!$B$25-(Q728+T728)),Inputs!$B$25),0))</f>
        <v>0</v>
      </c>
      <c r="V728" s="10" t="n">
        <f aca="false">IF(A728="","",IF(Inputs!$B$22="Cash",Q728,0))</f>
        <v>0</v>
      </c>
      <c r="W728" s="10" t="n">
        <f aca="false">IF(A728="","",IF(Inputs!$B$22="PUA",Q728,0))</f>
        <v>0</v>
      </c>
      <c r="X728" s="12" t="n">
        <f aca="false">IF(A728="","",IFERROR(INDEX(PUA_TABLE!$D$4:$D$105,MATCH(E728,PUA_TABLE!$C$4:$C$105,1)),0))</f>
        <v>0.847853829872742</v>
      </c>
      <c r="Y728" s="10" t="n">
        <f aca="false">IF(A728="","",IF(W728&gt;0,IF(X728&gt;0,W728/X728,0),0))</f>
        <v>0</v>
      </c>
      <c r="Z728" s="10" t="n">
        <f aca="false">IF(A728="","",N728+Y728)</f>
        <v>0</v>
      </c>
      <c r="AA728" s="10" t="n">
        <f aca="false">IF(A728="","",IFERROR(Z728*INDEX(PUA_TABLE!$I$4:$I$105,MATCH(E728,PUA_TABLE!$C$4:$C$105,1))/1000,0))</f>
        <v>0</v>
      </c>
      <c r="AB728" s="10" t="n">
        <f aca="false">IF(A728="","",IFERROR(L728+AA728,0))</f>
        <v>42600.7482771151</v>
      </c>
      <c r="AC728" s="10" t="n">
        <f aca="false">IF(A728="","",IF(Inputs!$B$22="Premium Offset",MIN(Inputs!$B$25,Q728+T728),0))</f>
        <v>0</v>
      </c>
    </row>
    <row r="729" customFormat="false" ht="15" hidden="false" customHeight="false" outlineLevel="0" collapsed="false">
      <c r="A729" s="1" t="n">
        <f aca="false">IF(A728="","",IF(INT((C728+1)/12)+Inputs!$B$7&gt;MAX(MORTALITY!$A:$A),"",Inputs!$B$4))</f>
        <v>34</v>
      </c>
      <c r="B729" s="3" t="n">
        <f aca="false">IF(A729="","",EOMONTH(B728,1))</f>
        <v>43861</v>
      </c>
      <c r="C729" s="1" t="n">
        <f aca="false">IF(A729="","",C728+1)</f>
        <v>727</v>
      </c>
      <c r="D729" s="1" t="n">
        <f aca="false">IF(A729="","",INT(C729/12))</f>
        <v>60</v>
      </c>
      <c r="E729" s="1" t="n">
        <f aca="false">IF(A729="","",D729+Inputs!$B$7)</f>
        <v>76</v>
      </c>
      <c r="F729" s="3" t="n">
        <f aca="false">IF(A729="","",DATE(YEAR(B$2)+D729,MONTH(B$2),DAY(B$2)))</f>
        <v>43621</v>
      </c>
      <c r="G729" s="3" t="n">
        <f aca="false">IF(A729="","",DATE(YEAR(F729)+1,MONTH(F729),DAY(F729)))</f>
        <v>43987</v>
      </c>
      <c r="H729" s="10" t="n">
        <f aca="false">IF(A729="","",IF(G729&gt;F729,(B729-F729)/(G729-F729),0))</f>
        <v>0.655737704918033</v>
      </c>
      <c r="I729" s="10" t="n">
        <f aca="false">IF(A729="","",IFERROR(INDEX(CV_RATES!$I:$I,MATCH(D729,CV_RATES!$C:$C,0)),0))</f>
        <v>847.853829872742</v>
      </c>
      <c r="J729" s="10" t="n">
        <f aca="false">IF(A729="","",IFERROR(IF(E729=MAX(MORTALITY!$A:$A),1000,INDEX(CV_RATES!$J:$J,MATCH(D729,CV_RATES!$C:$C,0))),0))</f>
        <v>855.140794729485</v>
      </c>
      <c r="K729" s="10" t="n">
        <f aca="false">IF(A729="","",IFERROR(I729+H729*(J729-I729),0))</f>
        <v>852.632167483721</v>
      </c>
      <c r="L729" s="10" t="n">
        <f aca="false">IF(A729="","",IFERROR(K729*Inputs!$B$9,0))</f>
        <v>42631.6083741861</v>
      </c>
      <c r="M729" s="10" t="n">
        <f aca="false">IF(A729="","",IFERROR(K729*Inputs!$B$10,0))</f>
        <v>136418.588900893</v>
      </c>
      <c r="N729" s="10" t="n">
        <f aca="false">IF(A729="","",Z728)</f>
        <v>0</v>
      </c>
      <c r="O729" s="6" t="n">
        <f aca="false">IF(A729="","",Inputs!$B$18+N729)</f>
        <v>50000</v>
      </c>
      <c r="P729" s="5" t="n">
        <f aca="false">IF(A729="","",VLOOKUP(D729,DIvidend_Assumption!$A$3:$CX$103,($E$2+2),0)/12)</f>
        <v>0</v>
      </c>
      <c r="Q729" s="10" t="n">
        <f aca="false">IF(A729="","",IFERROR(AB728*P729,""))</f>
        <v>0</v>
      </c>
      <c r="R729" s="10" t="n">
        <f aca="false">IF(A729="","",IFERROR(IF(Inputs!$B$22="Accumulate",T729+Q729,IF(Inputs!$B$22="Premium Offset",MAX(0,T729+Q729-Inputs!$B$25),T729)),""))</f>
        <v>0</v>
      </c>
      <c r="S729" s="10" t="n">
        <f aca="false">IF(A729="","",R728)</f>
        <v>0</v>
      </c>
      <c r="T729" s="10" t="n">
        <f aca="false">IF(A729="","",IFERROR(S729*(1+Inputs!$B$23/12),""))</f>
        <v>0</v>
      </c>
      <c r="U729" s="6" t="n">
        <f aca="false">IF(A729="","",IF(D729&lt;=Inputs!$B$8,IF(Inputs!$B$22="Premium Offset",MAX(0,Inputs!$B$25-(Q729+T729)),Inputs!$B$25),0))</f>
        <v>0</v>
      </c>
      <c r="V729" s="10" t="n">
        <f aca="false">IF(A729="","",IF(Inputs!$B$22="Cash",Q729,0))</f>
        <v>0</v>
      </c>
      <c r="W729" s="10" t="n">
        <f aca="false">IF(A729="","",IF(Inputs!$B$22="PUA",Q729,0))</f>
        <v>0</v>
      </c>
      <c r="X729" s="12" t="n">
        <f aca="false">IF(A729="","",IFERROR(INDEX(PUA_TABLE!$D$4:$D$105,MATCH(E729,PUA_TABLE!$C$4:$C$105,1)),0))</f>
        <v>0.847853829872742</v>
      </c>
      <c r="Y729" s="10" t="n">
        <f aca="false">IF(A729="","",IF(W729&gt;0,IF(X729&gt;0,W729/X729,0),0))</f>
        <v>0</v>
      </c>
      <c r="Z729" s="10" t="n">
        <f aca="false">IF(A729="","",N729+Y729)</f>
        <v>0</v>
      </c>
      <c r="AA729" s="10" t="n">
        <f aca="false">IF(A729="","",IFERROR(Z729*INDEX(PUA_TABLE!$I$4:$I$105,MATCH(E729,PUA_TABLE!$C$4:$C$105,1))/1000,0))</f>
        <v>0</v>
      </c>
      <c r="AB729" s="10" t="n">
        <f aca="false">IF(A729="","",IFERROR(L729+AA729,0))</f>
        <v>42631.6083741861</v>
      </c>
      <c r="AC729" s="10" t="n">
        <f aca="false">IF(A729="","",IF(Inputs!$B$22="Premium Offset",MIN(Inputs!$B$25,Q729+T729),0))</f>
        <v>0</v>
      </c>
    </row>
    <row r="730" customFormat="false" ht="15" hidden="false" customHeight="false" outlineLevel="0" collapsed="false">
      <c r="A730" s="1" t="n">
        <f aca="false">IF(A729="","",IF(INT((C729+1)/12)+Inputs!$B$7&gt;MAX(MORTALITY!$A:$A),"",Inputs!$B$4))</f>
        <v>34</v>
      </c>
      <c r="B730" s="3" t="n">
        <f aca="false">IF(A730="","",EOMONTH(B729,1))</f>
        <v>43890</v>
      </c>
      <c r="C730" s="1" t="n">
        <f aca="false">IF(A730="","",C729+1)</f>
        <v>728</v>
      </c>
      <c r="D730" s="1" t="n">
        <f aca="false">IF(A730="","",INT(C730/12))</f>
        <v>60</v>
      </c>
      <c r="E730" s="1" t="n">
        <f aca="false">IF(A730="","",D730+Inputs!$B$7)</f>
        <v>76</v>
      </c>
      <c r="F730" s="3" t="n">
        <f aca="false">IF(A730="","",DATE(YEAR(B$2)+D730,MONTH(B$2),DAY(B$2)))</f>
        <v>43621</v>
      </c>
      <c r="G730" s="3" t="n">
        <f aca="false">IF(A730="","",DATE(YEAR(F730)+1,MONTH(F730),DAY(F730)))</f>
        <v>43987</v>
      </c>
      <c r="H730" s="10" t="n">
        <f aca="false">IF(A730="","",IF(G730&gt;F730,(B730-F730)/(G730-F730),0))</f>
        <v>0.734972677595629</v>
      </c>
      <c r="I730" s="10" t="n">
        <f aca="false">IF(A730="","",IFERROR(INDEX(CV_RATES!$I:$I,MATCH(D730,CV_RATES!$C:$C,0)),0))</f>
        <v>847.853829872742</v>
      </c>
      <c r="J730" s="10" t="n">
        <f aca="false">IF(A730="","",IFERROR(IF(E730=MAX(MORTALITY!$A:$A),1000,INDEX(CV_RATES!$J:$J,MATCH(D730,CV_RATES!$C:$C,0))),0))</f>
        <v>855.140794729485</v>
      </c>
      <c r="K730" s="10" t="n">
        <f aca="false">IF(A730="","",IFERROR(I730+H730*(J730-I730),0))</f>
        <v>853.209549945048</v>
      </c>
      <c r="L730" s="10" t="n">
        <f aca="false">IF(A730="","",IFERROR(K730*Inputs!$B$9,0))</f>
        <v>42660.4774972524</v>
      </c>
      <c r="M730" s="10" t="n">
        <f aca="false">IF(A730="","",IFERROR(K730*Inputs!$B$10,0))</f>
        <v>136510.968362558</v>
      </c>
      <c r="N730" s="10" t="n">
        <f aca="false">IF(A730="","",Z729)</f>
        <v>0</v>
      </c>
      <c r="O730" s="6" t="n">
        <f aca="false">IF(A730="","",Inputs!$B$18+N730)</f>
        <v>50000</v>
      </c>
      <c r="P730" s="5" t="n">
        <f aca="false">IF(A730="","",VLOOKUP(D730,DIvidend_Assumption!$A$3:$CX$103,($E$2+2),0)/12)</f>
        <v>0</v>
      </c>
      <c r="Q730" s="10" t="n">
        <f aca="false">IF(A730="","",IFERROR(AB729*P730,""))</f>
        <v>0</v>
      </c>
      <c r="R730" s="10" t="n">
        <f aca="false">IF(A730="","",IFERROR(IF(Inputs!$B$22="Accumulate",T730+Q730,IF(Inputs!$B$22="Premium Offset",MAX(0,T730+Q730-Inputs!$B$25),T730)),""))</f>
        <v>0</v>
      </c>
      <c r="S730" s="10" t="n">
        <f aca="false">IF(A730="","",R729)</f>
        <v>0</v>
      </c>
      <c r="T730" s="10" t="n">
        <f aca="false">IF(A730="","",IFERROR(S730*(1+Inputs!$B$23/12),""))</f>
        <v>0</v>
      </c>
      <c r="U730" s="6" t="n">
        <f aca="false">IF(A730="","",IF(D730&lt;=Inputs!$B$8,IF(Inputs!$B$22="Premium Offset",MAX(0,Inputs!$B$25-(Q730+T730)),Inputs!$B$25),0))</f>
        <v>0</v>
      </c>
      <c r="V730" s="10" t="n">
        <f aca="false">IF(A730="","",IF(Inputs!$B$22="Cash",Q730,0))</f>
        <v>0</v>
      </c>
      <c r="W730" s="10" t="n">
        <f aca="false">IF(A730="","",IF(Inputs!$B$22="PUA",Q730,0))</f>
        <v>0</v>
      </c>
      <c r="X730" s="12" t="n">
        <f aca="false">IF(A730="","",IFERROR(INDEX(PUA_TABLE!$D$4:$D$105,MATCH(E730,PUA_TABLE!$C$4:$C$105,1)),0))</f>
        <v>0.847853829872742</v>
      </c>
      <c r="Y730" s="10" t="n">
        <f aca="false">IF(A730="","",IF(W730&gt;0,IF(X730&gt;0,W730/X730,0),0))</f>
        <v>0</v>
      </c>
      <c r="Z730" s="10" t="n">
        <f aca="false">IF(A730="","",N730+Y730)</f>
        <v>0</v>
      </c>
      <c r="AA730" s="10" t="n">
        <f aca="false">IF(A730="","",IFERROR(Z730*INDEX(PUA_TABLE!$I$4:$I$105,MATCH(E730,PUA_TABLE!$C$4:$C$105,1))/1000,0))</f>
        <v>0</v>
      </c>
      <c r="AB730" s="10" t="n">
        <f aca="false">IF(A730="","",IFERROR(L730+AA730,0))</f>
        <v>42660.4774972524</v>
      </c>
      <c r="AC730" s="10" t="n">
        <f aca="false">IF(A730="","",IF(Inputs!$B$22="Premium Offset",MIN(Inputs!$B$25,Q730+T730),0))</f>
        <v>0</v>
      </c>
    </row>
    <row r="731" customFormat="false" ht="15" hidden="false" customHeight="false" outlineLevel="0" collapsed="false">
      <c r="A731" s="1" t="n">
        <f aca="false">IF(A730="","",IF(INT((C730+1)/12)+Inputs!$B$7&gt;MAX(MORTALITY!$A:$A),"",Inputs!$B$4))</f>
        <v>34</v>
      </c>
      <c r="B731" s="3" t="n">
        <f aca="false">IF(A731="","",EOMONTH(B730,1))</f>
        <v>43921</v>
      </c>
      <c r="C731" s="1" t="n">
        <f aca="false">IF(A731="","",C730+1)</f>
        <v>729</v>
      </c>
      <c r="D731" s="1" t="n">
        <f aca="false">IF(A731="","",INT(C731/12))</f>
        <v>60</v>
      </c>
      <c r="E731" s="1" t="n">
        <f aca="false">IF(A731="","",D731+Inputs!$B$7)</f>
        <v>76</v>
      </c>
      <c r="F731" s="3" t="n">
        <f aca="false">IF(A731="","",DATE(YEAR(B$2)+D731,MONTH(B$2),DAY(B$2)))</f>
        <v>43621</v>
      </c>
      <c r="G731" s="3" t="n">
        <f aca="false">IF(A731="","",DATE(YEAR(F731)+1,MONTH(F731),DAY(F731)))</f>
        <v>43987</v>
      </c>
      <c r="H731" s="10" t="n">
        <f aca="false">IF(A731="","",IF(G731&gt;F731,(B731-F731)/(G731-F731),0))</f>
        <v>0.819672131147541</v>
      </c>
      <c r="I731" s="10" t="n">
        <f aca="false">IF(A731="","",IFERROR(INDEX(CV_RATES!$I:$I,MATCH(D731,CV_RATES!$C:$C,0)),0))</f>
        <v>847.853829872742</v>
      </c>
      <c r="J731" s="10" t="n">
        <f aca="false">IF(A731="","",IFERROR(IF(E731=MAX(MORTALITY!$A:$A),1000,INDEX(CV_RATES!$J:$J,MATCH(D731,CV_RATES!$C:$C,0))),0))</f>
        <v>855.140794729485</v>
      </c>
      <c r="K731" s="10" t="n">
        <f aca="false">IF(A731="","",IFERROR(I731+H731*(J731-I731),0))</f>
        <v>853.826751886466</v>
      </c>
      <c r="L731" s="10" t="n">
        <f aca="false">IF(A731="","",IFERROR(K731*Inputs!$B$9,0))</f>
        <v>42691.3375943233</v>
      </c>
      <c r="M731" s="10" t="n">
        <f aca="false">IF(A731="","",IFERROR(K731*Inputs!$B$10,0))</f>
        <v>136609.718821579</v>
      </c>
      <c r="N731" s="10" t="n">
        <f aca="false">IF(A731="","",Z730)</f>
        <v>0</v>
      </c>
      <c r="O731" s="6" t="n">
        <f aca="false">IF(A731="","",Inputs!$B$18+N731)</f>
        <v>50000</v>
      </c>
      <c r="P731" s="5" t="n">
        <f aca="false">IF(A731="","",VLOOKUP(D731,DIvidend_Assumption!$A$3:$CX$103,($E$2+2),0)/12)</f>
        <v>0</v>
      </c>
      <c r="Q731" s="10" t="n">
        <f aca="false">IF(A731="","",IFERROR(AB730*P731,""))</f>
        <v>0</v>
      </c>
      <c r="R731" s="10" t="n">
        <f aca="false">IF(A731="","",IFERROR(IF(Inputs!$B$22="Accumulate",T731+Q731,IF(Inputs!$B$22="Premium Offset",MAX(0,T731+Q731-Inputs!$B$25),T731)),""))</f>
        <v>0</v>
      </c>
      <c r="S731" s="10" t="n">
        <f aca="false">IF(A731="","",R730)</f>
        <v>0</v>
      </c>
      <c r="T731" s="10" t="n">
        <f aca="false">IF(A731="","",IFERROR(S731*(1+Inputs!$B$23/12),""))</f>
        <v>0</v>
      </c>
      <c r="U731" s="6" t="n">
        <f aca="false">IF(A731="","",IF(D731&lt;=Inputs!$B$8,IF(Inputs!$B$22="Premium Offset",MAX(0,Inputs!$B$25-(Q731+T731)),Inputs!$B$25),0))</f>
        <v>0</v>
      </c>
      <c r="V731" s="10" t="n">
        <f aca="false">IF(A731="","",IF(Inputs!$B$22="Cash",Q731,0))</f>
        <v>0</v>
      </c>
      <c r="W731" s="10" t="n">
        <f aca="false">IF(A731="","",IF(Inputs!$B$22="PUA",Q731,0))</f>
        <v>0</v>
      </c>
      <c r="X731" s="12" t="n">
        <f aca="false">IF(A731="","",IFERROR(INDEX(PUA_TABLE!$D$4:$D$105,MATCH(E731,PUA_TABLE!$C$4:$C$105,1)),0))</f>
        <v>0.847853829872742</v>
      </c>
      <c r="Y731" s="10" t="n">
        <f aca="false">IF(A731="","",IF(W731&gt;0,IF(X731&gt;0,W731/X731,0),0))</f>
        <v>0</v>
      </c>
      <c r="Z731" s="10" t="n">
        <f aca="false">IF(A731="","",N731+Y731)</f>
        <v>0</v>
      </c>
      <c r="AA731" s="10" t="n">
        <f aca="false">IF(A731="","",IFERROR(Z731*INDEX(PUA_TABLE!$I$4:$I$105,MATCH(E731,PUA_TABLE!$C$4:$C$105,1))/1000,0))</f>
        <v>0</v>
      </c>
      <c r="AB731" s="10" t="n">
        <f aca="false">IF(A731="","",IFERROR(L731+AA731,0))</f>
        <v>42691.3375943233</v>
      </c>
      <c r="AC731" s="10" t="n">
        <f aca="false">IF(A731="","",IF(Inputs!$B$22="Premium Offset",MIN(Inputs!$B$25,Q731+T731),0))</f>
        <v>0</v>
      </c>
    </row>
    <row r="732" customFormat="false" ht="15" hidden="false" customHeight="false" outlineLevel="0" collapsed="false">
      <c r="A732" s="1" t="n">
        <f aca="false">IF(A731="","",IF(INT((C731+1)/12)+Inputs!$B$7&gt;MAX(MORTALITY!$A:$A),"",Inputs!$B$4))</f>
        <v>34</v>
      </c>
      <c r="B732" s="3" t="n">
        <f aca="false">IF(A732="","",EOMONTH(B731,1))</f>
        <v>43951</v>
      </c>
      <c r="C732" s="1" t="n">
        <f aca="false">IF(A732="","",C731+1)</f>
        <v>730</v>
      </c>
      <c r="D732" s="1" t="n">
        <f aca="false">IF(A732="","",INT(C732/12))</f>
        <v>60</v>
      </c>
      <c r="E732" s="1" t="n">
        <f aca="false">IF(A732="","",D732+Inputs!$B$7)</f>
        <v>76</v>
      </c>
      <c r="F732" s="3" t="n">
        <f aca="false">IF(A732="","",DATE(YEAR(B$2)+D732,MONTH(B$2),DAY(B$2)))</f>
        <v>43621</v>
      </c>
      <c r="G732" s="3" t="n">
        <f aca="false">IF(A732="","",DATE(YEAR(F732)+1,MONTH(F732),DAY(F732)))</f>
        <v>43987</v>
      </c>
      <c r="H732" s="10" t="n">
        <f aca="false">IF(A732="","",IF(G732&gt;F732,(B732-F732)/(G732-F732),0))</f>
        <v>0.901639344262295</v>
      </c>
      <c r="I732" s="10" t="n">
        <f aca="false">IF(A732="","",IFERROR(INDEX(CV_RATES!$I:$I,MATCH(D732,CV_RATES!$C:$C,0)),0))</f>
        <v>847.853829872742</v>
      </c>
      <c r="J732" s="10" t="n">
        <f aca="false">IF(A732="","",IFERROR(IF(E732=MAX(MORTALITY!$A:$A),1000,INDEX(CV_RATES!$J:$J,MATCH(D732,CV_RATES!$C:$C,0))),0))</f>
        <v>855.140794729485</v>
      </c>
      <c r="K732" s="10" t="n">
        <f aca="false">IF(A732="","",IFERROR(I732+H732*(J732-I732),0))</f>
        <v>854.424044087838</v>
      </c>
      <c r="L732" s="10" t="n">
        <f aca="false">IF(A732="","",IFERROR(K732*Inputs!$B$9,0))</f>
        <v>42721.2022043919</v>
      </c>
      <c r="M732" s="10" t="n">
        <f aca="false">IF(A732="","",IFERROR(K732*Inputs!$B$10,0))</f>
        <v>136705.283781922</v>
      </c>
      <c r="N732" s="10" t="n">
        <f aca="false">IF(A732="","",Z731)</f>
        <v>0</v>
      </c>
      <c r="O732" s="6" t="n">
        <f aca="false">IF(A732="","",Inputs!$B$18+N732)</f>
        <v>50000</v>
      </c>
      <c r="P732" s="5" t="n">
        <f aca="false">IF(A732="","",VLOOKUP(D732,DIvidend_Assumption!$A$3:$CX$103,($E$2+2),0)/12)</f>
        <v>0</v>
      </c>
      <c r="Q732" s="10" t="n">
        <f aca="false">IF(A732="","",IFERROR(AB731*P732,""))</f>
        <v>0</v>
      </c>
      <c r="R732" s="10" t="n">
        <f aca="false">IF(A732="","",IFERROR(IF(Inputs!$B$22="Accumulate",T732+Q732,IF(Inputs!$B$22="Premium Offset",MAX(0,T732+Q732-Inputs!$B$25),T732)),""))</f>
        <v>0</v>
      </c>
      <c r="S732" s="10" t="n">
        <f aca="false">IF(A732="","",R731)</f>
        <v>0</v>
      </c>
      <c r="T732" s="10" t="n">
        <f aca="false">IF(A732="","",IFERROR(S732*(1+Inputs!$B$23/12),""))</f>
        <v>0</v>
      </c>
      <c r="U732" s="6" t="n">
        <f aca="false">IF(A732="","",IF(D732&lt;=Inputs!$B$8,IF(Inputs!$B$22="Premium Offset",MAX(0,Inputs!$B$25-(Q732+T732)),Inputs!$B$25),0))</f>
        <v>0</v>
      </c>
      <c r="V732" s="10" t="n">
        <f aca="false">IF(A732="","",IF(Inputs!$B$22="Cash",Q732,0))</f>
        <v>0</v>
      </c>
      <c r="W732" s="10" t="n">
        <f aca="false">IF(A732="","",IF(Inputs!$B$22="PUA",Q732,0))</f>
        <v>0</v>
      </c>
      <c r="X732" s="12" t="n">
        <f aca="false">IF(A732="","",IFERROR(INDEX(PUA_TABLE!$D$4:$D$105,MATCH(E732,PUA_TABLE!$C$4:$C$105,1)),0))</f>
        <v>0.847853829872742</v>
      </c>
      <c r="Y732" s="10" t="n">
        <f aca="false">IF(A732="","",IF(W732&gt;0,IF(X732&gt;0,W732/X732,0),0))</f>
        <v>0</v>
      </c>
      <c r="Z732" s="10" t="n">
        <f aca="false">IF(A732="","",N732+Y732)</f>
        <v>0</v>
      </c>
      <c r="AA732" s="10" t="n">
        <f aca="false">IF(A732="","",IFERROR(Z732*INDEX(PUA_TABLE!$I$4:$I$105,MATCH(E732,PUA_TABLE!$C$4:$C$105,1))/1000,0))</f>
        <v>0</v>
      </c>
      <c r="AB732" s="10" t="n">
        <f aca="false">IF(A732="","",IFERROR(L732+AA732,0))</f>
        <v>42721.2022043919</v>
      </c>
      <c r="AC732" s="10" t="n">
        <f aca="false">IF(A732="","",IF(Inputs!$B$22="Premium Offset",MIN(Inputs!$B$25,Q732+T732),0))</f>
        <v>0</v>
      </c>
    </row>
    <row r="733" customFormat="false" ht="15" hidden="false" customHeight="false" outlineLevel="0" collapsed="false">
      <c r="A733" s="1" t="n">
        <f aca="false">IF(A732="","",IF(INT((C732+1)/12)+Inputs!$B$7&gt;MAX(MORTALITY!$A:$A),"",Inputs!$B$4))</f>
        <v>34</v>
      </c>
      <c r="B733" s="3" t="n">
        <f aca="false">IF(A733="","",EOMONTH(B732,1))</f>
        <v>43982</v>
      </c>
      <c r="C733" s="1" t="n">
        <f aca="false">IF(A733="","",C732+1)</f>
        <v>731</v>
      </c>
      <c r="D733" s="1" t="n">
        <f aca="false">IF(A733="","",INT(C733/12))</f>
        <v>60</v>
      </c>
      <c r="E733" s="1" t="n">
        <f aca="false">IF(A733="","",D733+Inputs!$B$7)</f>
        <v>76</v>
      </c>
      <c r="F733" s="3" t="n">
        <f aca="false">IF(A733="","",DATE(YEAR(B$2)+D733,MONTH(B$2),DAY(B$2)))</f>
        <v>43621</v>
      </c>
      <c r="G733" s="3" t="n">
        <f aca="false">IF(A733="","",DATE(YEAR(F733)+1,MONTH(F733),DAY(F733)))</f>
        <v>43987</v>
      </c>
      <c r="H733" s="10" t="n">
        <f aca="false">IF(A733="","",IF(G733&gt;F733,(B733-F733)/(G733-F733),0))</f>
        <v>0.986338797814208</v>
      </c>
      <c r="I733" s="10" t="n">
        <f aca="false">IF(A733="","",IFERROR(INDEX(CV_RATES!$I:$I,MATCH(D733,CV_RATES!$C:$C,0)),0))</f>
        <v>847.853829872742</v>
      </c>
      <c r="J733" s="10" t="n">
        <f aca="false">IF(A733="","",IFERROR(IF(E733=MAX(MORTALITY!$A:$A),1000,INDEX(CV_RATES!$J:$J,MATCH(D733,CV_RATES!$C:$C,0))),0))</f>
        <v>855.140794729485</v>
      </c>
      <c r="K733" s="10" t="n">
        <f aca="false">IF(A733="","",IFERROR(I733+H733*(J733-I733),0))</f>
        <v>855.041246029257</v>
      </c>
      <c r="L733" s="10" t="n">
        <f aca="false">IF(A733="","",IFERROR(K733*Inputs!$B$9,0))</f>
        <v>42752.0623014628</v>
      </c>
      <c r="M733" s="10" t="n">
        <f aca="false">IF(A733="","",IFERROR(K733*Inputs!$B$10,0))</f>
        <v>136804.034240943</v>
      </c>
      <c r="N733" s="10" t="n">
        <f aca="false">IF(A733="","",Z732)</f>
        <v>0</v>
      </c>
      <c r="O733" s="6" t="n">
        <f aca="false">IF(A733="","",Inputs!$B$18+N733)</f>
        <v>50000</v>
      </c>
      <c r="P733" s="5" t="n">
        <f aca="false">IF(A733="","",VLOOKUP(D733,DIvidend_Assumption!$A$3:$CX$103,($E$2+2),0)/12)</f>
        <v>0</v>
      </c>
      <c r="Q733" s="10" t="n">
        <f aca="false">IF(A733="","",IFERROR(AB732*P733,""))</f>
        <v>0</v>
      </c>
      <c r="R733" s="10" t="n">
        <f aca="false">IF(A733="","",IFERROR(IF(Inputs!$B$22="Accumulate",T733+Q733,IF(Inputs!$B$22="Premium Offset",MAX(0,T733+Q733-Inputs!$B$25),T733)),""))</f>
        <v>0</v>
      </c>
      <c r="S733" s="10" t="n">
        <f aca="false">IF(A733="","",R732)</f>
        <v>0</v>
      </c>
      <c r="T733" s="10" t="n">
        <f aca="false">IF(A733="","",IFERROR(S733*(1+Inputs!$B$23/12),""))</f>
        <v>0</v>
      </c>
      <c r="U733" s="6" t="n">
        <f aca="false">IF(A733="","",IF(D733&lt;=Inputs!$B$8,IF(Inputs!$B$22="Premium Offset",MAX(0,Inputs!$B$25-(Q733+T733)),Inputs!$B$25),0))</f>
        <v>0</v>
      </c>
      <c r="V733" s="10" t="n">
        <f aca="false">IF(A733="","",IF(Inputs!$B$22="Cash",Q733,0))</f>
        <v>0</v>
      </c>
      <c r="W733" s="10" t="n">
        <f aca="false">IF(A733="","",IF(Inputs!$B$22="PUA",Q733,0))</f>
        <v>0</v>
      </c>
      <c r="X733" s="12" t="n">
        <f aca="false">IF(A733="","",IFERROR(INDEX(PUA_TABLE!$D$4:$D$105,MATCH(E733,PUA_TABLE!$C$4:$C$105,1)),0))</f>
        <v>0.847853829872742</v>
      </c>
      <c r="Y733" s="10" t="n">
        <f aca="false">IF(A733="","",IF(W733&gt;0,IF(X733&gt;0,W733/X733,0),0))</f>
        <v>0</v>
      </c>
      <c r="Z733" s="10" t="n">
        <f aca="false">IF(A733="","",N733+Y733)</f>
        <v>0</v>
      </c>
      <c r="AA733" s="10" t="n">
        <f aca="false">IF(A733="","",IFERROR(Z733*INDEX(PUA_TABLE!$I$4:$I$105,MATCH(E733,PUA_TABLE!$C$4:$C$105,1))/1000,0))</f>
        <v>0</v>
      </c>
      <c r="AB733" s="10" t="n">
        <f aca="false">IF(A733="","",IFERROR(L733+AA733,0))</f>
        <v>42752.0623014628</v>
      </c>
      <c r="AC733" s="10" t="n">
        <f aca="false">IF(A733="","",IF(Inputs!$B$22="Premium Offset",MIN(Inputs!$B$25,Q733+T733),0))</f>
        <v>0</v>
      </c>
    </row>
    <row r="734" customFormat="false" ht="15" hidden="false" customHeight="false" outlineLevel="0" collapsed="false">
      <c r="A734" s="1" t="n">
        <f aca="false">IF(A733="","",IF(INT((C733+1)/12)+Inputs!$B$7&gt;MAX(MORTALITY!$A:$A),"",Inputs!$B$4))</f>
        <v>34</v>
      </c>
      <c r="B734" s="3" t="n">
        <f aca="false">IF(A734="","",EOMONTH(B733,1))</f>
        <v>44012</v>
      </c>
      <c r="C734" s="1" t="n">
        <f aca="false">IF(A734="","",C733+1)</f>
        <v>732</v>
      </c>
      <c r="D734" s="1" t="n">
        <f aca="false">IF(A734="","",INT(C734/12))</f>
        <v>61</v>
      </c>
      <c r="E734" s="1" t="n">
        <f aca="false">IF(A734="","",D734+Inputs!$B$7)</f>
        <v>77</v>
      </c>
      <c r="F734" s="3" t="n">
        <f aca="false">IF(A734="","",DATE(YEAR(B$2)+D734,MONTH(B$2),DAY(B$2)))</f>
        <v>43987</v>
      </c>
      <c r="G734" s="3" t="n">
        <f aca="false">IF(A734="","",DATE(YEAR(F734)+1,MONTH(F734),DAY(F734)))</f>
        <v>44352</v>
      </c>
      <c r="H734" s="10" t="n">
        <f aca="false">IF(A734="","",IF(G734&gt;F734,(B734-F734)/(G734-F734),0))</f>
        <v>0.0684931506849315</v>
      </c>
      <c r="I734" s="10" t="n">
        <f aca="false">IF(A734="","",IFERROR(INDEX(CV_RATES!$I:$I,MATCH(D734,CV_RATES!$C:$C,0)),0))</f>
        <v>855.140794729485</v>
      </c>
      <c r="J734" s="10" t="n">
        <f aca="false">IF(A734="","",IFERROR(IF(E734=MAX(MORTALITY!$A:$A),1000,INDEX(CV_RATES!$J:$J,MATCH(D734,CV_RATES!$C:$C,0))),0))</f>
        <v>862.18827311941</v>
      </c>
      <c r="K734" s="10" t="n">
        <f aca="false">IF(A734="","",IFERROR(I734+H734*(J734-I734),0))</f>
        <v>855.623498728795</v>
      </c>
      <c r="L734" s="10" t="n">
        <f aca="false">IF(A734="","",IFERROR(K734*Inputs!$B$9,0))</f>
        <v>42781.1749364398</v>
      </c>
      <c r="M734" s="10" t="n">
        <f aca="false">IF(A734="","",IFERROR(K734*Inputs!$B$10,0))</f>
        <v>136897.192926111</v>
      </c>
      <c r="N734" s="10" t="n">
        <f aca="false">IF(A734="","",Z733)</f>
        <v>0</v>
      </c>
      <c r="O734" s="6" t="n">
        <f aca="false">IF(A734="","",Inputs!$B$18+N734)</f>
        <v>50000</v>
      </c>
      <c r="P734" s="5" t="n">
        <f aca="false">IF(A734="","",VLOOKUP(D734,DIvidend_Assumption!$A$3:$CX$103,($E$2+2),0)/12)</f>
        <v>0</v>
      </c>
      <c r="Q734" s="10" t="n">
        <f aca="false">IF(A734="","",IFERROR(AB733*P734,""))</f>
        <v>0</v>
      </c>
      <c r="R734" s="10" t="n">
        <f aca="false">IF(A734="","",IFERROR(IF(Inputs!$B$22="Accumulate",T734+Q734,IF(Inputs!$B$22="Premium Offset",MAX(0,T734+Q734-Inputs!$B$25),T734)),""))</f>
        <v>0</v>
      </c>
      <c r="S734" s="10" t="n">
        <f aca="false">IF(A734="","",R733)</f>
        <v>0</v>
      </c>
      <c r="T734" s="10" t="n">
        <f aca="false">IF(A734="","",IFERROR(S734*(1+Inputs!$B$23/12),""))</f>
        <v>0</v>
      </c>
      <c r="U734" s="6" t="n">
        <f aca="false">IF(A734="","",IF(D734&lt;=Inputs!$B$8,IF(Inputs!$B$22="Premium Offset",MAX(0,Inputs!$B$25-(Q734+T734)),Inputs!$B$25),0))</f>
        <v>0</v>
      </c>
      <c r="V734" s="10" t="n">
        <f aca="false">IF(A734="","",IF(Inputs!$B$22="Cash",Q734,0))</f>
        <v>0</v>
      </c>
      <c r="W734" s="10" t="n">
        <f aca="false">IF(A734="","",IF(Inputs!$B$22="PUA",Q734,0))</f>
        <v>0</v>
      </c>
      <c r="X734" s="12" t="n">
        <f aca="false">IF(A734="","",IFERROR(INDEX(PUA_TABLE!$D$4:$D$105,MATCH(E734,PUA_TABLE!$C$4:$C$105,1)),0))</f>
        <v>0.855140794729485</v>
      </c>
      <c r="Y734" s="10" t="n">
        <f aca="false">IF(A734="","",IF(W734&gt;0,IF(X734&gt;0,W734/X734,0),0))</f>
        <v>0</v>
      </c>
      <c r="Z734" s="10" t="n">
        <f aca="false">IF(A734="","",N734+Y734)</f>
        <v>0</v>
      </c>
      <c r="AA734" s="10" t="n">
        <f aca="false">IF(A734="","",IFERROR(Z734*INDEX(PUA_TABLE!$I$4:$I$105,MATCH(E734,PUA_TABLE!$C$4:$C$105,1))/1000,0))</f>
        <v>0</v>
      </c>
      <c r="AB734" s="10" t="n">
        <f aca="false">IF(A734="","",IFERROR(L734+AA734,0))</f>
        <v>42781.1749364398</v>
      </c>
      <c r="AC734" s="10" t="n">
        <f aca="false">IF(A734="","",IF(Inputs!$B$22="Premium Offset",MIN(Inputs!$B$25,Q734+T734),0))</f>
        <v>0</v>
      </c>
    </row>
    <row r="735" customFormat="false" ht="15" hidden="false" customHeight="false" outlineLevel="0" collapsed="false">
      <c r="A735" s="1" t="n">
        <f aca="false">IF(A734="","",IF(INT((C734+1)/12)+Inputs!$B$7&gt;MAX(MORTALITY!$A:$A),"",Inputs!$B$4))</f>
        <v>34</v>
      </c>
      <c r="B735" s="3" t="n">
        <f aca="false">IF(A735="","",EOMONTH(B734,1))</f>
        <v>44043</v>
      </c>
      <c r="C735" s="1" t="n">
        <f aca="false">IF(A735="","",C734+1)</f>
        <v>733</v>
      </c>
      <c r="D735" s="1" t="n">
        <f aca="false">IF(A735="","",INT(C735/12))</f>
        <v>61</v>
      </c>
      <c r="E735" s="1" t="n">
        <f aca="false">IF(A735="","",D735+Inputs!$B$7)</f>
        <v>77</v>
      </c>
      <c r="F735" s="3" t="n">
        <f aca="false">IF(A735="","",DATE(YEAR(B$2)+D735,MONTH(B$2),DAY(B$2)))</f>
        <v>43987</v>
      </c>
      <c r="G735" s="3" t="n">
        <f aca="false">IF(A735="","",DATE(YEAR(F735)+1,MONTH(F735),DAY(F735)))</f>
        <v>44352</v>
      </c>
      <c r="H735" s="10" t="n">
        <f aca="false">IF(A735="","",IF(G735&gt;F735,(B735-F735)/(G735-F735),0))</f>
        <v>0.153424657534247</v>
      </c>
      <c r="I735" s="10" t="n">
        <f aca="false">IF(A735="","",IFERROR(INDEX(CV_RATES!$I:$I,MATCH(D735,CV_RATES!$C:$C,0)),0))</f>
        <v>855.140794729485</v>
      </c>
      <c r="J735" s="10" t="n">
        <f aca="false">IF(A735="","",IFERROR(IF(E735=MAX(MORTALITY!$A:$A),1000,INDEX(CV_RATES!$J:$J,MATCH(D735,CV_RATES!$C:$C,0))),0))</f>
        <v>862.18827311941</v>
      </c>
      <c r="K735" s="10" t="n">
        <f aca="false">IF(A735="","",IFERROR(I735+H735*(J735-I735),0))</f>
        <v>856.222051687939</v>
      </c>
      <c r="L735" s="10" t="n">
        <f aca="false">IF(A735="","",IFERROR(K735*Inputs!$B$9,0))</f>
        <v>42811.102584397</v>
      </c>
      <c r="M735" s="10" t="n">
        <f aca="false">IF(A735="","",IFERROR(K735*Inputs!$B$10,0))</f>
        <v>136992.959603915</v>
      </c>
      <c r="N735" s="10" t="n">
        <f aca="false">IF(A735="","",Z734)</f>
        <v>0</v>
      </c>
      <c r="O735" s="6" t="n">
        <f aca="false">IF(A735="","",Inputs!$B$18+N735)</f>
        <v>50000</v>
      </c>
      <c r="P735" s="5" t="n">
        <f aca="false">IF(A735="","",VLOOKUP(D735,DIvidend_Assumption!$A$3:$CX$103,($E$2+2),0)/12)</f>
        <v>0</v>
      </c>
      <c r="Q735" s="10" t="n">
        <f aca="false">IF(A735="","",IFERROR(AB734*P735,""))</f>
        <v>0</v>
      </c>
      <c r="R735" s="10" t="n">
        <f aca="false">IF(A735="","",IFERROR(IF(Inputs!$B$22="Accumulate",T735+Q735,IF(Inputs!$B$22="Premium Offset",MAX(0,T735+Q735-Inputs!$B$25),T735)),""))</f>
        <v>0</v>
      </c>
      <c r="S735" s="10" t="n">
        <f aca="false">IF(A735="","",R734)</f>
        <v>0</v>
      </c>
      <c r="T735" s="10" t="n">
        <f aca="false">IF(A735="","",IFERROR(S735*(1+Inputs!$B$23/12),""))</f>
        <v>0</v>
      </c>
      <c r="U735" s="6" t="n">
        <f aca="false">IF(A735="","",IF(D735&lt;=Inputs!$B$8,IF(Inputs!$B$22="Premium Offset",MAX(0,Inputs!$B$25-(Q735+T735)),Inputs!$B$25),0))</f>
        <v>0</v>
      </c>
      <c r="V735" s="10" t="n">
        <f aca="false">IF(A735="","",IF(Inputs!$B$22="Cash",Q735,0))</f>
        <v>0</v>
      </c>
      <c r="W735" s="10" t="n">
        <f aca="false">IF(A735="","",IF(Inputs!$B$22="PUA",Q735,0))</f>
        <v>0</v>
      </c>
      <c r="X735" s="12" t="n">
        <f aca="false">IF(A735="","",IFERROR(INDEX(PUA_TABLE!$D$4:$D$105,MATCH(E735,PUA_TABLE!$C$4:$C$105,1)),0))</f>
        <v>0.855140794729485</v>
      </c>
      <c r="Y735" s="10" t="n">
        <f aca="false">IF(A735="","",IF(W735&gt;0,IF(X735&gt;0,W735/X735,0),0))</f>
        <v>0</v>
      </c>
      <c r="Z735" s="10" t="n">
        <f aca="false">IF(A735="","",N735+Y735)</f>
        <v>0</v>
      </c>
      <c r="AA735" s="10" t="n">
        <f aca="false">IF(A735="","",IFERROR(Z735*INDEX(PUA_TABLE!$I$4:$I$105,MATCH(E735,PUA_TABLE!$C$4:$C$105,1))/1000,0))</f>
        <v>0</v>
      </c>
      <c r="AB735" s="10" t="n">
        <f aca="false">IF(A735="","",IFERROR(L735+AA735,0))</f>
        <v>42811.102584397</v>
      </c>
      <c r="AC735" s="10" t="n">
        <f aca="false">IF(A735="","",IF(Inputs!$B$22="Premium Offset",MIN(Inputs!$B$25,Q735+T735),0))</f>
        <v>0</v>
      </c>
    </row>
    <row r="736" customFormat="false" ht="15" hidden="false" customHeight="false" outlineLevel="0" collapsed="false">
      <c r="A736" s="1" t="n">
        <f aca="false">IF(A735="","",IF(INT((C735+1)/12)+Inputs!$B$7&gt;MAX(MORTALITY!$A:$A),"",Inputs!$B$4))</f>
        <v>34</v>
      </c>
      <c r="B736" s="3" t="n">
        <f aca="false">IF(A736="","",EOMONTH(B735,1))</f>
        <v>44074</v>
      </c>
      <c r="C736" s="1" t="n">
        <f aca="false">IF(A736="","",C735+1)</f>
        <v>734</v>
      </c>
      <c r="D736" s="1" t="n">
        <f aca="false">IF(A736="","",INT(C736/12))</f>
        <v>61</v>
      </c>
      <c r="E736" s="1" t="n">
        <f aca="false">IF(A736="","",D736+Inputs!$B$7)</f>
        <v>77</v>
      </c>
      <c r="F736" s="3" t="n">
        <f aca="false">IF(A736="","",DATE(YEAR(B$2)+D736,MONTH(B$2),DAY(B$2)))</f>
        <v>43987</v>
      </c>
      <c r="G736" s="3" t="n">
        <f aca="false">IF(A736="","",DATE(YEAR(F736)+1,MONTH(F736),DAY(F736)))</f>
        <v>44352</v>
      </c>
      <c r="H736" s="10" t="n">
        <f aca="false">IF(A736="","",IF(G736&gt;F736,(B736-F736)/(G736-F736),0))</f>
        <v>0.238356164383562</v>
      </c>
      <c r="I736" s="10" t="n">
        <f aca="false">IF(A736="","",IFERROR(INDEX(CV_RATES!$I:$I,MATCH(D736,CV_RATES!$C:$C,0)),0))</f>
        <v>855.140794729485</v>
      </c>
      <c r="J736" s="10" t="n">
        <f aca="false">IF(A736="","",IFERROR(IF(E736=MAX(MORTALITY!$A:$A),1000,INDEX(CV_RATES!$J:$J,MATCH(D736,CV_RATES!$C:$C,0))),0))</f>
        <v>862.18827311941</v>
      </c>
      <c r="K736" s="10" t="n">
        <f aca="false">IF(A736="","",IFERROR(I736+H736*(J736-I736),0))</f>
        <v>856.820604647084</v>
      </c>
      <c r="L736" s="10" t="n">
        <f aca="false">IF(A736="","",IFERROR(K736*Inputs!$B$9,0))</f>
        <v>42841.0302323542</v>
      </c>
      <c r="M736" s="10" t="n">
        <f aca="false">IF(A736="","",IFERROR(K736*Inputs!$B$10,0))</f>
        <v>137088.726281719</v>
      </c>
      <c r="N736" s="10" t="n">
        <f aca="false">IF(A736="","",Z735)</f>
        <v>0</v>
      </c>
      <c r="O736" s="6" t="n">
        <f aca="false">IF(A736="","",Inputs!$B$18+N736)</f>
        <v>50000</v>
      </c>
      <c r="P736" s="5" t="n">
        <f aca="false">IF(A736="","",VLOOKUP(D736,DIvidend_Assumption!$A$3:$CX$103,($E$2+2),0)/12)</f>
        <v>0</v>
      </c>
      <c r="Q736" s="10" t="n">
        <f aca="false">IF(A736="","",IFERROR(AB735*P736,""))</f>
        <v>0</v>
      </c>
      <c r="R736" s="10" t="n">
        <f aca="false">IF(A736="","",IFERROR(IF(Inputs!$B$22="Accumulate",T736+Q736,IF(Inputs!$B$22="Premium Offset",MAX(0,T736+Q736-Inputs!$B$25),T736)),""))</f>
        <v>0</v>
      </c>
      <c r="S736" s="10" t="n">
        <f aca="false">IF(A736="","",R735)</f>
        <v>0</v>
      </c>
      <c r="T736" s="10" t="n">
        <f aca="false">IF(A736="","",IFERROR(S736*(1+Inputs!$B$23/12),""))</f>
        <v>0</v>
      </c>
      <c r="U736" s="6" t="n">
        <f aca="false">IF(A736="","",IF(D736&lt;=Inputs!$B$8,IF(Inputs!$B$22="Premium Offset",MAX(0,Inputs!$B$25-(Q736+T736)),Inputs!$B$25),0))</f>
        <v>0</v>
      </c>
      <c r="V736" s="10" t="n">
        <f aca="false">IF(A736="","",IF(Inputs!$B$22="Cash",Q736,0))</f>
        <v>0</v>
      </c>
      <c r="W736" s="10" t="n">
        <f aca="false">IF(A736="","",IF(Inputs!$B$22="PUA",Q736,0))</f>
        <v>0</v>
      </c>
      <c r="X736" s="12" t="n">
        <f aca="false">IF(A736="","",IFERROR(INDEX(PUA_TABLE!$D$4:$D$105,MATCH(E736,PUA_TABLE!$C$4:$C$105,1)),0))</f>
        <v>0.855140794729485</v>
      </c>
      <c r="Y736" s="10" t="n">
        <f aca="false">IF(A736="","",IF(W736&gt;0,IF(X736&gt;0,W736/X736,0),0))</f>
        <v>0</v>
      </c>
      <c r="Z736" s="10" t="n">
        <f aca="false">IF(A736="","",N736+Y736)</f>
        <v>0</v>
      </c>
      <c r="AA736" s="10" t="n">
        <f aca="false">IF(A736="","",IFERROR(Z736*INDEX(PUA_TABLE!$I$4:$I$105,MATCH(E736,PUA_TABLE!$C$4:$C$105,1))/1000,0))</f>
        <v>0</v>
      </c>
      <c r="AB736" s="10" t="n">
        <f aca="false">IF(A736="","",IFERROR(L736+AA736,0))</f>
        <v>42841.0302323542</v>
      </c>
      <c r="AC736" s="10" t="n">
        <f aca="false">IF(A736="","",IF(Inputs!$B$22="Premium Offset",MIN(Inputs!$B$25,Q736+T736),0))</f>
        <v>0</v>
      </c>
    </row>
    <row r="737" customFormat="false" ht="15" hidden="false" customHeight="false" outlineLevel="0" collapsed="false">
      <c r="A737" s="1" t="n">
        <f aca="false">IF(A736="","",IF(INT((C736+1)/12)+Inputs!$B$7&gt;MAX(MORTALITY!$A:$A),"",Inputs!$B$4))</f>
        <v>34</v>
      </c>
      <c r="B737" s="3" t="n">
        <f aca="false">IF(A737="","",EOMONTH(B736,1))</f>
        <v>44104</v>
      </c>
      <c r="C737" s="1" t="n">
        <f aca="false">IF(A737="","",C736+1)</f>
        <v>735</v>
      </c>
      <c r="D737" s="1" t="n">
        <f aca="false">IF(A737="","",INT(C737/12))</f>
        <v>61</v>
      </c>
      <c r="E737" s="1" t="n">
        <f aca="false">IF(A737="","",D737+Inputs!$B$7)</f>
        <v>77</v>
      </c>
      <c r="F737" s="3" t="n">
        <f aca="false">IF(A737="","",DATE(YEAR(B$2)+D737,MONTH(B$2),DAY(B$2)))</f>
        <v>43987</v>
      </c>
      <c r="G737" s="3" t="n">
        <f aca="false">IF(A737="","",DATE(YEAR(F737)+1,MONTH(F737),DAY(F737)))</f>
        <v>44352</v>
      </c>
      <c r="H737" s="10" t="n">
        <f aca="false">IF(A737="","",IF(G737&gt;F737,(B737-F737)/(G737-F737),0))</f>
        <v>0.320547945205479</v>
      </c>
      <c r="I737" s="10" t="n">
        <f aca="false">IF(A737="","",IFERROR(INDEX(CV_RATES!$I:$I,MATCH(D737,CV_RATES!$C:$C,0)),0))</f>
        <v>855.140794729485</v>
      </c>
      <c r="J737" s="10" t="n">
        <f aca="false">IF(A737="","",IFERROR(IF(E737=MAX(MORTALITY!$A:$A),1000,INDEX(CV_RATES!$J:$J,MATCH(D737,CV_RATES!$C:$C,0))),0))</f>
        <v>862.18827311941</v>
      </c>
      <c r="K737" s="10" t="n">
        <f aca="false">IF(A737="","",IFERROR(I737+H737*(J737-I737),0))</f>
        <v>857.399849446256</v>
      </c>
      <c r="L737" s="10" t="n">
        <f aca="false">IF(A737="","",IFERROR(K737*Inputs!$B$9,0))</f>
        <v>42869.9924723128</v>
      </c>
      <c r="M737" s="10" t="n">
        <f aca="false">IF(A737="","",IFERROR(K737*Inputs!$B$10,0))</f>
        <v>137181.403711853</v>
      </c>
      <c r="N737" s="10" t="n">
        <f aca="false">IF(A737="","",Z736)</f>
        <v>0</v>
      </c>
      <c r="O737" s="6" t="n">
        <f aca="false">IF(A737="","",Inputs!$B$18+N737)</f>
        <v>50000</v>
      </c>
      <c r="P737" s="5" t="n">
        <f aca="false">IF(A737="","",VLOOKUP(D737,DIvidend_Assumption!$A$3:$CX$103,($E$2+2),0)/12)</f>
        <v>0</v>
      </c>
      <c r="Q737" s="10" t="n">
        <f aca="false">IF(A737="","",IFERROR(AB736*P737,""))</f>
        <v>0</v>
      </c>
      <c r="R737" s="10" t="n">
        <f aca="false">IF(A737="","",IFERROR(IF(Inputs!$B$22="Accumulate",T737+Q737,IF(Inputs!$B$22="Premium Offset",MAX(0,T737+Q737-Inputs!$B$25),T737)),""))</f>
        <v>0</v>
      </c>
      <c r="S737" s="10" t="n">
        <f aca="false">IF(A737="","",R736)</f>
        <v>0</v>
      </c>
      <c r="T737" s="10" t="n">
        <f aca="false">IF(A737="","",IFERROR(S737*(1+Inputs!$B$23/12),""))</f>
        <v>0</v>
      </c>
      <c r="U737" s="6" t="n">
        <f aca="false">IF(A737="","",IF(D737&lt;=Inputs!$B$8,IF(Inputs!$B$22="Premium Offset",MAX(0,Inputs!$B$25-(Q737+T737)),Inputs!$B$25),0))</f>
        <v>0</v>
      </c>
      <c r="V737" s="10" t="n">
        <f aca="false">IF(A737="","",IF(Inputs!$B$22="Cash",Q737,0))</f>
        <v>0</v>
      </c>
      <c r="W737" s="10" t="n">
        <f aca="false">IF(A737="","",IF(Inputs!$B$22="PUA",Q737,0))</f>
        <v>0</v>
      </c>
      <c r="X737" s="12" t="n">
        <f aca="false">IF(A737="","",IFERROR(INDEX(PUA_TABLE!$D$4:$D$105,MATCH(E737,PUA_TABLE!$C$4:$C$105,1)),0))</f>
        <v>0.855140794729485</v>
      </c>
      <c r="Y737" s="10" t="n">
        <f aca="false">IF(A737="","",IF(W737&gt;0,IF(X737&gt;0,W737/X737,0),0))</f>
        <v>0</v>
      </c>
      <c r="Z737" s="10" t="n">
        <f aca="false">IF(A737="","",N737+Y737)</f>
        <v>0</v>
      </c>
      <c r="AA737" s="10" t="n">
        <f aca="false">IF(A737="","",IFERROR(Z737*INDEX(PUA_TABLE!$I$4:$I$105,MATCH(E737,PUA_TABLE!$C$4:$C$105,1))/1000,0))</f>
        <v>0</v>
      </c>
      <c r="AB737" s="10" t="n">
        <f aca="false">IF(A737="","",IFERROR(L737+AA737,0))</f>
        <v>42869.9924723128</v>
      </c>
      <c r="AC737" s="10" t="n">
        <f aca="false">IF(A737="","",IF(Inputs!$B$22="Premium Offset",MIN(Inputs!$B$25,Q737+T737),0))</f>
        <v>0</v>
      </c>
    </row>
    <row r="738" customFormat="false" ht="15" hidden="false" customHeight="false" outlineLevel="0" collapsed="false">
      <c r="A738" s="1" t="n">
        <f aca="false">IF(A737="","",IF(INT((C737+1)/12)+Inputs!$B$7&gt;MAX(MORTALITY!$A:$A),"",Inputs!$B$4))</f>
        <v>34</v>
      </c>
      <c r="B738" s="3" t="n">
        <f aca="false">IF(A738="","",EOMONTH(B737,1))</f>
        <v>44135</v>
      </c>
      <c r="C738" s="1" t="n">
        <f aca="false">IF(A738="","",C737+1)</f>
        <v>736</v>
      </c>
      <c r="D738" s="1" t="n">
        <f aca="false">IF(A738="","",INT(C738/12))</f>
        <v>61</v>
      </c>
      <c r="E738" s="1" t="n">
        <f aca="false">IF(A738="","",D738+Inputs!$B$7)</f>
        <v>77</v>
      </c>
      <c r="F738" s="3" t="n">
        <f aca="false">IF(A738="","",DATE(YEAR(B$2)+D738,MONTH(B$2),DAY(B$2)))</f>
        <v>43987</v>
      </c>
      <c r="G738" s="3" t="n">
        <f aca="false">IF(A738="","",DATE(YEAR(F738)+1,MONTH(F738),DAY(F738)))</f>
        <v>44352</v>
      </c>
      <c r="H738" s="10" t="n">
        <f aca="false">IF(A738="","",IF(G738&gt;F738,(B738-F738)/(G738-F738),0))</f>
        <v>0.405479452054795</v>
      </c>
      <c r="I738" s="10" t="n">
        <f aca="false">IF(A738="","",IFERROR(INDEX(CV_RATES!$I:$I,MATCH(D738,CV_RATES!$C:$C,0)),0))</f>
        <v>855.140794729485</v>
      </c>
      <c r="J738" s="10" t="n">
        <f aca="false">IF(A738="","",IFERROR(IF(E738=MAX(MORTALITY!$A:$A),1000,INDEX(CV_RATES!$J:$J,MATCH(D738,CV_RATES!$C:$C,0))),0))</f>
        <v>862.18827311941</v>
      </c>
      <c r="K738" s="10" t="n">
        <f aca="false">IF(A738="","",IFERROR(I738+H738*(J738-I738),0))</f>
        <v>857.9984024054</v>
      </c>
      <c r="L738" s="10" t="n">
        <f aca="false">IF(A738="","",IFERROR(K738*Inputs!$B$9,0))</f>
        <v>42899.92012027</v>
      </c>
      <c r="M738" s="10" t="n">
        <f aca="false">IF(A738="","",IFERROR(K738*Inputs!$B$10,0))</f>
        <v>137277.170389657</v>
      </c>
      <c r="N738" s="10" t="n">
        <f aca="false">IF(A738="","",Z737)</f>
        <v>0</v>
      </c>
      <c r="O738" s="6" t="n">
        <f aca="false">IF(A738="","",Inputs!$B$18+N738)</f>
        <v>50000</v>
      </c>
      <c r="P738" s="5" t="n">
        <f aca="false">IF(A738="","",VLOOKUP(D738,DIvidend_Assumption!$A$3:$CX$103,($E$2+2),0)/12)</f>
        <v>0</v>
      </c>
      <c r="Q738" s="10" t="n">
        <f aca="false">IF(A738="","",IFERROR(AB737*P738,""))</f>
        <v>0</v>
      </c>
      <c r="R738" s="10" t="n">
        <f aca="false">IF(A738="","",IFERROR(IF(Inputs!$B$22="Accumulate",T738+Q738,IF(Inputs!$B$22="Premium Offset",MAX(0,T738+Q738-Inputs!$B$25),T738)),""))</f>
        <v>0</v>
      </c>
      <c r="S738" s="10" t="n">
        <f aca="false">IF(A738="","",R737)</f>
        <v>0</v>
      </c>
      <c r="T738" s="10" t="n">
        <f aca="false">IF(A738="","",IFERROR(S738*(1+Inputs!$B$23/12),""))</f>
        <v>0</v>
      </c>
      <c r="U738" s="6" t="n">
        <f aca="false">IF(A738="","",IF(D738&lt;=Inputs!$B$8,IF(Inputs!$B$22="Premium Offset",MAX(0,Inputs!$B$25-(Q738+T738)),Inputs!$B$25),0))</f>
        <v>0</v>
      </c>
      <c r="V738" s="10" t="n">
        <f aca="false">IF(A738="","",IF(Inputs!$B$22="Cash",Q738,0))</f>
        <v>0</v>
      </c>
      <c r="W738" s="10" t="n">
        <f aca="false">IF(A738="","",IF(Inputs!$B$22="PUA",Q738,0))</f>
        <v>0</v>
      </c>
      <c r="X738" s="12" t="n">
        <f aca="false">IF(A738="","",IFERROR(INDEX(PUA_TABLE!$D$4:$D$105,MATCH(E738,PUA_TABLE!$C$4:$C$105,1)),0))</f>
        <v>0.855140794729485</v>
      </c>
      <c r="Y738" s="10" t="n">
        <f aca="false">IF(A738="","",IF(W738&gt;0,IF(X738&gt;0,W738/X738,0),0))</f>
        <v>0</v>
      </c>
      <c r="Z738" s="10" t="n">
        <f aca="false">IF(A738="","",N738+Y738)</f>
        <v>0</v>
      </c>
      <c r="AA738" s="10" t="n">
        <f aca="false">IF(A738="","",IFERROR(Z738*INDEX(PUA_TABLE!$I$4:$I$105,MATCH(E738,PUA_TABLE!$C$4:$C$105,1))/1000,0))</f>
        <v>0</v>
      </c>
      <c r="AB738" s="10" t="n">
        <f aca="false">IF(A738="","",IFERROR(L738+AA738,0))</f>
        <v>42899.92012027</v>
      </c>
      <c r="AC738" s="10" t="n">
        <f aca="false">IF(A738="","",IF(Inputs!$B$22="Premium Offset",MIN(Inputs!$B$25,Q738+T738),0))</f>
        <v>0</v>
      </c>
    </row>
    <row r="739" customFormat="false" ht="15" hidden="false" customHeight="false" outlineLevel="0" collapsed="false">
      <c r="A739" s="1" t="n">
        <f aca="false">IF(A738="","",IF(INT((C738+1)/12)+Inputs!$B$7&gt;MAX(MORTALITY!$A:$A),"",Inputs!$B$4))</f>
        <v>34</v>
      </c>
      <c r="B739" s="3" t="n">
        <f aca="false">IF(A739="","",EOMONTH(B738,1))</f>
        <v>44165</v>
      </c>
      <c r="C739" s="1" t="n">
        <f aca="false">IF(A739="","",C738+1)</f>
        <v>737</v>
      </c>
      <c r="D739" s="1" t="n">
        <f aca="false">IF(A739="","",INT(C739/12))</f>
        <v>61</v>
      </c>
      <c r="E739" s="1" t="n">
        <f aca="false">IF(A739="","",D739+Inputs!$B$7)</f>
        <v>77</v>
      </c>
      <c r="F739" s="3" t="n">
        <f aca="false">IF(A739="","",DATE(YEAR(B$2)+D739,MONTH(B$2),DAY(B$2)))</f>
        <v>43987</v>
      </c>
      <c r="G739" s="3" t="n">
        <f aca="false">IF(A739="","",DATE(YEAR(F739)+1,MONTH(F739),DAY(F739)))</f>
        <v>44352</v>
      </c>
      <c r="H739" s="10" t="n">
        <f aca="false">IF(A739="","",IF(G739&gt;F739,(B739-F739)/(G739-F739),0))</f>
        <v>0.487671232876712</v>
      </c>
      <c r="I739" s="10" t="n">
        <f aca="false">IF(A739="","",IFERROR(INDEX(CV_RATES!$I:$I,MATCH(D739,CV_RATES!$C:$C,0)),0))</f>
        <v>855.140794729485</v>
      </c>
      <c r="J739" s="10" t="n">
        <f aca="false">IF(A739="","",IFERROR(IF(E739=MAX(MORTALITY!$A:$A),1000,INDEX(CV_RATES!$J:$J,MATCH(D739,CV_RATES!$C:$C,0))),0))</f>
        <v>862.18827311941</v>
      </c>
      <c r="K739" s="10" t="n">
        <f aca="false">IF(A739="","",IFERROR(I739+H739*(J739-I739),0))</f>
        <v>858.577647204572</v>
      </c>
      <c r="L739" s="10" t="n">
        <f aca="false">IF(A739="","",IFERROR(K739*Inputs!$B$9,0))</f>
        <v>42928.8823602286</v>
      </c>
      <c r="M739" s="10" t="n">
        <f aca="false">IF(A739="","",IFERROR(K739*Inputs!$B$10,0))</f>
        <v>137369.84781979</v>
      </c>
      <c r="N739" s="10" t="n">
        <f aca="false">IF(A739="","",Z738)</f>
        <v>0</v>
      </c>
      <c r="O739" s="6" t="n">
        <f aca="false">IF(A739="","",Inputs!$B$18+N739)</f>
        <v>50000</v>
      </c>
      <c r="P739" s="5" t="n">
        <f aca="false">IF(A739="","",VLOOKUP(D739,DIvidend_Assumption!$A$3:$CX$103,($E$2+2),0)/12)</f>
        <v>0</v>
      </c>
      <c r="Q739" s="10" t="n">
        <f aca="false">IF(A739="","",IFERROR(AB738*P739,""))</f>
        <v>0</v>
      </c>
      <c r="R739" s="10" t="n">
        <f aca="false">IF(A739="","",IFERROR(IF(Inputs!$B$22="Accumulate",T739+Q739,IF(Inputs!$B$22="Premium Offset",MAX(0,T739+Q739-Inputs!$B$25),T739)),""))</f>
        <v>0</v>
      </c>
      <c r="S739" s="10" t="n">
        <f aca="false">IF(A739="","",R738)</f>
        <v>0</v>
      </c>
      <c r="T739" s="10" t="n">
        <f aca="false">IF(A739="","",IFERROR(S739*(1+Inputs!$B$23/12),""))</f>
        <v>0</v>
      </c>
      <c r="U739" s="6" t="n">
        <f aca="false">IF(A739="","",IF(D739&lt;=Inputs!$B$8,IF(Inputs!$B$22="Premium Offset",MAX(0,Inputs!$B$25-(Q739+T739)),Inputs!$B$25),0))</f>
        <v>0</v>
      </c>
      <c r="V739" s="10" t="n">
        <f aca="false">IF(A739="","",IF(Inputs!$B$22="Cash",Q739,0))</f>
        <v>0</v>
      </c>
      <c r="W739" s="10" t="n">
        <f aca="false">IF(A739="","",IF(Inputs!$B$22="PUA",Q739,0))</f>
        <v>0</v>
      </c>
      <c r="X739" s="12" t="n">
        <f aca="false">IF(A739="","",IFERROR(INDEX(PUA_TABLE!$D$4:$D$105,MATCH(E739,PUA_TABLE!$C$4:$C$105,1)),0))</f>
        <v>0.855140794729485</v>
      </c>
      <c r="Y739" s="10" t="n">
        <f aca="false">IF(A739="","",IF(W739&gt;0,IF(X739&gt;0,W739/X739,0),0))</f>
        <v>0</v>
      </c>
      <c r="Z739" s="10" t="n">
        <f aca="false">IF(A739="","",N739+Y739)</f>
        <v>0</v>
      </c>
      <c r="AA739" s="10" t="n">
        <f aca="false">IF(A739="","",IFERROR(Z739*INDEX(PUA_TABLE!$I$4:$I$105,MATCH(E739,PUA_TABLE!$C$4:$C$105,1))/1000,0))</f>
        <v>0</v>
      </c>
      <c r="AB739" s="10" t="n">
        <f aca="false">IF(A739="","",IFERROR(L739+AA739,0))</f>
        <v>42928.8823602286</v>
      </c>
      <c r="AC739" s="10" t="n">
        <f aca="false">IF(A739="","",IF(Inputs!$B$22="Premium Offset",MIN(Inputs!$B$25,Q739+T739),0))</f>
        <v>0</v>
      </c>
    </row>
    <row r="740" customFormat="false" ht="15" hidden="false" customHeight="false" outlineLevel="0" collapsed="false">
      <c r="A740" s="1" t="n">
        <f aca="false">IF(A739="","",IF(INT((C739+1)/12)+Inputs!$B$7&gt;MAX(MORTALITY!$A:$A),"",Inputs!$B$4))</f>
        <v>34</v>
      </c>
      <c r="B740" s="3" t="n">
        <f aca="false">IF(A740="","",EOMONTH(B739,1))</f>
        <v>44196</v>
      </c>
      <c r="C740" s="1" t="n">
        <f aca="false">IF(A740="","",C739+1)</f>
        <v>738</v>
      </c>
      <c r="D740" s="1" t="n">
        <f aca="false">IF(A740="","",INT(C740/12))</f>
        <v>61</v>
      </c>
      <c r="E740" s="1" t="n">
        <f aca="false">IF(A740="","",D740+Inputs!$B$7)</f>
        <v>77</v>
      </c>
      <c r="F740" s="3" t="n">
        <f aca="false">IF(A740="","",DATE(YEAR(B$2)+D740,MONTH(B$2),DAY(B$2)))</f>
        <v>43987</v>
      </c>
      <c r="G740" s="3" t="n">
        <f aca="false">IF(A740="","",DATE(YEAR(F740)+1,MONTH(F740),DAY(F740)))</f>
        <v>44352</v>
      </c>
      <c r="H740" s="10" t="n">
        <f aca="false">IF(A740="","",IF(G740&gt;F740,(B740-F740)/(G740-F740),0))</f>
        <v>0.572602739726027</v>
      </c>
      <c r="I740" s="10" t="n">
        <f aca="false">IF(A740="","",IFERROR(INDEX(CV_RATES!$I:$I,MATCH(D740,CV_RATES!$C:$C,0)),0))</f>
        <v>855.140794729485</v>
      </c>
      <c r="J740" s="10" t="n">
        <f aca="false">IF(A740="","",IFERROR(IF(E740=MAX(MORTALITY!$A:$A),1000,INDEX(CV_RATES!$J:$J,MATCH(D740,CV_RATES!$C:$C,0))),0))</f>
        <v>862.18827311941</v>
      </c>
      <c r="K740" s="10" t="n">
        <f aca="false">IF(A740="","",IFERROR(I740+H740*(J740-I740),0))</f>
        <v>859.176200163716</v>
      </c>
      <c r="L740" s="10" t="n">
        <f aca="false">IF(A740="","",IFERROR(K740*Inputs!$B$9,0))</f>
        <v>42958.8100081858</v>
      </c>
      <c r="M740" s="10" t="n">
        <f aca="false">IF(A740="","",IFERROR(K740*Inputs!$B$10,0))</f>
        <v>137465.614497594</v>
      </c>
      <c r="N740" s="10" t="n">
        <f aca="false">IF(A740="","",Z739)</f>
        <v>0</v>
      </c>
      <c r="O740" s="6" t="n">
        <f aca="false">IF(A740="","",Inputs!$B$18+N740)</f>
        <v>50000</v>
      </c>
      <c r="P740" s="5" t="n">
        <f aca="false">IF(A740="","",VLOOKUP(D740,DIvidend_Assumption!$A$3:$CX$103,($E$2+2),0)/12)</f>
        <v>0</v>
      </c>
      <c r="Q740" s="10" t="n">
        <f aca="false">IF(A740="","",IFERROR(AB739*P740,""))</f>
        <v>0</v>
      </c>
      <c r="R740" s="10" t="n">
        <f aca="false">IF(A740="","",IFERROR(IF(Inputs!$B$22="Accumulate",T740+Q740,IF(Inputs!$B$22="Premium Offset",MAX(0,T740+Q740-Inputs!$B$25),T740)),""))</f>
        <v>0</v>
      </c>
      <c r="S740" s="10" t="n">
        <f aca="false">IF(A740="","",R739)</f>
        <v>0</v>
      </c>
      <c r="T740" s="10" t="n">
        <f aca="false">IF(A740="","",IFERROR(S740*(1+Inputs!$B$23/12),""))</f>
        <v>0</v>
      </c>
      <c r="U740" s="6" t="n">
        <f aca="false">IF(A740="","",IF(D740&lt;=Inputs!$B$8,IF(Inputs!$B$22="Premium Offset",MAX(0,Inputs!$B$25-(Q740+T740)),Inputs!$B$25),0))</f>
        <v>0</v>
      </c>
      <c r="V740" s="10" t="n">
        <f aca="false">IF(A740="","",IF(Inputs!$B$22="Cash",Q740,0))</f>
        <v>0</v>
      </c>
      <c r="W740" s="10" t="n">
        <f aca="false">IF(A740="","",IF(Inputs!$B$22="PUA",Q740,0))</f>
        <v>0</v>
      </c>
      <c r="X740" s="12" t="n">
        <f aca="false">IF(A740="","",IFERROR(INDEX(PUA_TABLE!$D$4:$D$105,MATCH(E740,PUA_TABLE!$C$4:$C$105,1)),0))</f>
        <v>0.855140794729485</v>
      </c>
      <c r="Y740" s="10" t="n">
        <f aca="false">IF(A740="","",IF(W740&gt;0,IF(X740&gt;0,W740/X740,0),0))</f>
        <v>0</v>
      </c>
      <c r="Z740" s="10" t="n">
        <f aca="false">IF(A740="","",N740+Y740)</f>
        <v>0</v>
      </c>
      <c r="AA740" s="10" t="n">
        <f aca="false">IF(A740="","",IFERROR(Z740*INDEX(PUA_TABLE!$I$4:$I$105,MATCH(E740,PUA_TABLE!$C$4:$C$105,1))/1000,0))</f>
        <v>0</v>
      </c>
      <c r="AB740" s="10" t="n">
        <f aca="false">IF(A740="","",IFERROR(L740+AA740,0))</f>
        <v>42958.8100081858</v>
      </c>
      <c r="AC740" s="10" t="n">
        <f aca="false">IF(A740="","",IF(Inputs!$B$22="Premium Offset",MIN(Inputs!$B$25,Q740+T740),0))</f>
        <v>0</v>
      </c>
    </row>
    <row r="741" customFormat="false" ht="15" hidden="false" customHeight="false" outlineLevel="0" collapsed="false">
      <c r="A741" s="1" t="n">
        <f aca="false">IF(A740="","",IF(INT((C740+1)/12)+Inputs!$B$7&gt;MAX(MORTALITY!$A:$A),"",Inputs!$B$4))</f>
        <v>34</v>
      </c>
      <c r="B741" s="3" t="n">
        <f aca="false">IF(A741="","",EOMONTH(B740,1))</f>
        <v>44227</v>
      </c>
      <c r="C741" s="1" t="n">
        <f aca="false">IF(A741="","",C740+1)</f>
        <v>739</v>
      </c>
      <c r="D741" s="1" t="n">
        <f aca="false">IF(A741="","",INT(C741/12))</f>
        <v>61</v>
      </c>
      <c r="E741" s="1" t="n">
        <f aca="false">IF(A741="","",D741+Inputs!$B$7)</f>
        <v>77</v>
      </c>
      <c r="F741" s="3" t="n">
        <f aca="false">IF(A741="","",DATE(YEAR(B$2)+D741,MONTH(B$2),DAY(B$2)))</f>
        <v>43987</v>
      </c>
      <c r="G741" s="3" t="n">
        <f aca="false">IF(A741="","",DATE(YEAR(F741)+1,MONTH(F741),DAY(F741)))</f>
        <v>44352</v>
      </c>
      <c r="H741" s="10" t="n">
        <f aca="false">IF(A741="","",IF(G741&gt;F741,(B741-F741)/(G741-F741),0))</f>
        <v>0.657534246575342</v>
      </c>
      <c r="I741" s="10" t="n">
        <f aca="false">IF(A741="","",IFERROR(INDEX(CV_RATES!$I:$I,MATCH(D741,CV_RATES!$C:$C,0)),0))</f>
        <v>855.140794729485</v>
      </c>
      <c r="J741" s="10" t="n">
        <f aca="false">IF(A741="","",IFERROR(IF(E741=MAX(MORTALITY!$A:$A),1000,INDEX(CV_RATES!$J:$J,MATCH(D741,CV_RATES!$C:$C,0))),0))</f>
        <v>862.18827311941</v>
      </c>
      <c r="K741" s="10" t="n">
        <f aca="false">IF(A741="","",IFERROR(I741+H741*(J741-I741),0))</f>
        <v>859.77475312286</v>
      </c>
      <c r="L741" s="10" t="n">
        <f aca="false">IF(A741="","",IFERROR(K741*Inputs!$B$9,0))</f>
        <v>42988.737656143</v>
      </c>
      <c r="M741" s="10" t="n">
        <f aca="false">IF(A741="","",IFERROR(K741*Inputs!$B$10,0))</f>
        <v>137561.381175398</v>
      </c>
      <c r="N741" s="10" t="n">
        <f aca="false">IF(A741="","",Z740)</f>
        <v>0</v>
      </c>
      <c r="O741" s="6" t="n">
        <f aca="false">IF(A741="","",Inputs!$B$18+N741)</f>
        <v>50000</v>
      </c>
      <c r="P741" s="5" t="n">
        <f aca="false">IF(A741="","",VLOOKUP(D741,DIvidend_Assumption!$A$3:$CX$103,($E$2+2),0)/12)</f>
        <v>0</v>
      </c>
      <c r="Q741" s="10" t="n">
        <f aca="false">IF(A741="","",IFERROR(AB740*P741,""))</f>
        <v>0</v>
      </c>
      <c r="R741" s="10" t="n">
        <f aca="false">IF(A741="","",IFERROR(IF(Inputs!$B$22="Accumulate",T741+Q741,IF(Inputs!$B$22="Premium Offset",MAX(0,T741+Q741-Inputs!$B$25),T741)),""))</f>
        <v>0</v>
      </c>
      <c r="S741" s="10" t="n">
        <f aca="false">IF(A741="","",R740)</f>
        <v>0</v>
      </c>
      <c r="T741" s="10" t="n">
        <f aca="false">IF(A741="","",IFERROR(S741*(1+Inputs!$B$23/12),""))</f>
        <v>0</v>
      </c>
      <c r="U741" s="6" t="n">
        <f aca="false">IF(A741="","",IF(D741&lt;=Inputs!$B$8,IF(Inputs!$B$22="Premium Offset",MAX(0,Inputs!$B$25-(Q741+T741)),Inputs!$B$25),0))</f>
        <v>0</v>
      </c>
      <c r="V741" s="10" t="n">
        <f aca="false">IF(A741="","",IF(Inputs!$B$22="Cash",Q741,0))</f>
        <v>0</v>
      </c>
      <c r="W741" s="10" t="n">
        <f aca="false">IF(A741="","",IF(Inputs!$B$22="PUA",Q741,0))</f>
        <v>0</v>
      </c>
      <c r="X741" s="12" t="n">
        <f aca="false">IF(A741="","",IFERROR(INDEX(PUA_TABLE!$D$4:$D$105,MATCH(E741,PUA_TABLE!$C$4:$C$105,1)),0))</f>
        <v>0.855140794729485</v>
      </c>
      <c r="Y741" s="10" t="n">
        <f aca="false">IF(A741="","",IF(W741&gt;0,IF(X741&gt;0,W741/X741,0),0))</f>
        <v>0</v>
      </c>
      <c r="Z741" s="10" t="n">
        <f aca="false">IF(A741="","",N741+Y741)</f>
        <v>0</v>
      </c>
      <c r="AA741" s="10" t="n">
        <f aca="false">IF(A741="","",IFERROR(Z741*INDEX(PUA_TABLE!$I$4:$I$105,MATCH(E741,PUA_TABLE!$C$4:$C$105,1))/1000,0))</f>
        <v>0</v>
      </c>
      <c r="AB741" s="10" t="n">
        <f aca="false">IF(A741="","",IFERROR(L741+AA741,0))</f>
        <v>42988.737656143</v>
      </c>
      <c r="AC741" s="10" t="n">
        <f aca="false">IF(A741="","",IF(Inputs!$B$22="Premium Offset",MIN(Inputs!$B$25,Q741+T741),0))</f>
        <v>0</v>
      </c>
    </row>
    <row r="742" customFormat="false" ht="15" hidden="false" customHeight="false" outlineLevel="0" collapsed="false">
      <c r="A742" s="1" t="n">
        <f aca="false">IF(A741="","",IF(INT((C741+1)/12)+Inputs!$B$7&gt;MAX(MORTALITY!$A:$A),"",Inputs!$B$4))</f>
        <v>34</v>
      </c>
      <c r="B742" s="3" t="n">
        <f aca="false">IF(A742="","",EOMONTH(B741,1))</f>
        <v>44255</v>
      </c>
      <c r="C742" s="1" t="n">
        <f aca="false">IF(A742="","",C741+1)</f>
        <v>740</v>
      </c>
      <c r="D742" s="1" t="n">
        <f aca="false">IF(A742="","",INT(C742/12))</f>
        <v>61</v>
      </c>
      <c r="E742" s="1" t="n">
        <f aca="false">IF(A742="","",D742+Inputs!$B$7)</f>
        <v>77</v>
      </c>
      <c r="F742" s="3" t="n">
        <f aca="false">IF(A742="","",DATE(YEAR(B$2)+D742,MONTH(B$2),DAY(B$2)))</f>
        <v>43987</v>
      </c>
      <c r="G742" s="3" t="n">
        <f aca="false">IF(A742="","",DATE(YEAR(F742)+1,MONTH(F742),DAY(F742)))</f>
        <v>44352</v>
      </c>
      <c r="H742" s="10" t="n">
        <f aca="false">IF(A742="","",IF(G742&gt;F742,(B742-F742)/(G742-F742),0))</f>
        <v>0.734246575342466</v>
      </c>
      <c r="I742" s="10" t="n">
        <f aca="false">IF(A742="","",IFERROR(INDEX(CV_RATES!$I:$I,MATCH(D742,CV_RATES!$C:$C,0)),0))</f>
        <v>855.140794729485</v>
      </c>
      <c r="J742" s="10" t="n">
        <f aca="false">IF(A742="","",IFERROR(IF(E742=MAX(MORTALITY!$A:$A),1000,INDEX(CV_RATES!$J:$J,MATCH(D742,CV_RATES!$C:$C,0))),0))</f>
        <v>862.18827311941</v>
      </c>
      <c r="K742" s="10" t="n">
        <f aca="false">IF(A742="","",IFERROR(I742+H742*(J742-I742),0))</f>
        <v>860.315381602087</v>
      </c>
      <c r="L742" s="10" t="n">
        <f aca="false">IF(A742="","",IFERROR(K742*Inputs!$B$9,0))</f>
        <v>43015.7690801044</v>
      </c>
      <c r="M742" s="10" t="n">
        <f aca="false">IF(A742="","",IFERROR(K742*Inputs!$B$10,0))</f>
        <v>137647.880110189</v>
      </c>
      <c r="N742" s="10" t="n">
        <f aca="false">IF(A742="","",Z741)</f>
        <v>0</v>
      </c>
      <c r="O742" s="6" t="n">
        <f aca="false">IF(A742="","",Inputs!$B$18+N742)</f>
        <v>50000</v>
      </c>
      <c r="P742" s="5" t="n">
        <f aca="false">IF(A742="","",VLOOKUP(D742,DIvidend_Assumption!$A$3:$CX$103,($E$2+2),0)/12)</f>
        <v>0</v>
      </c>
      <c r="Q742" s="10" t="n">
        <f aca="false">IF(A742="","",IFERROR(AB741*P742,""))</f>
        <v>0</v>
      </c>
      <c r="R742" s="10" t="n">
        <f aca="false">IF(A742="","",IFERROR(IF(Inputs!$B$22="Accumulate",T742+Q742,IF(Inputs!$B$22="Premium Offset",MAX(0,T742+Q742-Inputs!$B$25),T742)),""))</f>
        <v>0</v>
      </c>
      <c r="S742" s="10" t="n">
        <f aca="false">IF(A742="","",R741)</f>
        <v>0</v>
      </c>
      <c r="T742" s="10" t="n">
        <f aca="false">IF(A742="","",IFERROR(S742*(1+Inputs!$B$23/12),""))</f>
        <v>0</v>
      </c>
      <c r="U742" s="6" t="n">
        <f aca="false">IF(A742="","",IF(D742&lt;=Inputs!$B$8,IF(Inputs!$B$22="Premium Offset",MAX(0,Inputs!$B$25-(Q742+T742)),Inputs!$B$25),0))</f>
        <v>0</v>
      </c>
      <c r="V742" s="10" t="n">
        <f aca="false">IF(A742="","",IF(Inputs!$B$22="Cash",Q742,0))</f>
        <v>0</v>
      </c>
      <c r="W742" s="10" t="n">
        <f aca="false">IF(A742="","",IF(Inputs!$B$22="PUA",Q742,0))</f>
        <v>0</v>
      </c>
      <c r="X742" s="12" t="n">
        <f aca="false">IF(A742="","",IFERROR(INDEX(PUA_TABLE!$D$4:$D$105,MATCH(E742,PUA_TABLE!$C$4:$C$105,1)),0))</f>
        <v>0.855140794729485</v>
      </c>
      <c r="Y742" s="10" t="n">
        <f aca="false">IF(A742="","",IF(W742&gt;0,IF(X742&gt;0,W742/X742,0),0))</f>
        <v>0</v>
      </c>
      <c r="Z742" s="10" t="n">
        <f aca="false">IF(A742="","",N742+Y742)</f>
        <v>0</v>
      </c>
      <c r="AA742" s="10" t="n">
        <f aca="false">IF(A742="","",IFERROR(Z742*INDEX(PUA_TABLE!$I$4:$I$105,MATCH(E742,PUA_TABLE!$C$4:$C$105,1))/1000,0))</f>
        <v>0</v>
      </c>
      <c r="AB742" s="10" t="n">
        <f aca="false">IF(A742="","",IFERROR(L742+AA742,0))</f>
        <v>43015.7690801044</v>
      </c>
      <c r="AC742" s="10" t="n">
        <f aca="false">IF(A742="","",IF(Inputs!$B$22="Premium Offset",MIN(Inputs!$B$25,Q742+T742),0))</f>
        <v>0</v>
      </c>
    </row>
    <row r="743" customFormat="false" ht="15" hidden="false" customHeight="false" outlineLevel="0" collapsed="false">
      <c r="A743" s="1" t="n">
        <f aca="false">IF(A742="","",IF(INT((C742+1)/12)+Inputs!$B$7&gt;MAX(MORTALITY!$A:$A),"",Inputs!$B$4))</f>
        <v>34</v>
      </c>
      <c r="B743" s="3" t="n">
        <f aca="false">IF(A743="","",EOMONTH(B742,1))</f>
        <v>44286</v>
      </c>
      <c r="C743" s="1" t="n">
        <f aca="false">IF(A743="","",C742+1)</f>
        <v>741</v>
      </c>
      <c r="D743" s="1" t="n">
        <f aca="false">IF(A743="","",INT(C743/12))</f>
        <v>61</v>
      </c>
      <c r="E743" s="1" t="n">
        <f aca="false">IF(A743="","",D743+Inputs!$B$7)</f>
        <v>77</v>
      </c>
      <c r="F743" s="3" t="n">
        <f aca="false">IF(A743="","",DATE(YEAR(B$2)+D743,MONTH(B$2),DAY(B$2)))</f>
        <v>43987</v>
      </c>
      <c r="G743" s="3" t="n">
        <f aca="false">IF(A743="","",DATE(YEAR(F743)+1,MONTH(F743),DAY(F743)))</f>
        <v>44352</v>
      </c>
      <c r="H743" s="10" t="n">
        <f aca="false">IF(A743="","",IF(G743&gt;F743,(B743-F743)/(G743-F743),0))</f>
        <v>0.819178082191781</v>
      </c>
      <c r="I743" s="10" t="n">
        <f aca="false">IF(A743="","",IFERROR(INDEX(CV_RATES!$I:$I,MATCH(D743,CV_RATES!$C:$C,0)),0))</f>
        <v>855.140794729485</v>
      </c>
      <c r="J743" s="10" t="n">
        <f aca="false">IF(A743="","",IFERROR(IF(E743=MAX(MORTALITY!$A:$A),1000,INDEX(CV_RATES!$J:$J,MATCH(D743,CV_RATES!$C:$C,0))),0))</f>
        <v>862.18827311941</v>
      </c>
      <c r="K743" s="10" t="n">
        <f aca="false">IF(A743="","",IFERROR(I743+H743*(J743-I743),0))</f>
        <v>860.913934561232</v>
      </c>
      <c r="L743" s="10" t="n">
        <f aca="false">IF(A743="","",IFERROR(K743*Inputs!$B$9,0))</f>
        <v>43045.6967280616</v>
      </c>
      <c r="M743" s="10" t="n">
        <f aca="false">IF(A743="","",IFERROR(K743*Inputs!$B$10,0))</f>
        <v>137743.646787993</v>
      </c>
      <c r="N743" s="10" t="n">
        <f aca="false">IF(A743="","",Z742)</f>
        <v>0</v>
      </c>
      <c r="O743" s="6" t="n">
        <f aca="false">IF(A743="","",Inputs!$B$18+N743)</f>
        <v>50000</v>
      </c>
      <c r="P743" s="5" t="n">
        <f aca="false">IF(A743="","",VLOOKUP(D743,DIvidend_Assumption!$A$3:$CX$103,($E$2+2),0)/12)</f>
        <v>0</v>
      </c>
      <c r="Q743" s="10" t="n">
        <f aca="false">IF(A743="","",IFERROR(AB742*P743,""))</f>
        <v>0</v>
      </c>
      <c r="R743" s="10" t="n">
        <f aca="false">IF(A743="","",IFERROR(IF(Inputs!$B$22="Accumulate",T743+Q743,IF(Inputs!$B$22="Premium Offset",MAX(0,T743+Q743-Inputs!$B$25),T743)),""))</f>
        <v>0</v>
      </c>
      <c r="S743" s="10" t="n">
        <f aca="false">IF(A743="","",R742)</f>
        <v>0</v>
      </c>
      <c r="T743" s="10" t="n">
        <f aca="false">IF(A743="","",IFERROR(S743*(1+Inputs!$B$23/12),""))</f>
        <v>0</v>
      </c>
      <c r="U743" s="6" t="n">
        <f aca="false">IF(A743="","",IF(D743&lt;=Inputs!$B$8,IF(Inputs!$B$22="Premium Offset",MAX(0,Inputs!$B$25-(Q743+T743)),Inputs!$B$25),0))</f>
        <v>0</v>
      </c>
      <c r="V743" s="10" t="n">
        <f aca="false">IF(A743="","",IF(Inputs!$B$22="Cash",Q743,0))</f>
        <v>0</v>
      </c>
      <c r="W743" s="10" t="n">
        <f aca="false">IF(A743="","",IF(Inputs!$B$22="PUA",Q743,0))</f>
        <v>0</v>
      </c>
      <c r="X743" s="12" t="n">
        <f aca="false">IF(A743="","",IFERROR(INDEX(PUA_TABLE!$D$4:$D$105,MATCH(E743,PUA_TABLE!$C$4:$C$105,1)),0))</f>
        <v>0.855140794729485</v>
      </c>
      <c r="Y743" s="10" t="n">
        <f aca="false">IF(A743="","",IF(W743&gt;0,IF(X743&gt;0,W743/X743,0),0))</f>
        <v>0</v>
      </c>
      <c r="Z743" s="10" t="n">
        <f aca="false">IF(A743="","",N743+Y743)</f>
        <v>0</v>
      </c>
      <c r="AA743" s="10" t="n">
        <f aca="false">IF(A743="","",IFERROR(Z743*INDEX(PUA_TABLE!$I$4:$I$105,MATCH(E743,PUA_TABLE!$C$4:$C$105,1))/1000,0))</f>
        <v>0</v>
      </c>
      <c r="AB743" s="10" t="n">
        <f aca="false">IF(A743="","",IFERROR(L743+AA743,0))</f>
        <v>43045.6967280616</v>
      </c>
      <c r="AC743" s="10" t="n">
        <f aca="false">IF(A743="","",IF(Inputs!$B$22="Premium Offset",MIN(Inputs!$B$25,Q743+T743),0))</f>
        <v>0</v>
      </c>
    </row>
    <row r="744" customFormat="false" ht="15" hidden="false" customHeight="false" outlineLevel="0" collapsed="false">
      <c r="A744" s="1" t="n">
        <f aca="false">IF(A743="","",IF(INT((C743+1)/12)+Inputs!$B$7&gt;MAX(MORTALITY!$A:$A),"",Inputs!$B$4))</f>
        <v>34</v>
      </c>
      <c r="B744" s="3" t="n">
        <f aca="false">IF(A744="","",EOMONTH(B743,1))</f>
        <v>44316</v>
      </c>
      <c r="C744" s="1" t="n">
        <f aca="false">IF(A744="","",C743+1)</f>
        <v>742</v>
      </c>
      <c r="D744" s="1" t="n">
        <f aca="false">IF(A744="","",INT(C744/12))</f>
        <v>61</v>
      </c>
      <c r="E744" s="1" t="n">
        <f aca="false">IF(A744="","",D744+Inputs!$B$7)</f>
        <v>77</v>
      </c>
      <c r="F744" s="3" t="n">
        <f aca="false">IF(A744="","",DATE(YEAR(B$2)+D744,MONTH(B$2),DAY(B$2)))</f>
        <v>43987</v>
      </c>
      <c r="G744" s="3" t="n">
        <f aca="false">IF(A744="","",DATE(YEAR(F744)+1,MONTH(F744),DAY(F744)))</f>
        <v>44352</v>
      </c>
      <c r="H744" s="10" t="n">
        <f aca="false">IF(A744="","",IF(G744&gt;F744,(B744-F744)/(G744-F744),0))</f>
        <v>0.901369863013699</v>
      </c>
      <c r="I744" s="10" t="n">
        <f aca="false">IF(A744="","",IFERROR(INDEX(CV_RATES!$I:$I,MATCH(D744,CV_RATES!$C:$C,0)),0))</f>
        <v>855.140794729485</v>
      </c>
      <c r="J744" s="10" t="n">
        <f aca="false">IF(A744="","",IFERROR(IF(E744=MAX(MORTALITY!$A:$A),1000,INDEX(CV_RATES!$J:$J,MATCH(D744,CV_RATES!$C:$C,0))),0))</f>
        <v>862.18827311941</v>
      </c>
      <c r="K744" s="10" t="n">
        <f aca="false">IF(A744="","",IFERROR(I744+H744*(J744-I744),0))</f>
        <v>861.493179360404</v>
      </c>
      <c r="L744" s="10" t="n">
        <f aca="false">IF(A744="","",IFERROR(K744*Inputs!$B$9,0))</f>
        <v>43074.6589680202</v>
      </c>
      <c r="M744" s="10" t="n">
        <f aca="false">IF(A744="","",IFERROR(K744*Inputs!$B$10,0))</f>
        <v>137836.324218126</v>
      </c>
      <c r="N744" s="10" t="n">
        <f aca="false">IF(A744="","",Z743)</f>
        <v>0</v>
      </c>
      <c r="O744" s="6" t="n">
        <f aca="false">IF(A744="","",Inputs!$B$18+N744)</f>
        <v>50000</v>
      </c>
      <c r="P744" s="5" t="n">
        <f aca="false">IF(A744="","",VLOOKUP(D744,DIvidend_Assumption!$A$3:$CX$103,($E$2+2),0)/12)</f>
        <v>0</v>
      </c>
      <c r="Q744" s="10" t="n">
        <f aca="false">IF(A744="","",IFERROR(AB743*P744,""))</f>
        <v>0</v>
      </c>
      <c r="R744" s="10" t="n">
        <f aca="false">IF(A744="","",IFERROR(IF(Inputs!$B$22="Accumulate",T744+Q744,IF(Inputs!$B$22="Premium Offset",MAX(0,T744+Q744-Inputs!$B$25),T744)),""))</f>
        <v>0</v>
      </c>
      <c r="S744" s="10" t="n">
        <f aca="false">IF(A744="","",R743)</f>
        <v>0</v>
      </c>
      <c r="T744" s="10" t="n">
        <f aca="false">IF(A744="","",IFERROR(S744*(1+Inputs!$B$23/12),""))</f>
        <v>0</v>
      </c>
      <c r="U744" s="6" t="n">
        <f aca="false">IF(A744="","",IF(D744&lt;=Inputs!$B$8,IF(Inputs!$B$22="Premium Offset",MAX(0,Inputs!$B$25-(Q744+T744)),Inputs!$B$25),0))</f>
        <v>0</v>
      </c>
      <c r="V744" s="10" t="n">
        <f aca="false">IF(A744="","",IF(Inputs!$B$22="Cash",Q744,0))</f>
        <v>0</v>
      </c>
      <c r="W744" s="10" t="n">
        <f aca="false">IF(A744="","",IF(Inputs!$B$22="PUA",Q744,0))</f>
        <v>0</v>
      </c>
      <c r="X744" s="12" t="n">
        <f aca="false">IF(A744="","",IFERROR(INDEX(PUA_TABLE!$D$4:$D$105,MATCH(E744,PUA_TABLE!$C$4:$C$105,1)),0))</f>
        <v>0.855140794729485</v>
      </c>
      <c r="Y744" s="10" t="n">
        <f aca="false">IF(A744="","",IF(W744&gt;0,IF(X744&gt;0,W744/X744,0),0))</f>
        <v>0</v>
      </c>
      <c r="Z744" s="10" t="n">
        <f aca="false">IF(A744="","",N744+Y744)</f>
        <v>0</v>
      </c>
      <c r="AA744" s="10" t="n">
        <f aca="false">IF(A744="","",IFERROR(Z744*INDEX(PUA_TABLE!$I$4:$I$105,MATCH(E744,PUA_TABLE!$C$4:$C$105,1))/1000,0))</f>
        <v>0</v>
      </c>
      <c r="AB744" s="10" t="n">
        <f aca="false">IF(A744="","",IFERROR(L744+AA744,0))</f>
        <v>43074.6589680202</v>
      </c>
      <c r="AC744" s="10" t="n">
        <f aca="false">IF(A744="","",IF(Inputs!$B$22="Premium Offset",MIN(Inputs!$B$25,Q744+T744),0))</f>
        <v>0</v>
      </c>
    </row>
    <row r="745" customFormat="false" ht="15" hidden="false" customHeight="false" outlineLevel="0" collapsed="false">
      <c r="A745" s="1" t="n">
        <f aca="false">IF(A744="","",IF(INT((C744+1)/12)+Inputs!$B$7&gt;MAX(MORTALITY!$A:$A),"",Inputs!$B$4))</f>
        <v>34</v>
      </c>
      <c r="B745" s="3" t="n">
        <f aca="false">IF(A745="","",EOMONTH(B744,1))</f>
        <v>44347</v>
      </c>
      <c r="C745" s="1" t="n">
        <f aca="false">IF(A745="","",C744+1)</f>
        <v>743</v>
      </c>
      <c r="D745" s="1" t="n">
        <f aca="false">IF(A745="","",INT(C745/12))</f>
        <v>61</v>
      </c>
      <c r="E745" s="1" t="n">
        <f aca="false">IF(A745="","",D745+Inputs!$B$7)</f>
        <v>77</v>
      </c>
      <c r="F745" s="3" t="n">
        <f aca="false">IF(A745="","",DATE(YEAR(B$2)+D745,MONTH(B$2),DAY(B$2)))</f>
        <v>43987</v>
      </c>
      <c r="G745" s="3" t="n">
        <f aca="false">IF(A745="","",DATE(YEAR(F745)+1,MONTH(F745),DAY(F745)))</f>
        <v>44352</v>
      </c>
      <c r="H745" s="10" t="n">
        <f aca="false">IF(A745="","",IF(G745&gt;F745,(B745-F745)/(G745-F745),0))</f>
        <v>0.986301369863014</v>
      </c>
      <c r="I745" s="10" t="n">
        <f aca="false">IF(A745="","",IFERROR(INDEX(CV_RATES!$I:$I,MATCH(D745,CV_RATES!$C:$C,0)),0))</f>
        <v>855.140794729485</v>
      </c>
      <c r="J745" s="10" t="n">
        <f aca="false">IF(A745="","",IFERROR(IF(E745=MAX(MORTALITY!$A:$A),1000,INDEX(CV_RATES!$J:$J,MATCH(D745,CV_RATES!$C:$C,0))),0))</f>
        <v>862.18827311941</v>
      </c>
      <c r="K745" s="10" t="n">
        <f aca="false">IF(A745="","",IFERROR(I745+H745*(J745-I745),0))</f>
        <v>862.091732319548</v>
      </c>
      <c r="L745" s="10" t="n">
        <f aca="false">IF(A745="","",IFERROR(K745*Inputs!$B$9,0))</f>
        <v>43104.5866159774</v>
      </c>
      <c r="M745" s="10" t="n">
        <f aca="false">IF(A745="","",IFERROR(K745*Inputs!$B$10,0))</f>
        <v>137932.090895931</v>
      </c>
      <c r="N745" s="10" t="n">
        <f aca="false">IF(A745="","",Z744)</f>
        <v>0</v>
      </c>
      <c r="O745" s="6" t="n">
        <f aca="false">IF(A745="","",Inputs!$B$18+N745)</f>
        <v>50000</v>
      </c>
      <c r="P745" s="5" t="n">
        <f aca="false">IF(A745="","",VLOOKUP(D745,DIvidend_Assumption!$A$3:$CX$103,($E$2+2),0)/12)</f>
        <v>0</v>
      </c>
      <c r="Q745" s="10" t="n">
        <f aca="false">IF(A745="","",IFERROR(AB744*P745,""))</f>
        <v>0</v>
      </c>
      <c r="R745" s="10" t="n">
        <f aca="false">IF(A745="","",IFERROR(IF(Inputs!$B$22="Accumulate",T745+Q745,IF(Inputs!$B$22="Premium Offset",MAX(0,T745+Q745-Inputs!$B$25),T745)),""))</f>
        <v>0</v>
      </c>
      <c r="S745" s="10" t="n">
        <f aca="false">IF(A745="","",R744)</f>
        <v>0</v>
      </c>
      <c r="T745" s="10" t="n">
        <f aca="false">IF(A745="","",IFERROR(S745*(1+Inputs!$B$23/12),""))</f>
        <v>0</v>
      </c>
      <c r="U745" s="6" t="n">
        <f aca="false">IF(A745="","",IF(D745&lt;=Inputs!$B$8,IF(Inputs!$B$22="Premium Offset",MAX(0,Inputs!$B$25-(Q745+T745)),Inputs!$B$25),0))</f>
        <v>0</v>
      </c>
      <c r="V745" s="10" t="n">
        <f aca="false">IF(A745="","",IF(Inputs!$B$22="Cash",Q745,0))</f>
        <v>0</v>
      </c>
      <c r="W745" s="10" t="n">
        <f aca="false">IF(A745="","",IF(Inputs!$B$22="PUA",Q745,0))</f>
        <v>0</v>
      </c>
      <c r="X745" s="12" t="n">
        <f aca="false">IF(A745="","",IFERROR(INDEX(PUA_TABLE!$D$4:$D$105,MATCH(E745,PUA_TABLE!$C$4:$C$105,1)),0))</f>
        <v>0.855140794729485</v>
      </c>
      <c r="Y745" s="10" t="n">
        <f aca="false">IF(A745="","",IF(W745&gt;0,IF(X745&gt;0,W745/X745,0),0))</f>
        <v>0</v>
      </c>
      <c r="Z745" s="10" t="n">
        <f aca="false">IF(A745="","",N745+Y745)</f>
        <v>0</v>
      </c>
      <c r="AA745" s="10" t="n">
        <f aca="false">IF(A745="","",IFERROR(Z745*INDEX(PUA_TABLE!$I$4:$I$105,MATCH(E745,PUA_TABLE!$C$4:$C$105,1))/1000,0))</f>
        <v>0</v>
      </c>
      <c r="AB745" s="10" t="n">
        <f aca="false">IF(A745="","",IFERROR(L745+AA745,0))</f>
        <v>43104.5866159774</v>
      </c>
      <c r="AC745" s="10" t="n">
        <f aca="false">IF(A745="","",IF(Inputs!$B$22="Premium Offset",MIN(Inputs!$B$25,Q745+T745),0))</f>
        <v>0</v>
      </c>
    </row>
    <row r="746" customFormat="false" ht="15" hidden="false" customHeight="false" outlineLevel="0" collapsed="false">
      <c r="A746" s="1" t="n">
        <f aca="false">IF(A745="","",IF(INT((C745+1)/12)+Inputs!$B$7&gt;MAX(MORTALITY!$A:$A),"",Inputs!$B$4))</f>
        <v>34</v>
      </c>
      <c r="B746" s="3" t="n">
        <f aca="false">IF(A746="","",EOMONTH(B745,1))</f>
        <v>44377</v>
      </c>
      <c r="C746" s="1" t="n">
        <f aca="false">IF(A746="","",C745+1)</f>
        <v>744</v>
      </c>
      <c r="D746" s="1" t="n">
        <f aca="false">IF(A746="","",INT(C746/12))</f>
        <v>62</v>
      </c>
      <c r="E746" s="1" t="n">
        <f aca="false">IF(A746="","",D746+Inputs!$B$7)</f>
        <v>78</v>
      </c>
      <c r="F746" s="3" t="n">
        <f aca="false">IF(A746="","",DATE(YEAR(B$2)+D746,MONTH(B$2),DAY(B$2)))</f>
        <v>44352</v>
      </c>
      <c r="G746" s="3" t="n">
        <f aca="false">IF(A746="","",DATE(YEAR(F746)+1,MONTH(F746),DAY(F746)))</f>
        <v>44717</v>
      </c>
      <c r="H746" s="10" t="n">
        <f aca="false">IF(A746="","",IF(G746&gt;F746,(B746-F746)/(G746-F746),0))</f>
        <v>0.0684931506849315</v>
      </c>
      <c r="I746" s="10" t="n">
        <f aca="false">IF(A746="","",IFERROR(INDEX(CV_RATES!$I:$I,MATCH(D746,CV_RATES!$C:$C,0)),0))</f>
        <v>862.18827311941</v>
      </c>
      <c r="J746" s="10" t="n">
        <f aca="false">IF(A746="","",IFERROR(IF(E746=MAX(MORTALITY!$A:$A),1000,INDEX(CV_RATES!$J:$J,MATCH(D746,CV_RATES!$C:$C,0))),0))</f>
        <v>868.992889360493</v>
      </c>
      <c r="K746" s="10" t="n">
        <f aca="false">IF(A746="","",IFERROR(I746+H746*(J746-I746),0))</f>
        <v>862.654342724963</v>
      </c>
      <c r="L746" s="10" t="n">
        <f aca="false">IF(A746="","",IFERROR(K746*Inputs!$B$9,0))</f>
        <v>43132.7171362482</v>
      </c>
      <c r="M746" s="10" t="n">
        <f aca="false">IF(A746="","",IFERROR(K746*Inputs!$B$10,0))</f>
        <v>138022.106872966</v>
      </c>
      <c r="N746" s="10" t="n">
        <f aca="false">IF(A746="","",Z745)</f>
        <v>0</v>
      </c>
      <c r="O746" s="6" t="n">
        <f aca="false">IF(A746="","",Inputs!$B$18+N746)</f>
        <v>50000</v>
      </c>
      <c r="P746" s="5" t="n">
        <f aca="false">IF(A746="","",VLOOKUP(D746,DIvidend_Assumption!$A$3:$CX$103,($E$2+2),0)/12)</f>
        <v>0</v>
      </c>
      <c r="Q746" s="10" t="n">
        <f aca="false">IF(A746="","",IFERROR(AB745*P746,""))</f>
        <v>0</v>
      </c>
      <c r="R746" s="10" t="n">
        <f aca="false">IF(A746="","",IFERROR(IF(Inputs!$B$22="Accumulate",T746+Q746,IF(Inputs!$B$22="Premium Offset",MAX(0,T746+Q746-Inputs!$B$25),T746)),""))</f>
        <v>0</v>
      </c>
      <c r="S746" s="10" t="n">
        <f aca="false">IF(A746="","",R745)</f>
        <v>0</v>
      </c>
      <c r="T746" s="10" t="n">
        <f aca="false">IF(A746="","",IFERROR(S746*(1+Inputs!$B$23/12),""))</f>
        <v>0</v>
      </c>
      <c r="U746" s="6" t="n">
        <f aca="false">IF(A746="","",IF(D746&lt;=Inputs!$B$8,IF(Inputs!$B$22="Premium Offset",MAX(0,Inputs!$B$25-(Q746+T746)),Inputs!$B$25),0))</f>
        <v>0</v>
      </c>
      <c r="V746" s="10" t="n">
        <f aca="false">IF(A746="","",IF(Inputs!$B$22="Cash",Q746,0))</f>
        <v>0</v>
      </c>
      <c r="W746" s="10" t="n">
        <f aca="false">IF(A746="","",IF(Inputs!$B$22="PUA",Q746,0))</f>
        <v>0</v>
      </c>
      <c r="X746" s="12" t="n">
        <f aca="false">IF(A746="","",IFERROR(INDEX(PUA_TABLE!$D$4:$D$105,MATCH(E746,PUA_TABLE!$C$4:$C$105,1)),0))</f>
        <v>0.86218827311941</v>
      </c>
      <c r="Y746" s="10" t="n">
        <f aca="false">IF(A746="","",IF(W746&gt;0,IF(X746&gt;0,W746/X746,0),0))</f>
        <v>0</v>
      </c>
      <c r="Z746" s="10" t="n">
        <f aca="false">IF(A746="","",N746+Y746)</f>
        <v>0</v>
      </c>
      <c r="AA746" s="10" t="n">
        <f aca="false">IF(A746="","",IFERROR(Z746*INDEX(PUA_TABLE!$I$4:$I$105,MATCH(E746,PUA_TABLE!$C$4:$C$105,1))/1000,0))</f>
        <v>0</v>
      </c>
      <c r="AB746" s="10" t="n">
        <f aca="false">IF(A746="","",IFERROR(L746+AA746,0))</f>
        <v>43132.7171362482</v>
      </c>
      <c r="AC746" s="10" t="n">
        <f aca="false">IF(A746="","",IF(Inputs!$B$22="Premium Offset",MIN(Inputs!$B$25,Q746+T746),0))</f>
        <v>0</v>
      </c>
    </row>
    <row r="747" customFormat="false" ht="15" hidden="false" customHeight="false" outlineLevel="0" collapsed="false">
      <c r="A747" s="1" t="n">
        <f aca="false">IF(A746="","",IF(INT((C746+1)/12)+Inputs!$B$7&gt;MAX(MORTALITY!$A:$A),"",Inputs!$B$4))</f>
        <v>34</v>
      </c>
      <c r="B747" s="3" t="n">
        <f aca="false">IF(A747="","",EOMONTH(B746,1))</f>
        <v>44408</v>
      </c>
      <c r="C747" s="1" t="n">
        <f aca="false">IF(A747="","",C746+1)</f>
        <v>745</v>
      </c>
      <c r="D747" s="1" t="n">
        <f aca="false">IF(A747="","",INT(C747/12))</f>
        <v>62</v>
      </c>
      <c r="E747" s="1" t="n">
        <f aca="false">IF(A747="","",D747+Inputs!$B$7)</f>
        <v>78</v>
      </c>
      <c r="F747" s="3" t="n">
        <f aca="false">IF(A747="","",DATE(YEAR(B$2)+D747,MONTH(B$2),DAY(B$2)))</f>
        <v>44352</v>
      </c>
      <c r="G747" s="3" t="n">
        <f aca="false">IF(A747="","",DATE(YEAR(F747)+1,MONTH(F747),DAY(F747)))</f>
        <v>44717</v>
      </c>
      <c r="H747" s="10" t="n">
        <f aca="false">IF(A747="","",IF(G747&gt;F747,(B747-F747)/(G747-F747),0))</f>
        <v>0.153424657534247</v>
      </c>
      <c r="I747" s="10" t="n">
        <f aca="false">IF(A747="","",IFERROR(INDEX(CV_RATES!$I:$I,MATCH(D747,CV_RATES!$C:$C,0)),0))</f>
        <v>862.18827311941</v>
      </c>
      <c r="J747" s="10" t="n">
        <f aca="false">IF(A747="","",IFERROR(IF(E747=MAX(MORTALITY!$A:$A),1000,INDEX(CV_RATES!$J:$J,MATCH(D747,CV_RATES!$C:$C,0))),0))</f>
        <v>868.992889360493</v>
      </c>
      <c r="K747" s="10" t="n">
        <f aca="false">IF(A747="","",IFERROR(I747+H747*(J747-I747),0))</f>
        <v>863.23226903585</v>
      </c>
      <c r="L747" s="10" t="n">
        <f aca="false">IF(A747="","",IFERROR(K747*Inputs!$B$9,0))</f>
        <v>43161.6134517925</v>
      </c>
      <c r="M747" s="10" t="n">
        <f aca="false">IF(A747="","",IFERROR(K747*Inputs!$B$10,0))</f>
        <v>138114.573348929</v>
      </c>
      <c r="N747" s="10" t="n">
        <f aca="false">IF(A747="","",Z746)</f>
        <v>0</v>
      </c>
      <c r="O747" s="6" t="n">
        <f aca="false">IF(A747="","",Inputs!$B$18+N747)</f>
        <v>50000</v>
      </c>
      <c r="P747" s="5" t="n">
        <f aca="false">IF(A747="","",VLOOKUP(D747,DIvidend_Assumption!$A$3:$CX$103,($E$2+2),0)/12)</f>
        <v>0</v>
      </c>
      <c r="Q747" s="10" t="n">
        <f aca="false">IF(A747="","",IFERROR(AB746*P747,""))</f>
        <v>0</v>
      </c>
      <c r="R747" s="10" t="n">
        <f aca="false">IF(A747="","",IFERROR(IF(Inputs!$B$22="Accumulate",T747+Q747,IF(Inputs!$B$22="Premium Offset",MAX(0,T747+Q747-Inputs!$B$25),T747)),""))</f>
        <v>0</v>
      </c>
      <c r="S747" s="10" t="n">
        <f aca="false">IF(A747="","",R746)</f>
        <v>0</v>
      </c>
      <c r="T747" s="10" t="n">
        <f aca="false">IF(A747="","",IFERROR(S747*(1+Inputs!$B$23/12),""))</f>
        <v>0</v>
      </c>
      <c r="U747" s="6" t="n">
        <f aca="false">IF(A747="","",IF(D747&lt;=Inputs!$B$8,IF(Inputs!$B$22="Premium Offset",MAX(0,Inputs!$B$25-(Q747+T747)),Inputs!$B$25),0))</f>
        <v>0</v>
      </c>
      <c r="V747" s="10" t="n">
        <f aca="false">IF(A747="","",IF(Inputs!$B$22="Cash",Q747,0))</f>
        <v>0</v>
      </c>
      <c r="W747" s="10" t="n">
        <f aca="false">IF(A747="","",IF(Inputs!$B$22="PUA",Q747,0))</f>
        <v>0</v>
      </c>
      <c r="X747" s="12" t="n">
        <f aca="false">IF(A747="","",IFERROR(INDEX(PUA_TABLE!$D$4:$D$105,MATCH(E747,PUA_TABLE!$C$4:$C$105,1)),0))</f>
        <v>0.86218827311941</v>
      </c>
      <c r="Y747" s="10" t="n">
        <f aca="false">IF(A747="","",IF(W747&gt;0,IF(X747&gt;0,W747/X747,0),0))</f>
        <v>0</v>
      </c>
      <c r="Z747" s="10" t="n">
        <f aca="false">IF(A747="","",N747+Y747)</f>
        <v>0</v>
      </c>
      <c r="AA747" s="10" t="n">
        <f aca="false">IF(A747="","",IFERROR(Z747*INDEX(PUA_TABLE!$I$4:$I$105,MATCH(E747,PUA_TABLE!$C$4:$C$105,1))/1000,0))</f>
        <v>0</v>
      </c>
      <c r="AB747" s="10" t="n">
        <f aca="false">IF(A747="","",IFERROR(L747+AA747,0))</f>
        <v>43161.6134517925</v>
      </c>
      <c r="AC747" s="10" t="n">
        <f aca="false">IF(A747="","",IF(Inputs!$B$22="Premium Offset",MIN(Inputs!$B$25,Q747+T747),0))</f>
        <v>0</v>
      </c>
    </row>
    <row r="748" customFormat="false" ht="15" hidden="false" customHeight="false" outlineLevel="0" collapsed="false">
      <c r="A748" s="1" t="n">
        <f aca="false">IF(A747="","",IF(INT((C747+1)/12)+Inputs!$B$7&gt;MAX(MORTALITY!$A:$A),"",Inputs!$B$4))</f>
        <v>34</v>
      </c>
      <c r="B748" s="3" t="n">
        <f aca="false">IF(A748="","",EOMONTH(B747,1))</f>
        <v>44439</v>
      </c>
      <c r="C748" s="1" t="n">
        <f aca="false">IF(A748="","",C747+1)</f>
        <v>746</v>
      </c>
      <c r="D748" s="1" t="n">
        <f aca="false">IF(A748="","",INT(C748/12))</f>
        <v>62</v>
      </c>
      <c r="E748" s="1" t="n">
        <f aca="false">IF(A748="","",D748+Inputs!$B$7)</f>
        <v>78</v>
      </c>
      <c r="F748" s="3" t="n">
        <f aca="false">IF(A748="","",DATE(YEAR(B$2)+D748,MONTH(B$2),DAY(B$2)))</f>
        <v>44352</v>
      </c>
      <c r="G748" s="3" t="n">
        <f aca="false">IF(A748="","",DATE(YEAR(F748)+1,MONTH(F748),DAY(F748)))</f>
        <v>44717</v>
      </c>
      <c r="H748" s="10" t="n">
        <f aca="false">IF(A748="","",IF(G748&gt;F748,(B748-F748)/(G748-F748),0))</f>
        <v>0.238356164383562</v>
      </c>
      <c r="I748" s="10" t="n">
        <f aca="false">IF(A748="","",IFERROR(INDEX(CV_RATES!$I:$I,MATCH(D748,CV_RATES!$C:$C,0)),0))</f>
        <v>862.18827311941</v>
      </c>
      <c r="J748" s="10" t="n">
        <f aca="false">IF(A748="","",IFERROR(IF(E748=MAX(MORTALITY!$A:$A),1000,INDEX(CV_RATES!$J:$J,MATCH(D748,CV_RATES!$C:$C,0))),0))</f>
        <v>868.992889360493</v>
      </c>
      <c r="K748" s="10" t="n">
        <f aca="false">IF(A748="","",IFERROR(I748+H748*(J748-I748),0))</f>
        <v>863.810195346736</v>
      </c>
      <c r="L748" s="10" t="n">
        <f aca="false">IF(A748="","",IFERROR(K748*Inputs!$B$9,0))</f>
        <v>43190.5097673368</v>
      </c>
      <c r="M748" s="10" t="n">
        <f aca="false">IF(A748="","",IFERROR(K748*Inputs!$B$10,0))</f>
        <v>138207.039824892</v>
      </c>
      <c r="N748" s="10" t="n">
        <f aca="false">IF(A748="","",Z747)</f>
        <v>0</v>
      </c>
      <c r="O748" s="6" t="n">
        <f aca="false">IF(A748="","",Inputs!$B$18+N748)</f>
        <v>50000</v>
      </c>
      <c r="P748" s="5" t="n">
        <f aca="false">IF(A748="","",VLOOKUP(D748,DIvidend_Assumption!$A$3:$CX$103,($E$2+2),0)/12)</f>
        <v>0</v>
      </c>
      <c r="Q748" s="10" t="n">
        <f aca="false">IF(A748="","",IFERROR(AB747*P748,""))</f>
        <v>0</v>
      </c>
      <c r="R748" s="10" t="n">
        <f aca="false">IF(A748="","",IFERROR(IF(Inputs!$B$22="Accumulate",T748+Q748,IF(Inputs!$B$22="Premium Offset",MAX(0,T748+Q748-Inputs!$B$25),T748)),""))</f>
        <v>0</v>
      </c>
      <c r="S748" s="10" t="n">
        <f aca="false">IF(A748="","",R747)</f>
        <v>0</v>
      </c>
      <c r="T748" s="10" t="n">
        <f aca="false">IF(A748="","",IFERROR(S748*(1+Inputs!$B$23/12),""))</f>
        <v>0</v>
      </c>
      <c r="U748" s="6" t="n">
        <f aca="false">IF(A748="","",IF(D748&lt;=Inputs!$B$8,IF(Inputs!$B$22="Premium Offset",MAX(0,Inputs!$B$25-(Q748+T748)),Inputs!$B$25),0))</f>
        <v>0</v>
      </c>
      <c r="V748" s="10" t="n">
        <f aca="false">IF(A748="","",IF(Inputs!$B$22="Cash",Q748,0))</f>
        <v>0</v>
      </c>
      <c r="W748" s="10" t="n">
        <f aca="false">IF(A748="","",IF(Inputs!$B$22="PUA",Q748,0))</f>
        <v>0</v>
      </c>
      <c r="X748" s="12" t="n">
        <f aca="false">IF(A748="","",IFERROR(INDEX(PUA_TABLE!$D$4:$D$105,MATCH(E748,PUA_TABLE!$C$4:$C$105,1)),0))</f>
        <v>0.86218827311941</v>
      </c>
      <c r="Y748" s="10" t="n">
        <f aca="false">IF(A748="","",IF(W748&gt;0,IF(X748&gt;0,W748/X748,0),0))</f>
        <v>0</v>
      </c>
      <c r="Z748" s="10" t="n">
        <f aca="false">IF(A748="","",N748+Y748)</f>
        <v>0</v>
      </c>
      <c r="AA748" s="10" t="n">
        <f aca="false">IF(A748="","",IFERROR(Z748*INDEX(PUA_TABLE!$I$4:$I$105,MATCH(E748,PUA_TABLE!$C$4:$C$105,1))/1000,0))</f>
        <v>0</v>
      </c>
      <c r="AB748" s="10" t="n">
        <f aca="false">IF(A748="","",IFERROR(L748+AA748,0))</f>
        <v>43190.5097673368</v>
      </c>
      <c r="AC748" s="10" t="n">
        <f aca="false">IF(A748="","",IF(Inputs!$B$22="Premium Offset",MIN(Inputs!$B$25,Q748+T748),0))</f>
        <v>0</v>
      </c>
    </row>
    <row r="749" customFormat="false" ht="15" hidden="false" customHeight="false" outlineLevel="0" collapsed="false">
      <c r="A749" s="1" t="n">
        <f aca="false">IF(A748="","",IF(INT((C748+1)/12)+Inputs!$B$7&gt;MAX(MORTALITY!$A:$A),"",Inputs!$B$4))</f>
        <v>34</v>
      </c>
      <c r="B749" s="3" t="n">
        <f aca="false">IF(A749="","",EOMONTH(B748,1))</f>
        <v>44469</v>
      </c>
      <c r="C749" s="1" t="n">
        <f aca="false">IF(A749="","",C748+1)</f>
        <v>747</v>
      </c>
      <c r="D749" s="1" t="n">
        <f aca="false">IF(A749="","",INT(C749/12))</f>
        <v>62</v>
      </c>
      <c r="E749" s="1" t="n">
        <f aca="false">IF(A749="","",D749+Inputs!$B$7)</f>
        <v>78</v>
      </c>
      <c r="F749" s="3" t="n">
        <f aca="false">IF(A749="","",DATE(YEAR(B$2)+D749,MONTH(B$2),DAY(B$2)))</f>
        <v>44352</v>
      </c>
      <c r="G749" s="3" t="n">
        <f aca="false">IF(A749="","",DATE(YEAR(F749)+1,MONTH(F749),DAY(F749)))</f>
        <v>44717</v>
      </c>
      <c r="H749" s="10" t="n">
        <f aca="false">IF(A749="","",IF(G749&gt;F749,(B749-F749)/(G749-F749),0))</f>
        <v>0.320547945205479</v>
      </c>
      <c r="I749" s="10" t="n">
        <f aca="false">IF(A749="","",IFERROR(INDEX(CV_RATES!$I:$I,MATCH(D749,CV_RATES!$C:$C,0)),0))</f>
        <v>862.18827311941</v>
      </c>
      <c r="J749" s="10" t="n">
        <f aca="false">IF(A749="","",IFERROR(IF(E749=MAX(MORTALITY!$A:$A),1000,INDEX(CV_RATES!$J:$J,MATCH(D749,CV_RATES!$C:$C,0))),0))</f>
        <v>868.992889360493</v>
      </c>
      <c r="K749" s="10" t="n">
        <f aca="false">IF(A749="","",IFERROR(I749+H749*(J749-I749),0))</f>
        <v>864.369478873401</v>
      </c>
      <c r="L749" s="10" t="n">
        <f aca="false">IF(A749="","",IFERROR(K749*Inputs!$B$9,0))</f>
        <v>43218.47394367</v>
      </c>
      <c r="M749" s="10" t="n">
        <f aca="false">IF(A749="","",IFERROR(K749*Inputs!$B$10,0))</f>
        <v>138296.523511308</v>
      </c>
      <c r="N749" s="10" t="n">
        <f aca="false">IF(A749="","",Z748)</f>
        <v>0</v>
      </c>
      <c r="O749" s="6" t="n">
        <f aca="false">IF(A749="","",Inputs!$B$18+N749)</f>
        <v>50000</v>
      </c>
      <c r="P749" s="5" t="n">
        <f aca="false">IF(A749="","",VLOOKUP(D749,DIvidend_Assumption!$A$3:$CX$103,($E$2+2),0)/12)</f>
        <v>0</v>
      </c>
      <c r="Q749" s="10" t="n">
        <f aca="false">IF(A749="","",IFERROR(AB748*P749,""))</f>
        <v>0</v>
      </c>
      <c r="R749" s="10" t="n">
        <f aca="false">IF(A749="","",IFERROR(IF(Inputs!$B$22="Accumulate",T749+Q749,IF(Inputs!$B$22="Premium Offset",MAX(0,T749+Q749-Inputs!$B$25),T749)),""))</f>
        <v>0</v>
      </c>
      <c r="S749" s="10" t="n">
        <f aca="false">IF(A749="","",R748)</f>
        <v>0</v>
      </c>
      <c r="T749" s="10" t="n">
        <f aca="false">IF(A749="","",IFERROR(S749*(1+Inputs!$B$23/12),""))</f>
        <v>0</v>
      </c>
      <c r="U749" s="6" t="n">
        <f aca="false">IF(A749="","",IF(D749&lt;=Inputs!$B$8,IF(Inputs!$B$22="Premium Offset",MAX(0,Inputs!$B$25-(Q749+T749)),Inputs!$B$25),0))</f>
        <v>0</v>
      </c>
      <c r="V749" s="10" t="n">
        <f aca="false">IF(A749="","",IF(Inputs!$B$22="Cash",Q749,0))</f>
        <v>0</v>
      </c>
      <c r="W749" s="10" t="n">
        <f aca="false">IF(A749="","",IF(Inputs!$B$22="PUA",Q749,0))</f>
        <v>0</v>
      </c>
      <c r="X749" s="12" t="n">
        <f aca="false">IF(A749="","",IFERROR(INDEX(PUA_TABLE!$D$4:$D$105,MATCH(E749,PUA_TABLE!$C$4:$C$105,1)),0))</f>
        <v>0.86218827311941</v>
      </c>
      <c r="Y749" s="10" t="n">
        <f aca="false">IF(A749="","",IF(W749&gt;0,IF(X749&gt;0,W749/X749,0),0))</f>
        <v>0</v>
      </c>
      <c r="Z749" s="10" t="n">
        <f aca="false">IF(A749="","",N749+Y749)</f>
        <v>0</v>
      </c>
      <c r="AA749" s="10" t="n">
        <f aca="false">IF(A749="","",IFERROR(Z749*INDEX(PUA_TABLE!$I$4:$I$105,MATCH(E749,PUA_TABLE!$C$4:$C$105,1))/1000,0))</f>
        <v>0</v>
      </c>
      <c r="AB749" s="10" t="n">
        <f aca="false">IF(A749="","",IFERROR(L749+AA749,0))</f>
        <v>43218.47394367</v>
      </c>
      <c r="AC749" s="10" t="n">
        <f aca="false">IF(A749="","",IF(Inputs!$B$22="Premium Offset",MIN(Inputs!$B$25,Q749+T749),0))</f>
        <v>0</v>
      </c>
    </row>
    <row r="750" customFormat="false" ht="15" hidden="false" customHeight="false" outlineLevel="0" collapsed="false">
      <c r="A750" s="1" t="n">
        <f aca="false">IF(A749="","",IF(INT((C749+1)/12)+Inputs!$B$7&gt;MAX(MORTALITY!$A:$A),"",Inputs!$B$4))</f>
        <v>34</v>
      </c>
      <c r="B750" s="3" t="n">
        <f aca="false">IF(A750="","",EOMONTH(B749,1))</f>
        <v>44500</v>
      </c>
      <c r="C750" s="1" t="n">
        <f aca="false">IF(A750="","",C749+1)</f>
        <v>748</v>
      </c>
      <c r="D750" s="1" t="n">
        <f aca="false">IF(A750="","",INT(C750/12))</f>
        <v>62</v>
      </c>
      <c r="E750" s="1" t="n">
        <f aca="false">IF(A750="","",D750+Inputs!$B$7)</f>
        <v>78</v>
      </c>
      <c r="F750" s="3" t="n">
        <f aca="false">IF(A750="","",DATE(YEAR(B$2)+D750,MONTH(B$2),DAY(B$2)))</f>
        <v>44352</v>
      </c>
      <c r="G750" s="3" t="n">
        <f aca="false">IF(A750="","",DATE(YEAR(F750)+1,MONTH(F750),DAY(F750)))</f>
        <v>44717</v>
      </c>
      <c r="H750" s="10" t="n">
        <f aca="false">IF(A750="","",IF(G750&gt;F750,(B750-F750)/(G750-F750),0))</f>
        <v>0.405479452054795</v>
      </c>
      <c r="I750" s="10" t="n">
        <f aca="false">IF(A750="","",IFERROR(INDEX(CV_RATES!$I:$I,MATCH(D750,CV_RATES!$C:$C,0)),0))</f>
        <v>862.18827311941</v>
      </c>
      <c r="J750" s="10" t="n">
        <f aca="false">IF(A750="","",IFERROR(IF(E750=MAX(MORTALITY!$A:$A),1000,INDEX(CV_RATES!$J:$J,MATCH(D750,CV_RATES!$C:$C,0))),0))</f>
        <v>868.992889360493</v>
      </c>
      <c r="K750" s="10" t="n">
        <f aca="false">IF(A750="","",IFERROR(I750+H750*(J750-I750),0))</f>
        <v>864.947405184287</v>
      </c>
      <c r="L750" s="10" t="n">
        <f aca="false">IF(A750="","",IFERROR(K750*Inputs!$B$9,0))</f>
        <v>43247.3702592144</v>
      </c>
      <c r="M750" s="10" t="n">
        <f aca="false">IF(A750="","",IFERROR(K750*Inputs!$B$10,0))</f>
        <v>138388.98998727</v>
      </c>
      <c r="N750" s="10" t="n">
        <f aca="false">IF(A750="","",Z749)</f>
        <v>0</v>
      </c>
      <c r="O750" s="6" t="n">
        <f aca="false">IF(A750="","",Inputs!$B$18+N750)</f>
        <v>50000</v>
      </c>
      <c r="P750" s="5" t="n">
        <f aca="false">IF(A750="","",VLOOKUP(D750,DIvidend_Assumption!$A$3:$CX$103,($E$2+2),0)/12)</f>
        <v>0</v>
      </c>
      <c r="Q750" s="10" t="n">
        <f aca="false">IF(A750="","",IFERROR(AB749*P750,""))</f>
        <v>0</v>
      </c>
      <c r="R750" s="10" t="n">
        <f aca="false">IF(A750="","",IFERROR(IF(Inputs!$B$22="Accumulate",T750+Q750,IF(Inputs!$B$22="Premium Offset",MAX(0,T750+Q750-Inputs!$B$25),T750)),""))</f>
        <v>0</v>
      </c>
      <c r="S750" s="10" t="n">
        <f aca="false">IF(A750="","",R749)</f>
        <v>0</v>
      </c>
      <c r="T750" s="10" t="n">
        <f aca="false">IF(A750="","",IFERROR(S750*(1+Inputs!$B$23/12),""))</f>
        <v>0</v>
      </c>
      <c r="U750" s="6" t="n">
        <f aca="false">IF(A750="","",IF(D750&lt;=Inputs!$B$8,IF(Inputs!$B$22="Premium Offset",MAX(0,Inputs!$B$25-(Q750+T750)),Inputs!$B$25),0))</f>
        <v>0</v>
      </c>
      <c r="V750" s="10" t="n">
        <f aca="false">IF(A750="","",IF(Inputs!$B$22="Cash",Q750,0))</f>
        <v>0</v>
      </c>
      <c r="W750" s="10" t="n">
        <f aca="false">IF(A750="","",IF(Inputs!$B$22="PUA",Q750,0))</f>
        <v>0</v>
      </c>
      <c r="X750" s="12" t="n">
        <f aca="false">IF(A750="","",IFERROR(INDEX(PUA_TABLE!$D$4:$D$105,MATCH(E750,PUA_TABLE!$C$4:$C$105,1)),0))</f>
        <v>0.86218827311941</v>
      </c>
      <c r="Y750" s="10" t="n">
        <f aca="false">IF(A750="","",IF(W750&gt;0,IF(X750&gt;0,W750/X750,0),0))</f>
        <v>0</v>
      </c>
      <c r="Z750" s="10" t="n">
        <f aca="false">IF(A750="","",N750+Y750)</f>
        <v>0</v>
      </c>
      <c r="AA750" s="10" t="n">
        <f aca="false">IF(A750="","",IFERROR(Z750*INDEX(PUA_TABLE!$I$4:$I$105,MATCH(E750,PUA_TABLE!$C$4:$C$105,1))/1000,0))</f>
        <v>0</v>
      </c>
      <c r="AB750" s="10" t="n">
        <f aca="false">IF(A750="","",IFERROR(L750+AA750,0))</f>
        <v>43247.3702592144</v>
      </c>
      <c r="AC750" s="10" t="n">
        <f aca="false">IF(A750="","",IF(Inputs!$B$22="Premium Offset",MIN(Inputs!$B$25,Q750+T750),0))</f>
        <v>0</v>
      </c>
    </row>
    <row r="751" customFormat="false" ht="15" hidden="false" customHeight="false" outlineLevel="0" collapsed="false">
      <c r="A751" s="1" t="n">
        <f aca="false">IF(A750="","",IF(INT((C750+1)/12)+Inputs!$B$7&gt;MAX(MORTALITY!$A:$A),"",Inputs!$B$4))</f>
        <v>34</v>
      </c>
      <c r="B751" s="3" t="n">
        <f aca="false">IF(A751="","",EOMONTH(B750,1))</f>
        <v>44530</v>
      </c>
      <c r="C751" s="1" t="n">
        <f aca="false">IF(A751="","",C750+1)</f>
        <v>749</v>
      </c>
      <c r="D751" s="1" t="n">
        <f aca="false">IF(A751="","",INT(C751/12))</f>
        <v>62</v>
      </c>
      <c r="E751" s="1" t="n">
        <f aca="false">IF(A751="","",D751+Inputs!$B$7)</f>
        <v>78</v>
      </c>
      <c r="F751" s="3" t="n">
        <f aca="false">IF(A751="","",DATE(YEAR(B$2)+D751,MONTH(B$2),DAY(B$2)))</f>
        <v>44352</v>
      </c>
      <c r="G751" s="3" t="n">
        <f aca="false">IF(A751="","",DATE(YEAR(F751)+1,MONTH(F751),DAY(F751)))</f>
        <v>44717</v>
      </c>
      <c r="H751" s="10" t="n">
        <f aca="false">IF(A751="","",IF(G751&gt;F751,(B751-F751)/(G751-F751),0))</f>
        <v>0.487671232876712</v>
      </c>
      <c r="I751" s="10" t="n">
        <f aca="false">IF(A751="","",IFERROR(INDEX(CV_RATES!$I:$I,MATCH(D751,CV_RATES!$C:$C,0)),0))</f>
        <v>862.18827311941</v>
      </c>
      <c r="J751" s="10" t="n">
        <f aca="false">IF(A751="","",IFERROR(IF(E751=MAX(MORTALITY!$A:$A),1000,INDEX(CV_RATES!$J:$J,MATCH(D751,CV_RATES!$C:$C,0))),0))</f>
        <v>868.992889360493</v>
      </c>
      <c r="K751" s="10" t="n">
        <f aca="false">IF(A751="","",IFERROR(I751+H751*(J751-I751),0))</f>
        <v>865.506688710952</v>
      </c>
      <c r="L751" s="10" t="n">
        <f aca="false">IF(A751="","",IFERROR(K751*Inputs!$B$9,0))</f>
        <v>43275.3344355476</v>
      </c>
      <c r="M751" s="10" t="n">
        <f aca="false">IF(A751="","",IFERROR(K751*Inputs!$B$10,0))</f>
        <v>138478.473673686</v>
      </c>
      <c r="N751" s="10" t="n">
        <f aca="false">IF(A751="","",Z750)</f>
        <v>0</v>
      </c>
      <c r="O751" s="6" t="n">
        <f aca="false">IF(A751="","",Inputs!$B$18+N751)</f>
        <v>50000</v>
      </c>
      <c r="P751" s="5" t="n">
        <f aca="false">IF(A751="","",VLOOKUP(D751,DIvidend_Assumption!$A$3:$CX$103,($E$2+2),0)/12)</f>
        <v>0</v>
      </c>
      <c r="Q751" s="10" t="n">
        <f aca="false">IF(A751="","",IFERROR(AB750*P751,""))</f>
        <v>0</v>
      </c>
      <c r="R751" s="10" t="n">
        <f aca="false">IF(A751="","",IFERROR(IF(Inputs!$B$22="Accumulate",T751+Q751,IF(Inputs!$B$22="Premium Offset",MAX(0,T751+Q751-Inputs!$B$25),T751)),""))</f>
        <v>0</v>
      </c>
      <c r="S751" s="10" t="n">
        <f aca="false">IF(A751="","",R750)</f>
        <v>0</v>
      </c>
      <c r="T751" s="10" t="n">
        <f aca="false">IF(A751="","",IFERROR(S751*(1+Inputs!$B$23/12),""))</f>
        <v>0</v>
      </c>
      <c r="U751" s="6" t="n">
        <f aca="false">IF(A751="","",IF(D751&lt;=Inputs!$B$8,IF(Inputs!$B$22="Premium Offset",MAX(0,Inputs!$B$25-(Q751+T751)),Inputs!$B$25),0))</f>
        <v>0</v>
      </c>
      <c r="V751" s="10" t="n">
        <f aca="false">IF(A751="","",IF(Inputs!$B$22="Cash",Q751,0))</f>
        <v>0</v>
      </c>
      <c r="W751" s="10" t="n">
        <f aca="false">IF(A751="","",IF(Inputs!$B$22="PUA",Q751,0))</f>
        <v>0</v>
      </c>
      <c r="X751" s="12" t="n">
        <f aca="false">IF(A751="","",IFERROR(INDEX(PUA_TABLE!$D$4:$D$105,MATCH(E751,PUA_TABLE!$C$4:$C$105,1)),0))</f>
        <v>0.86218827311941</v>
      </c>
      <c r="Y751" s="10" t="n">
        <f aca="false">IF(A751="","",IF(W751&gt;0,IF(X751&gt;0,W751/X751,0),0))</f>
        <v>0</v>
      </c>
      <c r="Z751" s="10" t="n">
        <f aca="false">IF(A751="","",N751+Y751)</f>
        <v>0</v>
      </c>
      <c r="AA751" s="10" t="n">
        <f aca="false">IF(A751="","",IFERROR(Z751*INDEX(PUA_TABLE!$I$4:$I$105,MATCH(E751,PUA_TABLE!$C$4:$C$105,1))/1000,0))</f>
        <v>0</v>
      </c>
      <c r="AB751" s="10" t="n">
        <f aca="false">IF(A751="","",IFERROR(L751+AA751,0))</f>
        <v>43275.3344355476</v>
      </c>
      <c r="AC751" s="10" t="n">
        <f aca="false">IF(A751="","",IF(Inputs!$B$22="Premium Offset",MIN(Inputs!$B$25,Q751+T751),0))</f>
        <v>0</v>
      </c>
    </row>
    <row r="752" customFormat="false" ht="15" hidden="false" customHeight="false" outlineLevel="0" collapsed="false">
      <c r="A752" s="1" t="n">
        <f aca="false">IF(A751="","",IF(INT((C751+1)/12)+Inputs!$B$7&gt;MAX(MORTALITY!$A:$A),"",Inputs!$B$4))</f>
        <v>34</v>
      </c>
      <c r="B752" s="3" t="n">
        <f aca="false">IF(A752="","",EOMONTH(B751,1))</f>
        <v>44561</v>
      </c>
      <c r="C752" s="1" t="n">
        <f aca="false">IF(A752="","",C751+1)</f>
        <v>750</v>
      </c>
      <c r="D752" s="1" t="n">
        <f aca="false">IF(A752="","",INT(C752/12))</f>
        <v>62</v>
      </c>
      <c r="E752" s="1" t="n">
        <f aca="false">IF(A752="","",D752+Inputs!$B$7)</f>
        <v>78</v>
      </c>
      <c r="F752" s="3" t="n">
        <f aca="false">IF(A752="","",DATE(YEAR(B$2)+D752,MONTH(B$2),DAY(B$2)))</f>
        <v>44352</v>
      </c>
      <c r="G752" s="3" t="n">
        <f aca="false">IF(A752="","",DATE(YEAR(F752)+1,MONTH(F752),DAY(F752)))</f>
        <v>44717</v>
      </c>
      <c r="H752" s="10" t="n">
        <f aca="false">IF(A752="","",IF(G752&gt;F752,(B752-F752)/(G752-F752),0))</f>
        <v>0.572602739726027</v>
      </c>
      <c r="I752" s="10" t="n">
        <f aca="false">IF(A752="","",IFERROR(INDEX(CV_RATES!$I:$I,MATCH(D752,CV_RATES!$C:$C,0)),0))</f>
        <v>862.18827311941</v>
      </c>
      <c r="J752" s="10" t="n">
        <f aca="false">IF(A752="","",IFERROR(IF(E752=MAX(MORTALITY!$A:$A),1000,INDEX(CV_RATES!$J:$J,MATCH(D752,CV_RATES!$C:$C,0))),0))</f>
        <v>868.992889360493</v>
      </c>
      <c r="K752" s="10" t="n">
        <f aca="false">IF(A752="","",IFERROR(I752+H752*(J752-I752),0))</f>
        <v>866.084615021838</v>
      </c>
      <c r="L752" s="10" t="n">
        <f aca="false">IF(A752="","",IFERROR(K752*Inputs!$B$9,0))</f>
        <v>43304.2307510919</v>
      </c>
      <c r="M752" s="10" t="n">
        <f aca="false">IF(A752="","",IFERROR(K752*Inputs!$B$10,0))</f>
        <v>138570.940149649</v>
      </c>
      <c r="N752" s="10" t="n">
        <f aca="false">IF(A752="","",Z751)</f>
        <v>0</v>
      </c>
      <c r="O752" s="6" t="n">
        <f aca="false">IF(A752="","",Inputs!$B$18+N752)</f>
        <v>50000</v>
      </c>
      <c r="P752" s="5" t="n">
        <f aca="false">IF(A752="","",VLOOKUP(D752,DIvidend_Assumption!$A$3:$CX$103,($E$2+2),0)/12)</f>
        <v>0</v>
      </c>
      <c r="Q752" s="10" t="n">
        <f aca="false">IF(A752="","",IFERROR(AB751*P752,""))</f>
        <v>0</v>
      </c>
      <c r="R752" s="10" t="n">
        <f aca="false">IF(A752="","",IFERROR(IF(Inputs!$B$22="Accumulate",T752+Q752,IF(Inputs!$B$22="Premium Offset",MAX(0,T752+Q752-Inputs!$B$25),T752)),""))</f>
        <v>0</v>
      </c>
      <c r="S752" s="10" t="n">
        <f aca="false">IF(A752="","",R751)</f>
        <v>0</v>
      </c>
      <c r="T752" s="10" t="n">
        <f aca="false">IF(A752="","",IFERROR(S752*(1+Inputs!$B$23/12),""))</f>
        <v>0</v>
      </c>
      <c r="U752" s="6" t="n">
        <f aca="false">IF(A752="","",IF(D752&lt;=Inputs!$B$8,IF(Inputs!$B$22="Premium Offset",MAX(0,Inputs!$B$25-(Q752+T752)),Inputs!$B$25),0))</f>
        <v>0</v>
      </c>
      <c r="V752" s="10" t="n">
        <f aca="false">IF(A752="","",IF(Inputs!$B$22="Cash",Q752,0))</f>
        <v>0</v>
      </c>
      <c r="W752" s="10" t="n">
        <f aca="false">IF(A752="","",IF(Inputs!$B$22="PUA",Q752,0))</f>
        <v>0</v>
      </c>
      <c r="X752" s="12" t="n">
        <f aca="false">IF(A752="","",IFERROR(INDEX(PUA_TABLE!$D$4:$D$105,MATCH(E752,PUA_TABLE!$C$4:$C$105,1)),0))</f>
        <v>0.86218827311941</v>
      </c>
      <c r="Y752" s="10" t="n">
        <f aca="false">IF(A752="","",IF(W752&gt;0,IF(X752&gt;0,W752/X752,0),0))</f>
        <v>0</v>
      </c>
      <c r="Z752" s="10" t="n">
        <f aca="false">IF(A752="","",N752+Y752)</f>
        <v>0</v>
      </c>
      <c r="AA752" s="10" t="n">
        <f aca="false">IF(A752="","",IFERROR(Z752*INDEX(PUA_TABLE!$I$4:$I$105,MATCH(E752,PUA_TABLE!$C$4:$C$105,1))/1000,0))</f>
        <v>0</v>
      </c>
      <c r="AB752" s="10" t="n">
        <f aca="false">IF(A752="","",IFERROR(L752+AA752,0))</f>
        <v>43304.2307510919</v>
      </c>
      <c r="AC752" s="10" t="n">
        <f aca="false">IF(A752="","",IF(Inputs!$B$22="Premium Offset",MIN(Inputs!$B$25,Q752+T752),0))</f>
        <v>0</v>
      </c>
    </row>
    <row r="753" customFormat="false" ht="15" hidden="false" customHeight="false" outlineLevel="0" collapsed="false">
      <c r="A753" s="1" t="n">
        <f aca="false">IF(A752="","",IF(INT((C752+1)/12)+Inputs!$B$7&gt;MAX(MORTALITY!$A:$A),"",Inputs!$B$4))</f>
        <v>34</v>
      </c>
      <c r="B753" s="3" t="n">
        <f aca="false">IF(A753="","",EOMONTH(B752,1))</f>
        <v>44592</v>
      </c>
      <c r="C753" s="1" t="n">
        <f aca="false">IF(A753="","",C752+1)</f>
        <v>751</v>
      </c>
      <c r="D753" s="1" t="n">
        <f aca="false">IF(A753="","",INT(C753/12))</f>
        <v>62</v>
      </c>
      <c r="E753" s="1" t="n">
        <f aca="false">IF(A753="","",D753+Inputs!$B$7)</f>
        <v>78</v>
      </c>
      <c r="F753" s="3" t="n">
        <f aca="false">IF(A753="","",DATE(YEAR(B$2)+D753,MONTH(B$2),DAY(B$2)))</f>
        <v>44352</v>
      </c>
      <c r="G753" s="3" t="n">
        <f aca="false">IF(A753="","",DATE(YEAR(F753)+1,MONTH(F753),DAY(F753)))</f>
        <v>44717</v>
      </c>
      <c r="H753" s="10" t="n">
        <f aca="false">IF(A753="","",IF(G753&gt;F753,(B753-F753)/(G753-F753),0))</f>
        <v>0.657534246575342</v>
      </c>
      <c r="I753" s="10" t="n">
        <f aca="false">IF(A753="","",IFERROR(INDEX(CV_RATES!$I:$I,MATCH(D753,CV_RATES!$C:$C,0)),0))</f>
        <v>862.18827311941</v>
      </c>
      <c r="J753" s="10" t="n">
        <f aca="false">IF(A753="","",IFERROR(IF(E753=MAX(MORTALITY!$A:$A),1000,INDEX(CV_RATES!$J:$J,MATCH(D753,CV_RATES!$C:$C,0))),0))</f>
        <v>868.992889360493</v>
      </c>
      <c r="K753" s="10" t="n">
        <f aca="false">IF(A753="","",IFERROR(I753+H753*(J753-I753),0))</f>
        <v>866.662541332725</v>
      </c>
      <c r="L753" s="10" t="n">
        <f aca="false">IF(A753="","",IFERROR(K753*Inputs!$B$9,0))</f>
        <v>43333.1270666362</v>
      </c>
      <c r="M753" s="10" t="n">
        <f aca="false">IF(A753="","",IFERROR(K753*Inputs!$B$10,0))</f>
        <v>138663.406625612</v>
      </c>
      <c r="N753" s="10" t="n">
        <f aca="false">IF(A753="","",Z752)</f>
        <v>0</v>
      </c>
      <c r="O753" s="6" t="n">
        <f aca="false">IF(A753="","",Inputs!$B$18+N753)</f>
        <v>50000</v>
      </c>
      <c r="P753" s="5" t="n">
        <f aca="false">IF(A753="","",VLOOKUP(D753,DIvidend_Assumption!$A$3:$CX$103,($E$2+2),0)/12)</f>
        <v>0</v>
      </c>
      <c r="Q753" s="10" t="n">
        <f aca="false">IF(A753="","",IFERROR(AB752*P753,""))</f>
        <v>0</v>
      </c>
      <c r="R753" s="10" t="n">
        <f aca="false">IF(A753="","",IFERROR(IF(Inputs!$B$22="Accumulate",T753+Q753,IF(Inputs!$B$22="Premium Offset",MAX(0,T753+Q753-Inputs!$B$25),T753)),""))</f>
        <v>0</v>
      </c>
      <c r="S753" s="10" t="n">
        <f aca="false">IF(A753="","",R752)</f>
        <v>0</v>
      </c>
      <c r="T753" s="10" t="n">
        <f aca="false">IF(A753="","",IFERROR(S753*(1+Inputs!$B$23/12),""))</f>
        <v>0</v>
      </c>
      <c r="U753" s="6" t="n">
        <f aca="false">IF(A753="","",IF(D753&lt;=Inputs!$B$8,IF(Inputs!$B$22="Premium Offset",MAX(0,Inputs!$B$25-(Q753+T753)),Inputs!$B$25),0))</f>
        <v>0</v>
      </c>
      <c r="V753" s="10" t="n">
        <f aca="false">IF(A753="","",IF(Inputs!$B$22="Cash",Q753,0))</f>
        <v>0</v>
      </c>
      <c r="W753" s="10" t="n">
        <f aca="false">IF(A753="","",IF(Inputs!$B$22="PUA",Q753,0))</f>
        <v>0</v>
      </c>
      <c r="X753" s="12" t="n">
        <f aca="false">IF(A753="","",IFERROR(INDEX(PUA_TABLE!$D$4:$D$105,MATCH(E753,PUA_TABLE!$C$4:$C$105,1)),0))</f>
        <v>0.86218827311941</v>
      </c>
      <c r="Y753" s="10" t="n">
        <f aca="false">IF(A753="","",IF(W753&gt;0,IF(X753&gt;0,W753/X753,0),0))</f>
        <v>0</v>
      </c>
      <c r="Z753" s="10" t="n">
        <f aca="false">IF(A753="","",N753+Y753)</f>
        <v>0</v>
      </c>
      <c r="AA753" s="10" t="n">
        <f aca="false">IF(A753="","",IFERROR(Z753*INDEX(PUA_TABLE!$I$4:$I$105,MATCH(E753,PUA_TABLE!$C$4:$C$105,1))/1000,0))</f>
        <v>0</v>
      </c>
      <c r="AB753" s="10" t="n">
        <f aca="false">IF(A753="","",IFERROR(L753+AA753,0))</f>
        <v>43333.1270666362</v>
      </c>
      <c r="AC753" s="10" t="n">
        <f aca="false">IF(A753="","",IF(Inputs!$B$22="Premium Offset",MIN(Inputs!$B$25,Q753+T753),0))</f>
        <v>0</v>
      </c>
    </row>
    <row r="754" customFormat="false" ht="15" hidden="false" customHeight="false" outlineLevel="0" collapsed="false">
      <c r="A754" s="1" t="n">
        <f aca="false">IF(A753="","",IF(INT((C753+1)/12)+Inputs!$B$7&gt;MAX(MORTALITY!$A:$A),"",Inputs!$B$4))</f>
        <v>34</v>
      </c>
      <c r="B754" s="3" t="n">
        <f aca="false">IF(A754="","",EOMONTH(B753,1))</f>
        <v>44620</v>
      </c>
      <c r="C754" s="1" t="n">
        <f aca="false">IF(A754="","",C753+1)</f>
        <v>752</v>
      </c>
      <c r="D754" s="1" t="n">
        <f aca="false">IF(A754="","",INT(C754/12))</f>
        <v>62</v>
      </c>
      <c r="E754" s="1" t="n">
        <f aca="false">IF(A754="","",D754+Inputs!$B$7)</f>
        <v>78</v>
      </c>
      <c r="F754" s="3" t="n">
        <f aca="false">IF(A754="","",DATE(YEAR(B$2)+D754,MONTH(B$2),DAY(B$2)))</f>
        <v>44352</v>
      </c>
      <c r="G754" s="3" t="n">
        <f aca="false">IF(A754="","",DATE(YEAR(F754)+1,MONTH(F754),DAY(F754)))</f>
        <v>44717</v>
      </c>
      <c r="H754" s="10" t="n">
        <f aca="false">IF(A754="","",IF(G754&gt;F754,(B754-F754)/(G754-F754),0))</f>
        <v>0.734246575342466</v>
      </c>
      <c r="I754" s="10" t="n">
        <f aca="false">IF(A754="","",IFERROR(INDEX(CV_RATES!$I:$I,MATCH(D754,CV_RATES!$C:$C,0)),0))</f>
        <v>862.18827311941</v>
      </c>
      <c r="J754" s="10" t="n">
        <f aca="false">IF(A754="","",IFERROR(IF(E754=MAX(MORTALITY!$A:$A),1000,INDEX(CV_RATES!$J:$J,MATCH(D754,CV_RATES!$C:$C,0))),0))</f>
        <v>868.992889360493</v>
      </c>
      <c r="K754" s="10" t="n">
        <f aca="false">IF(A754="","",IFERROR(I754+H754*(J754-I754),0))</f>
        <v>867.184539290945</v>
      </c>
      <c r="L754" s="10" t="n">
        <f aca="false">IF(A754="","",IFERROR(K754*Inputs!$B$9,0))</f>
        <v>43359.2269645472</v>
      </c>
      <c r="M754" s="10" t="n">
        <f aca="false">IF(A754="","",IFERROR(K754*Inputs!$B$10,0))</f>
        <v>138746.924732933</v>
      </c>
      <c r="N754" s="10" t="n">
        <f aca="false">IF(A754="","",Z753)</f>
        <v>0</v>
      </c>
      <c r="O754" s="6" t="n">
        <f aca="false">IF(A754="","",Inputs!$B$18+N754)</f>
        <v>50000</v>
      </c>
      <c r="P754" s="5" t="n">
        <f aca="false">IF(A754="","",VLOOKUP(D754,DIvidend_Assumption!$A$3:$CX$103,($E$2+2),0)/12)</f>
        <v>0</v>
      </c>
      <c r="Q754" s="10" t="n">
        <f aca="false">IF(A754="","",IFERROR(AB753*P754,""))</f>
        <v>0</v>
      </c>
      <c r="R754" s="10" t="n">
        <f aca="false">IF(A754="","",IFERROR(IF(Inputs!$B$22="Accumulate",T754+Q754,IF(Inputs!$B$22="Premium Offset",MAX(0,T754+Q754-Inputs!$B$25),T754)),""))</f>
        <v>0</v>
      </c>
      <c r="S754" s="10" t="n">
        <f aca="false">IF(A754="","",R753)</f>
        <v>0</v>
      </c>
      <c r="T754" s="10" t="n">
        <f aca="false">IF(A754="","",IFERROR(S754*(1+Inputs!$B$23/12),""))</f>
        <v>0</v>
      </c>
      <c r="U754" s="6" t="n">
        <f aca="false">IF(A754="","",IF(D754&lt;=Inputs!$B$8,IF(Inputs!$B$22="Premium Offset",MAX(0,Inputs!$B$25-(Q754+T754)),Inputs!$B$25),0))</f>
        <v>0</v>
      </c>
      <c r="V754" s="10" t="n">
        <f aca="false">IF(A754="","",IF(Inputs!$B$22="Cash",Q754,0))</f>
        <v>0</v>
      </c>
      <c r="W754" s="10" t="n">
        <f aca="false">IF(A754="","",IF(Inputs!$B$22="PUA",Q754,0))</f>
        <v>0</v>
      </c>
      <c r="X754" s="12" t="n">
        <f aca="false">IF(A754="","",IFERROR(INDEX(PUA_TABLE!$D$4:$D$105,MATCH(E754,PUA_TABLE!$C$4:$C$105,1)),0))</f>
        <v>0.86218827311941</v>
      </c>
      <c r="Y754" s="10" t="n">
        <f aca="false">IF(A754="","",IF(W754&gt;0,IF(X754&gt;0,W754/X754,0),0))</f>
        <v>0</v>
      </c>
      <c r="Z754" s="10" t="n">
        <f aca="false">IF(A754="","",N754+Y754)</f>
        <v>0</v>
      </c>
      <c r="AA754" s="10" t="n">
        <f aca="false">IF(A754="","",IFERROR(Z754*INDEX(PUA_TABLE!$I$4:$I$105,MATCH(E754,PUA_TABLE!$C$4:$C$105,1))/1000,0))</f>
        <v>0</v>
      </c>
      <c r="AB754" s="10" t="n">
        <f aca="false">IF(A754="","",IFERROR(L754+AA754,0))</f>
        <v>43359.2269645472</v>
      </c>
      <c r="AC754" s="10" t="n">
        <f aca="false">IF(A754="","",IF(Inputs!$B$22="Premium Offset",MIN(Inputs!$B$25,Q754+T754),0))</f>
        <v>0</v>
      </c>
    </row>
    <row r="755" customFormat="false" ht="15" hidden="false" customHeight="false" outlineLevel="0" collapsed="false">
      <c r="A755" s="1" t="n">
        <f aca="false">IF(A754="","",IF(INT((C754+1)/12)+Inputs!$B$7&gt;MAX(MORTALITY!$A:$A),"",Inputs!$B$4))</f>
        <v>34</v>
      </c>
      <c r="B755" s="3" t="n">
        <f aca="false">IF(A755="","",EOMONTH(B754,1))</f>
        <v>44651</v>
      </c>
      <c r="C755" s="1" t="n">
        <f aca="false">IF(A755="","",C754+1)</f>
        <v>753</v>
      </c>
      <c r="D755" s="1" t="n">
        <f aca="false">IF(A755="","",INT(C755/12))</f>
        <v>62</v>
      </c>
      <c r="E755" s="1" t="n">
        <f aca="false">IF(A755="","",D755+Inputs!$B$7)</f>
        <v>78</v>
      </c>
      <c r="F755" s="3" t="n">
        <f aca="false">IF(A755="","",DATE(YEAR(B$2)+D755,MONTH(B$2),DAY(B$2)))</f>
        <v>44352</v>
      </c>
      <c r="G755" s="3" t="n">
        <f aca="false">IF(A755="","",DATE(YEAR(F755)+1,MONTH(F755),DAY(F755)))</f>
        <v>44717</v>
      </c>
      <c r="H755" s="10" t="n">
        <f aca="false">IF(A755="","",IF(G755&gt;F755,(B755-F755)/(G755-F755),0))</f>
        <v>0.819178082191781</v>
      </c>
      <c r="I755" s="10" t="n">
        <f aca="false">IF(A755="","",IFERROR(INDEX(CV_RATES!$I:$I,MATCH(D755,CV_RATES!$C:$C,0)),0))</f>
        <v>862.18827311941</v>
      </c>
      <c r="J755" s="10" t="n">
        <f aca="false">IF(A755="","",IFERROR(IF(E755=MAX(MORTALITY!$A:$A),1000,INDEX(CV_RATES!$J:$J,MATCH(D755,CV_RATES!$C:$C,0))),0))</f>
        <v>868.992889360493</v>
      </c>
      <c r="K755" s="10" t="n">
        <f aca="false">IF(A755="","",IFERROR(I755+H755*(J755-I755),0))</f>
        <v>867.762465601831</v>
      </c>
      <c r="L755" s="10" t="n">
        <f aca="false">IF(A755="","",IFERROR(K755*Inputs!$B$9,0))</f>
        <v>43388.1232800916</v>
      </c>
      <c r="M755" s="10" t="n">
        <f aca="false">IF(A755="","",IFERROR(K755*Inputs!$B$10,0))</f>
        <v>138839.391208896</v>
      </c>
      <c r="N755" s="10" t="n">
        <f aca="false">IF(A755="","",Z754)</f>
        <v>0</v>
      </c>
      <c r="O755" s="6" t="n">
        <f aca="false">IF(A755="","",Inputs!$B$18+N755)</f>
        <v>50000</v>
      </c>
      <c r="P755" s="5" t="n">
        <f aca="false">IF(A755="","",VLOOKUP(D755,DIvidend_Assumption!$A$3:$CX$103,($E$2+2),0)/12)</f>
        <v>0</v>
      </c>
      <c r="Q755" s="10" t="n">
        <f aca="false">IF(A755="","",IFERROR(AB754*P755,""))</f>
        <v>0</v>
      </c>
      <c r="R755" s="10" t="n">
        <f aca="false">IF(A755="","",IFERROR(IF(Inputs!$B$22="Accumulate",T755+Q755,IF(Inputs!$B$22="Premium Offset",MAX(0,T755+Q755-Inputs!$B$25),T755)),""))</f>
        <v>0</v>
      </c>
      <c r="S755" s="10" t="n">
        <f aca="false">IF(A755="","",R754)</f>
        <v>0</v>
      </c>
      <c r="T755" s="10" t="n">
        <f aca="false">IF(A755="","",IFERROR(S755*(1+Inputs!$B$23/12),""))</f>
        <v>0</v>
      </c>
      <c r="U755" s="6" t="n">
        <f aca="false">IF(A755="","",IF(D755&lt;=Inputs!$B$8,IF(Inputs!$B$22="Premium Offset",MAX(0,Inputs!$B$25-(Q755+T755)),Inputs!$B$25),0))</f>
        <v>0</v>
      </c>
      <c r="V755" s="10" t="n">
        <f aca="false">IF(A755="","",IF(Inputs!$B$22="Cash",Q755,0))</f>
        <v>0</v>
      </c>
      <c r="W755" s="10" t="n">
        <f aca="false">IF(A755="","",IF(Inputs!$B$22="PUA",Q755,0))</f>
        <v>0</v>
      </c>
      <c r="X755" s="12" t="n">
        <f aca="false">IF(A755="","",IFERROR(INDEX(PUA_TABLE!$D$4:$D$105,MATCH(E755,PUA_TABLE!$C$4:$C$105,1)),0))</f>
        <v>0.86218827311941</v>
      </c>
      <c r="Y755" s="10" t="n">
        <f aca="false">IF(A755="","",IF(W755&gt;0,IF(X755&gt;0,W755/X755,0),0))</f>
        <v>0</v>
      </c>
      <c r="Z755" s="10" t="n">
        <f aca="false">IF(A755="","",N755+Y755)</f>
        <v>0</v>
      </c>
      <c r="AA755" s="10" t="n">
        <f aca="false">IF(A755="","",IFERROR(Z755*INDEX(PUA_TABLE!$I$4:$I$105,MATCH(E755,PUA_TABLE!$C$4:$C$105,1))/1000,0))</f>
        <v>0</v>
      </c>
      <c r="AB755" s="10" t="n">
        <f aca="false">IF(A755="","",IFERROR(L755+AA755,0))</f>
        <v>43388.1232800916</v>
      </c>
      <c r="AC755" s="10" t="n">
        <f aca="false">IF(A755="","",IF(Inputs!$B$22="Premium Offset",MIN(Inputs!$B$25,Q755+T755),0))</f>
        <v>0</v>
      </c>
    </row>
    <row r="756" customFormat="false" ht="15" hidden="false" customHeight="false" outlineLevel="0" collapsed="false">
      <c r="A756" s="1" t="n">
        <f aca="false">IF(A755="","",IF(INT((C755+1)/12)+Inputs!$B$7&gt;MAX(MORTALITY!$A:$A),"",Inputs!$B$4))</f>
        <v>34</v>
      </c>
      <c r="B756" s="3" t="n">
        <f aca="false">IF(A756="","",EOMONTH(B755,1))</f>
        <v>44681</v>
      </c>
      <c r="C756" s="1" t="n">
        <f aca="false">IF(A756="","",C755+1)</f>
        <v>754</v>
      </c>
      <c r="D756" s="1" t="n">
        <f aca="false">IF(A756="","",INT(C756/12))</f>
        <v>62</v>
      </c>
      <c r="E756" s="1" t="n">
        <f aca="false">IF(A756="","",D756+Inputs!$B$7)</f>
        <v>78</v>
      </c>
      <c r="F756" s="3" t="n">
        <f aca="false">IF(A756="","",DATE(YEAR(B$2)+D756,MONTH(B$2),DAY(B$2)))</f>
        <v>44352</v>
      </c>
      <c r="G756" s="3" t="n">
        <f aca="false">IF(A756="","",DATE(YEAR(F756)+1,MONTH(F756),DAY(F756)))</f>
        <v>44717</v>
      </c>
      <c r="H756" s="10" t="n">
        <f aca="false">IF(A756="","",IF(G756&gt;F756,(B756-F756)/(G756-F756),0))</f>
        <v>0.901369863013699</v>
      </c>
      <c r="I756" s="10" t="n">
        <f aca="false">IF(A756="","",IFERROR(INDEX(CV_RATES!$I:$I,MATCH(D756,CV_RATES!$C:$C,0)),0))</f>
        <v>862.18827311941</v>
      </c>
      <c r="J756" s="10" t="n">
        <f aca="false">IF(A756="","",IFERROR(IF(E756=MAX(MORTALITY!$A:$A),1000,INDEX(CV_RATES!$J:$J,MATCH(D756,CV_RATES!$C:$C,0))),0))</f>
        <v>868.992889360493</v>
      </c>
      <c r="K756" s="10" t="n">
        <f aca="false">IF(A756="","",IFERROR(I756+H756*(J756-I756),0))</f>
        <v>868.321749128496</v>
      </c>
      <c r="L756" s="10" t="n">
        <f aca="false">IF(A756="","",IFERROR(K756*Inputs!$B$9,0))</f>
        <v>43416.0874564248</v>
      </c>
      <c r="M756" s="10" t="n">
        <f aca="false">IF(A756="","",IFERROR(K756*Inputs!$B$10,0))</f>
        <v>138928.874895312</v>
      </c>
      <c r="N756" s="10" t="n">
        <f aca="false">IF(A756="","",Z755)</f>
        <v>0</v>
      </c>
      <c r="O756" s="6" t="n">
        <f aca="false">IF(A756="","",Inputs!$B$18+N756)</f>
        <v>50000</v>
      </c>
      <c r="P756" s="5" t="n">
        <f aca="false">IF(A756="","",VLOOKUP(D756,DIvidend_Assumption!$A$3:$CX$103,($E$2+2),0)/12)</f>
        <v>0</v>
      </c>
      <c r="Q756" s="10" t="n">
        <f aca="false">IF(A756="","",IFERROR(AB755*P756,""))</f>
        <v>0</v>
      </c>
      <c r="R756" s="10" t="n">
        <f aca="false">IF(A756="","",IFERROR(IF(Inputs!$B$22="Accumulate",T756+Q756,IF(Inputs!$B$22="Premium Offset",MAX(0,T756+Q756-Inputs!$B$25),T756)),""))</f>
        <v>0</v>
      </c>
      <c r="S756" s="10" t="n">
        <f aca="false">IF(A756="","",R755)</f>
        <v>0</v>
      </c>
      <c r="T756" s="10" t="n">
        <f aca="false">IF(A756="","",IFERROR(S756*(1+Inputs!$B$23/12),""))</f>
        <v>0</v>
      </c>
      <c r="U756" s="6" t="n">
        <f aca="false">IF(A756="","",IF(D756&lt;=Inputs!$B$8,IF(Inputs!$B$22="Premium Offset",MAX(0,Inputs!$B$25-(Q756+T756)),Inputs!$B$25),0))</f>
        <v>0</v>
      </c>
      <c r="V756" s="10" t="n">
        <f aca="false">IF(A756="","",IF(Inputs!$B$22="Cash",Q756,0))</f>
        <v>0</v>
      </c>
      <c r="W756" s="10" t="n">
        <f aca="false">IF(A756="","",IF(Inputs!$B$22="PUA",Q756,0))</f>
        <v>0</v>
      </c>
      <c r="X756" s="12" t="n">
        <f aca="false">IF(A756="","",IFERROR(INDEX(PUA_TABLE!$D$4:$D$105,MATCH(E756,PUA_TABLE!$C$4:$C$105,1)),0))</f>
        <v>0.86218827311941</v>
      </c>
      <c r="Y756" s="10" t="n">
        <f aca="false">IF(A756="","",IF(W756&gt;0,IF(X756&gt;0,W756/X756,0),0))</f>
        <v>0</v>
      </c>
      <c r="Z756" s="10" t="n">
        <f aca="false">IF(A756="","",N756+Y756)</f>
        <v>0</v>
      </c>
      <c r="AA756" s="10" t="n">
        <f aca="false">IF(A756="","",IFERROR(Z756*INDEX(PUA_TABLE!$I$4:$I$105,MATCH(E756,PUA_TABLE!$C$4:$C$105,1))/1000,0))</f>
        <v>0</v>
      </c>
      <c r="AB756" s="10" t="n">
        <f aca="false">IF(A756="","",IFERROR(L756+AA756,0))</f>
        <v>43416.0874564248</v>
      </c>
      <c r="AC756" s="10" t="n">
        <f aca="false">IF(A756="","",IF(Inputs!$B$22="Premium Offset",MIN(Inputs!$B$25,Q756+T756),0))</f>
        <v>0</v>
      </c>
    </row>
    <row r="757" customFormat="false" ht="15" hidden="false" customHeight="false" outlineLevel="0" collapsed="false">
      <c r="A757" s="1" t="n">
        <f aca="false">IF(A756="","",IF(INT((C756+1)/12)+Inputs!$B$7&gt;MAX(MORTALITY!$A:$A),"",Inputs!$B$4))</f>
        <v>34</v>
      </c>
      <c r="B757" s="3" t="n">
        <f aca="false">IF(A757="","",EOMONTH(B756,1))</f>
        <v>44712</v>
      </c>
      <c r="C757" s="1" t="n">
        <f aca="false">IF(A757="","",C756+1)</f>
        <v>755</v>
      </c>
      <c r="D757" s="1" t="n">
        <f aca="false">IF(A757="","",INT(C757/12))</f>
        <v>62</v>
      </c>
      <c r="E757" s="1" t="n">
        <f aca="false">IF(A757="","",D757+Inputs!$B$7)</f>
        <v>78</v>
      </c>
      <c r="F757" s="3" t="n">
        <f aca="false">IF(A757="","",DATE(YEAR(B$2)+D757,MONTH(B$2),DAY(B$2)))</f>
        <v>44352</v>
      </c>
      <c r="G757" s="3" t="n">
        <f aca="false">IF(A757="","",DATE(YEAR(F757)+1,MONTH(F757),DAY(F757)))</f>
        <v>44717</v>
      </c>
      <c r="H757" s="10" t="n">
        <f aca="false">IF(A757="","",IF(G757&gt;F757,(B757-F757)/(G757-F757),0))</f>
        <v>0.986301369863014</v>
      </c>
      <c r="I757" s="10" t="n">
        <f aca="false">IF(A757="","",IFERROR(INDEX(CV_RATES!$I:$I,MATCH(D757,CV_RATES!$C:$C,0)),0))</f>
        <v>862.18827311941</v>
      </c>
      <c r="J757" s="10" t="n">
        <f aca="false">IF(A757="","",IFERROR(IF(E757=MAX(MORTALITY!$A:$A),1000,INDEX(CV_RATES!$J:$J,MATCH(D757,CV_RATES!$C:$C,0))),0))</f>
        <v>868.992889360493</v>
      </c>
      <c r="K757" s="10" t="n">
        <f aca="false">IF(A757="","",IFERROR(I757+H757*(J757-I757),0))</f>
        <v>868.899675439382</v>
      </c>
      <c r="L757" s="10" t="n">
        <f aca="false">IF(A757="","",IFERROR(K757*Inputs!$B$9,0))</f>
        <v>43444.9837719691</v>
      </c>
      <c r="M757" s="10" t="n">
        <f aca="false">IF(A757="","",IFERROR(K757*Inputs!$B$10,0))</f>
        <v>139021.341371275</v>
      </c>
      <c r="N757" s="10" t="n">
        <f aca="false">IF(A757="","",Z756)</f>
        <v>0</v>
      </c>
      <c r="O757" s="6" t="n">
        <f aca="false">IF(A757="","",Inputs!$B$18+N757)</f>
        <v>50000</v>
      </c>
      <c r="P757" s="5" t="n">
        <f aca="false">IF(A757="","",VLOOKUP(D757,DIvidend_Assumption!$A$3:$CX$103,($E$2+2),0)/12)</f>
        <v>0</v>
      </c>
      <c r="Q757" s="10" t="n">
        <f aca="false">IF(A757="","",IFERROR(AB756*P757,""))</f>
        <v>0</v>
      </c>
      <c r="R757" s="10" t="n">
        <f aca="false">IF(A757="","",IFERROR(IF(Inputs!$B$22="Accumulate",T757+Q757,IF(Inputs!$B$22="Premium Offset",MAX(0,T757+Q757-Inputs!$B$25),T757)),""))</f>
        <v>0</v>
      </c>
      <c r="S757" s="10" t="n">
        <f aca="false">IF(A757="","",R756)</f>
        <v>0</v>
      </c>
      <c r="T757" s="10" t="n">
        <f aca="false">IF(A757="","",IFERROR(S757*(1+Inputs!$B$23/12),""))</f>
        <v>0</v>
      </c>
      <c r="U757" s="6" t="n">
        <f aca="false">IF(A757="","",IF(D757&lt;=Inputs!$B$8,IF(Inputs!$B$22="Premium Offset",MAX(0,Inputs!$B$25-(Q757+T757)),Inputs!$B$25),0))</f>
        <v>0</v>
      </c>
      <c r="V757" s="10" t="n">
        <f aca="false">IF(A757="","",IF(Inputs!$B$22="Cash",Q757,0))</f>
        <v>0</v>
      </c>
      <c r="W757" s="10" t="n">
        <f aca="false">IF(A757="","",IF(Inputs!$B$22="PUA",Q757,0))</f>
        <v>0</v>
      </c>
      <c r="X757" s="12" t="n">
        <f aca="false">IF(A757="","",IFERROR(INDEX(PUA_TABLE!$D$4:$D$105,MATCH(E757,PUA_TABLE!$C$4:$C$105,1)),0))</f>
        <v>0.86218827311941</v>
      </c>
      <c r="Y757" s="10" t="n">
        <f aca="false">IF(A757="","",IF(W757&gt;0,IF(X757&gt;0,W757/X757,0),0))</f>
        <v>0</v>
      </c>
      <c r="Z757" s="10" t="n">
        <f aca="false">IF(A757="","",N757+Y757)</f>
        <v>0</v>
      </c>
      <c r="AA757" s="10" t="n">
        <f aca="false">IF(A757="","",IFERROR(Z757*INDEX(PUA_TABLE!$I$4:$I$105,MATCH(E757,PUA_TABLE!$C$4:$C$105,1))/1000,0))</f>
        <v>0</v>
      </c>
      <c r="AB757" s="10" t="n">
        <f aca="false">IF(A757="","",IFERROR(L757+AA757,0))</f>
        <v>43444.9837719691</v>
      </c>
      <c r="AC757" s="10" t="n">
        <f aca="false">IF(A757="","",IF(Inputs!$B$22="Premium Offset",MIN(Inputs!$B$25,Q757+T757),0))</f>
        <v>0</v>
      </c>
    </row>
    <row r="758" customFormat="false" ht="15" hidden="false" customHeight="false" outlineLevel="0" collapsed="false">
      <c r="A758" s="1" t="n">
        <f aca="false">IF(A757="","",IF(INT((C757+1)/12)+Inputs!$B$7&gt;MAX(MORTALITY!$A:$A),"",Inputs!$B$4))</f>
        <v>34</v>
      </c>
      <c r="B758" s="3" t="n">
        <f aca="false">IF(A758="","",EOMONTH(B757,1))</f>
        <v>44742</v>
      </c>
      <c r="C758" s="1" t="n">
        <f aca="false">IF(A758="","",C757+1)</f>
        <v>756</v>
      </c>
      <c r="D758" s="1" t="n">
        <f aca="false">IF(A758="","",INT(C758/12))</f>
        <v>63</v>
      </c>
      <c r="E758" s="1" t="n">
        <f aca="false">IF(A758="","",D758+Inputs!$B$7)</f>
        <v>79</v>
      </c>
      <c r="F758" s="3" t="n">
        <f aca="false">IF(A758="","",DATE(YEAR(B$2)+D758,MONTH(B$2),DAY(B$2)))</f>
        <v>44717</v>
      </c>
      <c r="G758" s="3" t="n">
        <f aca="false">IF(A758="","",DATE(YEAR(F758)+1,MONTH(F758),DAY(F758)))</f>
        <v>45082</v>
      </c>
      <c r="H758" s="10" t="n">
        <f aca="false">IF(A758="","",IF(G758&gt;F758,(B758-F758)/(G758-F758),0))</f>
        <v>0.0684931506849315</v>
      </c>
      <c r="I758" s="10" t="n">
        <f aca="false">IF(A758="","",IFERROR(INDEX(CV_RATES!$I:$I,MATCH(D758,CV_RATES!$C:$C,0)),0))</f>
        <v>868.992889360493</v>
      </c>
      <c r="J758" s="10" t="n">
        <f aca="false">IF(A758="","",IFERROR(IF(E758=MAX(MORTALITY!$A:$A),1000,INDEX(CV_RATES!$J:$J,MATCH(D758,CV_RATES!$C:$C,0))),0))</f>
        <v>875.552544690488</v>
      </c>
      <c r="K758" s="10" t="n">
        <f aca="false">IF(A758="","",IFERROR(I758+H758*(J758-I758),0))</f>
        <v>869.442180821451</v>
      </c>
      <c r="L758" s="10" t="n">
        <f aca="false">IF(A758="","",IFERROR(K758*Inputs!$B$9,0))</f>
        <v>43472.1090410726</v>
      </c>
      <c r="M758" s="10" t="n">
        <f aca="false">IF(A758="","",IFERROR(K758*Inputs!$B$10,0))</f>
        <v>139108.14060489</v>
      </c>
      <c r="N758" s="10" t="n">
        <f aca="false">IF(A758="","",Z757)</f>
        <v>0</v>
      </c>
      <c r="O758" s="6" t="n">
        <f aca="false">IF(A758="","",Inputs!$B$18+N758)</f>
        <v>50000</v>
      </c>
      <c r="P758" s="5" t="n">
        <f aca="false">IF(A758="","",VLOOKUP(D758,DIvidend_Assumption!$A$3:$CX$103,($E$2+2),0)/12)</f>
        <v>0</v>
      </c>
      <c r="Q758" s="10" t="n">
        <f aca="false">IF(A758="","",IFERROR(AB757*P758,""))</f>
        <v>0</v>
      </c>
      <c r="R758" s="10" t="n">
        <f aca="false">IF(A758="","",IFERROR(IF(Inputs!$B$22="Accumulate",T758+Q758,IF(Inputs!$B$22="Premium Offset",MAX(0,T758+Q758-Inputs!$B$25),T758)),""))</f>
        <v>0</v>
      </c>
      <c r="S758" s="10" t="n">
        <f aca="false">IF(A758="","",R757)</f>
        <v>0</v>
      </c>
      <c r="T758" s="10" t="n">
        <f aca="false">IF(A758="","",IFERROR(S758*(1+Inputs!$B$23/12),""))</f>
        <v>0</v>
      </c>
      <c r="U758" s="6" t="n">
        <f aca="false">IF(A758="","",IF(D758&lt;=Inputs!$B$8,IF(Inputs!$B$22="Premium Offset",MAX(0,Inputs!$B$25-(Q758+T758)),Inputs!$B$25),0))</f>
        <v>0</v>
      </c>
      <c r="V758" s="10" t="n">
        <f aca="false">IF(A758="","",IF(Inputs!$B$22="Cash",Q758,0))</f>
        <v>0</v>
      </c>
      <c r="W758" s="10" t="n">
        <f aca="false">IF(A758="","",IF(Inputs!$B$22="PUA",Q758,0))</f>
        <v>0</v>
      </c>
      <c r="X758" s="12" t="n">
        <f aca="false">IF(A758="","",IFERROR(INDEX(PUA_TABLE!$D$4:$D$105,MATCH(E758,PUA_TABLE!$C$4:$C$105,1)),0))</f>
        <v>0.868992889360493</v>
      </c>
      <c r="Y758" s="10" t="n">
        <f aca="false">IF(A758="","",IF(W758&gt;0,IF(X758&gt;0,W758/X758,0),0))</f>
        <v>0</v>
      </c>
      <c r="Z758" s="10" t="n">
        <f aca="false">IF(A758="","",N758+Y758)</f>
        <v>0</v>
      </c>
      <c r="AA758" s="10" t="n">
        <f aca="false">IF(A758="","",IFERROR(Z758*INDEX(PUA_TABLE!$I$4:$I$105,MATCH(E758,PUA_TABLE!$C$4:$C$105,1))/1000,0))</f>
        <v>0</v>
      </c>
      <c r="AB758" s="10" t="n">
        <f aca="false">IF(A758="","",IFERROR(L758+AA758,0))</f>
        <v>43472.1090410726</v>
      </c>
      <c r="AC758" s="10" t="n">
        <f aca="false">IF(A758="","",IF(Inputs!$B$22="Premium Offset",MIN(Inputs!$B$25,Q758+T758),0))</f>
        <v>0</v>
      </c>
    </row>
    <row r="759" customFormat="false" ht="15" hidden="false" customHeight="false" outlineLevel="0" collapsed="false">
      <c r="A759" s="1" t="n">
        <f aca="false">IF(A758="","",IF(INT((C758+1)/12)+Inputs!$B$7&gt;MAX(MORTALITY!$A:$A),"",Inputs!$B$4))</f>
        <v>34</v>
      </c>
      <c r="B759" s="3" t="n">
        <f aca="false">IF(A759="","",EOMONTH(B758,1))</f>
        <v>44773</v>
      </c>
      <c r="C759" s="1" t="n">
        <f aca="false">IF(A759="","",C758+1)</f>
        <v>757</v>
      </c>
      <c r="D759" s="1" t="n">
        <f aca="false">IF(A759="","",INT(C759/12))</f>
        <v>63</v>
      </c>
      <c r="E759" s="1" t="n">
        <f aca="false">IF(A759="","",D759+Inputs!$B$7)</f>
        <v>79</v>
      </c>
      <c r="F759" s="3" t="n">
        <f aca="false">IF(A759="","",DATE(YEAR(B$2)+D759,MONTH(B$2),DAY(B$2)))</f>
        <v>44717</v>
      </c>
      <c r="G759" s="3" t="n">
        <f aca="false">IF(A759="","",DATE(YEAR(F759)+1,MONTH(F759),DAY(F759)))</f>
        <v>45082</v>
      </c>
      <c r="H759" s="10" t="n">
        <f aca="false">IF(A759="","",IF(G759&gt;F759,(B759-F759)/(G759-F759),0))</f>
        <v>0.153424657534247</v>
      </c>
      <c r="I759" s="10" t="n">
        <f aca="false">IF(A759="","",IFERROR(INDEX(CV_RATES!$I:$I,MATCH(D759,CV_RATES!$C:$C,0)),0))</f>
        <v>868.992889360493</v>
      </c>
      <c r="J759" s="10" t="n">
        <f aca="false">IF(A759="","",IFERROR(IF(E759=MAX(MORTALITY!$A:$A),1000,INDEX(CV_RATES!$J:$J,MATCH(D759,CV_RATES!$C:$C,0))),0))</f>
        <v>875.552544690488</v>
      </c>
      <c r="K759" s="10" t="n">
        <f aca="false">IF(A759="","",IFERROR(I759+H759*(J759-I759),0))</f>
        <v>869.99930223304</v>
      </c>
      <c r="L759" s="10" t="n">
        <f aca="false">IF(A759="","",IFERROR(K759*Inputs!$B$9,0))</f>
        <v>43499.965111652</v>
      </c>
      <c r="M759" s="10" t="n">
        <f aca="false">IF(A759="","",IFERROR(K759*Inputs!$B$10,0))</f>
        <v>139197.27835938</v>
      </c>
      <c r="N759" s="10" t="n">
        <f aca="false">IF(A759="","",Z758)</f>
        <v>0</v>
      </c>
      <c r="O759" s="6" t="n">
        <f aca="false">IF(A759="","",Inputs!$B$18+N759)</f>
        <v>50000</v>
      </c>
      <c r="P759" s="5" t="n">
        <f aca="false">IF(A759="","",VLOOKUP(D759,DIvidend_Assumption!$A$3:$CX$103,($E$2+2),0)/12)</f>
        <v>0</v>
      </c>
      <c r="Q759" s="10" t="n">
        <f aca="false">IF(A759="","",IFERROR(AB758*P759,""))</f>
        <v>0</v>
      </c>
      <c r="R759" s="10" t="n">
        <f aca="false">IF(A759="","",IFERROR(IF(Inputs!$B$22="Accumulate",T759+Q759,IF(Inputs!$B$22="Premium Offset",MAX(0,T759+Q759-Inputs!$B$25),T759)),""))</f>
        <v>0</v>
      </c>
      <c r="S759" s="10" t="n">
        <f aca="false">IF(A759="","",R758)</f>
        <v>0</v>
      </c>
      <c r="T759" s="10" t="n">
        <f aca="false">IF(A759="","",IFERROR(S759*(1+Inputs!$B$23/12),""))</f>
        <v>0</v>
      </c>
      <c r="U759" s="6" t="n">
        <f aca="false">IF(A759="","",IF(D759&lt;=Inputs!$B$8,IF(Inputs!$B$22="Premium Offset",MAX(0,Inputs!$B$25-(Q759+T759)),Inputs!$B$25),0))</f>
        <v>0</v>
      </c>
      <c r="V759" s="10" t="n">
        <f aca="false">IF(A759="","",IF(Inputs!$B$22="Cash",Q759,0))</f>
        <v>0</v>
      </c>
      <c r="W759" s="10" t="n">
        <f aca="false">IF(A759="","",IF(Inputs!$B$22="PUA",Q759,0))</f>
        <v>0</v>
      </c>
      <c r="X759" s="12" t="n">
        <f aca="false">IF(A759="","",IFERROR(INDEX(PUA_TABLE!$D$4:$D$105,MATCH(E759,PUA_TABLE!$C$4:$C$105,1)),0))</f>
        <v>0.868992889360493</v>
      </c>
      <c r="Y759" s="10" t="n">
        <f aca="false">IF(A759="","",IF(W759&gt;0,IF(X759&gt;0,W759/X759,0),0))</f>
        <v>0</v>
      </c>
      <c r="Z759" s="10" t="n">
        <f aca="false">IF(A759="","",N759+Y759)</f>
        <v>0</v>
      </c>
      <c r="AA759" s="10" t="n">
        <f aca="false">IF(A759="","",IFERROR(Z759*INDEX(PUA_TABLE!$I$4:$I$105,MATCH(E759,PUA_TABLE!$C$4:$C$105,1))/1000,0))</f>
        <v>0</v>
      </c>
      <c r="AB759" s="10" t="n">
        <f aca="false">IF(A759="","",IFERROR(L759+AA759,0))</f>
        <v>43499.965111652</v>
      </c>
      <c r="AC759" s="10" t="n">
        <f aca="false">IF(A759="","",IF(Inputs!$B$22="Premium Offset",MIN(Inputs!$B$25,Q759+T759),0))</f>
        <v>0</v>
      </c>
    </row>
    <row r="760" customFormat="false" ht="15" hidden="false" customHeight="false" outlineLevel="0" collapsed="false">
      <c r="A760" s="1" t="n">
        <f aca="false">IF(A759="","",IF(INT((C759+1)/12)+Inputs!$B$7&gt;MAX(MORTALITY!$A:$A),"",Inputs!$B$4))</f>
        <v>34</v>
      </c>
      <c r="B760" s="3" t="n">
        <f aca="false">IF(A760="","",EOMONTH(B759,1))</f>
        <v>44804</v>
      </c>
      <c r="C760" s="1" t="n">
        <f aca="false">IF(A760="","",C759+1)</f>
        <v>758</v>
      </c>
      <c r="D760" s="1" t="n">
        <f aca="false">IF(A760="","",INT(C760/12))</f>
        <v>63</v>
      </c>
      <c r="E760" s="1" t="n">
        <f aca="false">IF(A760="","",D760+Inputs!$B$7)</f>
        <v>79</v>
      </c>
      <c r="F760" s="3" t="n">
        <f aca="false">IF(A760="","",DATE(YEAR(B$2)+D760,MONTH(B$2),DAY(B$2)))</f>
        <v>44717</v>
      </c>
      <c r="G760" s="3" t="n">
        <f aca="false">IF(A760="","",DATE(YEAR(F760)+1,MONTH(F760),DAY(F760)))</f>
        <v>45082</v>
      </c>
      <c r="H760" s="10" t="n">
        <f aca="false">IF(A760="","",IF(G760&gt;F760,(B760-F760)/(G760-F760),0))</f>
        <v>0.238356164383562</v>
      </c>
      <c r="I760" s="10" t="n">
        <f aca="false">IF(A760="","",IFERROR(INDEX(CV_RATES!$I:$I,MATCH(D760,CV_RATES!$C:$C,0)),0))</f>
        <v>868.992889360493</v>
      </c>
      <c r="J760" s="10" t="n">
        <f aca="false">IF(A760="","",IFERROR(IF(E760=MAX(MORTALITY!$A:$A),1000,INDEX(CV_RATES!$J:$J,MATCH(D760,CV_RATES!$C:$C,0))),0))</f>
        <v>875.552544690488</v>
      </c>
      <c r="K760" s="10" t="n">
        <f aca="false">IF(A760="","",IFERROR(I760+H760*(J760-I760),0))</f>
        <v>870.556423644629</v>
      </c>
      <c r="L760" s="10" t="n">
        <f aca="false">IF(A760="","",IFERROR(K760*Inputs!$B$9,0))</f>
        <v>43527.8211822314</v>
      </c>
      <c r="M760" s="10" t="n">
        <f aca="false">IF(A760="","",IFERROR(K760*Inputs!$B$10,0))</f>
        <v>139286.41611387</v>
      </c>
      <c r="N760" s="10" t="n">
        <f aca="false">IF(A760="","",Z759)</f>
        <v>0</v>
      </c>
      <c r="O760" s="6" t="n">
        <f aca="false">IF(A760="","",Inputs!$B$18+N760)</f>
        <v>50000</v>
      </c>
      <c r="P760" s="5" t="n">
        <f aca="false">IF(A760="","",VLOOKUP(D760,DIvidend_Assumption!$A$3:$CX$103,($E$2+2),0)/12)</f>
        <v>0</v>
      </c>
      <c r="Q760" s="10" t="n">
        <f aca="false">IF(A760="","",IFERROR(AB759*P760,""))</f>
        <v>0</v>
      </c>
      <c r="R760" s="10" t="n">
        <f aca="false">IF(A760="","",IFERROR(IF(Inputs!$B$22="Accumulate",T760+Q760,IF(Inputs!$B$22="Premium Offset",MAX(0,T760+Q760-Inputs!$B$25),T760)),""))</f>
        <v>0</v>
      </c>
      <c r="S760" s="10" t="n">
        <f aca="false">IF(A760="","",R759)</f>
        <v>0</v>
      </c>
      <c r="T760" s="10" t="n">
        <f aca="false">IF(A760="","",IFERROR(S760*(1+Inputs!$B$23/12),""))</f>
        <v>0</v>
      </c>
      <c r="U760" s="6" t="n">
        <f aca="false">IF(A760="","",IF(D760&lt;=Inputs!$B$8,IF(Inputs!$B$22="Premium Offset",MAX(0,Inputs!$B$25-(Q760+T760)),Inputs!$B$25),0))</f>
        <v>0</v>
      </c>
      <c r="V760" s="10" t="n">
        <f aca="false">IF(A760="","",IF(Inputs!$B$22="Cash",Q760,0))</f>
        <v>0</v>
      </c>
      <c r="W760" s="10" t="n">
        <f aca="false">IF(A760="","",IF(Inputs!$B$22="PUA",Q760,0))</f>
        <v>0</v>
      </c>
      <c r="X760" s="12" t="n">
        <f aca="false">IF(A760="","",IFERROR(INDEX(PUA_TABLE!$D$4:$D$105,MATCH(E760,PUA_TABLE!$C$4:$C$105,1)),0))</f>
        <v>0.868992889360493</v>
      </c>
      <c r="Y760" s="10" t="n">
        <f aca="false">IF(A760="","",IF(W760&gt;0,IF(X760&gt;0,W760/X760,0),0))</f>
        <v>0</v>
      </c>
      <c r="Z760" s="10" t="n">
        <f aca="false">IF(A760="","",N760+Y760)</f>
        <v>0</v>
      </c>
      <c r="AA760" s="10" t="n">
        <f aca="false">IF(A760="","",IFERROR(Z760*INDEX(PUA_TABLE!$I$4:$I$105,MATCH(E760,PUA_TABLE!$C$4:$C$105,1))/1000,0))</f>
        <v>0</v>
      </c>
      <c r="AB760" s="10" t="n">
        <f aca="false">IF(A760="","",IFERROR(L760+AA760,0))</f>
        <v>43527.8211822314</v>
      </c>
      <c r="AC760" s="10" t="n">
        <f aca="false">IF(A760="","",IF(Inputs!$B$22="Premium Offset",MIN(Inputs!$B$25,Q760+T760),0))</f>
        <v>0</v>
      </c>
    </row>
    <row r="761" customFormat="false" ht="15" hidden="false" customHeight="false" outlineLevel="0" collapsed="false">
      <c r="A761" s="1" t="n">
        <f aca="false">IF(A760="","",IF(INT((C760+1)/12)+Inputs!$B$7&gt;MAX(MORTALITY!$A:$A),"",Inputs!$B$4))</f>
        <v>34</v>
      </c>
      <c r="B761" s="3" t="n">
        <f aca="false">IF(A761="","",EOMONTH(B760,1))</f>
        <v>44834</v>
      </c>
      <c r="C761" s="1" t="n">
        <f aca="false">IF(A761="","",C760+1)</f>
        <v>759</v>
      </c>
      <c r="D761" s="1" t="n">
        <f aca="false">IF(A761="","",INT(C761/12))</f>
        <v>63</v>
      </c>
      <c r="E761" s="1" t="n">
        <f aca="false">IF(A761="","",D761+Inputs!$B$7)</f>
        <v>79</v>
      </c>
      <c r="F761" s="3" t="n">
        <f aca="false">IF(A761="","",DATE(YEAR(B$2)+D761,MONTH(B$2),DAY(B$2)))</f>
        <v>44717</v>
      </c>
      <c r="G761" s="3" t="n">
        <f aca="false">IF(A761="","",DATE(YEAR(F761)+1,MONTH(F761),DAY(F761)))</f>
        <v>45082</v>
      </c>
      <c r="H761" s="10" t="n">
        <f aca="false">IF(A761="","",IF(G761&gt;F761,(B761-F761)/(G761-F761),0))</f>
        <v>0.320547945205479</v>
      </c>
      <c r="I761" s="10" t="n">
        <f aca="false">IF(A761="","",IFERROR(INDEX(CV_RATES!$I:$I,MATCH(D761,CV_RATES!$C:$C,0)),0))</f>
        <v>868.992889360493</v>
      </c>
      <c r="J761" s="10" t="n">
        <f aca="false">IF(A761="","",IFERROR(IF(E761=MAX(MORTALITY!$A:$A),1000,INDEX(CV_RATES!$J:$J,MATCH(D761,CV_RATES!$C:$C,0))),0))</f>
        <v>875.552544690488</v>
      </c>
      <c r="K761" s="10" t="n">
        <f aca="false">IF(A761="","",IFERROR(I761+H761*(J761-I761),0))</f>
        <v>871.095573397779</v>
      </c>
      <c r="L761" s="10" t="n">
        <f aca="false">IF(A761="","",IFERROR(K761*Inputs!$B$9,0))</f>
        <v>43554.7786698889</v>
      </c>
      <c r="M761" s="10" t="n">
        <f aca="false">IF(A761="","",IFERROR(K761*Inputs!$B$10,0))</f>
        <v>139372.678456924</v>
      </c>
      <c r="N761" s="10" t="n">
        <f aca="false">IF(A761="","",Z760)</f>
        <v>0</v>
      </c>
      <c r="O761" s="6" t="n">
        <f aca="false">IF(A761="","",Inputs!$B$18+N761)</f>
        <v>50000</v>
      </c>
      <c r="P761" s="5" t="n">
        <f aca="false">IF(A761="","",VLOOKUP(D761,DIvidend_Assumption!$A$3:$CX$103,($E$2+2),0)/12)</f>
        <v>0</v>
      </c>
      <c r="Q761" s="10" t="n">
        <f aca="false">IF(A761="","",IFERROR(AB760*P761,""))</f>
        <v>0</v>
      </c>
      <c r="R761" s="10" t="n">
        <f aca="false">IF(A761="","",IFERROR(IF(Inputs!$B$22="Accumulate",T761+Q761,IF(Inputs!$B$22="Premium Offset",MAX(0,T761+Q761-Inputs!$B$25),T761)),""))</f>
        <v>0</v>
      </c>
      <c r="S761" s="10" t="n">
        <f aca="false">IF(A761="","",R760)</f>
        <v>0</v>
      </c>
      <c r="T761" s="10" t="n">
        <f aca="false">IF(A761="","",IFERROR(S761*(1+Inputs!$B$23/12),""))</f>
        <v>0</v>
      </c>
      <c r="U761" s="6" t="n">
        <f aca="false">IF(A761="","",IF(D761&lt;=Inputs!$B$8,IF(Inputs!$B$22="Premium Offset",MAX(0,Inputs!$B$25-(Q761+T761)),Inputs!$B$25),0))</f>
        <v>0</v>
      </c>
      <c r="V761" s="10" t="n">
        <f aca="false">IF(A761="","",IF(Inputs!$B$22="Cash",Q761,0))</f>
        <v>0</v>
      </c>
      <c r="W761" s="10" t="n">
        <f aca="false">IF(A761="","",IF(Inputs!$B$22="PUA",Q761,0))</f>
        <v>0</v>
      </c>
      <c r="X761" s="12" t="n">
        <f aca="false">IF(A761="","",IFERROR(INDEX(PUA_TABLE!$D$4:$D$105,MATCH(E761,PUA_TABLE!$C$4:$C$105,1)),0))</f>
        <v>0.868992889360493</v>
      </c>
      <c r="Y761" s="10" t="n">
        <f aca="false">IF(A761="","",IF(W761&gt;0,IF(X761&gt;0,W761/X761,0),0))</f>
        <v>0</v>
      </c>
      <c r="Z761" s="10" t="n">
        <f aca="false">IF(A761="","",N761+Y761)</f>
        <v>0</v>
      </c>
      <c r="AA761" s="10" t="n">
        <f aca="false">IF(A761="","",IFERROR(Z761*INDEX(PUA_TABLE!$I$4:$I$105,MATCH(E761,PUA_TABLE!$C$4:$C$105,1))/1000,0))</f>
        <v>0</v>
      </c>
      <c r="AB761" s="10" t="n">
        <f aca="false">IF(A761="","",IFERROR(L761+AA761,0))</f>
        <v>43554.7786698889</v>
      </c>
      <c r="AC761" s="10" t="n">
        <f aca="false">IF(A761="","",IF(Inputs!$B$22="Premium Offset",MIN(Inputs!$B$25,Q761+T761),0))</f>
        <v>0</v>
      </c>
    </row>
    <row r="762" customFormat="false" ht="15" hidden="false" customHeight="false" outlineLevel="0" collapsed="false">
      <c r="A762" s="1" t="n">
        <f aca="false">IF(A761="","",IF(INT((C761+1)/12)+Inputs!$B$7&gt;MAX(MORTALITY!$A:$A),"",Inputs!$B$4))</f>
        <v>34</v>
      </c>
      <c r="B762" s="3" t="n">
        <f aca="false">IF(A762="","",EOMONTH(B761,1))</f>
        <v>44865</v>
      </c>
      <c r="C762" s="1" t="n">
        <f aca="false">IF(A762="","",C761+1)</f>
        <v>760</v>
      </c>
      <c r="D762" s="1" t="n">
        <f aca="false">IF(A762="","",INT(C762/12))</f>
        <v>63</v>
      </c>
      <c r="E762" s="1" t="n">
        <f aca="false">IF(A762="","",D762+Inputs!$B$7)</f>
        <v>79</v>
      </c>
      <c r="F762" s="3" t="n">
        <f aca="false">IF(A762="","",DATE(YEAR(B$2)+D762,MONTH(B$2),DAY(B$2)))</f>
        <v>44717</v>
      </c>
      <c r="G762" s="3" t="n">
        <f aca="false">IF(A762="","",DATE(YEAR(F762)+1,MONTH(F762),DAY(F762)))</f>
        <v>45082</v>
      </c>
      <c r="H762" s="10" t="n">
        <f aca="false">IF(A762="","",IF(G762&gt;F762,(B762-F762)/(G762-F762),0))</f>
        <v>0.405479452054795</v>
      </c>
      <c r="I762" s="10" t="n">
        <f aca="false">IF(A762="","",IFERROR(INDEX(CV_RATES!$I:$I,MATCH(D762,CV_RATES!$C:$C,0)),0))</f>
        <v>868.992889360493</v>
      </c>
      <c r="J762" s="10" t="n">
        <f aca="false">IF(A762="","",IFERROR(IF(E762=MAX(MORTALITY!$A:$A),1000,INDEX(CV_RATES!$J:$J,MATCH(D762,CV_RATES!$C:$C,0))),0))</f>
        <v>875.552544690488</v>
      </c>
      <c r="K762" s="10" t="n">
        <f aca="false">IF(A762="","",IFERROR(I762+H762*(J762-I762),0))</f>
        <v>871.652694809367</v>
      </c>
      <c r="L762" s="10" t="n">
        <f aca="false">IF(A762="","",IFERROR(K762*Inputs!$B$9,0))</f>
        <v>43582.6347404684</v>
      </c>
      <c r="M762" s="10" t="n">
        <f aca="false">IF(A762="","",IFERROR(K762*Inputs!$B$10,0))</f>
        <v>139461.816211414</v>
      </c>
      <c r="N762" s="10" t="n">
        <f aca="false">IF(A762="","",Z761)</f>
        <v>0</v>
      </c>
      <c r="O762" s="6" t="n">
        <f aca="false">IF(A762="","",Inputs!$B$18+N762)</f>
        <v>50000</v>
      </c>
      <c r="P762" s="5" t="n">
        <f aca="false">IF(A762="","",VLOOKUP(D762,DIvidend_Assumption!$A$3:$CX$103,($E$2+2),0)/12)</f>
        <v>0</v>
      </c>
      <c r="Q762" s="10" t="n">
        <f aca="false">IF(A762="","",IFERROR(AB761*P762,""))</f>
        <v>0</v>
      </c>
      <c r="R762" s="10" t="n">
        <f aca="false">IF(A762="","",IFERROR(IF(Inputs!$B$22="Accumulate",T762+Q762,IF(Inputs!$B$22="Premium Offset",MAX(0,T762+Q762-Inputs!$B$25),T762)),""))</f>
        <v>0</v>
      </c>
      <c r="S762" s="10" t="n">
        <f aca="false">IF(A762="","",R761)</f>
        <v>0</v>
      </c>
      <c r="T762" s="10" t="n">
        <f aca="false">IF(A762="","",IFERROR(S762*(1+Inputs!$B$23/12),""))</f>
        <v>0</v>
      </c>
      <c r="U762" s="6" t="n">
        <f aca="false">IF(A762="","",IF(D762&lt;=Inputs!$B$8,IF(Inputs!$B$22="Premium Offset",MAX(0,Inputs!$B$25-(Q762+T762)),Inputs!$B$25),0))</f>
        <v>0</v>
      </c>
      <c r="V762" s="10" t="n">
        <f aca="false">IF(A762="","",IF(Inputs!$B$22="Cash",Q762,0))</f>
        <v>0</v>
      </c>
      <c r="W762" s="10" t="n">
        <f aca="false">IF(A762="","",IF(Inputs!$B$22="PUA",Q762,0))</f>
        <v>0</v>
      </c>
      <c r="X762" s="12" t="n">
        <f aca="false">IF(A762="","",IFERROR(INDEX(PUA_TABLE!$D$4:$D$105,MATCH(E762,PUA_TABLE!$C$4:$C$105,1)),0))</f>
        <v>0.868992889360493</v>
      </c>
      <c r="Y762" s="10" t="n">
        <f aca="false">IF(A762="","",IF(W762&gt;0,IF(X762&gt;0,W762/X762,0),0))</f>
        <v>0</v>
      </c>
      <c r="Z762" s="10" t="n">
        <f aca="false">IF(A762="","",N762+Y762)</f>
        <v>0</v>
      </c>
      <c r="AA762" s="10" t="n">
        <f aca="false">IF(A762="","",IFERROR(Z762*INDEX(PUA_TABLE!$I$4:$I$105,MATCH(E762,PUA_TABLE!$C$4:$C$105,1))/1000,0))</f>
        <v>0</v>
      </c>
      <c r="AB762" s="10" t="n">
        <f aca="false">IF(A762="","",IFERROR(L762+AA762,0))</f>
        <v>43582.6347404684</v>
      </c>
      <c r="AC762" s="10" t="n">
        <f aca="false">IF(A762="","",IF(Inputs!$B$22="Premium Offset",MIN(Inputs!$B$25,Q762+T762),0))</f>
        <v>0</v>
      </c>
    </row>
    <row r="763" customFormat="false" ht="15" hidden="false" customHeight="false" outlineLevel="0" collapsed="false">
      <c r="A763" s="1" t="n">
        <f aca="false">IF(A762="","",IF(INT((C762+1)/12)+Inputs!$B$7&gt;MAX(MORTALITY!$A:$A),"",Inputs!$B$4))</f>
        <v>34</v>
      </c>
      <c r="B763" s="3" t="n">
        <f aca="false">IF(A763="","",EOMONTH(B762,1))</f>
        <v>44895</v>
      </c>
      <c r="C763" s="1" t="n">
        <f aca="false">IF(A763="","",C762+1)</f>
        <v>761</v>
      </c>
      <c r="D763" s="1" t="n">
        <f aca="false">IF(A763="","",INT(C763/12))</f>
        <v>63</v>
      </c>
      <c r="E763" s="1" t="n">
        <f aca="false">IF(A763="","",D763+Inputs!$B$7)</f>
        <v>79</v>
      </c>
      <c r="F763" s="3" t="n">
        <f aca="false">IF(A763="","",DATE(YEAR(B$2)+D763,MONTH(B$2),DAY(B$2)))</f>
        <v>44717</v>
      </c>
      <c r="G763" s="3" t="n">
        <f aca="false">IF(A763="","",DATE(YEAR(F763)+1,MONTH(F763),DAY(F763)))</f>
        <v>45082</v>
      </c>
      <c r="H763" s="10" t="n">
        <f aca="false">IF(A763="","",IF(G763&gt;F763,(B763-F763)/(G763-F763),0))</f>
        <v>0.487671232876712</v>
      </c>
      <c r="I763" s="10" t="n">
        <f aca="false">IF(A763="","",IFERROR(INDEX(CV_RATES!$I:$I,MATCH(D763,CV_RATES!$C:$C,0)),0))</f>
        <v>868.992889360493</v>
      </c>
      <c r="J763" s="10" t="n">
        <f aca="false">IF(A763="","",IFERROR(IF(E763=MAX(MORTALITY!$A:$A),1000,INDEX(CV_RATES!$J:$J,MATCH(D763,CV_RATES!$C:$C,0))),0))</f>
        <v>875.552544690488</v>
      </c>
      <c r="K763" s="10" t="n">
        <f aca="false">IF(A763="","",IFERROR(I763+H763*(J763-I763),0))</f>
        <v>872.191844562518</v>
      </c>
      <c r="L763" s="10" t="n">
        <f aca="false">IF(A763="","",IFERROR(K763*Inputs!$B$9,0))</f>
        <v>43609.5922281259</v>
      </c>
      <c r="M763" s="10" t="n">
        <f aca="false">IF(A763="","",IFERROR(K763*Inputs!$B$10,0))</f>
        <v>139548.078554469</v>
      </c>
      <c r="N763" s="10" t="n">
        <f aca="false">IF(A763="","",Z762)</f>
        <v>0</v>
      </c>
      <c r="O763" s="6" t="n">
        <f aca="false">IF(A763="","",Inputs!$B$18+N763)</f>
        <v>50000</v>
      </c>
      <c r="P763" s="5" t="n">
        <f aca="false">IF(A763="","",VLOOKUP(D763,DIvidend_Assumption!$A$3:$CX$103,($E$2+2),0)/12)</f>
        <v>0</v>
      </c>
      <c r="Q763" s="10" t="n">
        <f aca="false">IF(A763="","",IFERROR(AB762*P763,""))</f>
        <v>0</v>
      </c>
      <c r="R763" s="10" t="n">
        <f aca="false">IF(A763="","",IFERROR(IF(Inputs!$B$22="Accumulate",T763+Q763,IF(Inputs!$B$22="Premium Offset",MAX(0,T763+Q763-Inputs!$B$25),T763)),""))</f>
        <v>0</v>
      </c>
      <c r="S763" s="10" t="n">
        <f aca="false">IF(A763="","",R762)</f>
        <v>0</v>
      </c>
      <c r="T763" s="10" t="n">
        <f aca="false">IF(A763="","",IFERROR(S763*(1+Inputs!$B$23/12),""))</f>
        <v>0</v>
      </c>
      <c r="U763" s="6" t="n">
        <f aca="false">IF(A763="","",IF(D763&lt;=Inputs!$B$8,IF(Inputs!$B$22="Premium Offset",MAX(0,Inputs!$B$25-(Q763+T763)),Inputs!$B$25),0))</f>
        <v>0</v>
      </c>
      <c r="V763" s="10" t="n">
        <f aca="false">IF(A763="","",IF(Inputs!$B$22="Cash",Q763,0))</f>
        <v>0</v>
      </c>
      <c r="W763" s="10" t="n">
        <f aca="false">IF(A763="","",IF(Inputs!$B$22="PUA",Q763,0))</f>
        <v>0</v>
      </c>
      <c r="X763" s="12" t="n">
        <f aca="false">IF(A763="","",IFERROR(INDEX(PUA_TABLE!$D$4:$D$105,MATCH(E763,PUA_TABLE!$C$4:$C$105,1)),0))</f>
        <v>0.868992889360493</v>
      </c>
      <c r="Y763" s="10" t="n">
        <f aca="false">IF(A763="","",IF(W763&gt;0,IF(X763&gt;0,W763/X763,0),0))</f>
        <v>0</v>
      </c>
      <c r="Z763" s="10" t="n">
        <f aca="false">IF(A763="","",N763+Y763)</f>
        <v>0</v>
      </c>
      <c r="AA763" s="10" t="n">
        <f aca="false">IF(A763="","",IFERROR(Z763*INDEX(PUA_TABLE!$I$4:$I$105,MATCH(E763,PUA_TABLE!$C$4:$C$105,1))/1000,0))</f>
        <v>0</v>
      </c>
      <c r="AB763" s="10" t="n">
        <f aca="false">IF(A763="","",IFERROR(L763+AA763,0))</f>
        <v>43609.5922281259</v>
      </c>
      <c r="AC763" s="10" t="n">
        <f aca="false">IF(A763="","",IF(Inputs!$B$22="Premium Offset",MIN(Inputs!$B$25,Q763+T763),0))</f>
        <v>0</v>
      </c>
    </row>
    <row r="764" customFormat="false" ht="15" hidden="false" customHeight="false" outlineLevel="0" collapsed="false">
      <c r="A764" s="1" t="n">
        <f aca="false">IF(A763="","",IF(INT((C763+1)/12)+Inputs!$B$7&gt;MAX(MORTALITY!$A:$A),"",Inputs!$B$4))</f>
        <v>34</v>
      </c>
      <c r="B764" s="3" t="n">
        <f aca="false">IF(A764="","",EOMONTH(B763,1))</f>
        <v>44926</v>
      </c>
      <c r="C764" s="1" t="n">
        <f aca="false">IF(A764="","",C763+1)</f>
        <v>762</v>
      </c>
      <c r="D764" s="1" t="n">
        <f aca="false">IF(A764="","",INT(C764/12))</f>
        <v>63</v>
      </c>
      <c r="E764" s="1" t="n">
        <f aca="false">IF(A764="","",D764+Inputs!$B$7)</f>
        <v>79</v>
      </c>
      <c r="F764" s="3" t="n">
        <f aca="false">IF(A764="","",DATE(YEAR(B$2)+D764,MONTH(B$2),DAY(B$2)))</f>
        <v>44717</v>
      </c>
      <c r="G764" s="3" t="n">
        <f aca="false">IF(A764="","",DATE(YEAR(F764)+1,MONTH(F764),DAY(F764)))</f>
        <v>45082</v>
      </c>
      <c r="H764" s="10" t="n">
        <f aca="false">IF(A764="","",IF(G764&gt;F764,(B764-F764)/(G764-F764),0))</f>
        <v>0.572602739726027</v>
      </c>
      <c r="I764" s="10" t="n">
        <f aca="false">IF(A764="","",IFERROR(INDEX(CV_RATES!$I:$I,MATCH(D764,CV_RATES!$C:$C,0)),0))</f>
        <v>868.992889360493</v>
      </c>
      <c r="J764" s="10" t="n">
        <f aca="false">IF(A764="","",IFERROR(IF(E764=MAX(MORTALITY!$A:$A),1000,INDEX(CV_RATES!$J:$J,MATCH(D764,CV_RATES!$C:$C,0))),0))</f>
        <v>875.552544690488</v>
      </c>
      <c r="K764" s="10" t="n">
        <f aca="false">IF(A764="","",IFERROR(I764+H764*(J764-I764),0))</f>
        <v>872.748965974106</v>
      </c>
      <c r="L764" s="10" t="n">
        <f aca="false">IF(A764="","",IFERROR(K764*Inputs!$B$9,0))</f>
        <v>43637.4482987053</v>
      </c>
      <c r="M764" s="10" t="n">
        <f aca="false">IF(A764="","",IFERROR(K764*Inputs!$B$10,0))</f>
        <v>139637.216308959</v>
      </c>
      <c r="N764" s="10" t="n">
        <f aca="false">IF(A764="","",Z763)</f>
        <v>0</v>
      </c>
      <c r="O764" s="6" t="n">
        <f aca="false">IF(A764="","",Inputs!$B$18+N764)</f>
        <v>50000</v>
      </c>
      <c r="P764" s="5" t="n">
        <f aca="false">IF(A764="","",VLOOKUP(D764,DIvidend_Assumption!$A$3:$CX$103,($E$2+2),0)/12)</f>
        <v>0</v>
      </c>
      <c r="Q764" s="10" t="n">
        <f aca="false">IF(A764="","",IFERROR(AB763*P764,""))</f>
        <v>0</v>
      </c>
      <c r="R764" s="10" t="n">
        <f aca="false">IF(A764="","",IFERROR(IF(Inputs!$B$22="Accumulate",T764+Q764,IF(Inputs!$B$22="Premium Offset",MAX(0,T764+Q764-Inputs!$B$25),T764)),""))</f>
        <v>0</v>
      </c>
      <c r="S764" s="10" t="n">
        <f aca="false">IF(A764="","",R763)</f>
        <v>0</v>
      </c>
      <c r="T764" s="10" t="n">
        <f aca="false">IF(A764="","",IFERROR(S764*(1+Inputs!$B$23/12),""))</f>
        <v>0</v>
      </c>
      <c r="U764" s="6" t="n">
        <f aca="false">IF(A764="","",IF(D764&lt;=Inputs!$B$8,IF(Inputs!$B$22="Premium Offset",MAX(0,Inputs!$B$25-(Q764+T764)),Inputs!$B$25),0))</f>
        <v>0</v>
      </c>
      <c r="V764" s="10" t="n">
        <f aca="false">IF(A764="","",IF(Inputs!$B$22="Cash",Q764,0))</f>
        <v>0</v>
      </c>
      <c r="W764" s="10" t="n">
        <f aca="false">IF(A764="","",IF(Inputs!$B$22="PUA",Q764,0))</f>
        <v>0</v>
      </c>
      <c r="X764" s="12" t="n">
        <f aca="false">IF(A764="","",IFERROR(INDEX(PUA_TABLE!$D$4:$D$105,MATCH(E764,PUA_TABLE!$C$4:$C$105,1)),0))</f>
        <v>0.868992889360493</v>
      </c>
      <c r="Y764" s="10" t="n">
        <f aca="false">IF(A764="","",IF(W764&gt;0,IF(X764&gt;0,W764/X764,0),0))</f>
        <v>0</v>
      </c>
      <c r="Z764" s="10" t="n">
        <f aca="false">IF(A764="","",N764+Y764)</f>
        <v>0</v>
      </c>
      <c r="AA764" s="10" t="n">
        <f aca="false">IF(A764="","",IFERROR(Z764*INDEX(PUA_TABLE!$I$4:$I$105,MATCH(E764,PUA_TABLE!$C$4:$C$105,1))/1000,0))</f>
        <v>0</v>
      </c>
      <c r="AB764" s="10" t="n">
        <f aca="false">IF(A764="","",IFERROR(L764+AA764,0))</f>
        <v>43637.4482987053</v>
      </c>
      <c r="AC764" s="10" t="n">
        <f aca="false">IF(A764="","",IF(Inputs!$B$22="Premium Offset",MIN(Inputs!$B$25,Q764+T764),0))</f>
        <v>0</v>
      </c>
    </row>
    <row r="765" customFormat="false" ht="15" hidden="false" customHeight="false" outlineLevel="0" collapsed="false">
      <c r="A765" s="1" t="n">
        <f aca="false">IF(A764="","",IF(INT((C764+1)/12)+Inputs!$B$7&gt;MAX(MORTALITY!$A:$A),"",Inputs!$B$4))</f>
        <v>34</v>
      </c>
      <c r="B765" s="3" t="n">
        <f aca="false">IF(A765="","",EOMONTH(B764,1))</f>
        <v>44957</v>
      </c>
      <c r="C765" s="1" t="n">
        <f aca="false">IF(A765="","",C764+1)</f>
        <v>763</v>
      </c>
      <c r="D765" s="1" t="n">
        <f aca="false">IF(A765="","",INT(C765/12))</f>
        <v>63</v>
      </c>
      <c r="E765" s="1" t="n">
        <f aca="false">IF(A765="","",D765+Inputs!$B$7)</f>
        <v>79</v>
      </c>
      <c r="F765" s="3" t="n">
        <f aca="false">IF(A765="","",DATE(YEAR(B$2)+D765,MONTH(B$2),DAY(B$2)))</f>
        <v>44717</v>
      </c>
      <c r="G765" s="3" t="n">
        <f aca="false">IF(A765="","",DATE(YEAR(F765)+1,MONTH(F765),DAY(F765)))</f>
        <v>45082</v>
      </c>
      <c r="H765" s="10" t="n">
        <f aca="false">IF(A765="","",IF(G765&gt;F765,(B765-F765)/(G765-F765),0))</f>
        <v>0.657534246575342</v>
      </c>
      <c r="I765" s="10" t="n">
        <f aca="false">IF(A765="","",IFERROR(INDEX(CV_RATES!$I:$I,MATCH(D765,CV_RATES!$C:$C,0)),0))</f>
        <v>868.992889360493</v>
      </c>
      <c r="J765" s="10" t="n">
        <f aca="false">IF(A765="","",IFERROR(IF(E765=MAX(MORTALITY!$A:$A),1000,INDEX(CV_RATES!$J:$J,MATCH(D765,CV_RATES!$C:$C,0))),0))</f>
        <v>875.552544690488</v>
      </c>
      <c r="K765" s="10" t="n">
        <f aca="false">IF(A765="","",IFERROR(I765+H765*(J765-I765),0))</f>
        <v>873.306087385695</v>
      </c>
      <c r="L765" s="10" t="n">
        <f aca="false">IF(A765="","",IFERROR(K765*Inputs!$B$9,0))</f>
        <v>43665.3043692848</v>
      </c>
      <c r="M765" s="10" t="n">
        <f aca="false">IF(A765="","",IFERROR(K765*Inputs!$B$10,0))</f>
        <v>139726.354063449</v>
      </c>
      <c r="N765" s="10" t="n">
        <f aca="false">IF(A765="","",Z764)</f>
        <v>0</v>
      </c>
      <c r="O765" s="6" t="n">
        <f aca="false">IF(A765="","",Inputs!$B$18+N765)</f>
        <v>50000</v>
      </c>
      <c r="P765" s="5" t="n">
        <f aca="false">IF(A765="","",VLOOKUP(D765,DIvidend_Assumption!$A$3:$CX$103,($E$2+2),0)/12)</f>
        <v>0</v>
      </c>
      <c r="Q765" s="10" t="n">
        <f aca="false">IF(A765="","",IFERROR(AB764*P765,""))</f>
        <v>0</v>
      </c>
      <c r="R765" s="10" t="n">
        <f aca="false">IF(A765="","",IFERROR(IF(Inputs!$B$22="Accumulate",T765+Q765,IF(Inputs!$B$22="Premium Offset",MAX(0,T765+Q765-Inputs!$B$25),T765)),""))</f>
        <v>0</v>
      </c>
      <c r="S765" s="10" t="n">
        <f aca="false">IF(A765="","",R764)</f>
        <v>0</v>
      </c>
      <c r="T765" s="10" t="n">
        <f aca="false">IF(A765="","",IFERROR(S765*(1+Inputs!$B$23/12),""))</f>
        <v>0</v>
      </c>
      <c r="U765" s="6" t="n">
        <f aca="false">IF(A765="","",IF(D765&lt;=Inputs!$B$8,IF(Inputs!$B$22="Premium Offset",MAX(0,Inputs!$B$25-(Q765+T765)),Inputs!$B$25),0))</f>
        <v>0</v>
      </c>
      <c r="V765" s="10" t="n">
        <f aca="false">IF(A765="","",IF(Inputs!$B$22="Cash",Q765,0))</f>
        <v>0</v>
      </c>
      <c r="W765" s="10" t="n">
        <f aca="false">IF(A765="","",IF(Inputs!$B$22="PUA",Q765,0))</f>
        <v>0</v>
      </c>
      <c r="X765" s="12" t="n">
        <f aca="false">IF(A765="","",IFERROR(INDEX(PUA_TABLE!$D$4:$D$105,MATCH(E765,PUA_TABLE!$C$4:$C$105,1)),0))</f>
        <v>0.868992889360493</v>
      </c>
      <c r="Y765" s="10" t="n">
        <f aca="false">IF(A765="","",IF(W765&gt;0,IF(X765&gt;0,W765/X765,0),0))</f>
        <v>0</v>
      </c>
      <c r="Z765" s="10" t="n">
        <f aca="false">IF(A765="","",N765+Y765)</f>
        <v>0</v>
      </c>
      <c r="AA765" s="10" t="n">
        <f aca="false">IF(A765="","",IFERROR(Z765*INDEX(PUA_TABLE!$I$4:$I$105,MATCH(E765,PUA_TABLE!$C$4:$C$105,1))/1000,0))</f>
        <v>0</v>
      </c>
      <c r="AB765" s="10" t="n">
        <f aca="false">IF(A765="","",IFERROR(L765+AA765,0))</f>
        <v>43665.3043692848</v>
      </c>
      <c r="AC765" s="10" t="n">
        <f aca="false">IF(A765="","",IF(Inputs!$B$22="Premium Offset",MIN(Inputs!$B$25,Q765+T765),0))</f>
        <v>0</v>
      </c>
    </row>
    <row r="766" customFormat="false" ht="15" hidden="false" customHeight="false" outlineLevel="0" collapsed="false">
      <c r="A766" s="1" t="n">
        <f aca="false">IF(A765="","",IF(INT((C765+1)/12)+Inputs!$B$7&gt;MAX(MORTALITY!$A:$A),"",Inputs!$B$4))</f>
        <v>34</v>
      </c>
      <c r="B766" s="3" t="n">
        <f aca="false">IF(A766="","",EOMONTH(B765,1))</f>
        <v>44985</v>
      </c>
      <c r="C766" s="1" t="n">
        <f aca="false">IF(A766="","",C765+1)</f>
        <v>764</v>
      </c>
      <c r="D766" s="1" t="n">
        <f aca="false">IF(A766="","",INT(C766/12))</f>
        <v>63</v>
      </c>
      <c r="E766" s="1" t="n">
        <f aca="false">IF(A766="","",D766+Inputs!$B$7)</f>
        <v>79</v>
      </c>
      <c r="F766" s="3" t="n">
        <f aca="false">IF(A766="","",DATE(YEAR(B$2)+D766,MONTH(B$2),DAY(B$2)))</f>
        <v>44717</v>
      </c>
      <c r="G766" s="3" t="n">
        <f aca="false">IF(A766="","",DATE(YEAR(F766)+1,MONTH(F766),DAY(F766)))</f>
        <v>45082</v>
      </c>
      <c r="H766" s="10" t="n">
        <f aca="false">IF(A766="","",IF(G766&gt;F766,(B766-F766)/(G766-F766),0))</f>
        <v>0.734246575342466</v>
      </c>
      <c r="I766" s="10" t="n">
        <f aca="false">IF(A766="","",IFERROR(INDEX(CV_RATES!$I:$I,MATCH(D766,CV_RATES!$C:$C,0)),0))</f>
        <v>868.992889360493</v>
      </c>
      <c r="J766" s="10" t="n">
        <f aca="false">IF(A766="","",IFERROR(IF(E766=MAX(MORTALITY!$A:$A),1000,INDEX(CV_RATES!$J:$J,MATCH(D766,CV_RATES!$C:$C,0))),0))</f>
        <v>875.552544690488</v>
      </c>
      <c r="K766" s="10" t="n">
        <f aca="false">IF(A766="","",IFERROR(I766+H766*(J766-I766),0))</f>
        <v>873.809293821969</v>
      </c>
      <c r="L766" s="10" t="n">
        <f aca="false">IF(A766="","",IFERROR(K766*Inputs!$B$9,0))</f>
        <v>43690.4646910984</v>
      </c>
      <c r="M766" s="10" t="n">
        <f aca="false">IF(A766="","",IFERROR(K766*Inputs!$B$10,0))</f>
        <v>139806.865583634</v>
      </c>
      <c r="N766" s="10" t="n">
        <f aca="false">IF(A766="","",Z765)</f>
        <v>0</v>
      </c>
      <c r="O766" s="6" t="n">
        <f aca="false">IF(A766="","",Inputs!$B$18+N766)</f>
        <v>50000</v>
      </c>
      <c r="P766" s="5" t="n">
        <f aca="false">IF(A766="","",VLOOKUP(D766,DIvidend_Assumption!$A$3:$CX$103,($E$2+2),0)/12)</f>
        <v>0</v>
      </c>
      <c r="Q766" s="10" t="n">
        <f aca="false">IF(A766="","",IFERROR(AB765*P766,""))</f>
        <v>0</v>
      </c>
      <c r="R766" s="10" t="n">
        <f aca="false">IF(A766="","",IFERROR(IF(Inputs!$B$22="Accumulate",T766+Q766,IF(Inputs!$B$22="Premium Offset",MAX(0,T766+Q766-Inputs!$B$25),T766)),""))</f>
        <v>0</v>
      </c>
      <c r="S766" s="10" t="n">
        <f aca="false">IF(A766="","",R765)</f>
        <v>0</v>
      </c>
      <c r="T766" s="10" t="n">
        <f aca="false">IF(A766="","",IFERROR(S766*(1+Inputs!$B$23/12),""))</f>
        <v>0</v>
      </c>
      <c r="U766" s="6" t="n">
        <f aca="false">IF(A766="","",IF(D766&lt;=Inputs!$B$8,IF(Inputs!$B$22="Premium Offset",MAX(0,Inputs!$B$25-(Q766+T766)),Inputs!$B$25),0))</f>
        <v>0</v>
      </c>
      <c r="V766" s="10" t="n">
        <f aca="false">IF(A766="","",IF(Inputs!$B$22="Cash",Q766,0))</f>
        <v>0</v>
      </c>
      <c r="W766" s="10" t="n">
        <f aca="false">IF(A766="","",IF(Inputs!$B$22="PUA",Q766,0))</f>
        <v>0</v>
      </c>
      <c r="X766" s="12" t="n">
        <f aca="false">IF(A766="","",IFERROR(INDEX(PUA_TABLE!$D$4:$D$105,MATCH(E766,PUA_TABLE!$C$4:$C$105,1)),0))</f>
        <v>0.868992889360493</v>
      </c>
      <c r="Y766" s="10" t="n">
        <f aca="false">IF(A766="","",IF(W766&gt;0,IF(X766&gt;0,W766/X766,0),0))</f>
        <v>0</v>
      </c>
      <c r="Z766" s="10" t="n">
        <f aca="false">IF(A766="","",N766+Y766)</f>
        <v>0</v>
      </c>
      <c r="AA766" s="10" t="n">
        <f aca="false">IF(A766="","",IFERROR(Z766*INDEX(PUA_TABLE!$I$4:$I$105,MATCH(E766,PUA_TABLE!$C$4:$C$105,1))/1000,0))</f>
        <v>0</v>
      </c>
      <c r="AB766" s="10" t="n">
        <f aca="false">IF(A766="","",IFERROR(L766+AA766,0))</f>
        <v>43690.4646910984</v>
      </c>
      <c r="AC766" s="10" t="n">
        <f aca="false">IF(A766="","",IF(Inputs!$B$22="Premium Offset",MIN(Inputs!$B$25,Q766+T766),0))</f>
        <v>0</v>
      </c>
    </row>
    <row r="767" customFormat="false" ht="15" hidden="false" customHeight="false" outlineLevel="0" collapsed="false">
      <c r="A767" s="1" t="n">
        <f aca="false">IF(A766="","",IF(INT((C766+1)/12)+Inputs!$B$7&gt;MAX(MORTALITY!$A:$A),"",Inputs!$B$4))</f>
        <v>34</v>
      </c>
      <c r="B767" s="3" t="n">
        <f aca="false">IF(A767="","",EOMONTH(B766,1))</f>
        <v>45016</v>
      </c>
      <c r="C767" s="1" t="n">
        <f aca="false">IF(A767="","",C766+1)</f>
        <v>765</v>
      </c>
      <c r="D767" s="1" t="n">
        <f aca="false">IF(A767="","",INT(C767/12))</f>
        <v>63</v>
      </c>
      <c r="E767" s="1" t="n">
        <f aca="false">IF(A767="","",D767+Inputs!$B$7)</f>
        <v>79</v>
      </c>
      <c r="F767" s="3" t="n">
        <f aca="false">IF(A767="","",DATE(YEAR(B$2)+D767,MONTH(B$2),DAY(B$2)))</f>
        <v>44717</v>
      </c>
      <c r="G767" s="3" t="n">
        <f aca="false">IF(A767="","",DATE(YEAR(F767)+1,MONTH(F767),DAY(F767)))</f>
        <v>45082</v>
      </c>
      <c r="H767" s="10" t="n">
        <f aca="false">IF(A767="","",IF(G767&gt;F767,(B767-F767)/(G767-F767),0))</f>
        <v>0.819178082191781</v>
      </c>
      <c r="I767" s="10" t="n">
        <f aca="false">IF(A767="","",IFERROR(INDEX(CV_RATES!$I:$I,MATCH(D767,CV_RATES!$C:$C,0)),0))</f>
        <v>868.992889360493</v>
      </c>
      <c r="J767" s="10" t="n">
        <f aca="false">IF(A767="","",IFERROR(IF(E767=MAX(MORTALITY!$A:$A),1000,INDEX(CV_RATES!$J:$J,MATCH(D767,CV_RATES!$C:$C,0))),0))</f>
        <v>875.552544690488</v>
      </c>
      <c r="K767" s="10" t="n">
        <f aca="false">IF(A767="","",IFERROR(I767+H767*(J767-I767),0))</f>
        <v>874.366415233557</v>
      </c>
      <c r="L767" s="10" t="n">
        <f aca="false">IF(A767="","",IFERROR(K767*Inputs!$B$9,0))</f>
        <v>43718.3207616779</v>
      </c>
      <c r="M767" s="10" t="n">
        <f aca="false">IF(A767="","",IFERROR(K767*Inputs!$B$10,0))</f>
        <v>139896.003338123</v>
      </c>
      <c r="N767" s="10" t="n">
        <f aca="false">IF(A767="","",Z766)</f>
        <v>0</v>
      </c>
      <c r="O767" s="6" t="n">
        <f aca="false">IF(A767="","",Inputs!$B$18+N767)</f>
        <v>50000</v>
      </c>
      <c r="P767" s="5" t="n">
        <f aca="false">IF(A767="","",VLOOKUP(D767,DIvidend_Assumption!$A$3:$CX$103,($E$2+2),0)/12)</f>
        <v>0</v>
      </c>
      <c r="Q767" s="10" t="n">
        <f aca="false">IF(A767="","",IFERROR(AB766*P767,""))</f>
        <v>0</v>
      </c>
      <c r="R767" s="10" t="n">
        <f aca="false">IF(A767="","",IFERROR(IF(Inputs!$B$22="Accumulate",T767+Q767,IF(Inputs!$B$22="Premium Offset",MAX(0,T767+Q767-Inputs!$B$25),T767)),""))</f>
        <v>0</v>
      </c>
      <c r="S767" s="10" t="n">
        <f aca="false">IF(A767="","",R766)</f>
        <v>0</v>
      </c>
      <c r="T767" s="10" t="n">
        <f aca="false">IF(A767="","",IFERROR(S767*(1+Inputs!$B$23/12),""))</f>
        <v>0</v>
      </c>
      <c r="U767" s="6" t="n">
        <f aca="false">IF(A767="","",IF(D767&lt;=Inputs!$B$8,IF(Inputs!$B$22="Premium Offset",MAX(0,Inputs!$B$25-(Q767+T767)),Inputs!$B$25),0))</f>
        <v>0</v>
      </c>
      <c r="V767" s="10" t="n">
        <f aca="false">IF(A767="","",IF(Inputs!$B$22="Cash",Q767,0))</f>
        <v>0</v>
      </c>
      <c r="W767" s="10" t="n">
        <f aca="false">IF(A767="","",IF(Inputs!$B$22="PUA",Q767,0))</f>
        <v>0</v>
      </c>
      <c r="X767" s="12" t="n">
        <f aca="false">IF(A767="","",IFERROR(INDEX(PUA_TABLE!$D$4:$D$105,MATCH(E767,PUA_TABLE!$C$4:$C$105,1)),0))</f>
        <v>0.868992889360493</v>
      </c>
      <c r="Y767" s="10" t="n">
        <f aca="false">IF(A767="","",IF(W767&gt;0,IF(X767&gt;0,W767/X767,0),0))</f>
        <v>0</v>
      </c>
      <c r="Z767" s="10" t="n">
        <f aca="false">IF(A767="","",N767+Y767)</f>
        <v>0</v>
      </c>
      <c r="AA767" s="10" t="n">
        <f aca="false">IF(A767="","",IFERROR(Z767*INDEX(PUA_TABLE!$I$4:$I$105,MATCH(E767,PUA_TABLE!$C$4:$C$105,1))/1000,0))</f>
        <v>0</v>
      </c>
      <c r="AB767" s="10" t="n">
        <f aca="false">IF(A767="","",IFERROR(L767+AA767,0))</f>
        <v>43718.3207616779</v>
      </c>
      <c r="AC767" s="10" t="n">
        <f aca="false">IF(A767="","",IF(Inputs!$B$22="Premium Offset",MIN(Inputs!$B$25,Q767+T767),0))</f>
        <v>0</v>
      </c>
    </row>
    <row r="768" customFormat="false" ht="15" hidden="false" customHeight="false" outlineLevel="0" collapsed="false">
      <c r="A768" s="1" t="n">
        <f aca="false">IF(A767="","",IF(INT((C767+1)/12)+Inputs!$B$7&gt;MAX(MORTALITY!$A:$A),"",Inputs!$B$4))</f>
        <v>34</v>
      </c>
      <c r="B768" s="3" t="n">
        <f aca="false">IF(A768="","",EOMONTH(B767,1))</f>
        <v>45046</v>
      </c>
      <c r="C768" s="1" t="n">
        <f aca="false">IF(A768="","",C767+1)</f>
        <v>766</v>
      </c>
      <c r="D768" s="1" t="n">
        <f aca="false">IF(A768="","",INT(C768/12))</f>
        <v>63</v>
      </c>
      <c r="E768" s="1" t="n">
        <f aca="false">IF(A768="","",D768+Inputs!$B$7)</f>
        <v>79</v>
      </c>
      <c r="F768" s="3" t="n">
        <f aca="false">IF(A768="","",DATE(YEAR(B$2)+D768,MONTH(B$2),DAY(B$2)))</f>
        <v>44717</v>
      </c>
      <c r="G768" s="3" t="n">
        <f aca="false">IF(A768="","",DATE(YEAR(F768)+1,MONTH(F768),DAY(F768)))</f>
        <v>45082</v>
      </c>
      <c r="H768" s="10" t="n">
        <f aca="false">IF(A768="","",IF(G768&gt;F768,(B768-F768)/(G768-F768),0))</f>
        <v>0.901369863013699</v>
      </c>
      <c r="I768" s="10" t="n">
        <f aca="false">IF(A768="","",IFERROR(INDEX(CV_RATES!$I:$I,MATCH(D768,CV_RATES!$C:$C,0)),0))</f>
        <v>868.992889360493</v>
      </c>
      <c r="J768" s="10" t="n">
        <f aca="false">IF(A768="","",IFERROR(IF(E768=MAX(MORTALITY!$A:$A),1000,INDEX(CV_RATES!$J:$J,MATCH(D768,CV_RATES!$C:$C,0))),0))</f>
        <v>875.552544690488</v>
      </c>
      <c r="K768" s="10" t="n">
        <f aca="false">IF(A768="","",IFERROR(I768+H768*(J768-I768),0))</f>
        <v>874.905564986707</v>
      </c>
      <c r="L768" s="10" t="n">
        <f aca="false">IF(A768="","",IFERROR(K768*Inputs!$B$9,0))</f>
        <v>43745.2782493354</v>
      </c>
      <c r="M768" s="10" t="n">
        <f aca="false">IF(A768="","",IFERROR(K768*Inputs!$B$10,0))</f>
        <v>139982.265681178</v>
      </c>
      <c r="N768" s="10" t="n">
        <f aca="false">IF(A768="","",Z767)</f>
        <v>0</v>
      </c>
      <c r="O768" s="6" t="n">
        <f aca="false">IF(A768="","",Inputs!$B$18+N768)</f>
        <v>50000</v>
      </c>
      <c r="P768" s="5" t="n">
        <f aca="false">IF(A768="","",VLOOKUP(D768,DIvidend_Assumption!$A$3:$CX$103,($E$2+2),0)/12)</f>
        <v>0</v>
      </c>
      <c r="Q768" s="10" t="n">
        <f aca="false">IF(A768="","",IFERROR(AB767*P768,""))</f>
        <v>0</v>
      </c>
      <c r="R768" s="10" t="n">
        <f aca="false">IF(A768="","",IFERROR(IF(Inputs!$B$22="Accumulate",T768+Q768,IF(Inputs!$B$22="Premium Offset",MAX(0,T768+Q768-Inputs!$B$25),T768)),""))</f>
        <v>0</v>
      </c>
      <c r="S768" s="10" t="n">
        <f aca="false">IF(A768="","",R767)</f>
        <v>0</v>
      </c>
      <c r="T768" s="10" t="n">
        <f aca="false">IF(A768="","",IFERROR(S768*(1+Inputs!$B$23/12),""))</f>
        <v>0</v>
      </c>
      <c r="U768" s="6" t="n">
        <f aca="false">IF(A768="","",IF(D768&lt;=Inputs!$B$8,IF(Inputs!$B$22="Premium Offset",MAX(0,Inputs!$B$25-(Q768+T768)),Inputs!$B$25),0))</f>
        <v>0</v>
      </c>
      <c r="V768" s="10" t="n">
        <f aca="false">IF(A768="","",IF(Inputs!$B$22="Cash",Q768,0))</f>
        <v>0</v>
      </c>
      <c r="W768" s="10" t="n">
        <f aca="false">IF(A768="","",IF(Inputs!$B$22="PUA",Q768,0))</f>
        <v>0</v>
      </c>
      <c r="X768" s="12" t="n">
        <f aca="false">IF(A768="","",IFERROR(INDEX(PUA_TABLE!$D$4:$D$105,MATCH(E768,PUA_TABLE!$C$4:$C$105,1)),0))</f>
        <v>0.868992889360493</v>
      </c>
      <c r="Y768" s="10" t="n">
        <f aca="false">IF(A768="","",IF(W768&gt;0,IF(X768&gt;0,W768/X768,0),0))</f>
        <v>0</v>
      </c>
      <c r="Z768" s="10" t="n">
        <f aca="false">IF(A768="","",N768+Y768)</f>
        <v>0</v>
      </c>
      <c r="AA768" s="10" t="n">
        <f aca="false">IF(A768="","",IFERROR(Z768*INDEX(PUA_TABLE!$I$4:$I$105,MATCH(E768,PUA_TABLE!$C$4:$C$105,1))/1000,0))</f>
        <v>0</v>
      </c>
      <c r="AB768" s="10" t="n">
        <f aca="false">IF(A768="","",IFERROR(L768+AA768,0))</f>
        <v>43745.2782493354</v>
      </c>
      <c r="AC768" s="10" t="n">
        <f aca="false">IF(A768="","",IF(Inputs!$B$22="Premium Offset",MIN(Inputs!$B$25,Q768+T768),0))</f>
        <v>0</v>
      </c>
    </row>
    <row r="769" customFormat="false" ht="15" hidden="false" customHeight="false" outlineLevel="0" collapsed="false">
      <c r="A769" s="1" t="n">
        <f aca="false">IF(A768="","",IF(INT((C768+1)/12)+Inputs!$B$7&gt;MAX(MORTALITY!$A:$A),"",Inputs!$B$4))</f>
        <v>34</v>
      </c>
      <c r="B769" s="3" t="n">
        <f aca="false">IF(A769="","",EOMONTH(B768,1))</f>
        <v>45077</v>
      </c>
      <c r="C769" s="1" t="n">
        <f aca="false">IF(A769="","",C768+1)</f>
        <v>767</v>
      </c>
      <c r="D769" s="1" t="n">
        <f aca="false">IF(A769="","",INT(C769/12))</f>
        <v>63</v>
      </c>
      <c r="E769" s="1" t="n">
        <f aca="false">IF(A769="","",D769+Inputs!$B$7)</f>
        <v>79</v>
      </c>
      <c r="F769" s="3" t="n">
        <f aca="false">IF(A769="","",DATE(YEAR(B$2)+D769,MONTH(B$2),DAY(B$2)))</f>
        <v>44717</v>
      </c>
      <c r="G769" s="3" t="n">
        <f aca="false">IF(A769="","",DATE(YEAR(F769)+1,MONTH(F769),DAY(F769)))</f>
        <v>45082</v>
      </c>
      <c r="H769" s="10" t="n">
        <f aca="false">IF(A769="","",IF(G769&gt;F769,(B769-F769)/(G769-F769),0))</f>
        <v>0.986301369863014</v>
      </c>
      <c r="I769" s="10" t="n">
        <f aca="false">IF(A769="","",IFERROR(INDEX(CV_RATES!$I:$I,MATCH(D769,CV_RATES!$C:$C,0)),0))</f>
        <v>868.992889360493</v>
      </c>
      <c r="J769" s="10" t="n">
        <f aca="false">IF(A769="","",IFERROR(IF(E769=MAX(MORTALITY!$A:$A),1000,INDEX(CV_RATES!$J:$J,MATCH(D769,CV_RATES!$C:$C,0))),0))</f>
        <v>875.552544690488</v>
      </c>
      <c r="K769" s="10" t="n">
        <f aca="false">IF(A769="","",IFERROR(I769+H769*(J769-I769),0))</f>
        <v>875.462686398296</v>
      </c>
      <c r="L769" s="10" t="n">
        <f aca="false">IF(A769="","",IFERROR(K769*Inputs!$B$9,0))</f>
        <v>43773.1343199148</v>
      </c>
      <c r="M769" s="10" t="n">
        <f aca="false">IF(A769="","",IFERROR(K769*Inputs!$B$10,0))</f>
        <v>140071.403435668</v>
      </c>
      <c r="N769" s="10" t="n">
        <f aca="false">IF(A769="","",Z768)</f>
        <v>0</v>
      </c>
      <c r="O769" s="6" t="n">
        <f aca="false">IF(A769="","",Inputs!$B$18+N769)</f>
        <v>50000</v>
      </c>
      <c r="P769" s="5" t="n">
        <f aca="false">IF(A769="","",VLOOKUP(D769,DIvidend_Assumption!$A$3:$CX$103,($E$2+2),0)/12)</f>
        <v>0</v>
      </c>
      <c r="Q769" s="10" t="n">
        <f aca="false">IF(A769="","",IFERROR(AB768*P769,""))</f>
        <v>0</v>
      </c>
      <c r="R769" s="10" t="n">
        <f aca="false">IF(A769="","",IFERROR(IF(Inputs!$B$22="Accumulate",T769+Q769,IF(Inputs!$B$22="Premium Offset",MAX(0,T769+Q769-Inputs!$B$25),T769)),""))</f>
        <v>0</v>
      </c>
      <c r="S769" s="10" t="n">
        <f aca="false">IF(A769="","",R768)</f>
        <v>0</v>
      </c>
      <c r="T769" s="10" t="n">
        <f aca="false">IF(A769="","",IFERROR(S769*(1+Inputs!$B$23/12),""))</f>
        <v>0</v>
      </c>
      <c r="U769" s="6" t="n">
        <f aca="false">IF(A769="","",IF(D769&lt;=Inputs!$B$8,IF(Inputs!$B$22="Premium Offset",MAX(0,Inputs!$B$25-(Q769+T769)),Inputs!$B$25),0))</f>
        <v>0</v>
      </c>
      <c r="V769" s="10" t="n">
        <f aca="false">IF(A769="","",IF(Inputs!$B$22="Cash",Q769,0))</f>
        <v>0</v>
      </c>
      <c r="W769" s="10" t="n">
        <f aca="false">IF(A769="","",IF(Inputs!$B$22="PUA",Q769,0))</f>
        <v>0</v>
      </c>
      <c r="X769" s="12" t="n">
        <f aca="false">IF(A769="","",IFERROR(INDEX(PUA_TABLE!$D$4:$D$105,MATCH(E769,PUA_TABLE!$C$4:$C$105,1)),0))</f>
        <v>0.868992889360493</v>
      </c>
      <c r="Y769" s="10" t="n">
        <f aca="false">IF(A769="","",IF(W769&gt;0,IF(X769&gt;0,W769/X769,0),0))</f>
        <v>0</v>
      </c>
      <c r="Z769" s="10" t="n">
        <f aca="false">IF(A769="","",N769+Y769)</f>
        <v>0</v>
      </c>
      <c r="AA769" s="10" t="n">
        <f aca="false">IF(A769="","",IFERROR(Z769*INDEX(PUA_TABLE!$I$4:$I$105,MATCH(E769,PUA_TABLE!$C$4:$C$105,1))/1000,0))</f>
        <v>0</v>
      </c>
      <c r="AB769" s="10" t="n">
        <f aca="false">IF(A769="","",IFERROR(L769+AA769,0))</f>
        <v>43773.1343199148</v>
      </c>
      <c r="AC769" s="10" t="n">
        <f aca="false">IF(A769="","",IF(Inputs!$B$22="Premium Offset",MIN(Inputs!$B$25,Q769+T769),0))</f>
        <v>0</v>
      </c>
    </row>
    <row r="770" customFormat="false" ht="15" hidden="false" customHeight="false" outlineLevel="0" collapsed="false">
      <c r="A770" s="1" t="n">
        <f aca="false">IF(A769="","",IF(INT((C769+1)/12)+Inputs!$B$7&gt;MAX(MORTALITY!$A:$A),"",Inputs!$B$4))</f>
        <v>34</v>
      </c>
      <c r="B770" s="3" t="n">
        <f aca="false">IF(A770="","",EOMONTH(B769,1))</f>
        <v>45107</v>
      </c>
      <c r="C770" s="1" t="n">
        <f aca="false">IF(A770="","",C769+1)</f>
        <v>768</v>
      </c>
      <c r="D770" s="1" t="n">
        <f aca="false">IF(A770="","",INT(C770/12))</f>
        <v>64</v>
      </c>
      <c r="E770" s="1" t="n">
        <f aca="false">IF(A770="","",D770+Inputs!$B$7)</f>
        <v>80</v>
      </c>
      <c r="F770" s="3" t="n">
        <f aca="false">IF(A770="","",DATE(YEAR(B$2)+D770,MONTH(B$2),DAY(B$2)))</f>
        <v>45082</v>
      </c>
      <c r="G770" s="3" t="n">
        <f aca="false">IF(A770="","",DATE(YEAR(F770)+1,MONTH(F770),DAY(F770)))</f>
        <v>45448</v>
      </c>
      <c r="H770" s="10" t="n">
        <f aca="false">IF(A770="","",IF(G770&gt;F770,(B770-F770)/(G770-F770),0))</f>
        <v>0.0683060109289618</v>
      </c>
      <c r="I770" s="10" t="n">
        <f aca="false">IF(A770="","",IFERROR(INDEX(CV_RATES!$I:$I,MATCH(D770,CV_RATES!$C:$C,0)),0))</f>
        <v>875.552544690488</v>
      </c>
      <c r="J770" s="10" t="n">
        <f aca="false">IF(A770="","",IFERROR(IF(E770=MAX(MORTALITY!$A:$A),1000,INDEX(CV_RATES!$J:$J,MATCH(D770,CV_RATES!$C:$C,0))),0))</f>
        <v>881.865297826124</v>
      </c>
      <c r="K770" s="10" t="n">
        <f aca="false">IF(A770="","",IFERROR(I770+H770*(J770-I770),0))</f>
        <v>875.983743675162</v>
      </c>
      <c r="L770" s="10" t="n">
        <f aca="false">IF(A770="","",IFERROR(K770*Inputs!$B$9,0))</f>
        <v>43799.1871837581</v>
      </c>
      <c r="M770" s="10" t="n">
        <f aca="false">IF(A770="","",IFERROR(K770*Inputs!$B$10,0))</f>
        <v>140154.771036795</v>
      </c>
      <c r="N770" s="10" t="n">
        <f aca="false">IF(A770="","",Z769)</f>
        <v>0</v>
      </c>
      <c r="O770" s="6" t="n">
        <f aca="false">IF(A770="","",Inputs!$B$18+N770)</f>
        <v>50000</v>
      </c>
      <c r="P770" s="5" t="n">
        <f aca="false">IF(A770="","",VLOOKUP(D770,DIvidend_Assumption!$A$3:$CX$103,($E$2+2),0)/12)</f>
        <v>0</v>
      </c>
      <c r="Q770" s="10" t="n">
        <f aca="false">IF(A770="","",IFERROR(AB769*P770,""))</f>
        <v>0</v>
      </c>
      <c r="R770" s="10" t="n">
        <f aca="false">IF(A770="","",IFERROR(IF(Inputs!$B$22="Accumulate",T770+Q770,IF(Inputs!$B$22="Premium Offset",MAX(0,T770+Q770-Inputs!$B$25),T770)),""))</f>
        <v>0</v>
      </c>
      <c r="S770" s="10" t="n">
        <f aca="false">IF(A770="","",R769)</f>
        <v>0</v>
      </c>
      <c r="T770" s="10" t="n">
        <f aca="false">IF(A770="","",IFERROR(S770*(1+Inputs!$B$23/12),""))</f>
        <v>0</v>
      </c>
      <c r="U770" s="6" t="n">
        <f aca="false">IF(A770="","",IF(D770&lt;=Inputs!$B$8,IF(Inputs!$B$22="Premium Offset",MAX(0,Inputs!$B$25-(Q770+T770)),Inputs!$B$25),0))</f>
        <v>0</v>
      </c>
      <c r="V770" s="10" t="n">
        <f aca="false">IF(A770="","",IF(Inputs!$B$22="Cash",Q770,0))</f>
        <v>0</v>
      </c>
      <c r="W770" s="10" t="n">
        <f aca="false">IF(A770="","",IF(Inputs!$B$22="PUA",Q770,0))</f>
        <v>0</v>
      </c>
      <c r="X770" s="12" t="n">
        <f aca="false">IF(A770="","",IFERROR(INDEX(PUA_TABLE!$D$4:$D$105,MATCH(E770,PUA_TABLE!$C$4:$C$105,1)),0))</f>
        <v>0.875552544690488</v>
      </c>
      <c r="Y770" s="10" t="n">
        <f aca="false">IF(A770="","",IF(W770&gt;0,IF(X770&gt;0,W770/X770,0),0))</f>
        <v>0</v>
      </c>
      <c r="Z770" s="10" t="n">
        <f aca="false">IF(A770="","",N770+Y770)</f>
        <v>0</v>
      </c>
      <c r="AA770" s="10" t="n">
        <f aca="false">IF(A770="","",IFERROR(Z770*INDEX(PUA_TABLE!$I$4:$I$105,MATCH(E770,PUA_TABLE!$C$4:$C$105,1))/1000,0))</f>
        <v>0</v>
      </c>
      <c r="AB770" s="10" t="n">
        <f aca="false">IF(A770="","",IFERROR(L770+AA770,0))</f>
        <v>43799.1871837581</v>
      </c>
      <c r="AC770" s="10" t="n">
        <f aca="false">IF(A770="","",IF(Inputs!$B$22="Premium Offset",MIN(Inputs!$B$25,Q770+T770),0))</f>
        <v>0</v>
      </c>
    </row>
    <row r="771" customFormat="false" ht="15" hidden="false" customHeight="false" outlineLevel="0" collapsed="false">
      <c r="A771" s="1" t="n">
        <f aca="false">IF(A770="","",IF(INT((C770+1)/12)+Inputs!$B$7&gt;MAX(MORTALITY!$A:$A),"",Inputs!$B$4))</f>
        <v>34</v>
      </c>
      <c r="B771" s="3" t="n">
        <f aca="false">IF(A771="","",EOMONTH(B770,1))</f>
        <v>45138</v>
      </c>
      <c r="C771" s="1" t="n">
        <f aca="false">IF(A771="","",C770+1)</f>
        <v>769</v>
      </c>
      <c r="D771" s="1" t="n">
        <f aca="false">IF(A771="","",INT(C771/12))</f>
        <v>64</v>
      </c>
      <c r="E771" s="1" t="n">
        <f aca="false">IF(A771="","",D771+Inputs!$B$7)</f>
        <v>80</v>
      </c>
      <c r="F771" s="3" t="n">
        <f aca="false">IF(A771="","",DATE(YEAR(B$2)+D771,MONTH(B$2),DAY(B$2)))</f>
        <v>45082</v>
      </c>
      <c r="G771" s="3" t="n">
        <f aca="false">IF(A771="","",DATE(YEAR(F771)+1,MONTH(F771),DAY(F771)))</f>
        <v>45448</v>
      </c>
      <c r="H771" s="10" t="n">
        <f aca="false">IF(A771="","",IF(G771&gt;F771,(B771-F771)/(G771-F771),0))</f>
        <v>0.153005464480874</v>
      </c>
      <c r="I771" s="10" t="n">
        <f aca="false">IF(A771="","",IFERROR(INDEX(CV_RATES!$I:$I,MATCH(D771,CV_RATES!$C:$C,0)),0))</f>
        <v>875.552544690488</v>
      </c>
      <c r="J771" s="10" t="n">
        <f aca="false">IF(A771="","",IFERROR(IF(E771=MAX(MORTALITY!$A:$A),1000,INDEX(CV_RATES!$J:$J,MATCH(D771,CV_RATES!$C:$C,0))),0))</f>
        <v>881.865297826124</v>
      </c>
      <c r="K771" s="10" t="n">
        <f aca="false">IF(A771="","",IFERROR(I771+H771*(J771-I771),0))</f>
        <v>876.518430416159</v>
      </c>
      <c r="L771" s="10" t="n">
        <f aca="false">IF(A771="","",IFERROR(K771*Inputs!$B$9,0))</f>
        <v>43825.921520808</v>
      </c>
      <c r="M771" s="10" t="n">
        <f aca="false">IF(A771="","",IFERROR(K771*Inputs!$B$10,0))</f>
        <v>140240.319311294</v>
      </c>
      <c r="N771" s="10" t="n">
        <f aca="false">IF(A771="","",Z770)</f>
        <v>0</v>
      </c>
      <c r="O771" s="6" t="n">
        <f aca="false">IF(A771="","",Inputs!$B$18+N771)</f>
        <v>50000</v>
      </c>
      <c r="P771" s="5" t="n">
        <f aca="false">IF(A771="","",VLOOKUP(D771,DIvidend_Assumption!$A$3:$CX$103,($E$2+2),0)/12)</f>
        <v>0</v>
      </c>
      <c r="Q771" s="10" t="n">
        <f aca="false">IF(A771="","",IFERROR(AB770*P771,""))</f>
        <v>0</v>
      </c>
      <c r="R771" s="10" t="n">
        <f aca="false">IF(A771="","",IFERROR(IF(Inputs!$B$22="Accumulate",T771+Q771,IF(Inputs!$B$22="Premium Offset",MAX(0,T771+Q771-Inputs!$B$25),T771)),""))</f>
        <v>0</v>
      </c>
      <c r="S771" s="10" t="n">
        <f aca="false">IF(A771="","",R770)</f>
        <v>0</v>
      </c>
      <c r="T771" s="10" t="n">
        <f aca="false">IF(A771="","",IFERROR(S771*(1+Inputs!$B$23/12),""))</f>
        <v>0</v>
      </c>
      <c r="U771" s="6" t="n">
        <f aca="false">IF(A771="","",IF(D771&lt;=Inputs!$B$8,IF(Inputs!$B$22="Premium Offset",MAX(0,Inputs!$B$25-(Q771+T771)),Inputs!$B$25),0))</f>
        <v>0</v>
      </c>
      <c r="V771" s="10" t="n">
        <f aca="false">IF(A771="","",IF(Inputs!$B$22="Cash",Q771,0))</f>
        <v>0</v>
      </c>
      <c r="W771" s="10" t="n">
        <f aca="false">IF(A771="","",IF(Inputs!$B$22="PUA",Q771,0))</f>
        <v>0</v>
      </c>
      <c r="X771" s="12" t="n">
        <f aca="false">IF(A771="","",IFERROR(INDEX(PUA_TABLE!$D$4:$D$105,MATCH(E771,PUA_TABLE!$C$4:$C$105,1)),0))</f>
        <v>0.875552544690488</v>
      </c>
      <c r="Y771" s="10" t="n">
        <f aca="false">IF(A771="","",IF(W771&gt;0,IF(X771&gt;0,W771/X771,0),0))</f>
        <v>0</v>
      </c>
      <c r="Z771" s="10" t="n">
        <f aca="false">IF(A771="","",N771+Y771)</f>
        <v>0</v>
      </c>
      <c r="AA771" s="10" t="n">
        <f aca="false">IF(A771="","",IFERROR(Z771*INDEX(PUA_TABLE!$I$4:$I$105,MATCH(E771,PUA_TABLE!$C$4:$C$105,1))/1000,0))</f>
        <v>0</v>
      </c>
      <c r="AB771" s="10" t="n">
        <f aca="false">IF(A771="","",IFERROR(L771+AA771,0))</f>
        <v>43825.921520808</v>
      </c>
      <c r="AC771" s="10" t="n">
        <f aca="false">IF(A771="","",IF(Inputs!$B$22="Premium Offset",MIN(Inputs!$B$25,Q771+T771),0))</f>
        <v>0</v>
      </c>
    </row>
    <row r="772" customFormat="false" ht="15" hidden="false" customHeight="false" outlineLevel="0" collapsed="false">
      <c r="A772" s="1" t="n">
        <f aca="false">IF(A771="","",IF(INT((C771+1)/12)+Inputs!$B$7&gt;MAX(MORTALITY!$A:$A),"",Inputs!$B$4))</f>
        <v>34</v>
      </c>
      <c r="B772" s="3" t="n">
        <f aca="false">IF(A772="","",EOMONTH(B771,1))</f>
        <v>45169</v>
      </c>
      <c r="C772" s="1" t="n">
        <f aca="false">IF(A772="","",C771+1)</f>
        <v>770</v>
      </c>
      <c r="D772" s="1" t="n">
        <f aca="false">IF(A772="","",INT(C772/12))</f>
        <v>64</v>
      </c>
      <c r="E772" s="1" t="n">
        <f aca="false">IF(A772="","",D772+Inputs!$B$7)</f>
        <v>80</v>
      </c>
      <c r="F772" s="3" t="n">
        <f aca="false">IF(A772="","",DATE(YEAR(B$2)+D772,MONTH(B$2),DAY(B$2)))</f>
        <v>45082</v>
      </c>
      <c r="G772" s="3" t="n">
        <f aca="false">IF(A772="","",DATE(YEAR(F772)+1,MONTH(F772),DAY(F772)))</f>
        <v>45448</v>
      </c>
      <c r="H772" s="10" t="n">
        <f aca="false">IF(A772="","",IF(G772&gt;F772,(B772-F772)/(G772-F772),0))</f>
        <v>0.237704918032787</v>
      </c>
      <c r="I772" s="10" t="n">
        <f aca="false">IF(A772="","",IFERROR(INDEX(CV_RATES!$I:$I,MATCH(D772,CV_RATES!$C:$C,0)),0))</f>
        <v>875.552544690488</v>
      </c>
      <c r="J772" s="10" t="n">
        <f aca="false">IF(A772="","",IFERROR(IF(E772=MAX(MORTALITY!$A:$A),1000,INDEX(CV_RATES!$J:$J,MATCH(D772,CV_RATES!$C:$C,0))),0))</f>
        <v>881.865297826124</v>
      </c>
      <c r="K772" s="10" t="n">
        <f aca="false">IF(A772="","",IFERROR(I772+H772*(J772-I772),0))</f>
        <v>877.053117157156</v>
      </c>
      <c r="L772" s="10" t="n">
        <f aca="false">IF(A772="","",IFERROR(K772*Inputs!$B$9,0))</f>
        <v>43852.6558578578</v>
      </c>
      <c r="M772" s="10" t="n">
        <f aca="false">IF(A772="","",IFERROR(K772*Inputs!$B$10,0))</f>
        <v>140325.867585793</v>
      </c>
      <c r="N772" s="10" t="n">
        <f aca="false">IF(A772="","",Z771)</f>
        <v>0</v>
      </c>
      <c r="O772" s="6" t="n">
        <f aca="false">IF(A772="","",Inputs!$B$18+N772)</f>
        <v>50000</v>
      </c>
      <c r="P772" s="5" t="n">
        <f aca="false">IF(A772="","",VLOOKUP(D772,DIvidend_Assumption!$A$3:$CX$103,($E$2+2),0)/12)</f>
        <v>0</v>
      </c>
      <c r="Q772" s="10" t="n">
        <f aca="false">IF(A772="","",IFERROR(AB771*P772,""))</f>
        <v>0</v>
      </c>
      <c r="R772" s="10" t="n">
        <f aca="false">IF(A772="","",IFERROR(IF(Inputs!$B$22="Accumulate",T772+Q772,IF(Inputs!$B$22="Premium Offset",MAX(0,T772+Q772-Inputs!$B$25),T772)),""))</f>
        <v>0</v>
      </c>
      <c r="S772" s="10" t="n">
        <f aca="false">IF(A772="","",R771)</f>
        <v>0</v>
      </c>
      <c r="T772" s="10" t="n">
        <f aca="false">IF(A772="","",IFERROR(S772*(1+Inputs!$B$23/12),""))</f>
        <v>0</v>
      </c>
      <c r="U772" s="6" t="n">
        <f aca="false">IF(A772="","",IF(D772&lt;=Inputs!$B$8,IF(Inputs!$B$22="Premium Offset",MAX(0,Inputs!$B$25-(Q772+T772)),Inputs!$B$25),0))</f>
        <v>0</v>
      </c>
      <c r="V772" s="10" t="n">
        <f aca="false">IF(A772="","",IF(Inputs!$B$22="Cash",Q772,0))</f>
        <v>0</v>
      </c>
      <c r="W772" s="10" t="n">
        <f aca="false">IF(A772="","",IF(Inputs!$B$22="PUA",Q772,0))</f>
        <v>0</v>
      </c>
      <c r="X772" s="12" t="n">
        <f aca="false">IF(A772="","",IFERROR(INDEX(PUA_TABLE!$D$4:$D$105,MATCH(E772,PUA_TABLE!$C$4:$C$105,1)),0))</f>
        <v>0.875552544690488</v>
      </c>
      <c r="Y772" s="10" t="n">
        <f aca="false">IF(A772="","",IF(W772&gt;0,IF(X772&gt;0,W772/X772,0),0))</f>
        <v>0</v>
      </c>
      <c r="Z772" s="10" t="n">
        <f aca="false">IF(A772="","",N772+Y772)</f>
        <v>0</v>
      </c>
      <c r="AA772" s="10" t="n">
        <f aca="false">IF(A772="","",IFERROR(Z772*INDEX(PUA_TABLE!$I$4:$I$105,MATCH(E772,PUA_TABLE!$C$4:$C$105,1))/1000,0))</f>
        <v>0</v>
      </c>
      <c r="AB772" s="10" t="n">
        <f aca="false">IF(A772="","",IFERROR(L772+AA772,0))</f>
        <v>43852.6558578578</v>
      </c>
      <c r="AC772" s="10" t="n">
        <f aca="false">IF(A772="","",IF(Inputs!$B$22="Premium Offset",MIN(Inputs!$B$25,Q772+T772),0))</f>
        <v>0</v>
      </c>
    </row>
    <row r="773" customFormat="false" ht="15" hidden="false" customHeight="false" outlineLevel="0" collapsed="false">
      <c r="A773" s="1" t="n">
        <f aca="false">IF(A772="","",IF(INT((C772+1)/12)+Inputs!$B$7&gt;MAX(MORTALITY!$A:$A),"",Inputs!$B$4))</f>
        <v>34</v>
      </c>
      <c r="B773" s="3" t="n">
        <f aca="false">IF(A773="","",EOMONTH(B772,1))</f>
        <v>45199</v>
      </c>
      <c r="C773" s="1" t="n">
        <f aca="false">IF(A773="","",C772+1)</f>
        <v>771</v>
      </c>
      <c r="D773" s="1" t="n">
        <f aca="false">IF(A773="","",INT(C773/12))</f>
        <v>64</v>
      </c>
      <c r="E773" s="1" t="n">
        <f aca="false">IF(A773="","",D773+Inputs!$B$7)</f>
        <v>80</v>
      </c>
      <c r="F773" s="3" t="n">
        <f aca="false">IF(A773="","",DATE(YEAR(B$2)+D773,MONTH(B$2),DAY(B$2)))</f>
        <v>45082</v>
      </c>
      <c r="G773" s="3" t="n">
        <f aca="false">IF(A773="","",DATE(YEAR(F773)+1,MONTH(F773),DAY(F773)))</f>
        <v>45448</v>
      </c>
      <c r="H773" s="10" t="n">
        <f aca="false">IF(A773="","",IF(G773&gt;F773,(B773-F773)/(G773-F773),0))</f>
        <v>0.319672131147541</v>
      </c>
      <c r="I773" s="10" t="n">
        <f aca="false">IF(A773="","",IFERROR(INDEX(CV_RATES!$I:$I,MATCH(D773,CV_RATES!$C:$C,0)),0))</f>
        <v>875.552544690488</v>
      </c>
      <c r="J773" s="10" t="n">
        <f aca="false">IF(A773="","",IFERROR(IF(E773=MAX(MORTALITY!$A:$A),1000,INDEX(CV_RATES!$J:$J,MATCH(D773,CV_RATES!$C:$C,0))),0))</f>
        <v>881.865297826124</v>
      </c>
      <c r="K773" s="10" t="n">
        <f aca="false">IF(A773="","",IFERROR(I773+H773*(J773-I773),0))</f>
        <v>877.570555938765</v>
      </c>
      <c r="L773" s="10" t="n">
        <f aca="false">IF(A773="","",IFERROR(K773*Inputs!$B$9,0))</f>
        <v>43878.5277969383</v>
      </c>
      <c r="M773" s="10" t="n">
        <f aca="false">IF(A773="","",IFERROR(K773*Inputs!$B$10,0))</f>
        <v>140408.656238535</v>
      </c>
      <c r="N773" s="10" t="n">
        <f aca="false">IF(A773="","",Z772)</f>
        <v>0</v>
      </c>
      <c r="O773" s="6" t="n">
        <f aca="false">IF(A773="","",Inputs!$B$18+N773)</f>
        <v>50000</v>
      </c>
      <c r="P773" s="5" t="n">
        <f aca="false">IF(A773="","",VLOOKUP(D773,DIvidend_Assumption!$A$3:$CX$103,($E$2+2),0)/12)</f>
        <v>0</v>
      </c>
      <c r="Q773" s="10" t="n">
        <f aca="false">IF(A773="","",IFERROR(AB772*P773,""))</f>
        <v>0</v>
      </c>
      <c r="R773" s="10" t="n">
        <f aca="false">IF(A773="","",IFERROR(IF(Inputs!$B$22="Accumulate",T773+Q773,IF(Inputs!$B$22="Premium Offset",MAX(0,T773+Q773-Inputs!$B$25),T773)),""))</f>
        <v>0</v>
      </c>
      <c r="S773" s="10" t="n">
        <f aca="false">IF(A773="","",R772)</f>
        <v>0</v>
      </c>
      <c r="T773" s="10" t="n">
        <f aca="false">IF(A773="","",IFERROR(S773*(1+Inputs!$B$23/12),""))</f>
        <v>0</v>
      </c>
      <c r="U773" s="6" t="n">
        <f aca="false">IF(A773="","",IF(D773&lt;=Inputs!$B$8,IF(Inputs!$B$22="Premium Offset",MAX(0,Inputs!$B$25-(Q773+T773)),Inputs!$B$25),0))</f>
        <v>0</v>
      </c>
      <c r="V773" s="10" t="n">
        <f aca="false">IF(A773="","",IF(Inputs!$B$22="Cash",Q773,0))</f>
        <v>0</v>
      </c>
      <c r="W773" s="10" t="n">
        <f aca="false">IF(A773="","",IF(Inputs!$B$22="PUA",Q773,0))</f>
        <v>0</v>
      </c>
      <c r="X773" s="12" t="n">
        <f aca="false">IF(A773="","",IFERROR(INDEX(PUA_TABLE!$D$4:$D$105,MATCH(E773,PUA_TABLE!$C$4:$C$105,1)),0))</f>
        <v>0.875552544690488</v>
      </c>
      <c r="Y773" s="10" t="n">
        <f aca="false">IF(A773="","",IF(W773&gt;0,IF(X773&gt;0,W773/X773,0),0))</f>
        <v>0</v>
      </c>
      <c r="Z773" s="10" t="n">
        <f aca="false">IF(A773="","",N773+Y773)</f>
        <v>0</v>
      </c>
      <c r="AA773" s="10" t="n">
        <f aca="false">IF(A773="","",IFERROR(Z773*INDEX(PUA_TABLE!$I$4:$I$105,MATCH(E773,PUA_TABLE!$C$4:$C$105,1))/1000,0))</f>
        <v>0</v>
      </c>
      <c r="AB773" s="10" t="n">
        <f aca="false">IF(A773="","",IFERROR(L773+AA773,0))</f>
        <v>43878.5277969383</v>
      </c>
      <c r="AC773" s="10" t="n">
        <f aca="false">IF(A773="","",IF(Inputs!$B$22="Premium Offset",MIN(Inputs!$B$25,Q773+T773),0))</f>
        <v>0</v>
      </c>
    </row>
    <row r="774" customFormat="false" ht="15" hidden="false" customHeight="false" outlineLevel="0" collapsed="false">
      <c r="A774" s="1" t="n">
        <f aca="false">IF(A773="","",IF(INT((C773+1)/12)+Inputs!$B$7&gt;MAX(MORTALITY!$A:$A),"",Inputs!$B$4))</f>
        <v>34</v>
      </c>
      <c r="B774" s="3" t="n">
        <f aca="false">IF(A774="","",EOMONTH(B773,1))</f>
        <v>45230</v>
      </c>
      <c r="C774" s="1" t="n">
        <f aca="false">IF(A774="","",C773+1)</f>
        <v>772</v>
      </c>
      <c r="D774" s="1" t="n">
        <f aca="false">IF(A774="","",INT(C774/12))</f>
        <v>64</v>
      </c>
      <c r="E774" s="1" t="n">
        <f aca="false">IF(A774="","",D774+Inputs!$B$7)</f>
        <v>80</v>
      </c>
      <c r="F774" s="3" t="n">
        <f aca="false">IF(A774="","",DATE(YEAR(B$2)+D774,MONTH(B$2),DAY(B$2)))</f>
        <v>45082</v>
      </c>
      <c r="G774" s="3" t="n">
        <f aca="false">IF(A774="","",DATE(YEAR(F774)+1,MONTH(F774),DAY(F774)))</f>
        <v>45448</v>
      </c>
      <c r="H774" s="10" t="n">
        <f aca="false">IF(A774="","",IF(G774&gt;F774,(B774-F774)/(G774-F774),0))</f>
        <v>0.404371584699454</v>
      </c>
      <c r="I774" s="10" t="n">
        <f aca="false">IF(A774="","",IFERROR(INDEX(CV_RATES!$I:$I,MATCH(D774,CV_RATES!$C:$C,0)),0))</f>
        <v>875.552544690488</v>
      </c>
      <c r="J774" s="10" t="n">
        <f aca="false">IF(A774="","",IFERROR(IF(E774=MAX(MORTALITY!$A:$A),1000,INDEX(CV_RATES!$J:$J,MATCH(D774,CV_RATES!$C:$C,0))),0))</f>
        <v>881.865297826124</v>
      </c>
      <c r="K774" s="10" t="n">
        <f aca="false">IF(A774="","",IFERROR(I774+H774*(J774-I774),0))</f>
        <v>878.105242679762</v>
      </c>
      <c r="L774" s="10" t="n">
        <f aca="false">IF(A774="","",IFERROR(K774*Inputs!$B$9,0))</f>
        <v>43905.2621339881</v>
      </c>
      <c r="M774" s="10" t="n">
        <f aca="false">IF(A774="","",IFERROR(K774*Inputs!$B$10,0))</f>
        <v>140494.204513034</v>
      </c>
      <c r="N774" s="10" t="n">
        <f aca="false">IF(A774="","",Z773)</f>
        <v>0</v>
      </c>
      <c r="O774" s="6" t="n">
        <f aca="false">IF(A774="","",Inputs!$B$18+N774)</f>
        <v>50000</v>
      </c>
      <c r="P774" s="5" t="n">
        <f aca="false">IF(A774="","",VLOOKUP(D774,DIvidend_Assumption!$A$3:$CX$103,($E$2+2),0)/12)</f>
        <v>0</v>
      </c>
      <c r="Q774" s="10" t="n">
        <f aca="false">IF(A774="","",IFERROR(AB773*P774,""))</f>
        <v>0</v>
      </c>
      <c r="R774" s="10" t="n">
        <f aca="false">IF(A774="","",IFERROR(IF(Inputs!$B$22="Accumulate",T774+Q774,IF(Inputs!$B$22="Premium Offset",MAX(0,T774+Q774-Inputs!$B$25),T774)),""))</f>
        <v>0</v>
      </c>
      <c r="S774" s="10" t="n">
        <f aca="false">IF(A774="","",R773)</f>
        <v>0</v>
      </c>
      <c r="T774" s="10" t="n">
        <f aca="false">IF(A774="","",IFERROR(S774*(1+Inputs!$B$23/12),""))</f>
        <v>0</v>
      </c>
      <c r="U774" s="6" t="n">
        <f aca="false">IF(A774="","",IF(D774&lt;=Inputs!$B$8,IF(Inputs!$B$22="Premium Offset",MAX(0,Inputs!$B$25-(Q774+T774)),Inputs!$B$25),0))</f>
        <v>0</v>
      </c>
      <c r="V774" s="10" t="n">
        <f aca="false">IF(A774="","",IF(Inputs!$B$22="Cash",Q774,0))</f>
        <v>0</v>
      </c>
      <c r="W774" s="10" t="n">
        <f aca="false">IF(A774="","",IF(Inputs!$B$22="PUA",Q774,0))</f>
        <v>0</v>
      </c>
      <c r="X774" s="12" t="n">
        <f aca="false">IF(A774="","",IFERROR(INDEX(PUA_TABLE!$D$4:$D$105,MATCH(E774,PUA_TABLE!$C$4:$C$105,1)),0))</f>
        <v>0.875552544690488</v>
      </c>
      <c r="Y774" s="10" t="n">
        <f aca="false">IF(A774="","",IF(W774&gt;0,IF(X774&gt;0,W774/X774,0),0))</f>
        <v>0</v>
      </c>
      <c r="Z774" s="10" t="n">
        <f aca="false">IF(A774="","",N774+Y774)</f>
        <v>0</v>
      </c>
      <c r="AA774" s="10" t="n">
        <f aca="false">IF(A774="","",IFERROR(Z774*INDEX(PUA_TABLE!$I$4:$I$105,MATCH(E774,PUA_TABLE!$C$4:$C$105,1))/1000,0))</f>
        <v>0</v>
      </c>
      <c r="AB774" s="10" t="n">
        <f aca="false">IF(A774="","",IFERROR(L774+AA774,0))</f>
        <v>43905.2621339881</v>
      </c>
      <c r="AC774" s="10" t="n">
        <f aca="false">IF(A774="","",IF(Inputs!$B$22="Premium Offset",MIN(Inputs!$B$25,Q774+T774),0))</f>
        <v>0</v>
      </c>
    </row>
    <row r="775" customFormat="false" ht="15" hidden="false" customHeight="false" outlineLevel="0" collapsed="false">
      <c r="A775" s="1" t="n">
        <f aca="false">IF(A774="","",IF(INT((C774+1)/12)+Inputs!$B$7&gt;MAX(MORTALITY!$A:$A),"",Inputs!$B$4))</f>
        <v>34</v>
      </c>
      <c r="B775" s="3" t="n">
        <f aca="false">IF(A775="","",EOMONTH(B774,1))</f>
        <v>45260</v>
      </c>
      <c r="C775" s="1" t="n">
        <f aca="false">IF(A775="","",C774+1)</f>
        <v>773</v>
      </c>
      <c r="D775" s="1" t="n">
        <f aca="false">IF(A775="","",INT(C775/12))</f>
        <v>64</v>
      </c>
      <c r="E775" s="1" t="n">
        <f aca="false">IF(A775="","",D775+Inputs!$B$7)</f>
        <v>80</v>
      </c>
      <c r="F775" s="3" t="n">
        <f aca="false">IF(A775="","",DATE(YEAR(B$2)+D775,MONTH(B$2),DAY(B$2)))</f>
        <v>45082</v>
      </c>
      <c r="G775" s="3" t="n">
        <f aca="false">IF(A775="","",DATE(YEAR(F775)+1,MONTH(F775),DAY(F775)))</f>
        <v>45448</v>
      </c>
      <c r="H775" s="10" t="n">
        <f aca="false">IF(A775="","",IF(G775&gt;F775,(B775-F775)/(G775-F775),0))</f>
        <v>0.486338797814208</v>
      </c>
      <c r="I775" s="10" t="n">
        <f aca="false">IF(A775="","",IFERROR(INDEX(CV_RATES!$I:$I,MATCH(D775,CV_RATES!$C:$C,0)),0))</f>
        <v>875.552544690488</v>
      </c>
      <c r="J775" s="10" t="n">
        <f aca="false">IF(A775="","",IFERROR(IF(E775=MAX(MORTALITY!$A:$A),1000,INDEX(CV_RATES!$J:$J,MATCH(D775,CV_RATES!$C:$C,0))),0))</f>
        <v>881.865297826124</v>
      </c>
      <c r="K775" s="10" t="n">
        <f aca="false">IF(A775="","",IFERROR(I775+H775*(J775-I775),0))</f>
        <v>878.622681461371</v>
      </c>
      <c r="L775" s="10" t="n">
        <f aca="false">IF(A775="","",IFERROR(K775*Inputs!$B$9,0))</f>
        <v>43931.1340730686</v>
      </c>
      <c r="M775" s="10" t="n">
        <f aca="false">IF(A775="","",IFERROR(K775*Inputs!$B$10,0))</f>
        <v>140576.993165775</v>
      </c>
      <c r="N775" s="10" t="n">
        <f aca="false">IF(A775="","",Z774)</f>
        <v>0</v>
      </c>
      <c r="O775" s="6" t="n">
        <f aca="false">IF(A775="","",Inputs!$B$18+N775)</f>
        <v>50000</v>
      </c>
      <c r="P775" s="5" t="n">
        <f aca="false">IF(A775="","",VLOOKUP(D775,DIvidend_Assumption!$A$3:$CX$103,($E$2+2),0)/12)</f>
        <v>0</v>
      </c>
      <c r="Q775" s="10" t="n">
        <f aca="false">IF(A775="","",IFERROR(AB774*P775,""))</f>
        <v>0</v>
      </c>
      <c r="R775" s="10" t="n">
        <f aca="false">IF(A775="","",IFERROR(IF(Inputs!$B$22="Accumulate",T775+Q775,IF(Inputs!$B$22="Premium Offset",MAX(0,T775+Q775-Inputs!$B$25),T775)),""))</f>
        <v>0</v>
      </c>
      <c r="S775" s="10" t="n">
        <f aca="false">IF(A775="","",R774)</f>
        <v>0</v>
      </c>
      <c r="T775" s="10" t="n">
        <f aca="false">IF(A775="","",IFERROR(S775*(1+Inputs!$B$23/12),""))</f>
        <v>0</v>
      </c>
      <c r="U775" s="6" t="n">
        <f aca="false">IF(A775="","",IF(D775&lt;=Inputs!$B$8,IF(Inputs!$B$22="Premium Offset",MAX(0,Inputs!$B$25-(Q775+T775)),Inputs!$B$25),0))</f>
        <v>0</v>
      </c>
      <c r="V775" s="10" t="n">
        <f aca="false">IF(A775="","",IF(Inputs!$B$22="Cash",Q775,0))</f>
        <v>0</v>
      </c>
      <c r="W775" s="10" t="n">
        <f aca="false">IF(A775="","",IF(Inputs!$B$22="PUA",Q775,0))</f>
        <v>0</v>
      </c>
      <c r="X775" s="12" t="n">
        <f aca="false">IF(A775="","",IFERROR(INDEX(PUA_TABLE!$D$4:$D$105,MATCH(E775,PUA_TABLE!$C$4:$C$105,1)),0))</f>
        <v>0.875552544690488</v>
      </c>
      <c r="Y775" s="10" t="n">
        <f aca="false">IF(A775="","",IF(W775&gt;0,IF(X775&gt;0,W775/X775,0),0))</f>
        <v>0</v>
      </c>
      <c r="Z775" s="10" t="n">
        <f aca="false">IF(A775="","",N775+Y775)</f>
        <v>0</v>
      </c>
      <c r="AA775" s="10" t="n">
        <f aca="false">IF(A775="","",IFERROR(Z775*INDEX(PUA_TABLE!$I$4:$I$105,MATCH(E775,PUA_TABLE!$C$4:$C$105,1))/1000,0))</f>
        <v>0</v>
      </c>
      <c r="AB775" s="10" t="n">
        <f aca="false">IF(A775="","",IFERROR(L775+AA775,0))</f>
        <v>43931.1340730686</v>
      </c>
      <c r="AC775" s="10" t="n">
        <f aca="false">IF(A775="","",IF(Inputs!$B$22="Premium Offset",MIN(Inputs!$B$25,Q775+T775),0))</f>
        <v>0</v>
      </c>
    </row>
    <row r="776" customFormat="false" ht="15" hidden="false" customHeight="false" outlineLevel="0" collapsed="false">
      <c r="A776" s="1" t="n">
        <f aca="false">IF(A775="","",IF(INT((C775+1)/12)+Inputs!$B$7&gt;MAX(MORTALITY!$A:$A),"",Inputs!$B$4))</f>
        <v>34</v>
      </c>
      <c r="B776" s="3" t="n">
        <f aca="false">IF(A776="","",EOMONTH(B775,1))</f>
        <v>45291</v>
      </c>
      <c r="C776" s="1" t="n">
        <f aca="false">IF(A776="","",C775+1)</f>
        <v>774</v>
      </c>
      <c r="D776" s="1" t="n">
        <f aca="false">IF(A776="","",INT(C776/12))</f>
        <v>64</v>
      </c>
      <c r="E776" s="1" t="n">
        <f aca="false">IF(A776="","",D776+Inputs!$B$7)</f>
        <v>80</v>
      </c>
      <c r="F776" s="3" t="n">
        <f aca="false">IF(A776="","",DATE(YEAR(B$2)+D776,MONTH(B$2),DAY(B$2)))</f>
        <v>45082</v>
      </c>
      <c r="G776" s="3" t="n">
        <f aca="false">IF(A776="","",DATE(YEAR(F776)+1,MONTH(F776),DAY(F776)))</f>
        <v>45448</v>
      </c>
      <c r="H776" s="10" t="n">
        <f aca="false">IF(A776="","",IF(G776&gt;F776,(B776-F776)/(G776-F776),0))</f>
        <v>0.57103825136612</v>
      </c>
      <c r="I776" s="10" t="n">
        <f aca="false">IF(A776="","",IFERROR(INDEX(CV_RATES!$I:$I,MATCH(D776,CV_RATES!$C:$C,0)),0))</f>
        <v>875.552544690488</v>
      </c>
      <c r="J776" s="10" t="n">
        <f aca="false">IF(A776="","",IFERROR(IF(E776=MAX(MORTALITY!$A:$A),1000,INDEX(CV_RATES!$J:$J,MATCH(D776,CV_RATES!$C:$C,0))),0))</f>
        <v>881.865297826124</v>
      </c>
      <c r="K776" s="10" t="n">
        <f aca="false">IF(A776="","",IFERROR(I776+H776*(J776-I776),0))</f>
        <v>879.157368202368</v>
      </c>
      <c r="L776" s="10" t="n">
        <f aca="false">IF(A776="","",IFERROR(K776*Inputs!$B$9,0))</f>
        <v>43957.8684101184</v>
      </c>
      <c r="M776" s="10" t="n">
        <f aca="false">IF(A776="","",IFERROR(K776*Inputs!$B$10,0))</f>
        <v>140662.541440274</v>
      </c>
      <c r="N776" s="10" t="n">
        <f aca="false">IF(A776="","",Z775)</f>
        <v>0</v>
      </c>
      <c r="O776" s="6" t="n">
        <f aca="false">IF(A776="","",Inputs!$B$18+N776)</f>
        <v>50000</v>
      </c>
      <c r="P776" s="5" t="n">
        <f aca="false">IF(A776="","",VLOOKUP(D776,DIvidend_Assumption!$A$3:$CX$103,($E$2+2),0)/12)</f>
        <v>0</v>
      </c>
      <c r="Q776" s="10" t="n">
        <f aca="false">IF(A776="","",IFERROR(AB775*P776,""))</f>
        <v>0</v>
      </c>
      <c r="R776" s="10" t="n">
        <f aca="false">IF(A776="","",IFERROR(IF(Inputs!$B$22="Accumulate",T776+Q776,IF(Inputs!$B$22="Premium Offset",MAX(0,T776+Q776-Inputs!$B$25),T776)),""))</f>
        <v>0</v>
      </c>
      <c r="S776" s="10" t="n">
        <f aca="false">IF(A776="","",R775)</f>
        <v>0</v>
      </c>
      <c r="T776" s="10" t="n">
        <f aca="false">IF(A776="","",IFERROR(S776*(1+Inputs!$B$23/12),""))</f>
        <v>0</v>
      </c>
      <c r="U776" s="6" t="n">
        <f aca="false">IF(A776="","",IF(D776&lt;=Inputs!$B$8,IF(Inputs!$B$22="Premium Offset",MAX(0,Inputs!$B$25-(Q776+T776)),Inputs!$B$25),0))</f>
        <v>0</v>
      </c>
      <c r="V776" s="10" t="n">
        <f aca="false">IF(A776="","",IF(Inputs!$B$22="Cash",Q776,0))</f>
        <v>0</v>
      </c>
      <c r="W776" s="10" t="n">
        <f aca="false">IF(A776="","",IF(Inputs!$B$22="PUA",Q776,0))</f>
        <v>0</v>
      </c>
      <c r="X776" s="12" t="n">
        <f aca="false">IF(A776="","",IFERROR(INDEX(PUA_TABLE!$D$4:$D$105,MATCH(E776,PUA_TABLE!$C$4:$C$105,1)),0))</f>
        <v>0.875552544690488</v>
      </c>
      <c r="Y776" s="10" t="n">
        <f aca="false">IF(A776="","",IF(W776&gt;0,IF(X776&gt;0,W776/X776,0),0))</f>
        <v>0</v>
      </c>
      <c r="Z776" s="10" t="n">
        <f aca="false">IF(A776="","",N776+Y776)</f>
        <v>0</v>
      </c>
      <c r="AA776" s="10" t="n">
        <f aca="false">IF(A776="","",IFERROR(Z776*INDEX(PUA_TABLE!$I$4:$I$105,MATCH(E776,PUA_TABLE!$C$4:$C$105,1))/1000,0))</f>
        <v>0</v>
      </c>
      <c r="AB776" s="10" t="n">
        <f aca="false">IF(A776="","",IFERROR(L776+AA776,0))</f>
        <v>43957.8684101184</v>
      </c>
      <c r="AC776" s="10" t="n">
        <f aca="false">IF(A776="","",IF(Inputs!$B$22="Premium Offset",MIN(Inputs!$B$25,Q776+T776),0))</f>
        <v>0</v>
      </c>
    </row>
    <row r="777" customFormat="false" ht="15" hidden="false" customHeight="false" outlineLevel="0" collapsed="false">
      <c r="A777" s="1" t="n">
        <f aca="false">IF(A776="","",IF(INT((C776+1)/12)+Inputs!$B$7&gt;MAX(MORTALITY!$A:$A),"",Inputs!$B$4))</f>
        <v>34</v>
      </c>
      <c r="B777" s="3" t="n">
        <f aca="false">IF(A777="","",EOMONTH(B776,1))</f>
        <v>45322</v>
      </c>
      <c r="C777" s="1" t="n">
        <f aca="false">IF(A777="","",C776+1)</f>
        <v>775</v>
      </c>
      <c r="D777" s="1" t="n">
        <f aca="false">IF(A777="","",INT(C777/12))</f>
        <v>64</v>
      </c>
      <c r="E777" s="1" t="n">
        <f aca="false">IF(A777="","",D777+Inputs!$B$7)</f>
        <v>80</v>
      </c>
      <c r="F777" s="3" t="n">
        <f aca="false">IF(A777="","",DATE(YEAR(B$2)+D777,MONTH(B$2),DAY(B$2)))</f>
        <v>45082</v>
      </c>
      <c r="G777" s="3" t="n">
        <f aca="false">IF(A777="","",DATE(YEAR(F777)+1,MONTH(F777),DAY(F777)))</f>
        <v>45448</v>
      </c>
      <c r="H777" s="10" t="n">
        <f aca="false">IF(A777="","",IF(G777&gt;F777,(B777-F777)/(G777-F777),0))</f>
        <v>0.655737704918033</v>
      </c>
      <c r="I777" s="10" t="n">
        <f aca="false">IF(A777="","",IFERROR(INDEX(CV_RATES!$I:$I,MATCH(D777,CV_RATES!$C:$C,0)),0))</f>
        <v>875.552544690488</v>
      </c>
      <c r="J777" s="10" t="n">
        <f aca="false">IF(A777="","",IFERROR(IF(E777=MAX(MORTALITY!$A:$A),1000,INDEX(CV_RATES!$J:$J,MATCH(D777,CV_RATES!$C:$C,0))),0))</f>
        <v>881.865297826124</v>
      </c>
      <c r="K777" s="10" t="n">
        <f aca="false">IF(A777="","",IFERROR(I777+H777*(J777-I777),0))</f>
        <v>879.692054943364</v>
      </c>
      <c r="L777" s="10" t="n">
        <f aca="false">IF(A777="","",IFERROR(K777*Inputs!$B$9,0))</f>
        <v>43984.6027471682</v>
      </c>
      <c r="M777" s="10" t="n">
        <f aca="false">IF(A777="","",IFERROR(K777*Inputs!$B$10,0))</f>
        <v>140748.089714773</v>
      </c>
      <c r="N777" s="10" t="n">
        <f aca="false">IF(A777="","",Z776)</f>
        <v>0</v>
      </c>
      <c r="O777" s="6" t="n">
        <f aca="false">IF(A777="","",Inputs!$B$18+N777)</f>
        <v>50000</v>
      </c>
      <c r="P777" s="5" t="n">
        <f aca="false">IF(A777="","",VLOOKUP(D777,DIvidend_Assumption!$A$3:$CX$103,($E$2+2),0)/12)</f>
        <v>0</v>
      </c>
      <c r="Q777" s="10" t="n">
        <f aca="false">IF(A777="","",IFERROR(AB776*P777,""))</f>
        <v>0</v>
      </c>
      <c r="R777" s="10" t="n">
        <f aca="false">IF(A777="","",IFERROR(IF(Inputs!$B$22="Accumulate",T777+Q777,IF(Inputs!$B$22="Premium Offset",MAX(0,T777+Q777-Inputs!$B$25),T777)),""))</f>
        <v>0</v>
      </c>
      <c r="S777" s="10" t="n">
        <f aca="false">IF(A777="","",R776)</f>
        <v>0</v>
      </c>
      <c r="T777" s="10" t="n">
        <f aca="false">IF(A777="","",IFERROR(S777*(1+Inputs!$B$23/12),""))</f>
        <v>0</v>
      </c>
      <c r="U777" s="6" t="n">
        <f aca="false">IF(A777="","",IF(D777&lt;=Inputs!$B$8,IF(Inputs!$B$22="Premium Offset",MAX(0,Inputs!$B$25-(Q777+T777)),Inputs!$B$25),0))</f>
        <v>0</v>
      </c>
      <c r="V777" s="10" t="n">
        <f aca="false">IF(A777="","",IF(Inputs!$B$22="Cash",Q777,0))</f>
        <v>0</v>
      </c>
      <c r="W777" s="10" t="n">
        <f aca="false">IF(A777="","",IF(Inputs!$B$22="PUA",Q777,0))</f>
        <v>0</v>
      </c>
      <c r="X777" s="12" t="n">
        <f aca="false">IF(A777="","",IFERROR(INDEX(PUA_TABLE!$D$4:$D$105,MATCH(E777,PUA_TABLE!$C$4:$C$105,1)),0))</f>
        <v>0.875552544690488</v>
      </c>
      <c r="Y777" s="10" t="n">
        <f aca="false">IF(A777="","",IF(W777&gt;0,IF(X777&gt;0,W777/X777,0),0))</f>
        <v>0</v>
      </c>
      <c r="Z777" s="10" t="n">
        <f aca="false">IF(A777="","",N777+Y777)</f>
        <v>0</v>
      </c>
      <c r="AA777" s="10" t="n">
        <f aca="false">IF(A777="","",IFERROR(Z777*INDEX(PUA_TABLE!$I$4:$I$105,MATCH(E777,PUA_TABLE!$C$4:$C$105,1))/1000,0))</f>
        <v>0</v>
      </c>
      <c r="AB777" s="10" t="n">
        <f aca="false">IF(A777="","",IFERROR(L777+AA777,0))</f>
        <v>43984.6027471682</v>
      </c>
      <c r="AC777" s="10" t="n">
        <f aca="false">IF(A777="","",IF(Inputs!$B$22="Premium Offset",MIN(Inputs!$B$25,Q777+T777),0))</f>
        <v>0</v>
      </c>
    </row>
    <row r="778" customFormat="false" ht="15" hidden="false" customHeight="false" outlineLevel="0" collapsed="false">
      <c r="A778" s="1" t="n">
        <f aca="false">IF(A777="","",IF(INT((C777+1)/12)+Inputs!$B$7&gt;MAX(MORTALITY!$A:$A),"",Inputs!$B$4))</f>
        <v>34</v>
      </c>
      <c r="B778" s="3" t="n">
        <f aca="false">IF(A778="","",EOMONTH(B777,1))</f>
        <v>45351</v>
      </c>
      <c r="C778" s="1" t="n">
        <f aca="false">IF(A778="","",C777+1)</f>
        <v>776</v>
      </c>
      <c r="D778" s="1" t="n">
        <f aca="false">IF(A778="","",INT(C778/12))</f>
        <v>64</v>
      </c>
      <c r="E778" s="1" t="n">
        <f aca="false">IF(A778="","",D778+Inputs!$B$7)</f>
        <v>80</v>
      </c>
      <c r="F778" s="3" t="n">
        <f aca="false">IF(A778="","",DATE(YEAR(B$2)+D778,MONTH(B$2),DAY(B$2)))</f>
        <v>45082</v>
      </c>
      <c r="G778" s="3" t="n">
        <f aca="false">IF(A778="","",DATE(YEAR(F778)+1,MONTH(F778),DAY(F778)))</f>
        <v>45448</v>
      </c>
      <c r="H778" s="10" t="n">
        <f aca="false">IF(A778="","",IF(G778&gt;F778,(B778-F778)/(G778-F778),0))</f>
        <v>0.734972677595629</v>
      </c>
      <c r="I778" s="10" t="n">
        <f aca="false">IF(A778="","",IFERROR(INDEX(CV_RATES!$I:$I,MATCH(D778,CV_RATES!$C:$C,0)),0))</f>
        <v>875.552544690488</v>
      </c>
      <c r="J778" s="10" t="n">
        <f aca="false">IF(A778="","",IFERROR(IF(E778=MAX(MORTALITY!$A:$A),1000,INDEX(CV_RATES!$J:$J,MATCH(D778,CV_RATES!$C:$C,0))),0))</f>
        <v>881.865297826124</v>
      </c>
      <c r="K778" s="10" t="n">
        <f aca="false">IF(A778="","",IFERROR(I778+H778*(J778-I778),0))</f>
        <v>880.192245765587</v>
      </c>
      <c r="L778" s="10" t="n">
        <f aca="false">IF(A778="","",IFERROR(K778*Inputs!$B$9,0))</f>
        <v>44009.6122882793</v>
      </c>
      <c r="M778" s="10" t="n">
        <f aca="false">IF(A778="","",IFERROR(K778*Inputs!$B$10,0))</f>
        <v>140828.118745757</v>
      </c>
      <c r="N778" s="10" t="n">
        <f aca="false">IF(A778="","",Z777)</f>
        <v>0</v>
      </c>
      <c r="O778" s="6" t="n">
        <f aca="false">IF(A778="","",Inputs!$B$18+N778)</f>
        <v>50000</v>
      </c>
      <c r="P778" s="5" t="n">
        <f aca="false">IF(A778="","",VLOOKUP(D778,DIvidend_Assumption!$A$3:$CX$103,($E$2+2),0)/12)</f>
        <v>0</v>
      </c>
      <c r="Q778" s="10" t="n">
        <f aca="false">IF(A778="","",IFERROR(AB777*P778,""))</f>
        <v>0</v>
      </c>
      <c r="R778" s="10" t="n">
        <f aca="false">IF(A778="","",IFERROR(IF(Inputs!$B$22="Accumulate",T778+Q778,IF(Inputs!$B$22="Premium Offset",MAX(0,T778+Q778-Inputs!$B$25),T778)),""))</f>
        <v>0</v>
      </c>
      <c r="S778" s="10" t="n">
        <f aca="false">IF(A778="","",R777)</f>
        <v>0</v>
      </c>
      <c r="T778" s="10" t="n">
        <f aca="false">IF(A778="","",IFERROR(S778*(1+Inputs!$B$23/12),""))</f>
        <v>0</v>
      </c>
      <c r="U778" s="6" t="n">
        <f aca="false">IF(A778="","",IF(D778&lt;=Inputs!$B$8,IF(Inputs!$B$22="Premium Offset",MAX(0,Inputs!$B$25-(Q778+T778)),Inputs!$B$25),0))</f>
        <v>0</v>
      </c>
      <c r="V778" s="10" t="n">
        <f aca="false">IF(A778="","",IF(Inputs!$B$22="Cash",Q778,0))</f>
        <v>0</v>
      </c>
      <c r="W778" s="10" t="n">
        <f aca="false">IF(A778="","",IF(Inputs!$B$22="PUA",Q778,0))</f>
        <v>0</v>
      </c>
      <c r="X778" s="12" t="n">
        <f aca="false">IF(A778="","",IFERROR(INDEX(PUA_TABLE!$D$4:$D$105,MATCH(E778,PUA_TABLE!$C$4:$C$105,1)),0))</f>
        <v>0.875552544690488</v>
      </c>
      <c r="Y778" s="10" t="n">
        <f aca="false">IF(A778="","",IF(W778&gt;0,IF(X778&gt;0,W778/X778,0),0))</f>
        <v>0</v>
      </c>
      <c r="Z778" s="10" t="n">
        <f aca="false">IF(A778="","",N778+Y778)</f>
        <v>0</v>
      </c>
      <c r="AA778" s="10" t="n">
        <f aca="false">IF(A778="","",IFERROR(Z778*INDEX(PUA_TABLE!$I$4:$I$105,MATCH(E778,PUA_TABLE!$C$4:$C$105,1))/1000,0))</f>
        <v>0</v>
      </c>
      <c r="AB778" s="10" t="n">
        <f aca="false">IF(A778="","",IFERROR(L778+AA778,0))</f>
        <v>44009.6122882793</v>
      </c>
      <c r="AC778" s="10" t="n">
        <f aca="false">IF(A778="","",IF(Inputs!$B$22="Premium Offset",MIN(Inputs!$B$25,Q778+T778),0))</f>
        <v>0</v>
      </c>
    </row>
    <row r="779" customFormat="false" ht="15" hidden="false" customHeight="false" outlineLevel="0" collapsed="false">
      <c r="A779" s="1" t="n">
        <f aca="false">IF(A778="","",IF(INT((C778+1)/12)+Inputs!$B$7&gt;MAX(MORTALITY!$A:$A),"",Inputs!$B$4))</f>
        <v>34</v>
      </c>
      <c r="B779" s="3" t="n">
        <f aca="false">IF(A779="","",EOMONTH(B778,1))</f>
        <v>45382</v>
      </c>
      <c r="C779" s="1" t="n">
        <f aca="false">IF(A779="","",C778+1)</f>
        <v>777</v>
      </c>
      <c r="D779" s="1" t="n">
        <f aca="false">IF(A779="","",INT(C779/12))</f>
        <v>64</v>
      </c>
      <c r="E779" s="1" t="n">
        <f aca="false">IF(A779="","",D779+Inputs!$B$7)</f>
        <v>80</v>
      </c>
      <c r="F779" s="3" t="n">
        <f aca="false">IF(A779="","",DATE(YEAR(B$2)+D779,MONTH(B$2),DAY(B$2)))</f>
        <v>45082</v>
      </c>
      <c r="G779" s="3" t="n">
        <f aca="false">IF(A779="","",DATE(YEAR(F779)+1,MONTH(F779),DAY(F779)))</f>
        <v>45448</v>
      </c>
      <c r="H779" s="10" t="n">
        <f aca="false">IF(A779="","",IF(G779&gt;F779,(B779-F779)/(G779-F779),0))</f>
        <v>0.819672131147541</v>
      </c>
      <c r="I779" s="10" t="n">
        <f aca="false">IF(A779="","",IFERROR(INDEX(CV_RATES!$I:$I,MATCH(D779,CV_RATES!$C:$C,0)),0))</f>
        <v>875.552544690488</v>
      </c>
      <c r="J779" s="10" t="n">
        <f aca="false">IF(A779="","",IFERROR(IF(E779=MAX(MORTALITY!$A:$A),1000,INDEX(CV_RATES!$J:$J,MATCH(D779,CV_RATES!$C:$C,0))),0))</f>
        <v>881.865297826124</v>
      </c>
      <c r="K779" s="10" t="n">
        <f aca="false">IF(A779="","",IFERROR(I779+H779*(J779-I779),0))</f>
        <v>880.726932506583</v>
      </c>
      <c r="L779" s="10" t="n">
        <f aca="false">IF(A779="","",IFERROR(K779*Inputs!$B$9,0))</f>
        <v>44036.3466253292</v>
      </c>
      <c r="M779" s="10" t="n">
        <f aca="false">IF(A779="","",IFERROR(K779*Inputs!$B$10,0))</f>
        <v>140913.667020256</v>
      </c>
      <c r="N779" s="10" t="n">
        <f aca="false">IF(A779="","",Z778)</f>
        <v>0</v>
      </c>
      <c r="O779" s="6" t="n">
        <f aca="false">IF(A779="","",Inputs!$B$18+N779)</f>
        <v>50000</v>
      </c>
      <c r="P779" s="5" t="n">
        <f aca="false">IF(A779="","",VLOOKUP(D779,DIvidend_Assumption!$A$3:$CX$103,($E$2+2),0)/12)</f>
        <v>0</v>
      </c>
      <c r="Q779" s="10" t="n">
        <f aca="false">IF(A779="","",IFERROR(AB778*P779,""))</f>
        <v>0</v>
      </c>
      <c r="R779" s="10" t="n">
        <f aca="false">IF(A779="","",IFERROR(IF(Inputs!$B$22="Accumulate",T779+Q779,IF(Inputs!$B$22="Premium Offset",MAX(0,T779+Q779-Inputs!$B$25),T779)),""))</f>
        <v>0</v>
      </c>
      <c r="S779" s="10" t="n">
        <f aca="false">IF(A779="","",R778)</f>
        <v>0</v>
      </c>
      <c r="T779" s="10" t="n">
        <f aca="false">IF(A779="","",IFERROR(S779*(1+Inputs!$B$23/12),""))</f>
        <v>0</v>
      </c>
      <c r="U779" s="6" t="n">
        <f aca="false">IF(A779="","",IF(D779&lt;=Inputs!$B$8,IF(Inputs!$B$22="Premium Offset",MAX(0,Inputs!$B$25-(Q779+T779)),Inputs!$B$25),0))</f>
        <v>0</v>
      </c>
      <c r="V779" s="10" t="n">
        <f aca="false">IF(A779="","",IF(Inputs!$B$22="Cash",Q779,0))</f>
        <v>0</v>
      </c>
      <c r="W779" s="10" t="n">
        <f aca="false">IF(A779="","",IF(Inputs!$B$22="PUA",Q779,0))</f>
        <v>0</v>
      </c>
      <c r="X779" s="12" t="n">
        <f aca="false">IF(A779="","",IFERROR(INDEX(PUA_TABLE!$D$4:$D$105,MATCH(E779,PUA_TABLE!$C$4:$C$105,1)),0))</f>
        <v>0.875552544690488</v>
      </c>
      <c r="Y779" s="10" t="n">
        <f aca="false">IF(A779="","",IF(W779&gt;0,IF(X779&gt;0,W779/X779,0),0))</f>
        <v>0</v>
      </c>
      <c r="Z779" s="10" t="n">
        <f aca="false">IF(A779="","",N779+Y779)</f>
        <v>0</v>
      </c>
      <c r="AA779" s="10" t="n">
        <f aca="false">IF(A779="","",IFERROR(Z779*INDEX(PUA_TABLE!$I$4:$I$105,MATCH(E779,PUA_TABLE!$C$4:$C$105,1))/1000,0))</f>
        <v>0</v>
      </c>
      <c r="AB779" s="10" t="n">
        <f aca="false">IF(A779="","",IFERROR(L779+AA779,0))</f>
        <v>44036.3466253292</v>
      </c>
      <c r="AC779" s="10" t="n">
        <f aca="false">IF(A779="","",IF(Inputs!$B$22="Premium Offset",MIN(Inputs!$B$25,Q779+T779),0))</f>
        <v>0</v>
      </c>
    </row>
    <row r="780" customFormat="false" ht="15" hidden="false" customHeight="false" outlineLevel="0" collapsed="false">
      <c r="A780" s="1" t="n">
        <f aca="false">IF(A779="","",IF(INT((C779+1)/12)+Inputs!$B$7&gt;MAX(MORTALITY!$A:$A),"",Inputs!$B$4))</f>
        <v>34</v>
      </c>
      <c r="B780" s="3" t="n">
        <f aca="false">IF(A780="","",EOMONTH(B779,1))</f>
        <v>45412</v>
      </c>
      <c r="C780" s="1" t="n">
        <f aca="false">IF(A780="","",C779+1)</f>
        <v>778</v>
      </c>
      <c r="D780" s="1" t="n">
        <f aca="false">IF(A780="","",INT(C780/12))</f>
        <v>64</v>
      </c>
      <c r="E780" s="1" t="n">
        <f aca="false">IF(A780="","",D780+Inputs!$B$7)</f>
        <v>80</v>
      </c>
      <c r="F780" s="3" t="n">
        <f aca="false">IF(A780="","",DATE(YEAR(B$2)+D780,MONTH(B$2),DAY(B$2)))</f>
        <v>45082</v>
      </c>
      <c r="G780" s="3" t="n">
        <f aca="false">IF(A780="","",DATE(YEAR(F780)+1,MONTH(F780),DAY(F780)))</f>
        <v>45448</v>
      </c>
      <c r="H780" s="10" t="n">
        <f aca="false">IF(A780="","",IF(G780&gt;F780,(B780-F780)/(G780-F780),0))</f>
        <v>0.901639344262295</v>
      </c>
      <c r="I780" s="10" t="n">
        <f aca="false">IF(A780="","",IFERROR(INDEX(CV_RATES!$I:$I,MATCH(D780,CV_RATES!$C:$C,0)),0))</f>
        <v>875.552544690488</v>
      </c>
      <c r="J780" s="10" t="n">
        <f aca="false">IF(A780="","",IFERROR(IF(E780=MAX(MORTALITY!$A:$A),1000,INDEX(CV_RATES!$J:$J,MATCH(D780,CV_RATES!$C:$C,0))),0))</f>
        <v>881.865297826124</v>
      </c>
      <c r="K780" s="10" t="n">
        <f aca="false">IF(A780="","",IFERROR(I780+H780*(J780-I780),0))</f>
        <v>881.244371288193</v>
      </c>
      <c r="L780" s="10" t="n">
        <f aca="false">IF(A780="","",IFERROR(K780*Inputs!$B$9,0))</f>
        <v>44062.2185644096</v>
      </c>
      <c r="M780" s="10" t="n">
        <f aca="false">IF(A780="","",IFERROR(K780*Inputs!$B$10,0))</f>
        <v>140996.455672997</v>
      </c>
      <c r="N780" s="10" t="n">
        <f aca="false">IF(A780="","",Z779)</f>
        <v>0</v>
      </c>
      <c r="O780" s="6" t="n">
        <f aca="false">IF(A780="","",Inputs!$B$18+N780)</f>
        <v>50000</v>
      </c>
      <c r="P780" s="5" t="n">
        <f aca="false">IF(A780="","",VLOOKUP(D780,DIvidend_Assumption!$A$3:$CX$103,($E$2+2),0)/12)</f>
        <v>0</v>
      </c>
      <c r="Q780" s="10" t="n">
        <f aca="false">IF(A780="","",IFERROR(AB779*P780,""))</f>
        <v>0</v>
      </c>
      <c r="R780" s="10" t="n">
        <f aca="false">IF(A780="","",IFERROR(IF(Inputs!$B$22="Accumulate",T780+Q780,IF(Inputs!$B$22="Premium Offset",MAX(0,T780+Q780-Inputs!$B$25),T780)),""))</f>
        <v>0</v>
      </c>
      <c r="S780" s="10" t="n">
        <f aca="false">IF(A780="","",R779)</f>
        <v>0</v>
      </c>
      <c r="T780" s="10" t="n">
        <f aca="false">IF(A780="","",IFERROR(S780*(1+Inputs!$B$23/12),""))</f>
        <v>0</v>
      </c>
      <c r="U780" s="6" t="n">
        <f aca="false">IF(A780="","",IF(D780&lt;=Inputs!$B$8,IF(Inputs!$B$22="Premium Offset",MAX(0,Inputs!$B$25-(Q780+T780)),Inputs!$B$25),0))</f>
        <v>0</v>
      </c>
      <c r="V780" s="10" t="n">
        <f aca="false">IF(A780="","",IF(Inputs!$B$22="Cash",Q780,0))</f>
        <v>0</v>
      </c>
      <c r="W780" s="10" t="n">
        <f aca="false">IF(A780="","",IF(Inputs!$B$22="PUA",Q780,0))</f>
        <v>0</v>
      </c>
      <c r="X780" s="12" t="n">
        <f aca="false">IF(A780="","",IFERROR(INDEX(PUA_TABLE!$D$4:$D$105,MATCH(E780,PUA_TABLE!$C$4:$C$105,1)),0))</f>
        <v>0.875552544690488</v>
      </c>
      <c r="Y780" s="10" t="n">
        <f aca="false">IF(A780="","",IF(W780&gt;0,IF(X780&gt;0,W780/X780,0),0))</f>
        <v>0</v>
      </c>
      <c r="Z780" s="10" t="n">
        <f aca="false">IF(A780="","",N780+Y780)</f>
        <v>0</v>
      </c>
      <c r="AA780" s="10" t="n">
        <f aca="false">IF(A780="","",IFERROR(Z780*INDEX(PUA_TABLE!$I$4:$I$105,MATCH(E780,PUA_TABLE!$C$4:$C$105,1))/1000,0))</f>
        <v>0</v>
      </c>
      <c r="AB780" s="10" t="n">
        <f aca="false">IF(A780="","",IFERROR(L780+AA780,0))</f>
        <v>44062.2185644096</v>
      </c>
      <c r="AC780" s="10" t="n">
        <f aca="false">IF(A780="","",IF(Inputs!$B$22="Premium Offset",MIN(Inputs!$B$25,Q780+T780),0))</f>
        <v>0</v>
      </c>
    </row>
    <row r="781" customFormat="false" ht="15" hidden="false" customHeight="false" outlineLevel="0" collapsed="false">
      <c r="A781" s="1" t="n">
        <f aca="false">IF(A780="","",IF(INT((C780+1)/12)+Inputs!$B$7&gt;MAX(MORTALITY!$A:$A),"",Inputs!$B$4))</f>
        <v>34</v>
      </c>
      <c r="B781" s="3" t="n">
        <f aca="false">IF(A781="","",EOMONTH(B780,1))</f>
        <v>45443</v>
      </c>
      <c r="C781" s="1" t="n">
        <f aca="false">IF(A781="","",C780+1)</f>
        <v>779</v>
      </c>
      <c r="D781" s="1" t="n">
        <f aca="false">IF(A781="","",INT(C781/12))</f>
        <v>64</v>
      </c>
      <c r="E781" s="1" t="n">
        <f aca="false">IF(A781="","",D781+Inputs!$B$7)</f>
        <v>80</v>
      </c>
      <c r="F781" s="3" t="n">
        <f aca="false">IF(A781="","",DATE(YEAR(B$2)+D781,MONTH(B$2),DAY(B$2)))</f>
        <v>45082</v>
      </c>
      <c r="G781" s="3" t="n">
        <f aca="false">IF(A781="","",DATE(YEAR(F781)+1,MONTH(F781),DAY(F781)))</f>
        <v>45448</v>
      </c>
      <c r="H781" s="10" t="n">
        <f aca="false">IF(A781="","",IF(G781&gt;F781,(B781-F781)/(G781-F781),0))</f>
        <v>0.986338797814208</v>
      </c>
      <c r="I781" s="10" t="n">
        <f aca="false">IF(A781="","",IFERROR(INDEX(CV_RATES!$I:$I,MATCH(D781,CV_RATES!$C:$C,0)),0))</f>
        <v>875.552544690488</v>
      </c>
      <c r="J781" s="10" t="n">
        <f aca="false">IF(A781="","",IFERROR(IF(E781=MAX(MORTALITY!$A:$A),1000,INDEX(CV_RATES!$J:$J,MATCH(D781,CV_RATES!$C:$C,0))),0))</f>
        <v>881.865297826124</v>
      </c>
      <c r="K781" s="10" t="n">
        <f aca="false">IF(A781="","",IFERROR(I781+H781*(J781-I781),0))</f>
        <v>881.77905802919</v>
      </c>
      <c r="L781" s="10" t="n">
        <f aca="false">IF(A781="","",IFERROR(K781*Inputs!$B$9,0))</f>
        <v>44088.9529014595</v>
      </c>
      <c r="M781" s="10" t="n">
        <f aca="false">IF(A781="","",IFERROR(K781*Inputs!$B$10,0))</f>
        <v>141082.003947496</v>
      </c>
      <c r="N781" s="10" t="n">
        <f aca="false">IF(A781="","",Z780)</f>
        <v>0</v>
      </c>
      <c r="O781" s="6" t="n">
        <f aca="false">IF(A781="","",Inputs!$B$18+N781)</f>
        <v>50000</v>
      </c>
      <c r="P781" s="5" t="n">
        <f aca="false">IF(A781="","",VLOOKUP(D781,DIvidend_Assumption!$A$3:$CX$103,($E$2+2),0)/12)</f>
        <v>0</v>
      </c>
      <c r="Q781" s="10" t="n">
        <f aca="false">IF(A781="","",IFERROR(AB780*P781,""))</f>
        <v>0</v>
      </c>
      <c r="R781" s="10" t="n">
        <f aca="false">IF(A781="","",IFERROR(IF(Inputs!$B$22="Accumulate",T781+Q781,IF(Inputs!$B$22="Premium Offset",MAX(0,T781+Q781-Inputs!$B$25),T781)),""))</f>
        <v>0</v>
      </c>
      <c r="S781" s="10" t="n">
        <f aca="false">IF(A781="","",R780)</f>
        <v>0</v>
      </c>
      <c r="T781" s="10" t="n">
        <f aca="false">IF(A781="","",IFERROR(S781*(1+Inputs!$B$23/12),""))</f>
        <v>0</v>
      </c>
      <c r="U781" s="6" t="n">
        <f aca="false">IF(A781="","",IF(D781&lt;=Inputs!$B$8,IF(Inputs!$B$22="Premium Offset",MAX(0,Inputs!$B$25-(Q781+T781)),Inputs!$B$25),0))</f>
        <v>0</v>
      </c>
      <c r="V781" s="10" t="n">
        <f aca="false">IF(A781="","",IF(Inputs!$B$22="Cash",Q781,0))</f>
        <v>0</v>
      </c>
      <c r="W781" s="10" t="n">
        <f aca="false">IF(A781="","",IF(Inputs!$B$22="PUA",Q781,0))</f>
        <v>0</v>
      </c>
      <c r="X781" s="12" t="n">
        <f aca="false">IF(A781="","",IFERROR(INDEX(PUA_TABLE!$D$4:$D$105,MATCH(E781,PUA_TABLE!$C$4:$C$105,1)),0))</f>
        <v>0.875552544690488</v>
      </c>
      <c r="Y781" s="10" t="n">
        <f aca="false">IF(A781="","",IF(W781&gt;0,IF(X781&gt;0,W781/X781,0),0))</f>
        <v>0</v>
      </c>
      <c r="Z781" s="10" t="n">
        <f aca="false">IF(A781="","",N781+Y781)</f>
        <v>0</v>
      </c>
      <c r="AA781" s="10" t="n">
        <f aca="false">IF(A781="","",IFERROR(Z781*INDEX(PUA_TABLE!$I$4:$I$105,MATCH(E781,PUA_TABLE!$C$4:$C$105,1))/1000,0))</f>
        <v>0</v>
      </c>
      <c r="AB781" s="10" t="n">
        <f aca="false">IF(A781="","",IFERROR(L781+AA781,0))</f>
        <v>44088.9529014595</v>
      </c>
      <c r="AC781" s="10" t="n">
        <f aca="false">IF(A781="","",IF(Inputs!$B$22="Premium Offset",MIN(Inputs!$B$25,Q781+T781),0))</f>
        <v>0</v>
      </c>
    </row>
    <row r="782" customFormat="false" ht="15" hidden="false" customHeight="false" outlineLevel="0" collapsed="false">
      <c r="A782" s="1" t="n">
        <f aca="false">IF(A781="","",IF(INT((C781+1)/12)+Inputs!$B$7&gt;MAX(MORTALITY!$A:$A),"",Inputs!$B$4))</f>
        <v>34</v>
      </c>
      <c r="B782" s="3" t="n">
        <f aca="false">IF(A782="","",EOMONTH(B781,1))</f>
        <v>45473</v>
      </c>
      <c r="C782" s="1" t="n">
        <f aca="false">IF(A782="","",C781+1)</f>
        <v>780</v>
      </c>
      <c r="D782" s="1" t="n">
        <f aca="false">IF(A782="","",INT(C782/12))</f>
        <v>65</v>
      </c>
      <c r="E782" s="1" t="n">
        <f aca="false">IF(A782="","",D782+Inputs!$B$7)</f>
        <v>81</v>
      </c>
      <c r="F782" s="3" t="n">
        <f aca="false">IF(A782="","",DATE(YEAR(B$2)+D782,MONTH(B$2),DAY(B$2)))</f>
        <v>45448</v>
      </c>
      <c r="G782" s="3" t="n">
        <f aca="false">IF(A782="","",DATE(YEAR(F782)+1,MONTH(F782),DAY(F782)))</f>
        <v>45813</v>
      </c>
      <c r="H782" s="10" t="n">
        <f aca="false">IF(A782="","",IF(G782&gt;F782,(B782-F782)/(G782-F782),0))</f>
        <v>0.0684931506849315</v>
      </c>
      <c r="I782" s="10" t="n">
        <f aca="false">IF(A782="","",IFERROR(INDEX(CV_RATES!$I:$I,MATCH(D782,CV_RATES!$C:$C,0)),0))</f>
        <v>881.865297826124</v>
      </c>
      <c r="J782" s="10" t="n">
        <f aca="false">IF(A782="","",IFERROR(IF(E782=MAX(MORTALITY!$A:$A),1000,INDEX(CV_RATES!$J:$J,MATCH(D782,CV_RATES!$C:$C,0))),0))</f>
        <v>887.930872721924</v>
      </c>
      <c r="K782" s="10" t="n">
        <f aca="false">IF(A782="","",IFERROR(I782+H782*(J782-I782),0))</f>
        <v>882.280748161453</v>
      </c>
      <c r="L782" s="10" t="n">
        <f aca="false">IF(A782="","",IFERROR(K782*Inputs!$B$9,0))</f>
        <v>44114.0374080727</v>
      </c>
      <c r="M782" s="10" t="n">
        <f aca="false">IF(A782="","",IFERROR(K782*Inputs!$B$10,0))</f>
        <v>141162.272863588</v>
      </c>
      <c r="N782" s="10" t="n">
        <f aca="false">IF(A782="","",Z781)</f>
        <v>0</v>
      </c>
      <c r="O782" s="6" t="n">
        <f aca="false">IF(A782="","",Inputs!$B$18+N782)</f>
        <v>50000</v>
      </c>
      <c r="P782" s="5" t="n">
        <f aca="false">IF(A782="","",VLOOKUP(D782,DIvidend_Assumption!$A$3:$CX$103,($E$2+2),0)/12)</f>
        <v>0</v>
      </c>
      <c r="Q782" s="10" t="n">
        <f aca="false">IF(A782="","",IFERROR(AB781*P782,""))</f>
        <v>0</v>
      </c>
      <c r="R782" s="10" t="n">
        <f aca="false">IF(A782="","",IFERROR(IF(Inputs!$B$22="Accumulate",T782+Q782,IF(Inputs!$B$22="Premium Offset",MAX(0,T782+Q782-Inputs!$B$25),T782)),""))</f>
        <v>0</v>
      </c>
      <c r="S782" s="10" t="n">
        <f aca="false">IF(A782="","",R781)</f>
        <v>0</v>
      </c>
      <c r="T782" s="10" t="n">
        <f aca="false">IF(A782="","",IFERROR(S782*(1+Inputs!$B$23/12),""))</f>
        <v>0</v>
      </c>
      <c r="U782" s="6" t="n">
        <f aca="false">IF(A782="","",IF(D782&lt;=Inputs!$B$8,IF(Inputs!$B$22="Premium Offset",MAX(0,Inputs!$B$25-(Q782+T782)),Inputs!$B$25),0))</f>
        <v>0</v>
      </c>
      <c r="V782" s="10" t="n">
        <f aca="false">IF(A782="","",IF(Inputs!$B$22="Cash",Q782,0))</f>
        <v>0</v>
      </c>
      <c r="W782" s="10" t="n">
        <f aca="false">IF(A782="","",IF(Inputs!$B$22="PUA",Q782,0))</f>
        <v>0</v>
      </c>
      <c r="X782" s="12" t="n">
        <f aca="false">IF(A782="","",IFERROR(INDEX(PUA_TABLE!$D$4:$D$105,MATCH(E782,PUA_TABLE!$C$4:$C$105,1)),0))</f>
        <v>0.881865297826124</v>
      </c>
      <c r="Y782" s="10" t="n">
        <f aca="false">IF(A782="","",IF(W782&gt;0,IF(X782&gt;0,W782/X782,0),0))</f>
        <v>0</v>
      </c>
      <c r="Z782" s="10" t="n">
        <f aca="false">IF(A782="","",N782+Y782)</f>
        <v>0</v>
      </c>
      <c r="AA782" s="10" t="n">
        <f aca="false">IF(A782="","",IFERROR(Z782*INDEX(PUA_TABLE!$I$4:$I$105,MATCH(E782,PUA_TABLE!$C$4:$C$105,1))/1000,0))</f>
        <v>0</v>
      </c>
      <c r="AB782" s="10" t="n">
        <f aca="false">IF(A782="","",IFERROR(L782+AA782,0))</f>
        <v>44114.0374080727</v>
      </c>
      <c r="AC782" s="10" t="n">
        <f aca="false">IF(A782="","",IF(Inputs!$B$22="Premium Offset",MIN(Inputs!$B$25,Q782+T782),0))</f>
        <v>0</v>
      </c>
    </row>
    <row r="783" customFormat="false" ht="15" hidden="false" customHeight="false" outlineLevel="0" collapsed="false">
      <c r="A783" s="1" t="n">
        <f aca="false">IF(A782="","",IF(INT((C782+1)/12)+Inputs!$B$7&gt;MAX(MORTALITY!$A:$A),"",Inputs!$B$4))</f>
        <v>34</v>
      </c>
      <c r="B783" s="3" t="n">
        <f aca="false">IF(A783="","",EOMONTH(B782,1))</f>
        <v>45504</v>
      </c>
      <c r="C783" s="1" t="n">
        <f aca="false">IF(A783="","",C782+1)</f>
        <v>781</v>
      </c>
      <c r="D783" s="1" t="n">
        <f aca="false">IF(A783="","",INT(C783/12))</f>
        <v>65</v>
      </c>
      <c r="E783" s="1" t="n">
        <f aca="false">IF(A783="","",D783+Inputs!$B$7)</f>
        <v>81</v>
      </c>
      <c r="F783" s="3" t="n">
        <f aca="false">IF(A783="","",DATE(YEAR(B$2)+D783,MONTH(B$2),DAY(B$2)))</f>
        <v>45448</v>
      </c>
      <c r="G783" s="3" t="n">
        <f aca="false">IF(A783="","",DATE(YEAR(F783)+1,MONTH(F783),DAY(F783)))</f>
        <v>45813</v>
      </c>
      <c r="H783" s="10" t="n">
        <f aca="false">IF(A783="","",IF(G783&gt;F783,(B783-F783)/(G783-F783),0))</f>
        <v>0.153424657534247</v>
      </c>
      <c r="I783" s="10" t="n">
        <f aca="false">IF(A783="","",IFERROR(INDEX(CV_RATES!$I:$I,MATCH(D783,CV_RATES!$C:$C,0)),0))</f>
        <v>881.865297826124</v>
      </c>
      <c r="J783" s="10" t="n">
        <f aca="false">IF(A783="","",IFERROR(IF(E783=MAX(MORTALITY!$A:$A),1000,INDEX(CV_RATES!$J:$J,MATCH(D783,CV_RATES!$C:$C,0))),0))</f>
        <v>887.930872721924</v>
      </c>
      <c r="K783" s="10" t="n">
        <f aca="false">IF(A783="","",IFERROR(I783+H783*(J783-I783),0))</f>
        <v>882.795906577261</v>
      </c>
      <c r="L783" s="10" t="n">
        <f aca="false">IF(A783="","",IFERROR(K783*Inputs!$B$9,0))</f>
        <v>44139.795328863</v>
      </c>
      <c r="M783" s="10" t="n">
        <f aca="false">IF(A783="","",IFERROR(K783*Inputs!$B$10,0))</f>
        <v>141244.696664642</v>
      </c>
      <c r="N783" s="10" t="n">
        <f aca="false">IF(A783="","",Z782)</f>
        <v>0</v>
      </c>
      <c r="O783" s="6" t="n">
        <f aca="false">IF(A783="","",Inputs!$B$18+N783)</f>
        <v>50000</v>
      </c>
      <c r="P783" s="5" t="n">
        <f aca="false">IF(A783="","",VLOOKUP(D783,DIvidend_Assumption!$A$3:$CX$103,($E$2+2),0)/12)</f>
        <v>0</v>
      </c>
      <c r="Q783" s="10" t="n">
        <f aca="false">IF(A783="","",IFERROR(AB782*P783,""))</f>
        <v>0</v>
      </c>
      <c r="R783" s="10" t="n">
        <f aca="false">IF(A783="","",IFERROR(IF(Inputs!$B$22="Accumulate",T783+Q783,IF(Inputs!$B$22="Premium Offset",MAX(0,T783+Q783-Inputs!$B$25),T783)),""))</f>
        <v>0</v>
      </c>
      <c r="S783" s="10" t="n">
        <f aca="false">IF(A783="","",R782)</f>
        <v>0</v>
      </c>
      <c r="T783" s="10" t="n">
        <f aca="false">IF(A783="","",IFERROR(S783*(1+Inputs!$B$23/12),""))</f>
        <v>0</v>
      </c>
      <c r="U783" s="6" t="n">
        <f aca="false">IF(A783="","",IF(D783&lt;=Inputs!$B$8,IF(Inputs!$B$22="Premium Offset",MAX(0,Inputs!$B$25-(Q783+T783)),Inputs!$B$25),0))</f>
        <v>0</v>
      </c>
      <c r="V783" s="10" t="n">
        <f aca="false">IF(A783="","",IF(Inputs!$B$22="Cash",Q783,0))</f>
        <v>0</v>
      </c>
      <c r="W783" s="10" t="n">
        <f aca="false">IF(A783="","",IF(Inputs!$B$22="PUA",Q783,0))</f>
        <v>0</v>
      </c>
      <c r="X783" s="12" t="n">
        <f aca="false">IF(A783="","",IFERROR(INDEX(PUA_TABLE!$D$4:$D$105,MATCH(E783,PUA_TABLE!$C$4:$C$105,1)),0))</f>
        <v>0.881865297826124</v>
      </c>
      <c r="Y783" s="10" t="n">
        <f aca="false">IF(A783="","",IF(W783&gt;0,IF(X783&gt;0,W783/X783,0),0))</f>
        <v>0</v>
      </c>
      <c r="Z783" s="10" t="n">
        <f aca="false">IF(A783="","",N783+Y783)</f>
        <v>0</v>
      </c>
      <c r="AA783" s="10" t="n">
        <f aca="false">IF(A783="","",IFERROR(Z783*INDEX(PUA_TABLE!$I$4:$I$105,MATCH(E783,PUA_TABLE!$C$4:$C$105,1))/1000,0))</f>
        <v>0</v>
      </c>
      <c r="AB783" s="10" t="n">
        <f aca="false">IF(A783="","",IFERROR(L783+AA783,0))</f>
        <v>44139.795328863</v>
      </c>
      <c r="AC783" s="10" t="n">
        <f aca="false">IF(A783="","",IF(Inputs!$B$22="Premium Offset",MIN(Inputs!$B$25,Q783+T783),0))</f>
        <v>0</v>
      </c>
    </row>
    <row r="784" customFormat="false" ht="15" hidden="false" customHeight="false" outlineLevel="0" collapsed="false">
      <c r="A784" s="1" t="n">
        <f aca="false">IF(A783="","",IF(INT((C783+1)/12)+Inputs!$B$7&gt;MAX(MORTALITY!$A:$A),"",Inputs!$B$4))</f>
        <v>34</v>
      </c>
      <c r="B784" s="3" t="n">
        <f aca="false">IF(A784="","",EOMONTH(B783,1))</f>
        <v>45535</v>
      </c>
      <c r="C784" s="1" t="n">
        <f aca="false">IF(A784="","",C783+1)</f>
        <v>782</v>
      </c>
      <c r="D784" s="1" t="n">
        <f aca="false">IF(A784="","",INT(C784/12))</f>
        <v>65</v>
      </c>
      <c r="E784" s="1" t="n">
        <f aca="false">IF(A784="","",D784+Inputs!$B$7)</f>
        <v>81</v>
      </c>
      <c r="F784" s="3" t="n">
        <f aca="false">IF(A784="","",DATE(YEAR(B$2)+D784,MONTH(B$2),DAY(B$2)))</f>
        <v>45448</v>
      </c>
      <c r="G784" s="3" t="n">
        <f aca="false">IF(A784="","",DATE(YEAR(F784)+1,MONTH(F784),DAY(F784)))</f>
        <v>45813</v>
      </c>
      <c r="H784" s="10" t="n">
        <f aca="false">IF(A784="","",IF(G784&gt;F784,(B784-F784)/(G784-F784),0))</f>
        <v>0.238356164383562</v>
      </c>
      <c r="I784" s="10" t="n">
        <f aca="false">IF(A784="","",IFERROR(INDEX(CV_RATES!$I:$I,MATCH(D784,CV_RATES!$C:$C,0)),0))</f>
        <v>881.865297826124</v>
      </c>
      <c r="J784" s="10" t="n">
        <f aca="false">IF(A784="","",IFERROR(IF(E784=MAX(MORTALITY!$A:$A),1000,INDEX(CV_RATES!$J:$J,MATCH(D784,CV_RATES!$C:$C,0))),0))</f>
        <v>887.930872721924</v>
      </c>
      <c r="K784" s="10" t="n">
        <f aca="false">IF(A784="","",IFERROR(I784+H784*(J784-I784),0))</f>
        <v>883.311064993068</v>
      </c>
      <c r="L784" s="10" t="n">
        <f aca="false">IF(A784="","",IFERROR(K784*Inputs!$B$9,0))</f>
        <v>44165.5532496534</v>
      </c>
      <c r="M784" s="10" t="n">
        <f aca="false">IF(A784="","",IFERROR(K784*Inputs!$B$10,0))</f>
        <v>141327.120465696</v>
      </c>
      <c r="N784" s="10" t="n">
        <f aca="false">IF(A784="","",Z783)</f>
        <v>0</v>
      </c>
      <c r="O784" s="6" t="n">
        <f aca="false">IF(A784="","",Inputs!$B$18+N784)</f>
        <v>50000</v>
      </c>
      <c r="P784" s="5" t="n">
        <f aca="false">IF(A784="","",VLOOKUP(D784,DIvidend_Assumption!$A$3:$CX$103,($E$2+2),0)/12)</f>
        <v>0</v>
      </c>
      <c r="Q784" s="10" t="n">
        <f aca="false">IF(A784="","",IFERROR(AB783*P784,""))</f>
        <v>0</v>
      </c>
      <c r="R784" s="10" t="n">
        <f aca="false">IF(A784="","",IFERROR(IF(Inputs!$B$22="Accumulate",T784+Q784,IF(Inputs!$B$22="Premium Offset",MAX(0,T784+Q784-Inputs!$B$25),T784)),""))</f>
        <v>0</v>
      </c>
      <c r="S784" s="10" t="n">
        <f aca="false">IF(A784="","",R783)</f>
        <v>0</v>
      </c>
      <c r="T784" s="10" t="n">
        <f aca="false">IF(A784="","",IFERROR(S784*(1+Inputs!$B$23/12),""))</f>
        <v>0</v>
      </c>
      <c r="U784" s="6" t="n">
        <f aca="false">IF(A784="","",IF(D784&lt;=Inputs!$B$8,IF(Inputs!$B$22="Premium Offset",MAX(0,Inputs!$B$25-(Q784+T784)),Inputs!$B$25),0))</f>
        <v>0</v>
      </c>
      <c r="V784" s="10" t="n">
        <f aca="false">IF(A784="","",IF(Inputs!$B$22="Cash",Q784,0))</f>
        <v>0</v>
      </c>
      <c r="W784" s="10" t="n">
        <f aca="false">IF(A784="","",IF(Inputs!$B$22="PUA",Q784,0))</f>
        <v>0</v>
      </c>
      <c r="X784" s="12" t="n">
        <f aca="false">IF(A784="","",IFERROR(INDEX(PUA_TABLE!$D$4:$D$105,MATCH(E784,PUA_TABLE!$C$4:$C$105,1)),0))</f>
        <v>0.881865297826124</v>
      </c>
      <c r="Y784" s="10" t="n">
        <f aca="false">IF(A784="","",IF(W784&gt;0,IF(X784&gt;0,W784/X784,0),0))</f>
        <v>0</v>
      </c>
      <c r="Z784" s="10" t="n">
        <f aca="false">IF(A784="","",N784+Y784)</f>
        <v>0</v>
      </c>
      <c r="AA784" s="10" t="n">
        <f aca="false">IF(A784="","",IFERROR(Z784*INDEX(PUA_TABLE!$I$4:$I$105,MATCH(E784,PUA_TABLE!$C$4:$C$105,1))/1000,0))</f>
        <v>0</v>
      </c>
      <c r="AB784" s="10" t="n">
        <f aca="false">IF(A784="","",IFERROR(L784+AA784,0))</f>
        <v>44165.5532496534</v>
      </c>
      <c r="AC784" s="10" t="n">
        <f aca="false">IF(A784="","",IF(Inputs!$B$22="Premium Offset",MIN(Inputs!$B$25,Q784+T784),0))</f>
        <v>0</v>
      </c>
    </row>
    <row r="785" customFormat="false" ht="15" hidden="false" customHeight="false" outlineLevel="0" collapsed="false">
      <c r="A785" s="1" t="n">
        <f aca="false">IF(A784="","",IF(INT((C784+1)/12)+Inputs!$B$7&gt;MAX(MORTALITY!$A:$A),"",Inputs!$B$4))</f>
        <v>34</v>
      </c>
      <c r="B785" s="3" t="n">
        <f aca="false">IF(A785="","",EOMONTH(B784,1))</f>
        <v>45565</v>
      </c>
      <c r="C785" s="1" t="n">
        <f aca="false">IF(A785="","",C784+1)</f>
        <v>783</v>
      </c>
      <c r="D785" s="1" t="n">
        <f aca="false">IF(A785="","",INT(C785/12))</f>
        <v>65</v>
      </c>
      <c r="E785" s="1" t="n">
        <f aca="false">IF(A785="","",D785+Inputs!$B$7)</f>
        <v>81</v>
      </c>
      <c r="F785" s="3" t="n">
        <f aca="false">IF(A785="","",DATE(YEAR(B$2)+D785,MONTH(B$2),DAY(B$2)))</f>
        <v>45448</v>
      </c>
      <c r="G785" s="3" t="n">
        <f aca="false">IF(A785="","",DATE(YEAR(F785)+1,MONTH(F785),DAY(F785)))</f>
        <v>45813</v>
      </c>
      <c r="H785" s="10" t="n">
        <f aca="false">IF(A785="","",IF(G785&gt;F785,(B785-F785)/(G785-F785),0))</f>
        <v>0.320547945205479</v>
      </c>
      <c r="I785" s="10" t="n">
        <f aca="false">IF(A785="","",IFERROR(INDEX(CV_RATES!$I:$I,MATCH(D785,CV_RATES!$C:$C,0)),0))</f>
        <v>881.865297826124</v>
      </c>
      <c r="J785" s="10" t="n">
        <f aca="false">IF(A785="","",IFERROR(IF(E785=MAX(MORTALITY!$A:$A),1000,INDEX(CV_RATES!$J:$J,MATCH(D785,CV_RATES!$C:$C,0))),0))</f>
        <v>887.930872721924</v>
      </c>
      <c r="K785" s="10" t="n">
        <f aca="false">IF(A785="","",IFERROR(I785+H785*(J785-I785),0))</f>
        <v>883.809605395463</v>
      </c>
      <c r="L785" s="10" t="n">
        <f aca="false">IF(A785="","",IFERROR(K785*Inputs!$B$9,0))</f>
        <v>44190.4802697731</v>
      </c>
      <c r="M785" s="10" t="n">
        <f aca="false">IF(A785="","",IFERROR(K785*Inputs!$B$10,0))</f>
        <v>141406.885434458</v>
      </c>
      <c r="N785" s="10" t="n">
        <f aca="false">IF(A785="","",Z784)</f>
        <v>0</v>
      </c>
      <c r="O785" s="6" t="n">
        <f aca="false">IF(A785="","",Inputs!$B$18+N785)</f>
        <v>50000</v>
      </c>
      <c r="P785" s="5" t="n">
        <f aca="false">IF(A785="","",VLOOKUP(D785,DIvidend_Assumption!$A$3:$CX$103,($E$2+2),0)/12)</f>
        <v>0</v>
      </c>
      <c r="Q785" s="10" t="n">
        <f aca="false">IF(A785="","",IFERROR(AB784*P785,""))</f>
        <v>0</v>
      </c>
      <c r="R785" s="10" t="n">
        <f aca="false">IF(A785="","",IFERROR(IF(Inputs!$B$22="Accumulate",T785+Q785,IF(Inputs!$B$22="Premium Offset",MAX(0,T785+Q785-Inputs!$B$25),T785)),""))</f>
        <v>0</v>
      </c>
      <c r="S785" s="10" t="n">
        <f aca="false">IF(A785="","",R784)</f>
        <v>0</v>
      </c>
      <c r="T785" s="10" t="n">
        <f aca="false">IF(A785="","",IFERROR(S785*(1+Inputs!$B$23/12),""))</f>
        <v>0</v>
      </c>
      <c r="U785" s="6" t="n">
        <f aca="false">IF(A785="","",IF(D785&lt;=Inputs!$B$8,IF(Inputs!$B$22="Premium Offset",MAX(0,Inputs!$B$25-(Q785+T785)),Inputs!$B$25),0))</f>
        <v>0</v>
      </c>
      <c r="V785" s="10" t="n">
        <f aca="false">IF(A785="","",IF(Inputs!$B$22="Cash",Q785,0))</f>
        <v>0</v>
      </c>
      <c r="W785" s="10" t="n">
        <f aca="false">IF(A785="","",IF(Inputs!$B$22="PUA",Q785,0))</f>
        <v>0</v>
      </c>
      <c r="X785" s="12" t="n">
        <f aca="false">IF(A785="","",IFERROR(INDEX(PUA_TABLE!$D$4:$D$105,MATCH(E785,PUA_TABLE!$C$4:$C$105,1)),0))</f>
        <v>0.881865297826124</v>
      </c>
      <c r="Y785" s="10" t="n">
        <f aca="false">IF(A785="","",IF(W785&gt;0,IF(X785&gt;0,W785/X785,0),0))</f>
        <v>0</v>
      </c>
      <c r="Z785" s="10" t="n">
        <f aca="false">IF(A785="","",N785+Y785)</f>
        <v>0</v>
      </c>
      <c r="AA785" s="10" t="n">
        <f aca="false">IF(A785="","",IFERROR(Z785*INDEX(PUA_TABLE!$I$4:$I$105,MATCH(E785,PUA_TABLE!$C$4:$C$105,1))/1000,0))</f>
        <v>0</v>
      </c>
      <c r="AB785" s="10" t="n">
        <f aca="false">IF(A785="","",IFERROR(L785+AA785,0))</f>
        <v>44190.4802697731</v>
      </c>
      <c r="AC785" s="10" t="n">
        <f aca="false">IF(A785="","",IF(Inputs!$B$22="Premium Offset",MIN(Inputs!$B$25,Q785+T785),0))</f>
        <v>0</v>
      </c>
    </row>
    <row r="786" customFormat="false" ht="15" hidden="false" customHeight="false" outlineLevel="0" collapsed="false">
      <c r="A786" s="1" t="n">
        <f aca="false">IF(A785="","",IF(INT((C785+1)/12)+Inputs!$B$7&gt;MAX(MORTALITY!$A:$A),"",Inputs!$B$4))</f>
        <v>34</v>
      </c>
      <c r="B786" s="3" t="n">
        <f aca="false">IF(A786="","",EOMONTH(B785,1))</f>
        <v>45596</v>
      </c>
      <c r="C786" s="1" t="n">
        <f aca="false">IF(A786="","",C785+1)</f>
        <v>784</v>
      </c>
      <c r="D786" s="1" t="n">
        <f aca="false">IF(A786="","",INT(C786/12))</f>
        <v>65</v>
      </c>
      <c r="E786" s="1" t="n">
        <f aca="false">IF(A786="","",D786+Inputs!$B$7)</f>
        <v>81</v>
      </c>
      <c r="F786" s="3" t="n">
        <f aca="false">IF(A786="","",DATE(YEAR(B$2)+D786,MONTH(B$2),DAY(B$2)))</f>
        <v>45448</v>
      </c>
      <c r="G786" s="3" t="n">
        <f aca="false">IF(A786="","",DATE(YEAR(F786)+1,MONTH(F786),DAY(F786)))</f>
        <v>45813</v>
      </c>
      <c r="H786" s="10" t="n">
        <f aca="false">IF(A786="","",IF(G786&gt;F786,(B786-F786)/(G786-F786),0))</f>
        <v>0.405479452054795</v>
      </c>
      <c r="I786" s="10" t="n">
        <f aca="false">IF(A786="","",IFERROR(INDEX(CV_RATES!$I:$I,MATCH(D786,CV_RATES!$C:$C,0)),0))</f>
        <v>881.865297826124</v>
      </c>
      <c r="J786" s="10" t="n">
        <f aca="false">IF(A786="","",IFERROR(IF(E786=MAX(MORTALITY!$A:$A),1000,INDEX(CV_RATES!$J:$J,MATCH(D786,CV_RATES!$C:$C,0))),0))</f>
        <v>887.930872721924</v>
      </c>
      <c r="K786" s="10" t="n">
        <f aca="false">IF(A786="","",IFERROR(I786+H786*(J786-I786),0))</f>
        <v>884.324763811271</v>
      </c>
      <c r="L786" s="10" t="n">
        <f aca="false">IF(A786="","",IFERROR(K786*Inputs!$B$9,0))</f>
        <v>44216.2381905635</v>
      </c>
      <c r="M786" s="10" t="n">
        <f aca="false">IF(A786="","",IFERROR(K786*Inputs!$B$10,0))</f>
        <v>141489.309235512</v>
      </c>
      <c r="N786" s="10" t="n">
        <f aca="false">IF(A786="","",Z785)</f>
        <v>0</v>
      </c>
      <c r="O786" s="6" t="n">
        <f aca="false">IF(A786="","",Inputs!$B$18+N786)</f>
        <v>50000</v>
      </c>
      <c r="P786" s="5" t="n">
        <f aca="false">IF(A786="","",VLOOKUP(D786,DIvidend_Assumption!$A$3:$CX$103,($E$2+2),0)/12)</f>
        <v>0</v>
      </c>
      <c r="Q786" s="10" t="n">
        <f aca="false">IF(A786="","",IFERROR(AB785*P786,""))</f>
        <v>0</v>
      </c>
      <c r="R786" s="10" t="n">
        <f aca="false">IF(A786="","",IFERROR(IF(Inputs!$B$22="Accumulate",T786+Q786,IF(Inputs!$B$22="Premium Offset",MAX(0,T786+Q786-Inputs!$B$25),T786)),""))</f>
        <v>0</v>
      </c>
      <c r="S786" s="10" t="n">
        <f aca="false">IF(A786="","",R785)</f>
        <v>0</v>
      </c>
      <c r="T786" s="10" t="n">
        <f aca="false">IF(A786="","",IFERROR(S786*(1+Inputs!$B$23/12),""))</f>
        <v>0</v>
      </c>
      <c r="U786" s="6" t="n">
        <f aca="false">IF(A786="","",IF(D786&lt;=Inputs!$B$8,IF(Inputs!$B$22="Premium Offset",MAX(0,Inputs!$B$25-(Q786+T786)),Inputs!$B$25),0))</f>
        <v>0</v>
      </c>
      <c r="V786" s="10" t="n">
        <f aca="false">IF(A786="","",IF(Inputs!$B$22="Cash",Q786,0))</f>
        <v>0</v>
      </c>
      <c r="W786" s="10" t="n">
        <f aca="false">IF(A786="","",IF(Inputs!$B$22="PUA",Q786,0))</f>
        <v>0</v>
      </c>
      <c r="X786" s="12" t="n">
        <f aca="false">IF(A786="","",IFERROR(INDEX(PUA_TABLE!$D$4:$D$105,MATCH(E786,PUA_TABLE!$C$4:$C$105,1)),0))</f>
        <v>0.881865297826124</v>
      </c>
      <c r="Y786" s="10" t="n">
        <f aca="false">IF(A786="","",IF(W786&gt;0,IF(X786&gt;0,W786/X786,0),0))</f>
        <v>0</v>
      </c>
      <c r="Z786" s="10" t="n">
        <f aca="false">IF(A786="","",N786+Y786)</f>
        <v>0</v>
      </c>
      <c r="AA786" s="10" t="n">
        <f aca="false">IF(A786="","",IFERROR(Z786*INDEX(PUA_TABLE!$I$4:$I$105,MATCH(E786,PUA_TABLE!$C$4:$C$105,1))/1000,0))</f>
        <v>0</v>
      </c>
      <c r="AB786" s="10" t="n">
        <f aca="false">IF(A786="","",IFERROR(L786+AA786,0))</f>
        <v>44216.2381905635</v>
      </c>
      <c r="AC786" s="10" t="n">
        <f aca="false">IF(A786="","",IF(Inputs!$B$22="Premium Offset",MIN(Inputs!$B$25,Q786+T786),0))</f>
        <v>0</v>
      </c>
    </row>
    <row r="787" customFormat="false" ht="15" hidden="false" customHeight="false" outlineLevel="0" collapsed="false">
      <c r="A787" s="1" t="n">
        <f aca="false">IF(A786="","",IF(INT((C786+1)/12)+Inputs!$B$7&gt;MAX(MORTALITY!$A:$A),"",Inputs!$B$4))</f>
        <v>34</v>
      </c>
      <c r="B787" s="3" t="n">
        <f aca="false">IF(A787="","",EOMONTH(B786,1))</f>
        <v>45626</v>
      </c>
      <c r="C787" s="1" t="n">
        <f aca="false">IF(A787="","",C786+1)</f>
        <v>785</v>
      </c>
      <c r="D787" s="1" t="n">
        <f aca="false">IF(A787="","",INT(C787/12))</f>
        <v>65</v>
      </c>
      <c r="E787" s="1" t="n">
        <f aca="false">IF(A787="","",D787+Inputs!$B$7)</f>
        <v>81</v>
      </c>
      <c r="F787" s="3" t="n">
        <f aca="false">IF(A787="","",DATE(YEAR(B$2)+D787,MONTH(B$2),DAY(B$2)))</f>
        <v>45448</v>
      </c>
      <c r="G787" s="3" t="n">
        <f aca="false">IF(A787="","",DATE(YEAR(F787)+1,MONTH(F787),DAY(F787)))</f>
        <v>45813</v>
      </c>
      <c r="H787" s="10" t="n">
        <f aca="false">IF(A787="","",IF(G787&gt;F787,(B787-F787)/(G787-F787),0))</f>
        <v>0.487671232876712</v>
      </c>
      <c r="I787" s="10" t="n">
        <f aca="false">IF(A787="","",IFERROR(INDEX(CV_RATES!$I:$I,MATCH(D787,CV_RATES!$C:$C,0)),0))</f>
        <v>881.865297826124</v>
      </c>
      <c r="J787" s="10" t="n">
        <f aca="false">IF(A787="","",IFERROR(IF(E787=MAX(MORTALITY!$A:$A),1000,INDEX(CV_RATES!$J:$J,MATCH(D787,CV_RATES!$C:$C,0))),0))</f>
        <v>887.930872721924</v>
      </c>
      <c r="K787" s="10" t="n">
        <f aca="false">IF(A787="","",IFERROR(I787+H787*(J787-I787),0))</f>
        <v>884.823304213665</v>
      </c>
      <c r="L787" s="10" t="n">
        <f aca="false">IF(A787="","",IFERROR(K787*Inputs!$B$9,0))</f>
        <v>44241.1652106833</v>
      </c>
      <c r="M787" s="10" t="n">
        <f aca="false">IF(A787="","",IFERROR(K787*Inputs!$B$10,0))</f>
        <v>141569.074204274</v>
      </c>
      <c r="N787" s="10" t="n">
        <f aca="false">IF(A787="","",Z786)</f>
        <v>0</v>
      </c>
      <c r="O787" s="6" t="n">
        <f aca="false">IF(A787="","",Inputs!$B$18+N787)</f>
        <v>50000</v>
      </c>
      <c r="P787" s="5" t="n">
        <f aca="false">IF(A787="","",VLOOKUP(D787,DIvidend_Assumption!$A$3:$CX$103,($E$2+2),0)/12)</f>
        <v>0</v>
      </c>
      <c r="Q787" s="10" t="n">
        <f aca="false">IF(A787="","",IFERROR(AB786*P787,""))</f>
        <v>0</v>
      </c>
      <c r="R787" s="10" t="n">
        <f aca="false">IF(A787="","",IFERROR(IF(Inputs!$B$22="Accumulate",T787+Q787,IF(Inputs!$B$22="Premium Offset",MAX(0,T787+Q787-Inputs!$B$25),T787)),""))</f>
        <v>0</v>
      </c>
      <c r="S787" s="10" t="n">
        <f aca="false">IF(A787="","",R786)</f>
        <v>0</v>
      </c>
      <c r="T787" s="10" t="n">
        <f aca="false">IF(A787="","",IFERROR(S787*(1+Inputs!$B$23/12),""))</f>
        <v>0</v>
      </c>
      <c r="U787" s="6" t="n">
        <f aca="false">IF(A787="","",IF(D787&lt;=Inputs!$B$8,IF(Inputs!$B$22="Premium Offset",MAX(0,Inputs!$B$25-(Q787+T787)),Inputs!$B$25),0))</f>
        <v>0</v>
      </c>
      <c r="V787" s="10" t="n">
        <f aca="false">IF(A787="","",IF(Inputs!$B$22="Cash",Q787,0))</f>
        <v>0</v>
      </c>
      <c r="W787" s="10" t="n">
        <f aca="false">IF(A787="","",IF(Inputs!$B$22="PUA",Q787,0))</f>
        <v>0</v>
      </c>
      <c r="X787" s="12" t="n">
        <f aca="false">IF(A787="","",IFERROR(INDEX(PUA_TABLE!$D$4:$D$105,MATCH(E787,PUA_TABLE!$C$4:$C$105,1)),0))</f>
        <v>0.881865297826124</v>
      </c>
      <c r="Y787" s="10" t="n">
        <f aca="false">IF(A787="","",IF(W787&gt;0,IF(X787&gt;0,W787/X787,0),0))</f>
        <v>0</v>
      </c>
      <c r="Z787" s="10" t="n">
        <f aca="false">IF(A787="","",N787+Y787)</f>
        <v>0</v>
      </c>
      <c r="AA787" s="10" t="n">
        <f aca="false">IF(A787="","",IFERROR(Z787*INDEX(PUA_TABLE!$I$4:$I$105,MATCH(E787,PUA_TABLE!$C$4:$C$105,1))/1000,0))</f>
        <v>0</v>
      </c>
      <c r="AB787" s="10" t="n">
        <f aca="false">IF(A787="","",IFERROR(L787+AA787,0))</f>
        <v>44241.1652106833</v>
      </c>
      <c r="AC787" s="10" t="n">
        <f aca="false">IF(A787="","",IF(Inputs!$B$22="Premium Offset",MIN(Inputs!$B$25,Q787+T787),0))</f>
        <v>0</v>
      </c>
    </row>
    <row r="788" customFormat="false" ht="15" hidden="false" customHeight="false" outlineLevel="0" collapsed="false">
      <c r="A788" s="1" t="n">
        <f aca="false">IF(A787="","",IF(INT((C787+1)/12)+Inputs!$B$7&gt;MAX(MORTALITY!$A:$A),"",Inputs!$B$4))</f>
        <v>34</v>
      </c>
      <c r="B788" s="3" t="n">
        <f aca="false">IF(A788="","",EOMONTH(B787,1))</f>
        <v>45657</v>
      </c>
      <c r="C788" s="1" t="n">
        <f aca="false">IF(A788="","",C787+1)</f>
        <v>786</v>
      </c>
      <c r="D788" s="1" t="n">
        <f aca="false">IF(A788="","",INT(C788/12))</f>
        <v>65</v>
      </c>
      <c r="E788" s="1" t="n">
        <f aca="false">IF(A788="","",D788+Inputs!$B$7)</f>
        <v>81</v>
      </c>
      <c r="F788" s="3" t="n">
        <f aca="false">IF(A788="","",DATE(YEAR(B$2)+D788,MONTH(B$2),DAY(B$2)))</f>
        <v>45448</v>
      </c>
      <c r="G788" s="3" t="n">
        <f aca="false">IF(A788="","",DATE(YEAR(F788)+1,MONTH(F788),DAY(F788)))</f>
        <v>45813</v>
      </c>
      <c r="H788" s="10" t="n">
        <f aca="false">IF(A788="","",IF(G788&gt;F788,(B788-F788)/(G788-F788),0))</f>
        <v>0.572602739726027</v>
      </c>
      <c r="I788" s="10" t="n">
        <f aca="false">IF(A788="","",IFERROR(INDEX(CV_RATES!$I:$I,MATCH(D788,CV_RATES!$C:$C,0)),0))</f>
        <v>881.865297826124</v>
      </c>
      <c r="J788" s="10" t="n">
        <f aca="false">IF(A788="","",IFERROR(IF(E788=MAX(MORTALITY!$A:$A),1000,INDEX(CV_RATES!$J:$J,MATCH(D788,CV_RATES!$C:$C,0))),0))</f>
        <v>887.930872721924</v>
      </c>
      <c r="K788" s="10" t="n">
        <f aca="false">IF(A788="","",IFERROR(I788+H788*(J788-I788),0))</f>
        <v>885.338462629473</v>
      </c>
      <c r="L788" s="10" t="n">
        <f aca="false">IF(A788="","",IFERROR(K788*Inputs!$B$9,0))</f>
        <v>44266.9231314736</v>
      </c>
      <c r="M788" s="10" t="n">
        <f aca="false">IF(A788="","",IFERROR(K788*Inputs!$B$10,0))</f>
        <v>141651.498005328</v>
      </c>
      <c r="N788" s="10" t="n">
        <f aca="false">IF(A788="","",Z787)</f>
        <v>0</v>
      </c>
      <c r="O788" s="6" t="n">
        <f aca="false">IF(A788="","",Inputs!$B$18+N788)</f>
        <v>50000</v>
      </c>
      <c r="P788" s="5" t="n">
        <f aca="false">IF(A788="","",VLOOKUP(D788,DIvidend_Assumption!$A$3:$CX$103,($E$2+2),0)/12)</f>
        <v>0</v>
      </c>
      <c r="Q788" s="10" t="n">
        <f aca="false">IF(A788="","",IFERROR(AB787*P788,""))</f>
        <v>0</v>
      </c>
      <c r="R788" s="10" t="n">
        <f aca="false">IF(A788="","",IFERROR(IF(Inputs!$B$22="Accumulate",T788+Q788,IF(Inputs!$B$22="Premium Offset",MAX(0,T788+Q788-Inputs!$B$25),T788)),""))</f>
        <v>0</v>
      </c>
      <c r="S788" s="10" t="n">
        <f aca="false">IF(A788="","",R787)</f>
        <v>0</v>
      </c>
      <c r="T788" s="10" t="n">
        <f aca="false">IF(A788="","",IFERROR(S788*(1+Inputs!$B$23/12),""))</f>
        <v>0</v>
      </c>
      <c r="U788" s="6" t="n">
        <f aca="false">IF(A788="","",IF(D788&lt;=Inputs!$B$8,IF(Inputs!$B$22="Premium Offset",MAX(0,Inputs!$B$25-(Q788+T788)),Inputs!$B$25),0))</f>
        <v>0</v>
      </c>
      <c r="V788" s="10" t="n">
        <f aca="false">IF(A788="","",IF(Inputs!$B$22="Cash",Q788,0))</f>
        <v>0</v>
      </c>
      <c r="W788" s="10" t="n">
        <f aca="false">IF(A788="","",IF(Inputs!$B$22="PUA",Q788,0))</f>
        <v>0</v>
      </c>
      <c r="X788" s="12" t="n">
        <f aca="false">IF(A788="","",IFERROR(INDEX(PUA_TABLE!$D$4:$D$105,MATCH(E788,PUA_TABLE!$C$4:$C$105,1)),0))</f>
        <v>0.881865297826124</v>
      </c>
      <c r="Y788" s="10" t="n">
        <f aca="false">IF(A788="","",IF(W788&gt;0,IF(X788&gt;0,W788/X788,0),0))</f>
        <v>0</v>
      </c>
      <c r="Z788" s="10" t="n">
        <f aca="false">IF(A788="","",N788+Y788)</f>
        <v>0</v>
      </c>
      <c r="AA788" s="10" t="n">
        <f aca="false">IF(A788="","",IFERROR(Z788*INDEX(PUA_TABLE!$I$4:$I$105,MATCH(E788,PUA_TABLE!$C$4:$C$105,1))/1000,0))</f>
        <v>0</v>
      </c>
      <c r="AB788" s="10" t="n">
        <f aca="false">IF(A788="","",IFERROR(L788+AA788,0))</f>
        <v>44266.9231314736</v>
      </c>
      <c r="AC788" s="10" t="n">
        <f aca="false">IF(A788="","",IF(Inputs!$B$22="Premium Offset",MIN(Inputs!$B$25,Q788+T788),0))</f>
        <v>0</v>
      </c>
    </row>
    <row r="789" customFormat="false" ht="15" hidden="false" customHeight="false" outlineLevel="0" collapsed="false">
      <c r="A789" s="1" t="n">
        <f aca="false">IF(A788="","",IF(INT((C788+1)/12)+Inputs!$B$7&gt;MAX(MORTALITY!$A:$A),"",Inputs!$B$4))</f>
        <v>34</v>
      </c>
      <c r="B789" s="3" t="n">
        <f aca="false">IF(A789="","",EOMONTH(B788,1))</f>
        <v>45688</v>
      </c>
      <c r="C789" s="1" t="n">
        <f aca="false">IF(A789="","",C788+1)</f>
        <v>787</v>
      </c>
      <c r="D789" s="1" t="n">
        <f aca="false">IF(A789="","",INT(C789/12))</f>
        <v>65</v>
      </c>
      <c r="E789" s="1" t="n">
        <f aca="false">IF(A789="","",D789+Inputs!$B$7)</f>
        <v>81</v>
      </c>
      <c r="F789" s="3" t="n">
        <f aca="false">IF(A789="","",DATE(YEAR(B$2)+D789,MONTH(B$2),DAY(B$2)))</f>
        <v>45448</v>
      </c>
      <c r="G789" s="3" t="n">
        <f aca="false">IF(A789="","",DATE(YEAR(F789)+1,MONTH(F789),DAY(F789)))</f>
        <v>45813</v>
      </c>
      <c r="H789" s="10" t="n">
        <f aca="false">IF(A789="","",IF(G789&gt;F789,(B789-F789)/(G789-F789),0))</f>
        <v>0.657534246575342</v>
      </c>
      <c r="I789" s="10" t="n">
        <f aca="false">IF(A789="","",IFERROR(INDEX(CV_RATES!$I:$I,MATCH(D789,CV_RATES!$C:$C,0)),0))</f>
        <v>881.865297826124</v>
      </c>
      <c r="J789" s="10" t="n">
        <f aca="false">IF(A789="","",IFERROR(IF(E789=MAX(MORTALITY!$A:$A),1000,INDEX(CV_RATES!$J:$J,MATCH(D789,CV_RATES!$C:$C,0))),0))</f>
        <v>887.930872721924</v>
      </c>
      <c r="K789" s="10" t="n">
        <f aca="false">IF(A789="","",IFERROR(I789+H789*(J789-I789),0))</f>
        <v>885.85362104528</v>
      </c>
      <c r="L789" s="10" t="n">
        <f aca="false">IF(A789="","",IFERROR(K789*Inputs!$B$9,0))</f>
        <v>44292.681052264</v>
      </c>
      <c r="M789" s="10" t="n">
        <f aca="false">IF(A789="","",IFERROR(K789*Inputs!$B$10,0))</f>
        <v>141733.921806382</v>
      </c>
      <c r="N789" s="10" t="n">
        <f aca="false">IF(A789="","",Z788)</f>
        <v>0</v>
      </c>
      <c r="O789" s="6" t="n">
        <f aca="false">IF(A789="","",Inputs!$B$18+N789)</f>
        <v>50000</v>
      </c>
      <c r="P789" s="5" t="n">
        <f aca="false">IF(A789="","",VLOOKUP(D789,DIvidend_Assumption!$A$3:$CX$103,($E$2+2),0)/12)</f>
        <v>0</v>
      </c>
      <c r="Q789" s="10" t="n">
        <f aca="false">IF(A789="","",IFERROR(AB788*P789,""))</f>
        <v>0</v>
      </c>
      <c r="R789" s="10" t="n">
        <f aca="false">IF(A789="","",IFERROR(IF(Inputs!$B$22="Accumulate",T789+Q789,IF(Inputs!$B$22="Premium Offset",MAX(0,T789+Q789-Inputs!$B$25),T789)),""))</f>
        <v>0</v>
      </c>
      <c r="S789" s="10" t="n">
        <f aca="false">IF(A789="","",R788)</f>
        <v>0</v>
      </c>
      <c r="T789" s="10" t="n">
        <f aca="false">IF(A789="","",IFERROR(S789*(1+Inputs!$B$23/12),""))</f>
        <v>0</v>
      </c>
      <c r="U789" s="6" t="n">
        <f aca="false">IF(A789="","",IF(D789&lt;=Inputs!$B$8,IF(Inputs!$B$22="Premium Offset",MAX(0,Inputs!$B$25-(Q789+T789)),Inputs!$B$25),0))</f>
        <v>0</v>
      </c>
      <c r="V789" s="10" t="n">
        <f aca="false">IF(A789="","",IF(Inputs!$B$22="Cash",Q789,0))</f>
        <v>0</v>
      </c>
      <c r="W789" s="10" t="n">
        <f aca="false">IF(A789="","",IF(Inputs!$B$22="PUA",Q789,0))</f>
        <v>0</v>
      </c>
      <c r="X789" s="12" t="n">
        <f aca="false">IF(A789="","",IFERROR(INDEX(PUA_TABLE!$D$4:$D$105,MATCH(E789,PUA_TABLE!$C$4:$C$105,1)),0))</f>
        <v>0.881865297826124</v>
      </c>
      <c r="Y789" s="10" t="n">
        <f aca="false">IF(A789="","",IF(W789&gt;0,IF(X789&gt;0,W789/X789,0),0))</f>
        <v>0</v>
      </c>
      <c r="Z789" s="10" t="n">
        <f aca="false">IF(A789="","",N789+Y789)</f>
        <v>0</v>
      </c>
      <c r="AA789" s="10" t="n">
        <f aca="false">IF(A789="","",IFERROR(Z789*INDEX(PUA_TABLE!$I$4:$I$105,MATCH(E789,PUA_TABLE!$C$4:$C$105,1))/1000,0))</f>
        <v>0</v>
      </c>
      <c r="AB789" s="10" t="n">
        <f aca="false">IF(A789="","",IFERROR(L789+AA789,0))</f>
        <v>44292.681052264</v>
      </c>
      <c r="AC789" s="10" t="n">
        <f aca="false">IF(A789="","",IF(Inputs!$B$22="Premium Offset",MIN(Inputs!$B$25,Q789+T789),0))</f>
        <v>0</v>
      </c>
    </row>
    <row r="790" customFormat="false" ht="15" hidden="false" customHeight="false" outlineLevel="0" collapsed="false">
      <c r="A790" s="1" t="n">
        <f aca="false">IF(A789="","",IF(INT((C789+1)/12)+Inputs!$B$7&gt;MAX(MORTALITY!$A:$A),"",Inputs!$B$4))</f>
        <v>34</v>
      </c>
      <c r="B790" s="3" t="n">
        <f aca="false">IF(A790="","",EOMONTH(B789,1))</f>
        <v>45716</v>
      </c>
      <c r="C790" s="1" t="n">
        <f aca="false">IF(A790="","",C789+1)</f>
        <v>788</v>
      </c>
      <c r="D790" s="1" t="n">
        <f aca="false">IF(A790="","",INT(C790/12))</f>
        <v>65</v>
      </c>
      <c r="E790" s="1" t="n">
        <f aca="false">IF(A790="","",D790+Inputs!$B$7)</f>
        <v>81</v>
      </c>
      <c r="F790" s="3" t="n">
        <f aca="false">IF(A790="","",DATE(YEAR(B$2)+D790,MONTH(B$2),DAY(B$2)))</f>
        <v>45448</v>
      </c>
      <c r="G790" s="3" t="n">
        <f aca="false">IF(A790="","",DATE(YEAR(F790)+1,MONTH(F790),DAY(F790)))</f>
        <v>45813</v>
      </c>
      <c r="H790" s="10" t="n">
        <f aca="false">IF(A790="","",IF(G790&gt;F790,(B790-F790)/(G790-F790),0))</f>
        <v>0.734246575342466</v>
      </c>
      <c r="I790" s="10" t="n">
        <f aca="false">IF(A790="","",IFERROR(INDEX(CV_RATES!$I:$I,MATCH(D790,CV_RATES!$C:$C,0)),0))</f>
        <v>881.865297826124</v>
      </c>
      <c r="J790" s="10" t="n">
        <f aca="false">IF(A790="","",IFERROR(IF(E790=MAX(MORTALITY!$A:$A),1000,INDEX(CV_RATES!$J:$J,MATCH(D790,CV_RATES!$C:$C,0))),0))</f>
        <v>887.930872721924</v>
      </c>
      <c r="K790" s="10" t="n">
        <f aca="false">IF(A790="","",IFERROR(I790+H790*(J790-I790),0))</f>
        <v>886.318925420848</v>
      </c>
      <c r="L790" s="10" t="n">
        <f aca="false">IF(A790="","",IFERROR(K790*Inputs!$B$9,0))</f>
        <v>44315.9462710424</v>
      </c>
      <c r="M790" s="10" t="n">
        <f aca="false">IF(A790="","",IFERROR(K790*Inputs!$B$10,0))</f>
        <v>141808.36911056</v>
      </c>
      <c r="N790" s="10" t="n">
        <f aca="false">IF(A790="","",Z789)</f>
        <v>0</v>
      </c>
      <c r="O790" s="6" t="n">
        <f aca="false">IF(A790="","",Inputs!$B$18+N790)</f>
        <v>50000</v>
      </c>
      <c r="P790" s="5" t="n">
        <f aca="false">IF(A790="","",VLOOKUP(D790,DIvidend_Assumption!$A$3:$CX$103,($E$2+2),0)/12)</f>
        <v>0</v>
      </c>
      <c r="Q790" s="10" t="n">
        <f aca="false">IF(A790="","",IFERROR(AB789*P790,""))</f>
        <v>0</v>
      </c>
      <c r="R790" s="10" t="n">
        <f aca="false">IF(A790="","",IFERROR(IF(Inputs!$B$22="Accumulate",T790+Q790,IF(Inputs!$B$22="Premium Offset",MAX(0,T790+Q790-Inputs!$B$25),T790)),""))</f>
        <v>0</v>
      </c>
      <c r="S790" s="10" t="n">
        <f aca="false">IF(A790="","",R789)</f>
        <v>0</v>
      </c>
      <c r="T790" s="10" t="n">
        <f aca="false">IF(A790="","",IFERROR(S790*(1+Inputs!$B$23/12),""))</f>
        <v>0</v>
      </c>
      <c r="U790" s="6" t="n">
        <f aca="false">IF(A790="","",IF(D790&lt;=Inputs!$B$8,IF(Inputs!$B$22="Premium Offset",MAX(0,Inputs!$B$25-(Q790+T790)),Inputs!$B$25),0))</f>
        <v>0</v>
      </c>
      <c r="V790" s="10" t="n">
        <f aca="false">IF(A790="","",IF(Inputs!$B$22="Cash",Q790,0))</f>
        <v>0</v>
      </c>
      <c r="W790" s="10" t="n">
        <f aca="false">IF(A790="","",IF(Inputs!$B$22="PUA",Q790,0))</f>
        <v>0</v>
      </c>
      <c r="X790" s="12" t="n">
        <f aca="false">IF(A790="","",IFERROR(INDEX(PUA_TABLE!$D$4:$D$105,MATCH(E790,PUA_TABLE!$C$4:$C$105,1)),0))</f>
        <v>0.881865297826124</v>
      </c>
      <c r="Y790" s="10" t="n">
        <f aca="false">IF(A790="","",IF(W790&gt;0,IF(X790&gt;0,W790/X790,0),0))</f>
        <v>0</v>
      </c>
      <c r="Z790" s="10" t="n">
        <f aca="false">IF(A790="","",N790+Y790)</f>
        <v>0</v>
      </c>
      <c r="AA790" s="10" t="n">
        <f aca="false">IF(A790="","",IFERROR(Z790*INDEX(PUA_TABLE!$I$4:$I$105,MATCH(E790,PUA_TABLE!$C$4:$C$105,1))/1000,0))</f>
        <v>0</v>
      </c>
      <c r="AB790" s="10" t="n">
        <f aca="false">IF(A790="","",IFERROR(L790+AA790,0))</f>
        <v>44315.9462710424</v>
      </c>
      <c r="AC790" s="10" t="n">
        <f aca="false">IF(A790="","",IF(Inputs!$B$22="Premium Offset",MIN(Inputs!$B$25,Q790+T790),0))</f>
        <v>0</v>
      </c>
    </row>
    <row r="791" customFormat="false" ht="15" hidden="false" customHeight="false" outlineLevel="0" collapsed="false">
      <c r="A791" s="1" t="n">
        <f aca="false">IF(A790="","",IF(INT((C790+1)/12)+Inputs!$B$7&gt;MAX(MORTALITY!$A:$A),"",Inputs!$B$4))</f>
        <v>34</v>
      </c>
      <c r="B791" s="3" t="n">
        <f aca="false">IF(A791="","",EOMONTH(B790,1))</f>
        <v>45747</v>
      </c>
      <c r="C791" s="1" t="n">
        <f aca="false">IF(A791="","",C790+1)</f>
        <v>789</v>
      </c>
      <c r="D791" s="1" t="n">
        <f aca="false">IF(A791="","",INT(C791/12))</f>
        <v>65</v>
      </c>
      <c r="E791" s="1" t="n">
        <f aca="false">IF(A791="","",D791+Inputs!$B$7)</f>
        <v>81</v>
      </c>
      <c r="F791" s="3" t="n">
        <f aca="false">IF(A791="","",DATE(YEAR(B$2)+D791,MONTH(B$2),DAY(B$2)))</f>
        <v>45448</v>
      </c>
      <c r="G791" s="3" t="n">
        <f aca="false">IF(A791="","",DATE(YEAR(F791)+1,MONTH(F791),DAY(F791)))</f>
        <v>45813</v>
      </c>
      <c r="H791" s="10" t="n">
        <f aca="false">IF(A791="","",IF(G791&gt;F791,(B791-F791)/(G791-F791),0))</f>
        <v>0.819178082191781</v>
      </c>
      <c r="I791" s="10" t="n">
        <f aca="false">IF(A791="","",IFERROR(INDEX(CV_RATES!$I:$I,MATCH(D791,CV_RATES!$C:$C,0)),0))</f>
        <v>881.865297826124</v>
      </c>
      <c r="J791" s="10" t="n">
        <f aca="false">IF(A791="","",IFERROR(IF(E791=MAX(MORTALITY!$A:$A),1000,INDEX(CV_RATES!$J:$J,MATCH(D791,CV_RATES!$C:$C,0))),0))</f>
        <v>887.930872721924</v>
      </c>
      <c r="K791" s="10" t="n">
        <f aca="false">IF(A791="","",IFERROR(I791+H791*(J791-I791),0))</f>
        <v>886.834083836656</v>
      </c>
      <c r="L791" s="10" t="n">
        <f aca="false">IF(A791="","",IFERROR(K791*Inputs!$B$9,0))</f>
        <v>44341.7041918328</v>
      </c>
      <c r="M791" s="10" t="n">
        <f aca="false">IF(A791="","",IFERROR(K791*Inputs!$B$10,0))</f>
        <v>141890.792911613</v>
      </c>
      <c r="N791" s="10" t="n">
        <f aca="false">IF(A791="","",Z790)</f>
        <v>0</v>
      </c>
      <c r="O791" s="6" t="n">
        <f aca="false">IF(A791="","",Inputs!$B$18+N791)</f>
        <v>50000</v>
      </c>
      <c r="P791" s="5" t="n">
        <f aca="false">IF(A791="","",VLOOKUP(D791,DIvidend_Assumption!$A$3:$CX$103,($E$2+2),0)/12)</f>
        <v>0</v>
      </c>
      <c r="Q791" s="10" t="n">
        <f aca="false">IF(A791="","",IFERROR(AB790*P791,""))</f>
        <v>0</v>
      </c>
      <c r="R791" s="10" t="n">
        <f aca="false">IF(A791="","",IFERROR(IF(Inputs!$B$22="Accumulate",T791+Q791,IF(Inputs!$B$22="Premium Offset",MAX(0,T791+Q791-Inputs!$B$25),T791)),""))</f>
        <v>0</v>
      </c>
      <c r="S791" s="10" t="n">
        <f aca="false">IF(A791="","",R790)</f>
        <v>0</v>
      </c>
      <c r="T791" s="10" t="n">
        <f aca="false">IF(A791="","",IFERROR(S791*(1+Inputs!$B$23/12),""))</f>
        <v>0</v>
      </c>
      <c r="U791" s="6" t="n">
        <f aca="false">IF(A791="","",IF(D791&lt;=Inputs!$B$8,IF(Inputs!$B$22="Premium Offset",MAX(0,Inputs!$B$25-(Q791+T791)),Inputs!$B$25),0))</f>
        <v>0</v>
      </c>
      <c r="V791" s="10" t="n">
        <f aca="false">IF(A791="","",IF(Inputs!$B$22="Cash",Q791,0))</f>
        <v>0</v>
      </c>
      <c r="W791" s="10" t="n">
        <f aca="false">IF(A791="","",IF(Inputs!$B$22="PUA",Q791,0))</f>
        <v>0</v>
      </c>
      <c r="X791" s="12" t="n">
        <f aca="false">IF(A791="","",IFERROR(INDEX(PUA_TABLE!$D$4:$D$105,MATCH(E791,PUA_TABLE!$C$4:$C$105,1)),0))</f>
        <v>0.881865297826124</v>
      </c>
      <c r="Y791" s="10" t="n">
        <f aca="false">IF(A791="","",IF(W791&gt;0,IF(X791&gt;0,W791/X791,0),0))</f>
        <v>0</v>
      </c>
      <c r="Z791" s="10" t="n">
        <f aca="false">IF(A791="","",N791+Y791)</f>
        <v>0</v>
      </c>
      <c r="AA791" s="10" t="n">
        <f aca="false">IF(A791="","",IFERROR(Z791*INDEX(PUA_TABLE!$I$4:$I$105,MATCH(E791,PUA_TABLE!$C$4:$C$105,1))/1000,0))</f>
        <v>0</v>
      </c>
      <c r="AB791" s="10" t="n">
        <f aca="false">IF(A791="","",IFERROR(L791+AA791,0))</f>
        <v>44341.7041918328</v>
      </c>
      <c r="AC791" s="10" t="n">
        <f aca="false">IF(A791="","",IF(Inputs!$B$22="Premium Offset",MIN(Inputs!$B$25,Q791+T791),0))</f>
        <v>0</v>
      </c>
    </row>
    <row r="792" customFormat="false" ht="15" hidden="false" customHeight="false" outlineLevel="0" collapsed="false">
      <c r="A792" s="1" t="n">
        <f aca="false">IF(A791="","",IF(INT((C791+1)/12)+Inputs!$B$7&gt;MAX(MORTALITY!$A:$A),"",Inputs!$B$4))</f>
        <v>34</v>
      </c>
      <c r="B792" s="3" t="n">
        <f aca="false">IF(A792="","",EOMONTH(B791,1))</f>
        <v>45777</v>
      </c>
      <c r="C792" s="1" t="n">
        <f aca="false">IF(A792="","",C791+1)</f>
        <v>790</v>
      </c>
      <c r="D792" s="1" t="n">
        <f aca="false">IF(A792="","",INT(C792/12))</f>
        <v>65</v>
      </c>
      <c r="E792" s="1" t="n">
        <f aca="false">IF(A792="","",D792+Inputs!$B$7)</f>
        <v>81</v>
      </c>
      <c r="F792" s="3" t="n">
        <f aca="false">IF(A792="","",DATE(YEAR(B$2)+D792,MONTH(B$2),DAY(B$2)))</f>
        <v>45448</v>
      </c>
      <c r="G792" s="3" t="n">
        <f aca="false">IF(A792="","",DATE(YEAR(F792)+1,MONTH(F792),DAY(F792)))</f>
        <v>45813</v>
      </c>
      <c r="H792" s="10" t="n">
        <f aca="false">IF(A792="","",IF(G792&gt;F792,(B792-F792)/(G792-F792),0))</f>
        <v>0.901369863013699</v>
      </c>
      <c r="I792" s="10" t="n">
        <f aca="false">IF(A792="","",IFERROR(INDEX(CV_RATES!$I:$I,MATCH(D792,CV_RATES!$C:$C,0)),0))</f>
        <v>881.865297826124</v>
      </c>
      <c r="J792" s="10" t="n">
        <f aca="false">IF(A792="","",IFERROR(IF(E792=MAX(MORTALITY!$A:$A),1000,INDEX(CV_RATES!$J:$J,MATCH(D792,CV_RATES!$C:$C,0))),0))</f>
        <v>887.930872721924</v>
      </c>
      <c r="K792" s="10" t="n">
        <f aca="false">IF(A792="","",IFERROR(I792+H792*(J792-I792),0))</f>
        <v>887.332624239051</v>
      </c>
      <c r="L792" s="10" t="n">
        <f aca="false">IF(A792="","",IFERROR(K792*Inputs!$B$9,0))</f>
        <v>44366.6312119525</v>
      </c>
      <c r="M792" s="10" t="n">
        <f aca="false">IF(A792="","",IFERROR(K792*Inputs!$B$10,0))</f>
        <v>141970.557880375</v>
      </c>
      <c r="N792" s="10" t="n">
        <f aca="false">IF(A792="","",Z791)</f>
        <v>0</v>
      </c>
      <c r="O792" s="6" t="n">
        <f aca="false">IF(A792="","",Inputs!$B$18+N792)</f>
        <v>50000</v>
      </c>
      <c r="P792" s="5" t="n">
        <f aca="false">IF(A792="","",VLOOKUP(D792,DIvidend_Assumption!$A$3:$CX$103,($E$2+2),0)/12)</f>
        <v>0</v>
      </c>
      <c r="Q792" s="10" t="n">
        <f aca="false">IF(A792="","",IFERROR(AB791*P792,""))</f>
        <v>0</v>
      </c>
      <c r="R792" s="10" t="n">
        <f aca="false">IF(A792="","",IFERROR(IF(Inputs!$B$22="Accumulate",T792+Q792,IF(Inputs!$B$22="Premium Offset",MAX(0,T792+Q792-Inputs!$B$25),T792)),""))</f>
        <v>0</v>
      </c>
      <c r="S792" s="10" t="n">
        <f aca="false">IF(A792="","",R791)</f>
        <v>0</v>
      </c>
      <c r="T792" s="10" t="n">
        <f aca="false">IF(A792="","",IFERROR(S792*(1+Inputs!$B$23/12),""))</f>
        <v>0</v>
      </c>
      <c r="U792" s="6" t="n">
        <f aca="false">IF(A792="","",IF(D792&lt;=Inputs!$B$8,IF(Inputs!$B$22="Premium Offset",MAX(0,Inputs!$B$25-(Q792+T792)),Inputs!$B$25),0))</f>
        <v>0</v>
      </c>
      <c r="V792" s="10" t="n">
        <f aca="false">IF(A792="","",IF(Inputs!$B$22="Cash",Q792,0))</f>
        <v>0</v>
      </c>
      <c r="W792" s="10" t="n">
        <f aca="false">IF(A792="","",IF(Inputs!$B$22="PUA",Q792,0))</f>
        <v>0</v>
      </c>
      <c r="X792" s="12" t="n">
        <f aca="false">IF(A792="","",IFERROR(INDEX(PUA_TABLE!$D$4:$D$105,MATCH(E792,PUA_TABLE!$C$4:$C$105,1)),0))</f>
        <v>0.881865297826124</v>
      </c>
      <c r="Y792" s="10" t="n">
        <f aca="false">IF(A792="","",IF(W792&gt;0,IF(X792&gt;0,W792/X792,0),0))</f>
        <v>0</v>
      </c>
      <c r="Z792" s="10" t="n">
        <f aca="false">IF(A792="","",N792+Y792)</f>
        <v>0</v>
      </c>
      <c r="AA792" s="10" t="n">
        <f aca="false">IF(A792="","",IFERROR(Z792*INDEX(PUA_TABLE!$I$4:$I$105,MATCH(E792,PUA_TABLE!$C$4:$C$105,1))/1000,0))</f>
        <v>0</v>
      </c>
      <c r="AB792" s="10" t="n">
        <f aca="false">IF(A792="","",IFERROR(L792+AA792,0))</f>
        <v>44366.6312119525</v>
      </c>
      <c r="AC792" s="10" t="n">
        <f aca="false">IF(A792="","",IF(Inputs!$B$22="Premium Offset",MIN(Inputs!$B$25,Q792+T792),0))</f>
        <v>0</v>
      </c>
    </row>
    <row r="793" customFormat="false" ht="15" hidden="false" customHeight="false" outlineLevel="0" collapsed="false">
      <c r="A793" s="1" t="n">
        <f aca="false">IF(A792="","",IF(INT((C792+1)/12)+Inputs!$B$7&gt;MAX(MORTALITY!$A:$A),"",Inputs!$B$4))</f>
        <v>34</v>
      </c>
      <c r="B793" s="3" t="n">
        <f aca="false">IF(A793="","",EOMONTH(B792,1))</f>
        <v>45808</v>
      </c>
      <c r="C793" s="1" t="n">
        <f aca="false">IF(A793="","",C792+1)</f>
        <v>791</v>
      </c>
      <c r="D793" s="1" t="n">
        <f aca="false">IF(A793="","",INT(C793/12))</f>
        <v>65</v>
      </c>
      <c r="E793" s="1" t="n">
        <f aca="false">IF(A793="","",D793+Inputs!$B$7)</f>
        <v>81</v>
      </c>
      <c r="F793" s="3" t="n">
        <f aca="false">IF(A793="","",DATE(YEAR(B$2)+D793,MONTH(B$2),DAY(B$2)))</f>
        <v>45448</v>
      </c>
      <c r="G793" s="3" t="n">
        <f aca="false">IF(A793="","",DATE(YEAR(F793)+1,MONTH(F793),DAY(F793)))</f>
        <v>45813</v>
      </c>
      <c r="H793" s="10" t="n">
        <f aca="false">IF(A793="","",IF(G793&gt;F793,(B793-F793)/(G793-F793),0))</f>
        <v>0.986301369863014</v>
      </c>
      <c r="I793" s="10" t="n">
        <f aca="false">IF(A793="","",IFERROR(INDEX(CV_RATES!$I:$I,MATCH(D793,CV_RATES!$C:$C,0)),0))</f>
        <v>881.865297826124</v>
      </c>
      <c r="J793" s="10" t="n">
        <f aca="false">IF(A793="","",IFERROR(IF(E793=MAX(MORTALITY!$A:$A),1000,INDEX(CV_RATES!$J:$J,MATCH(D793,CV_RATES!$C:$C,0))),0))</f>
        <v>887.930872721924</v>
      </c>
      <c r="K793" s="10" t="n">
        <f aca="false">IF(A793="","",IFERROR(I793+H793*(J793-I793),0))</f>
        <v>887.847782654858</v>
      </c>
      <c r="L793" s="10" t="n">
        <f aca="false">IF(A793="","",IFERROR(K793*Inputs!$B$9,0))</f>
        <v>44392.3891327429</v>
      </c>
      <c r="M793" s="10" t="n">
        <f aca="false">IF(A793="","",IFERROR(K793*Inputs!$B$10,0))</f>
        <v>142052.981681429</v>
      </c>
      <c r="N793" s="10" t="n">
        <f aca="false">IF(A793="","",Z792)</f>
        <v>0</v>
      </c>
      <c r="O793" s="6" t="n">
        <f aca="false">IF(A793="","",Inputs!$B$18+N793)</f>
        <v>50000</v>
      </c>
      <c r="P793" s="5" t="n">
        <f aca="false">IF(A793="","",VLOOKUP(D793,DIvidend_Assumption!$A$3:$CX$103,($E$2+2),0)/12)</f>
        <v>0</v>
      </c>
      <c r="Q793" s="10" t="n">
        <f aca="false">IF(A793="","",IFERROR(AB792*P793,""))</f>
        <v>0</v>
      </c>
      <c r="R793" s="10" t="n">
        <f aca="false">IF(A793="","",IFERROR(IF(Inputs!$B$22="Accumulate",T793+Q793,IF(Inputs!$B$22="Premium Offset",MAX(0,T793+Q793-Inputs!$B$25),T793)),""))</f>
        <v>0</v>
      </c>
      <c r="S793" s="10" t="n">
        <f aca="false">IF(A793="","",R792)</f>
        <v>0</v>
      </c>
      <c r="T793" s="10" t="n">
        <f aca="false">IF(A793="","",IFERROR(S793*(1+Inputs!$B$23/12),""))</f>
        <v>0</v>
      </c>
      <c r="U793" s="6" t="n">
        <f aca="false">IF(A793="","",IF(D793&lt;=Inputs!$B$8,IF(Inputs!$B$22="Premium Offset",MAX(0,Inputs!$B$25-(Q793+T793)),Inputs!$B$25),0))</f>
        <v>0</v>
      </c>
      <c r="V793" s="10" t="n">
        <f aca="false">IF(A793="","",IF(Inputs!$B$22="Cash",Q793,0))</f>
        <v>0</v>
      </c>
      <c r="W793" s="10" t="n">
        <f aca="false">IF(A793="","",IF(Inputs!$B$22="PUA",Q793,0))</f>
        <v>0</v>
      </c>
      <c r="X793" s="12" t="n">
        <f aca="false">IF(A793="","",IFERROR(INDEX(PUA_TABLE!$D$4:$D$105,MATCH(E793,PUA_TABLE!$C$4:$C$105,1)),0))</f>
        <v>0.881865297826124</v>
      </c>
      <c r="Y793" s="10" t="n">
        <f aca="false">IF(A793="","",IF(W793&gt;0,IF(X793&gt;0,W793/X793,0),0))</f>
        <v>0</v>
      </c>
      <c r="Z793" s="10" t="n">
        <f aca="false">IF(A793="","",N793+Y793)</f>
        <v>0</v>
      </c>
      <c r="AA793" s="10" t="n">
        <f aca="false">IF(A793="","",IFERROR(Z793*INDEX(PUA_TABLE!$I$4:$I$105,MATCH(E793,PUA_TABLE!$C$4:$C$105,1))/1000,0))</f>
        <v>0</v>
      </c>
      <c r="AB793" s="10" t="n">
        <f aca="false">IF(A793="","",IFERROR(L793+AA793,0))</f>
        <v>44392.3891327429</v>
      </c>
      <c r="AC793" s="10" t="n">
        <f aca="false">IF(A793="","",IF(Inputs!$B$22="Premium Offset",MIN(Inputs!$B$25,Q793+T793),0))</f>
        <v>0</v>
      </c>
    </row>
    <row r="794" customFormat="false" ht="15" hidden="false" customHeight="false" outlineLevel="0" collapsed="false">
      <c r="A794" s="1" t="n">
        <f aca="false">IF(A793="","",IF(INT((C793+1)/12)+Inputs!$B$7&gt;MAX(MORTALITY!$A:$A),"",Inputs!$B$4))</f>
        <v>34</v>
      </c>
      <c r="B794" s="3" t="n">
        <f aca="false">IF(A794="","",EOMONTH(B793,1))</f>
        <v>45838</v>
      </c>
      <c r="C794" s="1" t="n">
        <f aca="false">IF(A794="","",C793+1)</f>
        <v>792</v>
      </c>
      <c r="D794" s="1" t="n">
        <f aca="false">IF(A794="","",INT(C794/12))</f>
        <v>66</v>
      </c>
      <c r="E794" s="1" t="n">
        <f aca="false">IF(A794="","",D794+Inputs!$B$7)</f>
        <v>82</v>
      </c>
      <c r="F794" s="3" t="n">
        <f aca="false">IF(A794="","",DATE(YEAR(B$2)+D794,MONTH(B$2),DAY(B$2)))</f>
        <v>45813</v>
      </c>
      <c r="G794" s="3" t="n">
        <f aca="false">IF(A794="","",DATE(YEAR(F794)+1,MONTH(F794),DAY(F794)))</f>
        <v>46178</v>
      </c>
      <c r="H794" s="10" t="n">
        <f aca="false">IF(A794="","",IF(G794&gt;F794,(B794-F794)/(G794-F794),0))</f>
        <v>0.0684931506849315</v>
      </c>
      <c r="I794" s="10" t="n">
        <f aca="false">IF(A794="","",IFERROR(INDEX(CV_RATES!$I:$I,MATCH(D794,CV_RATES!$C:$C,0)),0))</f>
        <v>887.930872721924</v>
      </c>
      <c r="J794" s="10" t="n">
        <f aca="false">IF(A794="","",IFERROR(IF(E794=MAX(MORTALITY!$A:$A),1000,INDEX(CV_RATES!$J:$J,MATCH(D794,CV_RATES!$C:$C,0))),0))</f>
        <v>893.749579755003</v>
      </c>
      <c r="K794" s="10" t="n">
        <f aca="false">IF(A794="","",IFERROR(I794+H794*(J794-I794),0))</f>
        <v>888.329414299532</v>
      </c>
      <c r="L794" s="10" t="n">
        <f aca="false">IF(A794="","",IFERROR(K794*Inputs!$B$9,0))</f>
        <v>44416.4707149766</v>
      </c>
      <c r="M794" s="10" t="n">
        <f aca="false">IF(A794="","",IFERROR(K794*Inputs!$B$10,0))</f>
        <v>142130.041299682</v>
      </c>
      <c r="N794" s="10" t="n">
        <f aca="false">IF(A794="","",Z793)</f>
        <v>0</v>
      </c>
      <c r="O794" s="6" t="n">
        <f aca="false">IF(A794="","",Inputs!$B$18+N794)</f>
        <v>50000</v>
      </c>
      <c r="P794" s="5" t="n">
        <f aca="false">IF(A794="","",VLOOKUP(D794,DIvidend_Assumption!$A$3:$CX$103,($E$2+2),0)/12)</f>
        <v>0</v>
      </c>
      <c r="Q794" s="10" t="n">
        <f aca="false">IF(A794="","",IFERROR(AB793*P794,""))</f>
        <v>0</v>
      </c>
      <c r="R794" s="10" t="n">
        <f aca="false">IF(A794="","",IFERROR(IF(Inputs!$B$22="Accumulate",T794+Q794,IF(Inputs!$B$22="Premium Offset",MAX(0,T794+Q794-Inputs!$B$25),T794)),""))</f>
        <v>0</v>
      </c>
      <c r="S794" s="10" t="n">
        <f aca="false">IF(A794="","",R793)</f>
        <v>0</v>
      </c>
      <c r="T794" s="10" t="n">
        <f aca="false">IF(A794="","",IFERROR(S794*(1+Inputs!$B$23/12),""))</f>
        <v>0</v>
      </c>
      <c r="U794" s="6" t="n">
        <f aca="false">IF(A794="","",IF(D794&lt;=Inputs!$B$8,IF(Inputs!$B$22="Premium Offset",MAX(0,Inputs!$B$25-(Q794+T794)),Inputs!$B$25),0))</f>
        <v>0</v>
      </c>
      <c r="V794" s="10" t="n">
        <f aca="false">IF(A794="","",IF(Inputs!$B$22="Cash",Q794,0))</f>
        <v>0</v>
      </c>
      <c r="W794" s="10" t="n">
        <f aca="false">IF(A794="","",IF(Inputs!$B$22="PUA",Q794,0))</f>
        <v>0</v>
      </c>
      <c r="X794" s="12" t="n">
        <f aca="false">IF(A794="","",IFERROR(INDEX(PUA_TABLE!$D$4:$D$105,MATCH(E794,PUA_TABLE!$C$4:$C$105,1)),0))</f>
        <v>0.887930872721924</v>
      </c>
      <c r="Y794" s="10" t="n">
        <f aca="false">IF(A794="","",IF(W794&gt;0,IF(X794&gt;0,W794/X794,0),0))</f>
        <v>0</v>
      </c>
      <c r="Z794" s="10" t="n">
        <f aca="false">IF(A794="","",N794+Y794)</f>
        <v>0</v>
      </c>
      <c r="AA794" s="10" t="n">
        <f aca="false">IF(A794="","",IFERROR(Z794*INDEX(PUA_TABLE!$I$4:$I$105,MATCH(E794,PUA_TABLE!$C$4:$C$105,1))/1000,0))</f>
        <v>0</v>
      </c>
      <c r="AB794" s="10" t="n">
        <f aca="false">IF(A794="","",IFERROR(L794+AA794,0))</f>
        <v>44416.4707149766</v>
      </c>
      <c r="AC794" s="10" t="n">
        <f aca="false">IF(A794="","",IF(Inputs!$B$22="Premium Offset",MIN(Inputs!$B$25,Q794+T794),0))</f>
        <v>0</v>
      </c>
    </row>
    <row r="795" customFormat="false" ht="15" hidden="false" customHeight="false" outlineLevel="0" collapsed="false">
      <c r="A795" s="1" t="n">
        <f aca="false">IF(A794="","",IF(INT((C794+1)/12)+Inputs!$B$7&gt;MAX(MORTALITY!$A:$A),"",Inputs!$B$4))</f>
        <v>34</v>
      </c>
      <c r="B795" s="3" t="n">
        <f aca="false">IF(A795="","",EOMONTH(B794,1))</f>
        <v>45869</v>
      </c>
      <c r="C795" s="1" t="n">
        <f aca="false">IF(A795="","",C794+1)</f>
        <v>793</v>
      </c>
      <c r="D795" s="1" t="n">
        <f aca="false">IF(A795="","",INT(C795/12))</f>
        <v>66</v>
      </c>
      <c r="E795" s="1" t="n">
        <f aca="false">IF(A795="","",D795+Inputs!$B$7)</f>
        <v>82</v>
      </c>
      <c r="F795" s="3" t="n">
        <f aca="false">IF(A795="","",DATE(YEAR(B$2)+D795,MONTH(B$2),DAY(B$2)))</f>
        <v>45813</v>
      </c>
      <c r="G795" s="3" t="n">
        <f aca="false">IF(A795="","",DATE(YEAR(F795)+1,MONTH(F795),DAY(F795)))</f>
        <v>46178</v>
      </c>
      <c r="H795" s="10" t="n">
        <f aca="false">IF(A795="","",IF(G795&gt;F795,(B795-F795)/(G795-F795),0))</f>
        <v>0.153424657534247</v>
      </c>
      <c r="I795" s="10" t="n">
        <f aca="false">IF(A795="","",IFERROR(INDEX(CV_RATES!$I:$I,MATCH(D795,CV_RATES!$C:$C,0)),0))</f>
        <v>887.930872721924</v>
      </c>
      <c r="J795" s="10" t="n">
        <f aca="false">IF(A795="","",IFERROR(IF(E795=MAX(MORTALITY!$A:$A),1000,INDEX(CV_RATES!$J:$J,MATCH(D795,CV_RATES!$C:$C,0))),0))</f>
        <v>893.749579755003</v>
      </c>
      <c r="K795" s="10" t="n">
        <f aca="false">IF(A795="","",IFERROR(I795+H795*(J795-I795),0))</f>
        <v>888.823605855766</v>
      </c>
      <c r="L795" s="10" t="n">
        <f aca="false">IF(A795="","",IFERROR(K795*Inputs!$B$9,0))</f>
        <v>44441.1802927883</v>
      </c>
      <c r="M795" s="10" t="n">
        <f aca="false">IF(A795="","",IFERROR(K795*Inputs!$B$10,0))</f>
        <v>142209.110466105</v>
      </c>
      <c r="N795" s="10" t="n">
        <f aca="false">IF(A795="","",Z794)</f>
        <v>0</v>
      </c>
      <c r="O795" s="6" t="n">
        <f aca="false">IF(A795="","",Inputs!$B$18+N795)</f>
        <v>50000</v>
      </c>
      <c r="P795" s="5" t="n">
        <f aca="false">IF(A795="","",VLOOKUP(D795,DIvidend_Assumption!$A$3:$CX$103,($E$2+2),0)/12)</f>
        <v>0</v>
      </c>
      <c r="Q795" s="10" t="n">
        <f aca="false">IF(A795="","",IFERROR(AB794*P795,""))</f>
        <v>0</v>
      </c>
      <c r="R795" s="10" t="n">
        <f aca="false">IF(A795="","",IFERROR(IF(Inputs!$B$22="Accumulate",T795+Q795,IF(Inputs!$B$22="Premium Offset",MAX(0,T795+Q795-Inputs!$B$25),T795)),""))</f>
        <v>0</v>
      </c>
      <c r="S795" s="10" t="n">
        <f aca="false">IF(A795="","",R794)</f>
        <v>0</v>
      </c>
      <c r="T795" s="10" t="n">
        <f aca="false">IF(A795="","",IFERROR(S795*(1+Inputs!$B$23/12),""))</f>
        <v>0</v>
      </c>
      <c r="U795" s="6" t="n">
        <f aca="false">IF(A795="","",IF(D795&lt;=Inputs!$B$8,IF(Inputs!$B$22="Premium Offset",MAX(0,Inputs!$B$25-(Q795+T795)),Inputs!$B$25),0))</f>
        <v>0</v>
      </c>
      <c r="V795" s="10" t="n">
        <f aca="false">IF(A795="","",IF(Inputs!$B$22="Cash",Q795,0))</f>
        <v>0</v>
      </c>
      <c r="W795" s="10" t="n">
        <f aca="false">IF(A795="","",IF(Inputs!$B$22="PUA",Q795,0))</f>
        <v>0</v>
      </c>
      <c r="X795" s="12" t="n">
        <f aca="false">IF(A795="","",IFERROR(INDEX(PUA_TABLE!$D$4:$D$105,MATCH(E795,PUA_TABLE!$C$4:$C$105,1)),0))</f>
        <v>0.887930872721924</v>
      </c>
      <c r="Y795" s="10" t="n">
        <f aca="false">IF(A795="","",IF(W795&gt;0,IF(X795&gt;0,W795/X795,0),0))</f>
        <v>0</v>
      </c>
      <c r="Z795" s="10" t="n">
        <f aca="false">IF(A795="","",N795+Y795)</f>
        <v>0</v>
      </c>
      <c r="AA795" s="10" t="n">
        <f aca="false">IF(A795="","",IFERROR(Z795*INDEX(PUA_TABLE!$I$4:$I$105,MATCH(E795,PUA_TABLE!$C$4:$C$105,1))/1000,0))</f>
        <v>0</v>
      </c>
      <c r="AB795" s="10" t="n">
        <f aca="false">IF(A795="","",IFERROR(L795+AA795,0))</f>
        <v>44441.1802927883</v>
      </c>
      <c r="AC795" s="10" t="n">
        <f aca="false">IF(A795="","",IF(Inputs!$B$22="Premium Offset",MIN(Inputs!$B$25,Q795+T795),0))</f>
        <v>0</v>
      </c>
    </row>
    <row r="796" customFormat="false" ht="15" hidden="false" customHeight="false" outlineLevel="0" collapsed="false">
      <c r="A796" s="1" t="n">
        <f aca="false">IF(A795="","",IF(INT((C795+1)/12)+Inputs!$B$7&gt;MAX(MORTALITY!$A:$A),"",Inputs!$B$4))</f>
        <v>34</v>
      </c>
      <c r="B796" s="3" t="n">
        <f aca="false">IF(A796="","",EOMONTH(B795,1))</f>
        <v>45900</v>
      </c>
      <c r="C796" s="1" t="n">
        <f aca="false">IF(A796="","",C795+1)</f>
        <v>794</v>
      </c>
      <c r="D796" s="1" t="n">
        <f aca="false">IF(A796="","",INT(C796/12))</f>
        <v>66</v>
      </c>
      <c r="E796" s="1" t="n">
        <f aca="false">IF(A796="","",D796+Inputs!$B$7)</f>
        <v>82</v>
      </c>
      <c r="F796" s="3" t="n">
        <f aca="false">IF(A796="","",DATE(YEAR(B$2)+D796,MONTH(B$2),DAY(B$2)))</f>
        <v>45813</v>
      </c>
      <c r="G796" s="3" t="n">
        <f aca="false">IF(A796="","",DATE(YEAR(F796)+1,MONTH(F796),DAY(F796)))</f>
        <v>46178</v>
      </c>
      <c r="H796" s="10" t="n">
        <f aca="false">IF(A796="","",IF(G796&gt;F796,(B796-F796)/(G796-F796),0))</f>
        <v>0.238356164383562</v>
      </c>
      <c r="I796" s="10" t="n">
        <f aca="false">IF(A796="","",IFERROR(INDEX(CV_RATES!$I:$I,MATCH(D796,CV_RATES!$C:$C,0)),0))</f>
        <v>887.930872721924</v>
      </c>
      <c r="J796" s="10" t="n">
        <f aca="false">IF(A796="","",IFERROR(IF(E796=MAX(MORTALITY!$A:$A),1000,INDEX(CV_RATES!$J:$J,MATCH(D796,CV_RATES!$C:$C,0))),0))</f>
        <v>893.749579755003</v>
      </c>
      <c r="K796" s="10" t="n">
        <f aca="false">IF(A796="","",IFERROR(I796+H796*(J796-I796),0))</f>
        <v>889.317797412</v>
      </c>
      <c r="L796" s="10" t="n">
        <f aca="false">IF(A796="","",IFERROR(K796*Inputs!$B$9,0))</f>
        <v>44465.8898706</v>
      </c>
      <c r="M796" s="10" t="n">
        <f aca="false">IF(A796="","",IFERROR(K796*Inputs!$B$10,0))</f>
        <v>142288.179632528</v>
      </c>
      <c r="N796" s="10" t="n">
        <f aca="false">IF(A796="","",Z795)</f>
        <v>0</v>
      </c>
      <c r="O796" s="6" t="n">
        <f aca="false">IF(A796="","",Inputs!$B$18+N796)</f>
        <v>50000</v>
      </c>
      <c r="P796" s="5" t="n">
        <f aca="false">IF(A796="","",VLOOKUP(D796,DIvidend_Assumption!$A$3:$CX$103,($E$2+2),0)/12)</f>
        <v>0</v>
      </c>
      <c r="Q796" s="10" t="n">
        <f aca="false">IF(A796="","",IFERROR(AB795*P796,""))</f>
        <v>0</v>
      </c>
      <c r="R796" s="10" t="n">
        <f aca="false">IF(A796="","",IFERROR(IF(Inputs!$B$22="Accumulate",T796+Q796,IF(Inputs!$B$22="Premium Offset",MAX(0,T796+Q796-Inputs!$B$25),T796)),""))</f>
        <v>0</v>
      </c>
      <c r="S796" s="10" t="n">
        <f aca="false">IF(A796="","",R795)</f>
        <v>0</v>
      </c>
      <c r="T796" s="10" t="n">
        <f aca="false">IF(A796="","",IFERROR(S796*(1+Inputs!$B$23/12),""))</f>
        <v>0</v>
      </c>
      <c r="U796" s="6" t="n">
        <f aca="false">IF(A796="","",IF(D796&lt;=Inputs!$B$8,IF(Inputs!$B$22="Premium Offset",MAX(0,Inputs!$B$25-(Q796+T796)),Inputs!$B$25),0))</f>
        <v>0</v>
      </c>
      <c r="V796" s="10" t="n">
        <f aca="false">IF(A796="","",IF(Inputs!$B$22="Cash",Q796,0))</f>
        <v>0</v>
      </c>
      <c r="W796" s="10" t="n">
        <f aca="false">IF(A796="","",IF(Inputs!$B$22="PUA",Q796,0))</f>
        <v>0</v>
      </c>
      <c r="X796" s="12" t="n">
        <f aca="false">IF(A796="","",IFERROR(INDEX(PUA_TABLE!$D$4:$D$105,MATCH(E796,PUA_TABLE!$C$4:$C$105,1)),0))</f>
        <v>0.887930872721924</v>
      </c>
      <c r="Y796" s="10" t="n">
        <f aca="false">IF(A796="","",IF(W796&gt;0,IF(X796&gt;0,W796/X796,0),0))</f>
        <v>0</v>
      </c>
      <c r="Z796" s="10" t="n">
        <f aca="false">IF(A796="","",N796+Y796)</f>
        <v>0</v>
      </c>
      <c r="AA796" s="10" t="n">
        <f aca="false">IF(A796="","",IFERROR(Z796*INDEX(PUA_TABLE!$I$4:$I$105,MATCH(E796,PUA_TABLE!$C$4:$C$105,1))/1000,0))</f>
        <v>0</v>
      </c>
      <c r="AB796" s="10" t="n">
        <f aca="false">IF(A796="","",IFERROR(L796+AA796,0))</f>
        <v>44465.8898706</v>
      </c>
      <c r="AC796" s="10" t="n">
        <f aca="false">IF(A796="","",IF(Inputs!$B$22="Premium Offset",MIN(Inputs!$B$25,Q796+T796),0))</f>
        <v>0</v>
      </c>
    </row>
    <row r="797" customFormat="false" ht="15" hidden="false" customHeight="false" outlineLevel="0" collapsed="false">
      <c r="A797" s="1" t="n">
        <f aca="false">IF(A796="","",IF(INT((C796+1)/12)+Inputs!$B$7&gt;MAX(MORTALITY!$A:$A),"",Inputs!$B$4))</f>
        <v>34</v>
      </c>
      <c r="B797" s="3" t="n">
        <f aca="false">IF(A797="","",EOMONTH(B796,1))</f>
        <v>45930</v>
      </c>
      <c r="C797" s="1" t="n">
        <f aca="false">IF(A797="","",C796+1)</f>
        <v>795</v>
      </c>
      <c r="D797" s="1" t="n">
        <f aca="false">IF(A797="","",INT(C797/12))</f>
        <v>66</v>
      </c>
      <c r="E797" s="1" t="n">
        <f aca="false">IF(A797="","",D797+Inputs!$B$7)</f>
        <v>82</v>
      </c>
      <c r="F797" s="3" t="n">
        <f aca="false">IF(A797="","",DATE(YEAR(B$2)+D797,MONTH(B$2),DAY(B$2)))</f>
        <v>45813</v>
      </c>
      <c r="G797" s="3" t="n">
        <f aca="false">IF(A797="","",DATE(YEAR(F797)+1,MONTH(F797),DAY(F797)))</f>
        <v>46178</v>
      </c>
      <c r="H797" s="10" t="n">
        <f aca="false">IF(A797="","",IF(G797&gt;F797,(B797-F797)/(G797-F797),0))</f>
        <v>0.320547945205479</v>
      </c>
      <c r="I797" s="10" t="n">
        <f aca="false">IF(A797="","",IFERROR(INDEX(CV_RATES!$I:$I,MATCH(D797,CV_RATES!$C:$C,0)),0))</f>
        <v>887.930872721924</v>
      </c>
      <c r="J797" s="10" t="n">
        <f aca="false">IF(A797="","",IFERROR(IF(E797=MAX(MORTALITY!$A:$A),1000,INDEX(CV_RATES!$J:$J,MATCH(D797,CV_RATES!$C:$C,0))),0))</f>
        <v>893.749579755003</v>
      </c>
      <c r="K797" s="10" t="n">
        <f aca="false">IF(A797="","",IFERROR(I797+H797*(J797-I797),0))</f>
        <v>889.79604730513</v>
      </c>
      <c r="L797" s="10" t="n">
        <f aca="false">IF(A797="","",IFERROR(K797*Inputs!$B$9,0))</f>
        <v>44489.8023652565</v>
      </c>
      <c r="M797" s="10" t="n">
        <f aca="false">IF(A797="","",IFERROR(K797*Inputs!$B$10,0))</f>
        <v>142364.698180679</v>
      </c>
      <c r="N797" s="10" t="n">
        <f aca="false">IF(A797="","",Z796)</f>
        <v>0</v>
      </c>
      <c r="O797" s="6" t="n">
        <f aca="false">IF(A797="","",Inputs!$B$18+N797)</f>
        <v>50000</v>
      </c>
      <c r="P797" s="5" t="n">
        <f aca="false">IF(A797="","",VLOOKUP(D797,DIvidend_Assumption!$A$3:$CX$103,($E$2+2),0)/12)</f>
        <v>0</v>
      </c>
      <c r="Q797" s="10" t="n">
        <f aca="false">IF(A797="","",IFERROR(AB796*P797,""))</f>
        <v>0</v>
      </c>
      <c r="R797" s="10" t="n">
        <f aca="false">IF(A797="","",IFERROR(IF(Inputs!$B$22="Accumulate",T797+Q797,IF(Inputs!$B$22="Premium Offset",MAX(0,T797+Q797-Inputs!$B$25),T797)),""))</f>
        <v>0</v>
      </c>
      <c r="S797" s="10" t="n">
        <f aca="false">IF(A797="","",R796)</f>
        <v>0</v>
      </c>
      <c r="T797" s="10" t="n">
        <f aca="false">IF(A797="","",IFERROR(S797*(1+Inputs!$B$23/12),""))</f>
        <v>0</v>
      </c>
      <c r="U797" s="6" t="n">
        <f aca="false">IF(A797="","",IF(D797&lt;=Inputs!$B$8,IF(Inputs!$B$22="Premium Offset",MAX(0,Inputs!$B$25-(Q797+T797)),Inputs!$B$25),0))</f>
        <v>0</v>
      </c>
      <c r="V797" s="10" t="n">
        <f aca="false">IF(A797="","",IF(Inputs!$B$22="Cash",Q797,0))</f>
        <v>0</v>
      </c>
      <c r="W797" s="10" t="n">
        <f aca="false">IF(A797="","",IF(Inputs!$B$22="PUA",Q797,0))</f>
        <v>0</v>
      </c>
      <c r="X797" s="12" t="n">
        <f aca="false">IF(A797="","",IFERROR(INDEX(PUA_TABLE!$D$4:$D$105,MATCH(E797,PUA_TABLE!$C$4:$C$105,1)),0))</f>
        <v>0.887930872721924</v>
      </c>
      <c r="Y797" s="10" t="n">
        <f aca="false">IF(A797="","",IF(W797&gt;0,IF(X797&gt;0,W797/X797,0),0))</f>
        <v>0</v>
      </c>
      <c r="Z797" s="10" t="n">
        <f aca="false">IF(A797="","",N797+Y797)</f>
        <v>0</v>
      </c>
      <c r="AA797" s="10" t="n">
        <f aca="false">IF(A797="","",IFERROR(Z797*INDEX(PUA_TABLE!$I$4:$I$105,MATCH(E797,PUA_TABLE!$C$4:$C$105,1))/1000,0))</f>
        <v>0</v>
      </c>
      <c r="AB797" s="10" t="n">
        <f aca="false">IF(A797="","",IFERROR(L797+AA797,0))</f>
        <v>44489.8023652565</v>
      </c>
      <c r="AC797" s="10" t="n">
        <f aca="false">IF(A797="","",IF(Inputs!$B$22="Premium Offset",MIN(Inputs!$B$25,Q797+T797),0))</f>
        <v>0</v>
      </c>
    </row>
    <row r="798" customFormat="false" ht="15" hidden="false" customHeight="false" outlineLevel="0" collapsed="false">
      <c r="A798" s="1" t="n">
        <f aca="false">IF(A797="","",IF(INT((C797+1)/12)+Inputs!$B$7&gt;MAX(MORTALITY!$A:$A),"",Inputs!$B$4))</f>
        <v>34</v>
      </c>
      <c r="B798" s="3" t="n">
        <f aca="false">IF(A798="","",EOMONTH(B797,1))</f>
        <v>45961</v>
      </c>
      <c r="C798" s="1" t="n">
        <f aca="false">IF(A798="","",C797+1)</f>
        <v>796</v>
      </c>
      <c r="D798" s="1" t="n">
        <f aca="false">IF(A798="","",INT(C798/12))</f>
        <v>66</v>
      </c>
      <c r="E798" s="1" t="n">
        <f aca="false">IF(A798="","",D798+Inputs!$B$7)</f>
        <v>82</v>
      </c>
      <c r="F798" s="3" t="n">
        <f aca="false">IF(A798="","",DATE(YEAR(B$2)+D798,MONTH(B$2),DAY(B$2)))</f>
        <v>45813</v>
      </c>
      <c r="G798" s="3" t="n">
        <f aca="false">IF(A798="","",DATE(YEAR(F798)+1,MONTH(F798),DAY(F798)))</f>
        <v>46178</v>
      </c>
      <c r="H798" s="10" t="n">
        <f aca="false">IF(A798="","",IF(G798&gt;F798,(B798-F798)/(G798-F798),0))</f>
        <v>0.405479452054795</v>
      </c>
      <c r="I798" s="10" t="n">
        <f aca="false">IF(A798="","",IFERROR(INDEX(CV_RATES!$I:$I,MATCH(D798,CV_RATES!$C:$C,0)),0))</f>
        <v>887.930872721924</v>
      </c>
      <c r="J798" s="10" t="n">
        <f aca="false">IF(A798="","",IFERROR(IF(E798=MAX(MORTALITY!$A:$A),1000,INDEX(CV_RATES!$J:$J,MATCH(D798,CV_RATES!$C:$C,0))),0))</f>
        <v>893.749579755003</v>
      </c>
      <c r="K798" s="10" t="n">
        <f aca="false">IF(A798="","",IFERROR(I798+H798*(J798-I798),0))</f>
        <v>890.290238861364</v>
      </c>
      <c r="L798" s="10" t="n">
        <f aca="false">IF(A798="","",IFERROR(K798*Inputs!$B$9,0))</f>
        <v>44514.5119430682</v>
      </c>
      <c r="M798" s="10" t="n">
        <f aca="false">IF(A798="","",IFERROR(K798*Inputs!$B$10,0))</f>
        <v>142443.767347102</v>
      </c>
      <c r="N798" s="10" t="n">
        <f aca="false">IF(A798="","",Z797)</f>
        <v>0</v>
      </c>
      <c r="O798" s="6" t="n">
        <f aca="false">IF(A798="","",Inputs!$B$18+N798)</f>
        <v>50000</v>
      </c>
      <c r="P798" s="5" t="n">
        <f aca="false">IF(A798="","",VLOOKUP(D798,DIvidend_Assumption!$A$3:$CX$103,($E$2+2),0)/12)</f>
        <v>0</v>
      </c>
      <c r="Q798" s="10" t="n">
        <f aca="false">IF(A798="","",IFERROR(AB797*P798,""))</f>
        <v>0</v>
      </c>
      <c r="R798" s="10" t="n">
        <f aca="false">IF(A798="","",IFERROR(IF(Inputs!$B$22="Accumulate",T798+Q798,IF(Inputs!$B$22="Premium Offset",MAX(0,T798+Q798-Inputs!$B$25),T798)),""))</f>
        <v>0</v>
      </c>
      <c r="S798" s="10" t="n">
        <f aca="false">IF(A798="","",R797)</f>
        <v>0</v>
      </c>
      <c r="T798" s="10" t="n">
        <f aca="false">IF(A798="","",IFERROR(S798*(1+Inputs!$B$23/12),""))</f>
        <v>0</v>
      </c>
      <c r="U798" s="6" t="n">
        <f aca="false">IF(A798="","",IF(D798&lt;=Inputs!$B$8,IF(Inputs!$B$22="Premium Offset",MAX(0,Inputs!$B$25-(Q798+T798)),Inputs!$B$25),0))</f>
        <v>0</v>
      </c>
      <c r="V798" s="10" t="n">
        <f aca="false">IF(A798="","",IF(Inputs!$B$22="Cash",Q798,0))</f>
        <v>0</v>
      </c>
      <c r="W798" s="10" t="n">
        <f aca="false">IF(A798="","",IF(Inputs!$B$22="PUA",Q798,0))</f>
        <v>0</v>
      </c>
      <c r="X798" s="12" t="n">
        <f aca="false">IF(A798="","",IFERROR(INDEX(PUA_TABLE!$D$4:$D$105,MATCH(E798,PUA_TABLE!$C$4:$C$105,1)),0))</f>
        <v>0.887930872721924</v>
      </c>
      <c r="Y798" s="10" t="n">
        <f aca="false">IF(A798="","",IF(W798&gt;0,IF(X798&gt;0,W798/X798,0),0))</f>
        <v>0</v>
      </c>
      <c r="Z798" s="10" t="n">
        <f aca="false">IF(A798="","",N798+Y798)</f>
        <v>0</v>
      </c>
      <c r="AA798" s="10" t="n">
        <f aca="false">IF(A798="","",IFERROR(Z798*INDEX(PUA_TABLE!$I$4:$I$105,MATCH(E798,PUA_TABLE!$C$4:$C$105,1))/1000,0))</f>
        <v>0</v>
      </c>
      <c r="AB798" s="10" t="n">
        <f aca="false">IF(A798="","",IFERROR(L798+AA798,0))</f>
        <v>44514.5119430682</v>
      </c>
      <c r="AC798" s="10" t="n">
        <f aca="false">IF(A798="","",IF(Inputs!$B$22="Premium Offset",MIN(Inputs!$B$25,Q798+T798),0))</f>
        <v>0</v>
      </c>
    </row>
    <row r="799" customFormat="false" ht="15" hidden="false" customHeight="false" outlineLevel="0" collapsed="false">
      <c r="A799" s="1" t="n">
        <f aca="false">IF(A798="","",IF(INT((C798+1)/12)+Inputs!$B$7&gt;MAX(MORTALITY!$A:$A),"",Inputs!$B$4))</f>
        <v>34</v>
      </c>
      <c r="B799" s="3" t="n">
        <f aca="false">IF(A799="","",EOMONTH(B798,1))</f>
        <v>45991</v>
      </c>
      <c r="C799" s="1" t="n">
        <f aca="false">IF(A799="","",C798+1)</f>
        <v>797</v>
      </c>
      <c r="D799" s="1" t="n">
        <f aca="false">IF(A799="","",INT(C799/12))</f>
        <v>66</v>
      </c>
      <c r="E799" s="1" t="n">
        <f aca="false">IF(A799="","",D799+Inputs!$B$7)</f>
        <v>82</v>
      </c>
      <c r="F799" s="3" t="n">
        <f aca="false">IF(A799="","",DATE(YEAR(B$2)+D799,MONTH(B$2),DAY(B$2)))</f>
        <v>45813</v>
      </c>
      <c r="G799" s="3" t="n">
        <f aca="false">IF(A799="","",DATE(YEAR(F799)+1,MONTH(F799),DAY(F799)))</f>
        <v>46178</v>
      </c>
      <c r="H799" s="10" t="n">
        <f aca="false">IF(A799="","",IF(G799&gt;F799,(B799-F799)/(G799-F799),0))</f>
        <v>0.487671232876712</v>
      </c>
      <c r="I799" s="10" t="n">
        <f aca="false">IF(A799="","",IFERROR(INDEX(CV_RATES!$I:$I,MATCH(D799,CV_RATES!$C:$C,0)),0))</f>
        <v>887.930872721924</v>
      </c>
      <c r="J799" s="10" t="n">
        <f aca="false">IF(A799="","",IFERROR(IF(E799=MAX(MORTALITY!$A:$A),1000,INDEX(CV_RATES!$J:$J,MATCH(D799,CV_RATES!$C:$C,0))),0))</f>
        <v>893.749579755003</v>
      </c>
      <c r="K799" s="10" t="n">
        <f aca="false">IF(A799="","",IFERROR(I799+H799*(J799-I799),0))</f>
        <v>890.768488754494</v>
      </c>
      <c r="L799" s="10" t="n">
        <f aca="false">IF(A799="","",IFERROR(K799*Inputs!$B$9,0))</f>
        <v>44538.4244377247</v>
      </c>
      <c r="M799" s="10" t="n">
        <f aca="false">IF(A799="","",IFERROR(K799*Inputs!$B$10,0))</f>
        <v>142520.285895253</v>
      </c>
      <c r="N799" s="10" t="n">
        <f aca="false">IF(A799="","",Z798)</f>
        <v>0</v>
      </c>
      <c r="O799" s="6" t="n">
        <f aca="false">IF(A799="","",Inputs!$B$18+N799)</f>
        <v>50000</v>
      </c>
      <c r="P799" s="5" t="n">
        <f aca="false">IF(A799="","",VLOOKUP(D799,DIvidend_Assumption!$A$3:$CX$103,($E$2+2),0)/12)</f>
        <v>0</v>
      </c>
      <c r="Q799" s="10" t="n">
        <f aca="false">IF(A799="","",IFERROR(AB798*P799,""))</f>
        <v>0</v>
      </c>
      <c r="R799" s="10" t="n">
        <f aca="false">IF(A799="","",IFERROR(IF(Inputs!$B$22="Accumulate",T799+Q799,IF(Inputs!$B$22="Premium Offset",MAX(0,T799+Q799-Inputs!$B$25),T799)),""))</f>
        <v>0</v>
      </c>
      <c r="S799" s="10" t="n">
        <f aca="false">IF(A799="","",R798)</f>
        <v>0</v>
      </c>
      <c r="T799" s="10" t="n">
        <f aca="false">IF(A799="","",IFERROR(S799*(1+Inputs!$B$23/12),""))</f>
        <v>0</v>
      </c>
      <c r="U799" s="6" t="n">
        <f aca="false">IF(A799="","",IF(D799&lt;=Inputs!$B$8,IF(Inputs!$B$22="Premium Offset",MAX(0,Inputs!$B$25-(Q799+T799)),Inputs!$B$25),0))</f>
        <v>0</v>
      </c>
      <c r="V799" s="10" t="n">
        <f aca="false">IF(A799="","",IF(Inputs!$B$22="Cash",Q799,0))</f>
        <v>0</v>
      </c>
      <c r="W799" s="10" t="n">
        <f aca="false">IF(A799="","",IF(Inputs!$B$22="PUA",Q799,0))</f>
        <v>0</v>
      </c>
      <c r="X799" s="12" t="n">
        <f aca="false">IF(A799="","",IFERROR(INDEX(PUA_TABLE!$D$4:$D$105,MATCH(E799,PUA_TABLE!$C$4:$C$105,1)),0))</f>
        <v>0.887930872721924</v>
      </c>
      <c r="Y799" s="10" t="n">
        <f aca="false">IF(A799="","",IF(W799&gt;0,IF(X799&gt;0,W799/X799,0),0))</f>
        <v>0</v>
      </c>
      <c r="Z799" s="10" t="n">
        <f aca="false">IF(A799="","",N799+Y799)</f>
        <v>0</v>
      </c>
      <c r="AA799" s="10" t="n">
        <f aca="false">IF(A799="","",IFERROR(Z799*INDEX(PUA_TABLE!$I$4:$I$105,MATCH(E799,PUA_TABLE!$C$4:$C$105,1))/1000,0))</f>
        <v>0</v>
      </c>
      <c r="AB799" s="10" t="n">
        <f aca="false">IF(A799="","",IFERROR(L799+AA799,0))</f>
        <v>44538.4244377247</v>
      </c>
      <c r="AC799" s="10" t="n">
        <f aca="false">IF(A799="","",IF(Inputs!$B$22="Premium Offset",MIN(Inputs!$B$25,Q799+T799),0))</f>
        <v>0</v>
      </c>
    </row>
    <row r="800" customFormat="false" ht="15" hidden="false" customHeight="false" outlineLevel="0" collapsed="false">
      <c r="A800" s="1" t="n">
        <f aca="false">IF(A799="","",IF(INT((C799+1)/12)+Inputs!$B$7&gt;MAX(MORTALITY!$A:$A),"",Inputs!$B$4))</f>
        <v>34</v>
      </c>
      <c r="B800" s="3" t="n">
        <f aca="false">IF(A800="","",EOMONTH(B799,1))</f>
        <v>46022</v>
      </c>
      <c r="C800" s="1" t="n">
        <f aca="false">IF(A800="","",C799+1)</f>
        <v>798</v>
      </c>
      <c r="D800" s="1" t="n">
        <f aca="false">IF(A800="","",INT(C800/12))</f>
        <v>66</v>
      </c>
      <c r="E800" s="1" t="n">
        <f aca="false">IF(A800="","",D800+Inputs!$B$7)</f>
        <v>82</v>
      </c>
      <c r="F800" s="3" t="n">
        <f aca="false">IF(A800="","",DATE(YEAR(B$2)+D800,MONTH(B$2),DAY(B$2)))</f>
        <v>45813</v>
      </c>
      <c r="G800" s="3" t="n">
        <f aca="false">IF(A800="","",DATE(YEAR(F800)+1,MONTH(F800),DAY(F800)))</f>
        <v>46178</v>
      </c>
      <c r="H800" s="10" t="n">
        <f aca="false">IF(A800="","",IF(G800&gt;F800,(B800-F800)/(G800-F800),0))</f>
        <v>0.572602739726027</v>
      </c>
      <c r="I800" s="10" t="n">
        <f aca="false">IF(A800="","",IFERROR(INDEX(CV_RATES!$I:$I,MATCH(D800,CV_RATES!$C:$C,0)),0))</f>
        <v>887.930872721924</v>
      </c>
      <c r="J800" s="10" t="n">
        <f aca="false">IF(A800="","",IFERROR(IF(E800=MAX(MORTALITY!$A:$A),1000,INDEX(CV_RATES!$J:$J,MATCH(D800,CV_RATES!$C:$C,0))),0))</f>
        <v>893.749579755003</v>
      </c>
      <c r="K800" s="10" t="n">
        <f aca="false">IF(A800="","",IFERROR(I800+H800*(J800-I800),0))</f>
        <v>891.262680310728</v>
      </c>
      <c r="L800" s="10" t="n">
        <f aca="false">IF(A800="","",IFERROR(K800*Inputs!$B$9,0))</f>
        <v>44563.1340155364</v>
      </c>
      <c r="M800" s="10" t="n">
        <f aca="false">IF(A800="","",IFERROR(K800*Inputs!$B$10,0))</f>
        <v>142599.355061676</v>
      </c>
      <c r="N800" s="10" t="n">
        <f aca="false">IF(A800="","",Z799)</f>
        <v>0</v>
      </c>
      <c r="O800" s="6" t="n">
        <f aca="false">IF(A800="","",Inputs!$B$18+N800)</f>
        <v>50000</v>
      </c>
      <c r="P800" s="5" t="n">
        <f aca="false">IF(A800="","",VLOOKUP(D800,DIvidend_Assumption!$A$3:$CX$103,($E$2+2),0)/12)</f>
        <v>0</v>
      </c>
      <c r="Q800" s="10" t="n">
        <f aca="false">IF(A800="","",IFERROR(AB799*P800,""))</f>
        <v>0</v>
      </c>
      <c r="R800" s="10" t="n">
        <f aca="false">IF(A800="","",IFERROR(IF(Inputs!$B$22="Accumulate",T800+Q800,IF(Inputs!$B$22="Premium Offset",MAX(0,T800+Q800-Inputs!$B$25),T800)),""))</f>
        <v>0</v>
      </c>
      <c r="S800" s="10" t="n">
        <f aca="false">IF(A800="","",R799)</f>
        <v>0</v>
      </c>
      <c r="T800" s="10" t="n">
        <f aca="false">IF(A800="","",IFERROR(S800*(1+Inputs!$B$23/12),""))</f>
        <v>0</v>
      </c>
      <c r="U800" s="6" t="n">
        <f aca="false">IF(A800="","",IF(D800&lt;=Inputs!$B$8,IF(Inputs!$B$22="Premium Offset",MAX(0,Inputs!$B$25-(Q800+T800)),Inputs!$B$25),0))</f>
        <v>0</v>
      </c>
      <c r="V800" s="10" t="n">
        <f aca="false">IF(A800="","",IF(Inputs!$B$22="Cash",Q800,0))</f>
        <v>0</v>
      </c>
      <c r="W800" s="10" t="n">
        <f aca="false">IF(A800="","",IF(Inputs!$B$22="PUA",Q800,0))</f>
        <v>0</v>
      </c>
      <c r="X800" s="12" t="n">
        <f aca="false">IF(A800="","",IFERROR(INDEX(PUA_TABLE!$D$4:$D$105,MATCH(E800,PUA_TABLE!$C$4:$C$105,1)),0))</f>
        <v>0.887930872721924</v>
      </c>
      <c r="Y800" s="10" t="n">
        <f aca="false">IF(A800="","",IF(W800&gt;0,IF(X800&gt;0,W800/X800,0),0))</f>
        <v>0</v>
      </c>
      <c r="Z800" s="10" t="n">
        <f aca="false">IF(A800="","",N800+Y800)</f>
        <v>0</v>
      </c>
      <c r="AA800" s="10" t="n">
        <f aca="false">IF(A800="","",IFERROR(Z800*INDEX(PUA_TABLE!$I$4:$I$105,MATCH(E800,PUA_TABLE!$C$4:$C$105,1))/1000,0))</f>
        <v>0</v>
      </c>
      <c r="AB800" s="10" t="n">
        <f aca="false">IF(A800="","",IFERROR(L800+AA800,0))</f>
        <v>44563.1340155364</v>
      </c>
      <c r="AC800" s="10" t="n">
        <f aca="false">IF(A800="","",IF(Inputs!$B$22="Premium Offset",MIN(Inputs!$B$25,Q800+T800),0))</f>
        <v>0</v>
      </c>
    </row>
    <row r="801" customFormat="false" ht="15" hidden="false" customHeight="false" outlineLevel="0" collapsed="false">
      <c r="A801" s="1" t="n">
        <f aca="false">IF(A800="","",IF(INT((C800+1)/12)+Inputs!$B$7&gt;MAX(MORTALITY!$A:$A),"",Inputs!$B$4))</f>
        <v>34</v>
      </c>
      <c r="B801" s="3" t="n">
        <f aca="false">IF(A801="","",EOMONTH(B800,1))</f>
        <v>46053</v>
      </c>
      <c r="C801" s="1" t="n">
        <f aca="false">IF(A801="","",C800+1)</f>
        <v>799</v>
      </c>
      <c r="D801" s="1" t="n">
        <f aca="false">IF(A801="","",INT(C801/12))</f>
        <v>66</v>
      </c>
      <c r="E801" s="1" t="n">
        <f aca="false">IF(A801="","",D801+Inputs!$B$7)</f>
        <v>82</v>
      </c>
      <c r="F801" s="3" t="n">
        <f aca="false">IF(A801="","",DATE(YEAR(B$2)+D801,MONTH(B$2),DAY(B$2)))</f>
        <v>45813</v>
      </c>
      <c r="G801" s="3" t="n">
        <f aca="false">IF(A801="","",DATE(YEAR(F801)+1,MONTH(F801),DAY(F801)))</f>
        <v>46178</v>
      </c>
      <c r="H801" s="10" t="n">
        <f aca="false">IF(A801="","",IF(G801&gt;F801,(B801-F801)/(G801-F801),0))</f>
        <v>0.657534246575342</v>
      </c>
      <c r="I801" s="10" t="n">
        <f aca="false">IF(A801="","",IFERROR(INDEX(CV_RATES!$I:$I,MATCH(D801,CV_RATES!$C:$C,0)),0))</f>
        <v>887.930872721924</v>
      </c>
      <c r="J801" s="10" t="n">
        <f aca="false">IF(A801="","",IFERROR(IF(E801=MAX(MORTALITY!$A:$A),1000,INDEX(CV_RATES!$J:$J,MATCH(D801,CV_RATES!$C:$C,0))),0))</f>
        <v>893.749579755003</v>
      </c>
      <c r="K801" s="10" t="n">
        <f aca="false">IF(A801="","",IFERROR(I801+H801*(J801-I801),0))</f>
        <v>891.756871866962</v>
      </c>
      <c r="L801" s="10" t="n">
        <f aca="false">IF(A801="","",IFERROR(K801*Inputs!$B$9,0))</f>
        <v>44587.8435933481</v>
      </c>
      <c r="M801" s="10" t="n">
        <f aca="false">IF(A801="","",IFERROR(K801*Inputs!$B$10,0))</f>
        <v>142678.424228098</v>
      </c>
      <c r="N801" s="10" t="n">
        <f aca="false">IF(A801="","",Z800)</f>
        <v>0</v>
      </c>
      <c r="O801" s="6" t="n">
        <f aca="false">IF(A801="","",Inputs!$B$18+N801)</f>
        <v>50000</v>
      </c>
      <c r="P801" s="5" t="n">
        <f aca="false">IF(A801="","",VLOOKUP(D801,DIvidend_Assumption!$A$3:$CX$103,($E$2+2),0)/12)</f>
        <v>0</v>
      </c>
      <c r="Q801" s="10" t="n">
        <f aca="false">IF(A801="","",IFERROR(AB800*P801,""))</f>
        <v>0</v>
      </c>
      <c r="R801" s="10" t="n">
        <f aca="false">IF(A801="","",IFERROR(IF(Inputs!$B$22="Accumulate",T801+Q801,IF(Inputs!$B$22="Premium Offset",MAX(0,T801+Q801-Inputs!$B$25),T801)),""))</f>
        <v>0</v>
      </c>
      <c r="S801" s="10" t="n">
        <f aca="false">IF(A801="","",R800)</f>
        <v>0</v>
      </c>
      <c r="T801" s="10" t="n">
        <f aca="false">IF(A801="","",IFERROR(S801*(1+Inputs!$B$23/12),""))</f>
        <v>0</v>
      </c>
      <c r="U801" s="6" t="n">
        <f aca="false">IF(A801="","",IF(D801&lt;=Inputs!$B$8,IF(Inputs!$B$22="Premium Offset",MAX(0,Inputs!$B$25-(Q801+T801)),Inputs!$B$25),0))</f>
        <v>0</v>
      </c>
      <c r="V801" s="10" t="n">
        <f aca="false">IF(A801="","",IF(Inputs!$B$22="Cash",Q801,0))</f>
        <v>0</v>
      </c>
      <c r="W801" s="10" t="n">
        <f aca="false">IF(A801="","",IF(Inputs!$B$22="PUA",Q801,0))</f>
        <v>0</v>
      </c>
      <c r="X801" s="12" t="n">
        <f aca="false">IF(A801="","",IFERROR(INDEX(PUA_TABLE!$D$4:$D$105,MATCH(E801,PUA_TABLE!$C$4:$C$105,1)),0))</f>
        <v>0.887930872721924</v>
      </c>
      <c r="Y801" s="10" t="n">
        <f aca="false">IF(A801="","",IF(W801&gt;0,IF(X801&gt;0,W801/X801,0),0))</f>
        <v>0</v>
      </c>
      <c r="Z801" s="10" t="n">
        <f aca="false">IF(A801="","",N801+Y801)</f>
        <v>0</v>
      </c>
      <c r="AA801" s="10" t="n">
        <f aca="false">IF(A801="","",IFERROR(Z801*INDEX(PUA_TABLE!$I$4:$I$105,MATCH(E801,PUA_TABLE!$C$4:$C$105,1))/1000,0))</f>
        <v>0</v>
      </c>
      <c r="AB801" s="10" t="n">
        <f aca="false">IF(A801="","",IFERROR(L801+AA801,0))</f>
        <v>44587.8435933481</v>
      </c>
      <c r="AC801" s="10" t="n">
        <f aca="false">IF(A801="","",IF(Inputs!$B$22="Premium Offset",MIN(Inputs!$B$25,Q801+T801),0))</f>
        <v>0</v>
      </c>
    </row>
    <row r="802" customFormat="false" ht="15" hidden="false" customHeight="false" outlineLevel="0" collapsed="false">
      <c r="A802" s="1" t="n">
        <f aca="false">IF(A801="","",IF(INT((C801+1)/12)+Inputs!$B$7&gt;MAX(MORTALITY!$A:$A),"",Inputs!$B$4))</f>
        <v>34</v>
      </c>
      <c r="B802" s="3" t="n">
        <f aca="false">IF(A802="","",EOMONTH(B801,1))</f>
        <v>46081</v>
      </c>
      <c r="C802" s="1" t="n">
        <f aca="false">IF(A802="","",C801+1)</f>
        <v>800</v>
      </c>
      <c r="D802" s="1" t="n">
        <f aca="false">IF(A802="","",INT(C802/12))</f>
        <v>66</v>
      </c>
      <c r="E802" s="1" t="n">
        <f aca="false">IF(A802="","",D802+Inputs!$B$7)</f>
        <v>82</v>
      </c>
      <c r="F802" s="3" t="n">
        <f aca="false">IF(A802="","",DATE(YEAR(B$2)+D802,MONTH(B$2),DAY(B$2)))</f>
        <v>45813</v>
      </c>
      <c r="G802" s="3" t="n">
        <f aca="false">IF(A802="","",DATE(YEAR(F802)+1,MONTH(F802),DAY(F802)))</f>
        <v>46178</v>
      </c>
      <c r="H802" s="10" t="n">
        <f aca="false">IF(A802="","",IF(G802&gt;F802,(B802-F802)/(G802-F802),0))</f>
        <v>0.734246575342466</v>
      </c>
      <c r="I802" s="10" t="n">
        <f aca="false">IF(A802="","",IFERROR(INDEX(CV_RATES!$I:$I,MATCH(D802,CV_RATES!$C:$C,0)),0))</f>
        <v>887.930872721924</v>
      </c>
      <c r="J802" s="10" t="n">
        <f aca="false">IF(A802="","",IFERROR(IF(E802=MAX(MORTALITY!$A:$A),1000,INDEX(CV_RATES!$J:$J,MATCH(D802,CV_RATES!$C:$C,0))),0))</f>
        <v>893.749579755003</v>
      </c>
      <c r="K802" s="10" t="n">
        <f aca="false">IF(A802="","",IFERROR(I802+H802*(J802-I802),0))</f>
        <v>892.203238433883</v>
      </c>
      <c r="L802" s="10" t="n">
        <f aca="false">IF(A802="","",IFERROR(K802*Inputs!$B$9,0))</f>
        <v>44610.1619216942</v>
      </c>
      <c r="M802" s="10" t="n">
        <f aca="false">IF(A802="","",IFERROR(K802*Inputs!$B$10,0))</f>
        <v>142749.841539706</v>
      </c>
      <c r="N802" s="10" t="n">
        <f aca="false">IF(A802="","",Z801)</f>
        <v>0</v>
      </c>
      <c r="O802" s="6" t="n">
        <f aca="false">IF(A802="","",Inputs!$B$18+N802)</f>
        <v>50000</v>
      </c>
      <c r="P802" s="5" t="n">
        <f aca="false">IF(A802="","",VLOOKUP(D802,DIvidend_Assumption!$A$3:$CX$103,($E$2+2),0)/12)</f>
        <v>0</v>
      </c>
      <c r="Q802" s="10" t="n">
        <f aca="false">IF(A802="","",IFERROR(AB801*P802,""))</f>
        <v>0</v>
      </c>
      <c r="R802" s="10" t="n">
        <f aca="false">IF(A802="","",IFERROR(IF(Inputs!$B$22="Accumulate",T802+Q802,IF(Inputs!$B$22="Premium Offset",MAX(0,T802+Q802-Inputs!$B$25),T802)),""))</f>
        <v>0</v>
      </c>
      <c r="S802" s="10" t="n">
        <f aca="false">IF(A802="","",R801)</f>
        <v>0</v>
      </c>
      <c r="T802" s="10" t="n">
        <f aca="false">IF(A802="","",IFERROR(S802*(1+Inputs!$B$23/12),""))</f>
        <v>0</v>
      </c>
      <c r="U802" s="6" t="n">
        <f aca="false">IF(A802="","",IF(D802&lt;=Inputs!$B$8,IF(Inputs!$B$22="Premium Offset",MAX(0,Inputs!$B$25-(Q802+T802)),Inputs!$B$25),0))</f>
        <v>0</v>
      </c>
      <c r="V802" s="10" t="n">
        <f aca="false">IF(A802="","",IF(Inputs!$B$22="Cash",Q802,0))</f>
        <v>0</v>
      </c>
      <c r="W802" s="10" t="n">
        <f aca="false">IF(A802="","",IF(Inputs!$B$22="PUA",Q802,0))</f>
        <v>0</v>
      </c>
      <c r="X802" s="12" t="n">
        <f aca="false">IF(A802="","",IFERROR(INDEX(PUA_TABLE!$D$4:$D$105,MATCH(E802,PUA_TABLE!$C$4:$C$105,1)),0))</f>
        <v>0.887930872721924</v>
      </c>
      <c r="Y802" s="10" t="n">
        <f aca="false">IF(A802="","",IF(W802&gt;0,IF(X802&gt;0,W802/X802,0),0))</f>
        <v>0</v>
      </c>
      <c r="Z802" s="10" t="n">
        <f aca="false">IF(A802="","",N802+Y802)</f>
        <v>0</v>
      </c>
      <c r="AA802" s="10" t="n">
        <f aca="false">IF(A802="","",IFERROR(Z802*INDEX(PUA_TABLE!$I$4:$I$105,MATCH(E802,PUA_TABLE!$C$4:$C$105,1))/1000,0))</f>
        <v>0</v>
      </c>
      <c r="AB802" s="10" t="n">
        <f aca="false">IF(A802="","",IFERROR(L802+AA802,0))</f>
        <v>44610.1619216942</v>
      </c>
      <c r="AC802" s="10" t="n">
        <f aca="false">IF(A802="","",IF(Inputs!$B$22="Premium Offset",MIN(Inputs!$B$25,Q802+T802),0))</f>
        <v>0</v>
      </c>
    </row>
    <row r="803" customFormat="false" ht="15" hidden="false" customHeight="false" outlineLevel="0" collapsed="false">
      <c r="A803" s="1" t="n">
        <f aca="false">IF(A802="","",IF(INT((C802+1)/12)+Inputs!$B$7&gt;MAX(MORTALITY!$A:$A),"",Inputs!$B$4))</f>
        <v>34</v>
      </c>
      <c r="B803" s="3" t="n">
        <f aca="false">IF(A803="","",EOMONTH(B802,1))</f>
        <v>46112</v>
      </c>
      <c r="C803" s="1" t="n">
        <f aca="false">IF(A803="","",C802+1)</f>
        <v>801</v>
      </c>
      <c r="D803" s="1" t="n">
        <f aca="false">IF(A803="","",INT(C803/12))</f>
        <v>66</v>
      </c>
      <c r="E803" s="1" t="n">
        <f aca="false">IF(A803="","",D803+Inputs!$B$7)</f>
        <v>82</v>
      </c>
      <c r="F803" s="3" t="n">
        <f aca="false">IF(A803="","",DATE(YEAR(B$2)+D803,MONTH(B$2),DAY(B$2)))</f>
        <v>45813</v>
      </c>
      <c r="G803" s="3" t="n">
        <f aca="false">IF(A803="","",DATE(YEAR(F803)+1,MONTH(F803),DAY(F803)))</f>
        <v>46178</v>
      </c>
      <c r="H803" s="10" t="n">
        <f aca="false">IF(A803="","",IF(G803&gt;F803,(B803-F803)/(G803-F803),0))</f>
        <v>0.819178082191781</v>
      </c>
      <c r="I803" s="10" t="n">
        <f aca="false">IF(A803="","",IFERROR(INDEX(CV_RATES!$I:$I,MATCH(D803,CV_RATES!$C:$C,0)),0))</f>
        <v>887.930872721924</v>
      </c>
      <c r="J803" s="10" t="n">
        <f aca="false">IF(A803="","",IFERROR(IF(E803=MAX(MORTALITY!$A:$A),1000,INDEX(CV_RATES!$J:$J,MATCH(D803,CV_RATES!$C:$C,0))),0))</f>
        <v>893.749579755003</v>
      </c>
      <c r="K803" s="10" t="n">
        <f aca="false">IF(A803="","",IFERROR(I803+H803*(J803-I803),0))</f>
        <v>892.697429990117</v>
      </c>
      <c r="L803" s="10" t="n">
        <f aca="false">IF(A803="","",IFERROR(K803*Inputs!$B$9,0))</f>
        <v>44634.8714995059</v>
      </c>
      <c r="M803" s="10" t="n">
        <f aca="false">IF(A803="","",IFERROR(K803*Inputs!$B$10,0))</f>
        <v>142828.910706129</v>
      </c>
      <c r="N803" s="10" t="n">
        <f aca="false">IF(A803="","",Z802)</f>
        <v>0</v>
      </c>
      <c r="O803" s="6" t="n">
        <f aca="false">IF(A803="","",Inputs!$B$18+N803)</f>
        <v>50000</v>
      </c>
      <c r="P803" s="5" t="n">
        <f aca="false">IF(A803="","",VLOOKUP(D803,DIvidend_Assumption!$A$3:$CX$103,($E$2+2),0)/12)</f>
        <v>0</v>
      </c>
      <c r="Q803" s="10" t="n">
        <f aca="false">IF(A803="","",IFERROR(AB802*P803,""))</f>
        <v>0</v>
      </c>
      <c r="R803" s="10" t="n">
        <f aca="false">IF(A803="","",IFERROR(IF(Inputs!$B$22="Accumulate",T803+Q803,IF(Inputs!$B$22="Premium Offset",MAX(0,T803+Q803-Inputs!$B$25),T803)),""))</f>
        <v>0</v>
      </c>
      <c r="S803" s="10" t="n">
        <f aca="false">IF(A803="","",R802)</f>
        <v>0</v>
      </c>
      <c r="T803" s="10" t="n">
        <f aca="false">IF(A803="","",IFERROR(S803*(1+Inputs!$B$23/12),""))</f>
        <v>0</v>
      </c>
      <c r="U803" s="6" t="n">
        <f aca="false">IF(A803="","",IF(D803&lt;=Inputs!$B$8,IF(Inputs!$B$22="Premium Offset",MAX(0,Inputs!$B$25-(Q803+T803)),Inputs!$B$25),0))</f>
        <v>0</v>
      </c>
      <c r="V803" s="10" t="n">
        <f aca="false">IF(A803="","",IF(Inputs!$B$22="Cash",Q803,0))</f>
        <v>0</v>
      </c>
      <c r="W803" s="10" t="n">
        <f aca="false">IF(A803="","",IF(Inputs!$B$22="PUA",Q803,0))</f>
        <v>0</v>
      </c>
      <c r="X803" s="12" t="n">
        <f aca="false">IF(A803="","",IFERROR(INDEX(PUA_TABLE!$D$4:$D$105,MATCH(E803,PUA_TABLE!$C$4:$C$105,1)),0))</f>
        <v>0.887930872721924</v>
      </c>
      <c r="Y803" s="10" t="n">
        <f aca="false">IF(A803="","",IF(W803&gt;0,IF(X803&gt;0,W803/X803,0),0))</f>
        <v>0</v>
      </c>
      <c r="Z803" s="10" t="n">
        <f aca="false">IF(A803="","",N803+Y803)</f>
        <v>0</v>
      </c>
      <c r="AA803" s="10" t="n">
        <f aca="false">IF(A803="","",IFERROR(Z803*INDEX(PUA_TABLE!$I$4:$I$105,MATCH(E803,PUA_TABLE!$C$4:$C$105,1))/1000,0))</f>
        <v>0</v>
      </c>
      <c r="AB803" s="10" t="n">
        <f aca="false">IF(A803="","",IFERROR(L803+AA803,0))</f>
        <v>44634.8714995059</v>
      </c>
      <c r="AC803" s="10" t="n">
        <f aca="false">IF(A803="","",IF(Inputs!$B$22="Premium Offset",MIN(Inputs!$B$25,Q803+T803),0))</f>
        <v>0</v>
      </c>
    </row>
    <row r="804" customFormat="false" ht="15" hidden="false" customHeight="false" outlineLevel="0" collapsed="false">
      <c r="A804" s="1" t="n">
        <f aca="false">IF(A803="","",IF(INT((C803+1)/12)+Inputs!$B$7&gt;MAX(MORTALITY!$A:$A),"",Inputs!$B$4))</f>
        <v>34</v>
      </c>
      <c r="B804" s="3" t="n">
        <f aca="false">IF(A804="","",EOMONTH(B803,1))</f>
        <v>46142</v>
      </c>
      <c r="C804" s="1" t="n">
        <f aca="false">IF(A804="","",C803+1)</f>
        <v>802</v>
      </c>
      <c r="D804" s="1" t="n">
        <f aca="false">IF(A804="","",INT(C804/12))</f>
        <v>66</v>
      </c>
      <c r="E804" s="1" t="n">
        <f aca="false">IF(A804="","",D804+Inputs!$B$7)</f>
        <v>82</v>
      </c>
      <c r="F804" s="3" t="n">
        <f aca="false">IF(A804="","",DATE(YEAR(B$2)+D804,MONTH(B$2),DAY(B$2)))</f>
        <v>45813</v>
      </c>
      <c r="G804" s="3" t="n">
        <f aca="false">IF(A804="","",DATE(YEAR(F804)+1,MONTH(F804),DAY(F804)))</f>
        <v>46178</v>
      </c>
      <c r="H804" s="10" t="n">
        <f aca="false">IF(A804="","",IF(G804&gt;F804,(B804-F804)/(G804-F804),0))</f>
        <v>0.901369863013699</v>
      </c>
      <c r="I804" s="10" t="n">
        <f aca="false">IF(A804="","",IFERROR(INDEX(CV_RATES!$I:$I,MATCH(D804,CV_RATES!$C:$C,0)),0))</f>
        <v>887.930872721924</v>
      </c>
      <c r="J804" s="10" t="n">
        <f aca="false">IF(A804="","",IFERROR(IF(E804=MAX(MORTALITY!$A:$A),1000,INDEX(CV_RATES!$J:$J,MATCH(D804,CV_RATES!$C:$C,0))),0))</f>
        <v>893.749579755003</v>
      </c>
      <c r="K804" s="10" t="n">
        <f aca="false">IF(A804="","",IFERROR(I804+H804*(J804-I804),0))</f>
        <v>893.175679883247</v>
      </c>
      <c r="L804" s="10" t="n">
        <f aca="false">IF(A804="","",IFERROR(K804*Inputs!$B$9,0))</f>
        <v>44658.7839941624</v>
      </c>
      <c r="M804" s="10" t="n">
        <f aca="false">IF(A804="","",IFERROR(K804*Inputs!$B$10,0))</f>
        <v>142905.42925428</v>
      </c>
      <c r="N804" s="10" t="n">
        <f aca="false">IF(A804="","",Z803)</f>
        <v>0</v>
      </c>
      <c r="O804" s="6" t="n">
        <f aca="false">IF(A804="","",Inputs!$B$18+N804)</f>
        <v>50000</v>
      </c>
      <c r="P804" s="5" t="n">
        <f aca="false">IF(A804="","",VLOOKUP(D804,DIvidend_Assumption!$A$3:$CX$103,($E$2+2),0)/12)</f>
        <v>0</v>
      </c>
      <c r="Q804" s="10" t="n">
        <f aca="false">IF(A804="","",IFERROR(AB803*P804,""))</f>
        <v>0</v>
      </c>
      <c r="R804" s="10" t="n">
        <f aca="false">IF(A804="","",IFERROR(IF(Inputs!$B$22="Accumulate",T804+Q804,IF(Inputs!$B$22="Premium Offset",MAX(0,T804+Q804-Inputs!$B$25),T804)),""))</f>
        <v>0</v>
      </c>
      <c r="S804" s="10" t="n">
        <f aca="false">IF(A804="","",R803)</f>
        <v>0</v>
      </c>
      <c r="T804" s="10" t="n">
        <f aca="false">IF(A804="","",IFERROR(S804*(1+Inputs!$B$23/12),""))</f>
        <v>0</v>
      </c>
      <c r="U804" s="6" t="n">
        <f aca="false">IF(A804="","",IF(D804&lt;=Inputs!$B$8,IF(Inputs!$B$22="Premium Offset",MAX(0,Inputs!$B$25-(Q804+T804)),Inputs!$B$25),0))</f>
        <v>0</v>
      </c>
      <c r="V804" s="10" t="n">
        <f aca="false">IF(A804="","",IF(Inputs!$B$22="Cash",Q804,0))</f>
        <v>0</v>
      </c>
      <c r="W804" s="10" t="n">
        <f aca="false">IF(A804="","",IF(Inputs!$B$22="PUA",Q804,0))</f>
        <v>0</v>
      </c>
      <c r="X804" s="12" t="n">
        <f aca="false">IF(A804="","",IFERROR(INDEX(PUA_TABLE!$D$4:$D$105,MATCH(E804,PUA_TABLE!$C$4:$C$105,1)),0))</f>
        <v>0.887930872721924</v>
      </c>
      <c r="Y804" s="10" t="n">
        <f aca="false">IF(A804="","",IF(W804&gt;0,IF(X804&gt;0,W804/X804,0),0))</f>
        <v>0</v>
      </c>
      <c r="Z804" s="10" t="n">
        <f aca="false">IF(A804="","",N804+Y804)</f>
        <v>0</v>
      </c>
      <c r="AA804" s="10" t="n">
        <f aca="false">IF(A804="","",IFERROR(Z804*INDEX(PUA_TABLE!$I$4:$I$105,MATCH(E804,PUA_TABLE!$C$4:$C$105,1))/1000,0))</f>
        <v>0</v>
      </c>
      <c r="AB804" s="10" t="n">
        <f aca="false">IF(A804="","",IFERROR(L804+AA804,0))</f>
        <v>44658.7839941624</v>
      </c>
      <c r="AC804" s="10" t="n">
        <f aca="false">IF(A804="","",IF(Inputs!$B$22="Premium Offset",MIN(Inputs!$B$25,Q804+T804),0))</f>
        <v>0</v>
      </c>
    </row>
    <row r="805" customFormat="false" ht="15" hidden="false" customHeight="false" outlineLevel="0" collapsed="false">
      <c r="A805" s="1" t="n">
        <f aca="false">IF(A804="","",IF(INT((C804+1)/12)+Inputs!$B$7&gt;MAX(MORTALITY!$A:$A),"",Inputs!$B$4))</f>
        <v>34</v>
      </c>
      <c r="B805" s="3" t="n">
        <f aca="false">IF(A805="","",EOMONTH(B804,1))</f>
        <v>46173</v>
      </c>
      <c r="C805" s="1" t="n">
        <f aca="false">IF(A805="","",C804+1)</f>
        <v>803</v>
      </c>
      <c r="D805" s="1" t="n">
        <f aca="false">IF(A805="","",INT(C805/12))</f>
        <v>66</v>
      </c>
      <c r="E805" s="1" t="n">
        <f aca="false">IF(A805="","",D805+Inputs!$B$7)</f>
        <v>82</v>
      </c>
      <c r="F805" s="3" t="n">
        <f aca="false">IF(A805="","",DATE(YEAR(B$2)+D805,MONTH(B$2),DAY(B$2)))</f>
        <v>45813</v>
      </c>
      <c r="G805" s="3" t="n">
        <f aca="false">IF(A805="","",DATE(YEAR(F805)+1,MONTH(F805),DAY(F805)))</f>
        <v>46178</v>
      </c>
      <c r="H805" s="10" t="n">
        <f aca="false">IF(A805="","",IF(G805&gt;F805,(B805-F805)/(G805-F805),0))</f>
        <v>0.986301369863014</v>
      </c>
      <c r="I805" s="10" t="n">
        <f aca="false">IF(A805="","",IFERROR(INDEX(CV_RATES!$I:$I,MATCH(D805,CV_RATES!$C:$C,0)),0))</f>
        <v>887.930872721924</v>
      </c>
      <c r="J805" s="10" t="n">
        <f aca="false">IF(A805="","",IFERROR(IF(E805=MAX(MORTALITY!$A:$A),1000,INDEX(CV_RATES!$J:$J,MATCH(D805,CV_RATES!$C:$C,0))),0))</f>
        <v>893.749579755003</v>
      </c>
      <c r="K805" s="10" t="n">
        <f aca="false">IF(A805="","",IFERROR(I805+H805*(J805-I805),0))</f>
        <v>893.669871439481</v>
      </c>
      <c r="L805" s="10" t="n">
        <f aca="false">IF(A805="","",IFERROR(K805*Inputs!$B$9,0))</f>
        <v>44683.4935719741</v>
      </c>
      <c r="M805" s="10" t="n">
        <f aca="false">IF(A805="","",IFERROR(K805*Inputs!$B$10,0))</f>
        <v>142984.498420703</v>
      </c>
      <c r="N805" s="10" t="n">
        <f aca="false">IF(A805="","",Z804)</f>
        <v>0</v>
      </c>
      <c r="O805" s="6" t="n">
        <f aca="false">IF(A805="","",Inputs!$B$18+N805)</f>
        <v>50000</v>
      </c>
      <c r="P805" s="5" t="n">
        <f aca="false">IF(A805="","",VLOOKUP(D805,DIvidend_Assumption!$A$3:$CX$103,($E$2+2),0)/12)</f>
        <v>0</v>
      </c>
      <c r="Q805" s="10" t="n">
        <f aca="false">IF(A805="","",IFERROR(AB804*P805,""))</f>
        <v>0</v>
      </c>
      <c r="R805" s="10" t="n">
        <f aca="false">IF(A805="","",IFERROR(IF(Inputs!$B$22="Accumulate",T805+Q805,IF(Inputs!$B$22="Premium Offset",MAX(0,T805+Q805-Inputs!$B$25),T805)),""))</f>
        <v>0</v>
      </c>
      <c r="S805" s="10" t="n">
        <f aca="false">IF(A805="","",R804)</f>
        <v>0</v>
      </c>
      <c r="T805" s="10" t="n">
        <f aca="false">IF(A805="","",IFERROR(S805*(1+Inputs!$B$23/12),""))</f>
        <v>0</v>
      </c>
      <c r="U805" s="6" t="n">
        <f aca="false">IF(A805="","",IF(D805&lt;=Inputs!$B$8,IF(Inputs!$B$22="Premium Offset",MAX(0,Inputs!$B$25-(Q805+T805)),Inputs!$B$25),0))</f>
        <v>0</v>
      </c>
      <c r="V805" s="10" t="n">
        <f aca="false">IF(A805="","",IF(Inputs!$B$22="Cash",Q805,0))</f>
        <v>0</v>
      </c>
      <c r="W805" s="10" t="n">
        <f aca="false">IF(A805="","",IF(Inputs!$B$22="PUA",Q805,0))</f>
        <v>0</v>
      </c>
      <c r="X805" s="12" t="n">
        <f aca="false">IF(A805="","",IFERROR(INDEX(PUA_TABLE!$D$4:$D$105,MATCH(E805,PUA_TABLE!$C$4:$C$105,1)),0))</f>
        <v>0.887930872721924</v>
      </c>
      <c r="Y805" s="10" t="n">
        <f aca="false">IF(A805="","",IF(W805&gt;0,IF(X805&gt;0,W805/X805,0),0))</f>
        <v>0</v>
      </c>
      <c r="Z805" s="10" t="n">
        <f aca="false">IF(A805="","",N805+Y805)</f>
        <v>0</v>
      </c>
      <c r="AA805" s="10" t="n">
        <f aca="false">IF(A805="","",IFERROR(Z805*INDEX(PUA_TABLE!$I$4:$I$105,MATCH(E805,PUA_TABLE!$C$4:$C$105,1))/1000,0))</f>
        <v>0</v>
      </c>
      <c r="AB805" s="10" t="n">
        <f aca="false">IF(A805="","",IFERROR(L805+AA805,0))</f>
        <v>44683.4935719741</v>
      </c>
      <c r="AC805" s="10" t="n">
        <f aca="false">IF(A805="","",IF(Inputs!$B$22="Premium Offset",MIN(Inputs!$B$25,Q805+T805),0))</f>
        <v>0</v>
      </c>
    </row>
    <row r="806" customFormat="false" ht="15" hidden="false" customHeight="false" outlineLevel="0" collapsed="false">
      <c r="A806" s="1" t="n">
        <f aca="false">IF(A805="","",IF(INT((C805+1)/12)+Inputs!$B$7&gt;MAX(MORTALITY!$A:$A),"",Inputs!$B$4))</f>
        <v>34</v>
      </c>
      <c r="B806" s="3" t="n">
        <f aca="false">IF(A806="","",EOMONTH(B805,1))</f>
        <v>46203</v>
      </c>
      <c r="C806" s="1" t="n">
        <f aca="false">IF(A806="","",C805+1)</f>
        <v>804</v>
      </c>
      <c r="D806" s="1" t="n">
        <f aca="false">IF(A806="","",INT(C806/12))</f>
        <v>67</v>
      </c>
      <c r="E806" s="1" t="n">
        <f aca="false">IF(A806="","",D806+Inputs!$B$7)</f>
        <v>83</v>
      </c>
      <c r="F806" s="3" t="n">
        <f aca="false">IF(A806="","",DATE(YEAR(B$2)+D806,MONTH(B$2),DAY(B$2)))</f>
        <v>46178</v>
      </c>
      <c r="G806" s="3" t="n">
        <f aca="false">IF(A806="","",DATE(YEAR(F806)+1,MONTH(F806),DAY(F806)))</f>
        <v>46543</v>
      </c>
      <c r="H806" s="10" t="n">
        <f aca="false">IF(A806="","",IF(G806&gt;F806,(B806-F806)/(G806-F806),0))</f>
        <v>0.0684931506849315</v>
      </c>
      <c r="I806" s="10" t="n">
        <f aca="false">IF(A806="","",IFERROR(INDEX(CV_RATES!$I:$I,MATCH(D806,CV_RATES!$C:$C,0)),0))</f>
        <v>893.749579755003</v>
      </c>
      <c r="J806" s="10" t="n">
        <f aca="false">IF(A806="","",IFERROR(IF(E806=MAX(MORTALITY!$A:$A),1000,INDEX(CV_RATES!$J:$J,MATCH(D806,CV_RATES!$C:$C,0))),0))</f>
        <v>899.323661553913</v>
      </c>
      <c r="K806" s="10" t="n">
        <f aca="false">IF(A806="","",IFERROR(I806+H806*(J806-I806),0))</f>
        <v>894.131366179586</v>
      </c>
      <c r="L806" s="10" t="n">
        <f aca="false">IF(A806="","",IFERROR(K806*Inputs!$B$9,0))</f>
        <v>44706.5683089793</v>
      </c>
      <c r="M806" s="10" t="n">
        <f aca="false">IF(A806="","",IFERROR(K806*Inputs!$B$10,0))</f>
        <v>143058.336194635</v>
      </c>
      <c r="N806" s="10" t="n">
        <f aca="false">IF(A806="","",Z805)</f>
        <v>0</v>
      </c>
      <c r="O806" s="6" t="n">
        <f aca="false">IF(A806="","",Inputs!$B$18+N806)</f>
        <v>50000</v>
      </c>
      <c r="P806" s="5" t="n">
        <f aca="false">IF(A806="","",VLOOKUP(D806,DIvidend_Assumption!$A$3:$CX$103,($E$2+2),0)/12)</f>
        <v>0</v>
      </c>
      <c r="Q806" s="10" t="n">
        <f aca="false">IF(A806="","",IFERROR(AB805*P806,""))</f>
        <v>0</v>
      </c>
      <c r="R806" s="10" t="n">
        <f aca="false">IF(A806="","",IFERROR(IF(Inputs!$B$22="Accumulate",T806+Q806,IF(Inputs!$B$22="Premium Offset",MAX(0,T806+Q806-Inputs!$B$25),T806)),""))</f>
        <v>0</v>
      </c>
      <c r="S806" s="10" t="n">
        <f aca="false">IF(A806="","",R805)</f>
        <v>0</v>
      </c>
      <c r="T806" s="10" t="n">
        <f aca="false">IF(A806="","",IFERROR(S806*(1+Inputs!$B$23/12),""))</f>
        <v>0</v>
      </c>
      <c r="U806" s="6" t="n">
        <f aca="false">IF(A806="","",IF(D806&lt;=Inputs!$B$8,IF(Inputs!$B$22="Premium Offset",MAX(0,Inputs!$B$25-(Q806+T806)),Inputs!$B$25),0))</f>
        <v>0</v>
      </c>
      <c r="V806" s="10" t="n">
        <f aca="false">IF(A806="","",IF(Inputs!$B$22="Cash",Q806,0))</f>
        <v>0</v>
      </c>
      <c r="W806" s="10" t="n">
        <f aca="false">IF(A806="","",IF(Inputs!$B$22="PUA",Q806,0))</f>
        <v>0</v>
      </c>
      <c r="X806" s="12" t="n">
        <f aca="false">IF(A806="","",IFERROR(INDEX(PUA_TABLE!$D$4:$D$105,MATCH(E806,PUA_TABLE!$C$4:$C$105,1)),0))</f>
        <v>0.893749579755003</v>
      </c>
      <c r="Y806" s="10" t="n">
        <f aca="false">IF(A806="","",IF(W806&gt;0,IF(X806&gt;0,W806/X806,0),0))</f>
        <v>0</v>
      </c>
      <c r="Z806" s="10" t="n">
        <f aca="false">IF(A806="","",N806+Y806)</f>
        <v>0</v>
      </c>
      <c r="AA806" s="10" t="n">
        <f aca="false">IF(A806="","",IFERROR(Z806*INDEX(PUA_TABLE!$I$4:$I$105,MATCH(E806,PUA_TABLE!$C$4:$C$105,1))/1000,0))</f>
        <v>0</v>
      </c>
      <c r="AB806" s="10" t="n">
        <f aca="false">IF(A806="","",IFERROR(L806+AA806,0))</f>
        <v>44706.5683089793</v>
      </c>
      <c r="AC806" s="10" t="n">
        <f aca="false">IF(A806="","",IF(Inputs!$B$22="Premium Offset",MIN(Inputs!$B$25,Q806+T806),0))</f>
        <v>0</v>
      </c>
    </row>
    <row r="807" customFormat="false" ht="15" hidden="false" customHeight="false" outlineLevel="0" collapsed="false">
      <c r="A807" s="1" t="n">
        <f aca="false">IF(A806="","",IF(INT((C806+1)/12)+Inputs!$B$7&gt;MAX(MORTALITY!$A:$A),"",Inputs!$B$4))</f>
        <v>34</v>
      </c>
      <c r="B807" s="3" t="n">
        <f aca="false">IF(A807="","",EOMONTH(B806,1))</f>
        <v>46234</v>
      </c>
      <c r="C807" s="1" t="n">
        <f aca="false">IF(A807="","",C806+1)</f>
        <v>805</v>
      </c>
      <c r="D807" s="1" t="n">
        <f aca="false">IF(A807="","",INT(C807/12))</f>
        <v>67</v>
      </c>
      <c r="E807" s="1" t="n">
        <f aca="false">IF(A807="","",D807+Inputs!$B$7)</f>
        <v>83</v>
      </c>
      <c r="F807" s="3" t="n">
        <f aca="false">IF(A807="","",DATE(YEAR(B$2)+D807,MONTH(B$2),DAY(B$2)))</f>
        <v>46178</v>
      </c>
      <c r="G807" s="3" t="n">
        <f aca="false">IF(A807="","",DATE(YEAR(F807)+1,MONTH(F807),DAY(F807)))</f>
        <v>46543</v>
      </c>
      <c r="H807" s="10" t="n">
        <f aca="false">IF(A807="","",IF(G807&gt;F807,(B807-F807)/(G807-F807),0))</f>
        <v>0.153424657534247</v>
      </c>
      <c r="I807" s="10" t="n">
        <f aca="false">IF(A807="","",IFERROR(INDEX(CV_RATES!$I:$I,MATCH(D807,CV_RATES!$C:$C,0)),0))</f>
        <v>893.749579755003</v>
      </c>
      <c r="J807" s="10" t="n">
        <f aca="false">IF(A807="","",IFERROR(IF(E807=MAX(MORTALITY!$A:$A),1000,INDEX(CV_RATES!$J:$J,MATCH(D807,CV_RATES!$C:$C,0))),0))</f>
        <v>899.323661553913</v>
      </c>
      <c r="K807" s="10" t="n">
        <f aca="false">IF(A807="","",IFERROR(I807+H807*(J807-I807),0))</f>
        <v>894.604781346069</v>
      </c>
      <c r="L807" s="10" t="n">
        <f aca="false">IF(A807="","",IFERROR(K807*Inputs!$B$9,0))</f>
        <v>44730.2390673034</v>
      </c>
      <c r="M807" s="10" t="n">
        <f aca="false">IF(A807="","",IFERROR(K807*Inputs!$B$10,0))</f>
        <v>143134.081201027</v>
      </c>
      <c r="N807" s="10" t="n">
        <f aca="false">IF(A807="","",Z806)</f>
        <v>0</v>
      </c>
      <c r="O807" s="6" t="n">
        <f aca="false">IF(A807="","",Inputs!$B$18+N807)</f>
        <v>50000</v>
      </c>
      <c r="P807" s="5" t="n">
        <f aca="false">IF(A807="","",VLOOKUP(D807,DIvidend_Assumption!$A$3:$CX$103,($E$2+2),0)/12)</f>
        <v>0</v>
      </c>
      <c r="Q807" s="10" t="n">
        <f aca="false">IF(A807="","",IFERROR(AB806*P807,""))</f>
        <v>0</v>
      </c>
      <c r="R807" s="10" t="n">
        <f aca="false">IF(A807="","",IFERROR(IF(Inputs!$B$22="Accumulate",T807+Q807,IF(Inputs!$B$22="Premium Offset",MAX(0,T807+Q807-Inputs!$B$25),T807)),""))</f>
        <v>0</v>
      </c>
      <c r="S807" s="10" t="n">
        <f aca="false">IF(A807="","",R806)</f>
        <v>0</v>
      </c>
      <c r="T807" s="10" t="n">
        <f aca="false">IF(A807="","",IFERROR(S807*(1+Inputs!$B$23/12),""))</f>
        <v>0</v>
      </c>
      <c r="U807" s="6" t="n">
        <f aca="false">IF(A807="","",IF(D807&lt;=Inputs!$B$8,IF(Inputs!$B$22="Premium Offset",MAX(0,Inputs!$B$25-(Q807+T807)),Inputs!$B$25),0))</f>
        <v>0</v>
      </c>
      <c r="V807" s="10" t="n">
        <f aca="false">IF(A807="","",IF(Inputs!$B$22="Cash",Q807,0))</f>
        <v>0</v>
      </c>
      <c r="W807" s="10" t="n">
        <f aca="false">IF(A807="","",IF(Inputs!$B$22="PUA",Q807,0))</f>
        <v>0</v>
      </c>
      <c r="X807" s="12" t="n">
        <f aca="false">IF(A807="","",IFERROR(INDEX(PUA_TABLE!$D$4:$D$105,MATCH(E807,PUA_TABLE!$C$4:$C$105,1)),0))</f>
        <v>0.893749579755003</v>
      </c>
      <c r="Y807" s="10" t="n">
        <f aca="false">IF(A807="","",IF(W807&gt;0,IF(X807&gt;0,W807/X807,0),0))</f>
        <v>0</v>
      </c>
      <c r="Z807" s="10" t="n">
        <f aca="false">IF(A807="","",N807+Y807)</f>
        <v>0</v>
      </c>
      <c r="AA807" s="10" t="n">
        <f aca="false">IF(A807="","",IFERROR(Z807*INDEX(PUA_TABLE!$I$4:$I$105,MATCH(E807,PUA_TABLE!$C$4:$C$105,1))/1000,0))</f>
        <v>0</v>
      </c>
      <c r="AB807" s="10" t="n">
        <f aca="false">IF(A807="","",IFERROR(L807+AA807,0))</f>
        <v>44730.2390673034</v>
      </c>
      <c r="AC807" s="10" t="n">
        <f aca="false">IF(A807="","",IF(Inputs!$B$22="Premium Offset",MIN(Inputs!$B$25,Q807+T807),0))</f>
        <v>0</v>
      </c>
    </row>
    <row r="808" customFormat="false" ht="15" hidden="false" customHeight="false" outlineLevel="0" collapsed="false">
      <c r="A808" s="1" t="n">
        <f aca="false">IF(A807="","",IF(INT((C807+1)/12)+Inputs!$B$7&gt;MAX(MORTALITY!$A:$A),"",Inputs!$B$4))</f>
        <v>34</v>
      </c>
      <c r="B808" s="3" t="n">
        <f aca="false">IF(A808="","",EOMONTH(B807,1))</f>
        <v>46265</v>
      </c>
      <c r="C808" s="1" t="n">
        <f aca="false">IF(A808="","",C807+1)</f>
        <v>806</v>
      </c>
      <c r="D808" s="1" t="n">
        <f aca="false">IF(A808="","",INT(C808/12))</f>
        <v>67</v>
      </c>
      <c r="E808" s="1" t="n">
        <f aca="false">IF(A808="","",D808+Inputs!$B$7)</f>
        <v>83</v>
      </c>
      <c r="F808" s="3" t="n">
        <f aca="false">IF(A808="","",DATE(YEAR(B$2)+D808,MONTH(B$2),DAY(B$2)))</f>
        <v>46178</v>
      </c>
      <c r="G808" s="3" t="n">
        <f aca="false">IF(A808="","",DATE(YEAR(F808)+1,MONTH(F808),DAY(F808)))</f>
        <v>46543</v>
      </c>
      <c r="H808" s="10" t="n">
        <f aca="false">IF(A808="","",IF(G808&gt;F808,(B808-F808)/(G808-F808),0))</f>
        <v>0.238356164383562</v>
      </c>
      <c r="I808" s="10" t="n">
        <f aca="false">IF(A808="","",IFERROR(INDEX(CV_RATES!$I:$I,MATCH(D808,CV_RATES!$C:$C,0)),0))</f>
        <v>893.749579755003</v>
      </c>
      <c r="J808" s="10" t="n">
        <f aca="false">IF(A808="","",IFERROR(IF(E808=MAX(MORTALITY!$A:$A),1000,INDEX(CV_RATES!$J:$J,MATCH(D808,CV_RATES!$C:$C,0))),0))</f>
        <v>899.323661553913</v>
      </c>
      <c r="K808" s="10" t="n">
        <f aca="false">IF(A808="","",IFERROR(I808+H808*(J808-I808),0))</f>
        <v>895.078196512551</v>
      </c>
      <c r="L808" s="10" t="n">
        <f aca="false">IF(A808="","",IFERROR(K808*Inputs!$B$9,0))</f>
        <v>44753.9098256276</v>
      </c>
      <c r="M808" s="10" t="n">
        <f aca="false">IF(A808="","",IFERROR(K808*Inputs!$B$10,0))</f>
        <v>143209.826207419</v>
      </c>
      <c r="N808" s="10" t="n">
        <f aca="false">IF(A808="","",Z807)</f>
        <v>0</v>
      </c>
      <c r="O808" s="6" t="n">
        <f aca="false">IF(A808="","",Inputs!$B$18+N808)</f>
        <v>50000</v>
      </c>
      <c r="P808" s="5" t="n">
        <f aca="false">IF(A808="","",VLOOKUP(D808,DIvidend_Assumption!$A$3:$CX$103,($E$2+2),0)/12)</f>
        <v>0</v>
      </c>
      <c r="Q808" s="10" t="n">
        <f aca="false">IF(A808="","",IFERROR(AB807*P808,""))</f>
        <v>0</v>
      </c>
      <c r="R808" s="10" t="n">
        <f aca="false">IF(A808="","",IFERROR(IF(Inputs!$B$22="Accumulate",T808+Q808,IF(Inputs!$B$22="Premium Offset",MAX(0,T808+Q808-Inputs!$B$25),T808)),""))</f>
        <v>0</v>
      </c>
      <c r="S808" s="10" t="n">
        <f aca="false">IF(A808="","",R807)</f>
        <v>0</v>
      </c>
      <c r="T808" s="10" t="n">
        <f aca="false">IF(A808="","",IFERROR(S808*(1+Inputs!$B$23/12),""))</f>
        <v>0</v>
      </c>
      <c r="U808" s="6" t="n">
        <f aca="false">IF(A808="","",IF(D808&lt;=Inputs!$B$8,IF(Inputs!$B$22="Premium Offset",MAX(0,Inputs!$B$25-(Q808+T808)),Inputs!$B$25),0))</f>
        <v>0</v>
      </c>
      <c r="V808" s="10" t="n">
        <f aca="false">IF(A808="","",IF(Inputs!$B$22="Cash",Q808,0))</f>
        <v>0</v>
      </c>
      <c r="W808" s="10" t="n">
        <f aca="false">IF(A808="","",IF(Inputs!$B$22="PUA",Q808,0))</f>
        <v>0</v>
      </c>
      <c r="X808" s="12" t="n">
        <f aca="false">IF(A808="","",IFERROR(INDEX(PUA_TABLE!$D$4:$D$105,MATCH(E808,PUA_TABLE!$C$4:$C$105,1)),0))</f>
        <v>0.893749579755003</v>
      </c>
      <c r="Y808" s="10" t="n">
        <f aca="false">IF(A808="","",IF(W808&gt;0,IF(X808&gt;0,W808/X808,0),0))</f>
        <v>0</v>
      </c>
      <c r="Z808" s="10" t="n">
        <f aca="false">IF(A808="","",N808+Y808)</f>
        <v>0</v>
      </c>
      <c r="AA808" s="10" t="n">
        <f aca="false">IF(A808="","",IFERROR(Z808*INDEX(PUA_TABLE!$I$4:$I$105,MATCH(E808,PUA_TABLE!$C$4:$C$105,1))/1000,0))</f>
        <v>0</v>
      </c>
      <c r="AB808" s="10" t="n">
        <f aca="false">IF(A808="","",IFERROR(L808+AA808,0))</f>
        <v>44753.9098256276</v>
      </c>
      <c r="AC808" s="10" t="n">
        <f aca="false">IF(A808="","",IF(Inputs!$B$22="Premium Offset",MIN(Inputs!$B$25,Q808+T808),0))</f>
        <v>0</v>
      </c>
    </row>
    <row r="809" customFormat="false" ht="15" hidden="false" customHeight="false" outlineLevel="0" collapsed="false">
      <c r="A809" s="1" t="n">
        <f aca="false">IF(A808="","",IF(INT((C808+1)/12)+Inputs!$B$7&gt;MAX(MORTALITY!$A:$A),"",Inputs!$B$4))</f>
        <v>34</v>
      </c>
      <c r="B809" s="3" t="n">
        <f aca="false">IF(A809="","",EOMONTH(B808,1))</f>
        <v>46295</v>
      </c>
      <c r="C809" s="1" t="n">
        <f aca="false">IF(A809="","",C808+1)</f>
        <v>807</v>
      </c>
      <c r="D809" s="1" t="n">
        <f aca="false">IF(A809="","",INT(C809/12))</f>
        <v>67</v>
      </c>
      <c r="E809" s="1" t="n">
        <f aca="false">IF(A809="","",D809+Inputs!$B$7)</f>
        <v>83</v>
      </c>
      <c r="F809" s="3" t="n">
        <f aca="false">IF(A809="","",DATE(YEAR(B$2)+D809,MONTH(B$2),DAY(B$2)))</f>
        <v>46178</v>
      </c>
      <c r="G809" s="3" t="n">
        <f aca="false">IF(A809="","",DATE(YEAR(F809)+1,MONTH(F809),DAY(F809)))</f>
        <v>46543</v>
      </c>
      <c r="H809" s="10" t="n">
        <f aca="false">IF(A809="","",IF(G809&gt;F809,(B809-F809)/(G809-F809),0))</f>
        <v>0.320547945205479</v>
      </c>
      <c r="I809" s="10" t="n">
        <f aca="false">IF(A809="","",IFERROR(INDEX(CV_RATES!$I:$I,MATCH(D809,CV_RATES!$C:$C,0)),0))</f>
        <v>893.749579755003</v>
      </c>
      <c r="J809" s="10" t="n">
        <f aca="false">IF(A809="","",IFERROR(IF(E809=MAX(MORTALITY!$A:$A),1000,INDEX(CV_RATES!$J:$J,MATCH(D809,CV_RATES!$C:$C,0))),0))</f>
        <v>899.323661553913</v>
      </c>
      <c r="K809" s="10" t="n">
        <f aca="false">IF(A809="","",IFERROR(I809+H809*(J809-I809),0))</f>
        <v>895.536340222051</v>
      </c>
      <c r="L809" s="10" t="n">
        <f aca="false">IF(A809="","",IFERROR(K809*Inputs!$B$9,0))</f>
        <v>44776.8170111025</v>
      </c>
      <c r="M809" s="10" t="n">
        <f aca="false">IF(A809="","",IFERROR(K809*Inputs!$B$10,0))</f>
        <v>143283.127826508</v>
      </c>
      <c r="N809" s="10" t="n">
        <f aca="false">IF(A809="","",Z808)</f>
        <v>0</v>
      </c>
      <c r="O809" s="6" t="n">
        <f aca="false">IF(A809="","",Inputs!$B$18+N809)</f>
        <v>50000</v>
      </c>
      <c r="P809" s="5" t="n">
        <f aca="false">IF(A809="","",VLOOKUP(D809,DIvidend_Assumption!$A$3:$CX$103,($E$2+2),0)/12)</f>
        <v>0</v>
      </c>
      <c r="Q809" s="10" t="n">
        <f aca="false">IF(A809="","",IFERROR(AB808*P809,""))</f>
        <v>0</v>
      </c>
      <c r="R809" s="10" t="n">
        <f aca="false">IF(A809="","",IFERROR(IF(Inputs!$B$22="Accumulate",T809+Q809,IF(Inputs!$B$22="Premium Offset",MAX(0,T809+Q809-Inputs!$B$25),T809)),""))</f>
        <v>0</v>
      </c>
      <c r="S809" s="10" t="n">
        <f aca="false">IF(A809="","",R808)</f>
        <v>0</v>
      </c>
      <c r="T809" s="10" t="n">
        <f aca="false">IF(A809="","",IFERROR(S809*(1+Inputs!$B$23/12),""))</f>
        <v>0</v>
      </c>
      <c r="U809" s="6" t="n">
        <f aca="false">IF(A809="","",IF(D809&lt;=Inputs!$B$8,IF(Inputs!$B$22="Premium Offset",MAX(0,Inputs!$B$25-(Q809+T809)),Inputs!$B$25),0))</f>
        <v>0</v>
      </c>
      <c r="V809" s="10" t="n">
        <f aca="false">IF(A809="","",IF(Inputs!$B$22="Cash",Q809,0))</f>
        <v>0</v>
      </c>
      <c r="W809" s="10" t="n">
        <f aca="false">IF(A809="","",IF(Inputs!$B$22="PUA",Q809,0))</f>
        <v>0</v>
      </c>
      <c r="X809" s="12" t="n">
        <f aca="false">IF(A809="","",IFERROR(INDEX(PUA_TABLE!$D$4:$D$105,MATCH(E809,PUA_TABLE!$C$4:$C$105,1)),0))</f>
        <v>0.893749579755003</v>
      </c>
      <c r="Y809" s="10" t="n">
        <f aca="false">IF(A809="","",IF(W809&gt;0,IF(X809&gt;0,W809/X809,0),0))</f>
        <v>0</v>
      </c>
      <c r="Z809" s="10" t="n">
        <f aca="false">IF(A809="","",N809+Y809)</f>
        <v>0</v>
      </c>
      <c r="AA809" s="10" t="n">
        <f aca="false">IF(A809="","",IFERROR(Z809*INDEX(PUA_TABLE!$I$4:$I$105,MATCH(E809,PUA_TABLE!$C$4:$C$105,1))/1000,0))</f>
        <v>0</v>
      </c>
      <c r="AB809" s="10" t="n">
        <f aca="false">IF(A809="","",IFERROR(L809+AA809,0))</f>
        <v>44776.8170111025</v>
      </c>
      <c r="AC809" s="10" t="n">
        <f aca="false">IF(A809="","",IF(Inputs!$B$22="Premium Offset",MIN(Inputs!$B$25,Q809+T809),0))</f>
        <v>0</v>
      </c>
    </row>
    <row r="810" customFormat="false" ht="15" hidden="false" customHeight="false" outlineLevel="0" collapsed="false">
      <c r="A810" s="1" t="n">
        <f aca="false">IF(A809="","",IF(INT((C809+1)/12)+Inputs!$B$7&gt;MAX(MORTALITY!$A:$A),"",Inputs!$B$4))</f>
        <v>34</v>
      </c>
      <c r="B810" s="3" t="n">
        <f aca="false">IF(A810="","",EOMONTH(B809,1))</f>
        <v>46326</v>
      </c>
      <c r="C810" s="1" t="n">
        <f aca="false">IF(A810="","",C809+1)</f>
        <v>808</v>
      </c>
      <c r="D810" s="1" t="n">
        <f aca="false">IF(A810="","",INT(C810/12))</f>
        <v>67</v>
      </c>
      <c r="E810" s="1" t="n">
        <f aca="false">IF(A810="","",D810+Inputs!$B$7)</f>
        <v>83</v>
      </c>
      <c r="F810" s="3" t="n">
        <f aca="false">IF(A810="","",DATE(YEAR(B$2)+D810,MONTH(B$2),DAY(B$2)))</f>
        <v>46178</v>
      </c>
      <c r="G810" s="3" t="n">
        <f aca="false">IF(A810="","",DATE(YEAR(F810)+1,MONTH(F810),DAY(F810)))</f>
        <v>46543</v>
      </c>
      <c r="H810" s="10" t="n">
        <f aca="false">IF(A810="","",IF(G810&gt;F810,(B810-F810)/(G810-F810),0))</f>
        <v>0.405479452054795</v>
      </c>
      <c r="I810" s="10" t="n">
        <f aca="false">IF(A810="","",IFERROR(INDEX(CV_RATES!$I:$I,MATCH(D810,CV_RATES!$C:$C,0)),0))</f>
        <v>893.749579755003</v>
      </c>
      <c r="J810" s="10" t="n">
        <f aca="false">IF(A810="","",IFERROR(IF(E810=MAX(MORTALITY!$A:$A),1000,INDEX(CV_RATES!$J:$J,MATCH(D810,CV_RATES!$C:$C,0))),0))</f>
        <v>899.323661553913</v>
      </c>
      <c r="K810" s="10" t="n">
        <f aca="false">IF(A810="","",IFERROR(I810+H810*(J810-I810),0))</f>
        <v>896.009755388534</v>
      </c>
      <c r="L810" s="10" t="n">
        <f aca="false">IF(A810="","",IFERROR(K810*Inputs!$B$9,0))</f>
        <v>44800.4877694267</v>
      </c>
      <c r="M810" s="10" t="n">
        <f aca="false">IF(A810="","",IFERROR(K810*Inputs!$B$10,0))</f>
        <v>143358.872832899</v>
      </c>
      <c r="N810" s="10" t="n">
        <f aca="false">IF(A810="","",Z809)</f>
        <v>0</v>
      </c>
      <c r="O810" s="6" t="n">
        <f aca="false">IF(A810="","",Inputs!$B$18+N810)</f>
        <v>50000</v>
      </c>
      <c r="P810" s="5" t="n">
        <f aca="false">IF(A810="","",VLOOKUP(D810,DIvidend_Assumption!$A$3:$CX$103,($E$2+2),0)/12)</f>
        <v>0</v>
      </c>
      <c r="Q810" s="10" t="n">
        <f aca="false">IF(A810="","",IFERROR(AB809*P810,""))</f>
        <v>0</v>
      </c>
      <c r="R810" s="10" t="n">
        <f aca="false">IF(A810="","",IFERROR(IF(Inputs!$B$22="Accumulate",T810+Q810,IF(Inputs!$B$22="Premium Offset",MAX(0,T810+Q810-Inputs!$B$25),T810)),""))</f>
        <v>0</v>
      </c>
      <c r="S810" s="10" t="n">
        <f aca="false">IF(A810="","",R809)</f>
        <v>0</v>
      </c>
      <c r="T810" s="10" t="n">
        <f aca="false">IF(A810="","",IFERROR(S810*(1+Inputs!$B$23/12),""))</f>
        <v>0</v>
      </c>
      <c r="U810" s="6" t="n">
        <f aca="false">IF(A810="","",IF(D810&lt;=Inputs!$B$8,IF(Inputs!$B$22="Premium Offset",MAX(0,Inputs!$B$25-(Q810+T810)),Inputs!$B$25),0))</f>
        <v>0</v>
      </c>
      <c r="V810" s="10" t="n">
        <f aca="false">IF(A810="","",IF(Inputs!$B$22="Cash",Q810,0))</f>
        <v>0</v>
      </c>
      <c r="W810" s="10" t="n">
        <f aca="false">IF(A810="","",IF(Inputs!$B$22="PUA",Q810,0))</f>
        <v>0</v>
      </c>
      <c r="X810" s="12" t="n">
        <f aca="false">IF(A810="","",IFERROR(INDEX(PUA_TABLE!$D$4:$D$105,MATCH(E810,PUA_TABLE!$C$4:$C$105,1)),0))</f>
        <v>0.893749579755003</v>
      </c>
      <c r="Y810" s="10" t="n">
        <f aca="false">IF(A810="","",IF(W810&gt;0,IF(X810&gt;0,W810/X810,0),0))</f>
        <v>0</v>
      </c>
      <c r="Z810" s="10" t="n">
        <f aca="false">IF(A810="","",N810+Y810)</f>
        <v>0</v>
      </c>
      <c r="AA810" s="10" t="n">
        <f aca="false">IF(A810="","",IFERROR(Z810*INDEX(PUA_TABLE!$I$4:$I$105,MATCH(E810,PUA_TABLE!$C$4:$C$105,1))/1000,0))</f>
        <v>0</v>
      </c>
      <c r="AB810" s="10" t="n">
        <f aca="false">IF(A810="","",IFERROR(L810+AA810,0))</f>
        <v>44800.4877694267</v>
      </c>
      <c r="AC810" s="10" t="n">
        <f aca="false">IF(A810="","",IF(Inputs!$B$22="Premium Offset",MIN(Inputs!$B$25,Q810+T810),0))</f>
        <v>0</v>
      </c>
    </row>
    <row r="811" customFormat="false" ht="15" hidden="false" customHeight="false" outlineLevel="0" collapsed="false">
      <c r="A811" s="1" t="n">
        <f aca="false">IF(A810="","",IF(INT((C810+1)/12)+Inputs!$B$7&gt;MAX(MORTALITY!$A:$A),"",Inputs!$B$4))</f>
        <v>34</v>
      </c>
      <c r="B811" s="3" t="n">
        <f aca="false">IF(A811="","",EOMONTH(B810,1))</f>
        <v>46356</v>
      </c>
      <c r="C811" s="1" t="n">
        <f aca="false">IF(A811="","",C810+1)</f>
        <v>809</v>
      </c>
      <c r="D811" s="1" t="n">
        <f aca="false">IF(A811="","",INT(C811/12))</f>
        <v>67</v>
      </c>
      <c r="E811" s="1" t="n">
        <f aca="false">IF(A811="","",D811+Inputs!$B$7)</f>
        <v>83</v>
      </c>
      <c r="F811" s="3" t="n">
        <f aca="false">IF(A811="","",DATE(YEAR(B$2)+D811,MONTH(B$2),DAY(B$2)))</f>
        <v>46178</v>
      </c>
      <c r="G811" s="3" t="n">
        <f aca="false">IF(A811="","",DATE(YEAR(F811)+1,MONTH(F811),DAY(F811)))</f>
        <v>46543</v>
      </c>
      <c r="H811" s="10" t="n">
        <f aca="false">IF(A811="","",IF(G811&gt;F811,(B811-F811)/(G811-F811),0))</f>
        <v>0.487671232876712</v>
      </c>
      <c r="I811" s="10" t="n">
        <f aca="false">IF(A811="","",IFERROR(INDEX(CV_RATES!$I:$I,MATCH(D811,CV_RATES!$C:$C,0)),0))</f>
        <v>893.749579755003</v>
      </c>
      <c r="J811" s="10" t="n">
        <f aca="false">IF(A811="","",IFERROR(IF(E811=MAX(MORTALITY!$A:$A),1000,INDEX(CV_RATES!$J:$J,MATCH(D811,CV_RATES!$C:$C,0))),0))</f>
        <v>899.323661553913</v>
      </c>
      <c r="K811" s="10" t="n">
        <f aca="false">IF(A811="","",IFERROR(I811+H811*(J811-I811),0))</f>
        <v>896.467899098033</v>
      </c>
      <c r="L811" s="10" t="n">
        <f aca="false">IF(A811="","",IFERROR(K811*Inputs!$B$9,0))</f>
        <v>44823.3949549017</v>
      </c>
      <c r="M811" s="10" t="n">
        <f aca="false">IF(A811="","",IFERROR(K811*Inputs!$B$10,0))</f>
        <v>143432.174451988</v>
      </c>
      <c r="N811" s="10" t="n">
        <f aca="false">IF(A811="","",Z810)</f>
        <v>0</v>
      </c>
      <c r="O811" s="6" t="n">
        <f aca="false">IF(A811="","",Inputs!$B$18+N811)</f>
        <v>50000</v>
      </c>
      <c r="P811" s="5" t="n">
        <f aca="false">IF(A811="","",VLOOKUP(D811,DIvidend_Assumption!$A$3:$CX$103,($E$2+2),0)/12)</f>
        <v>0</v>
      </c>
      <c r="Q811" s="10" t="n">
        <f aca="false">IF(A811="","",IFERROR(AB810*P811,""))</f>
        <v>0</v>
      </c>
      <c r="R811" s="10" t="n">
        <f aca="false">IF(A811="","",IFERROR(IF(Inputs!$B$22="Accumulate",T811+Q811,IF(Inputs!$B$22="Premium Offset",MAX(0,T811+Q811-Inputs!$B$25),T811)),""))</f>
        <v>0</v>
      </c>
      <c r="S811" s="10" t="n">
        <f aca="false">IF(A811="","",R810)</f>
        <v>0</v>
      </c>
      <c r="T811" s="10" t="n">
        <f aca="false">IF(A811="","",IFERROR(S811*(1+Inputs!$B$23/12),""))</f>
        <v>0</v>
      </c>
      <c r="U811" s="6" t="n">
        <f aca="false">IF(A811="","",IF(D811&lt;=Inputs!$B$8,IF(Inputs!$B$22="Premium Offset",MAX(0,Inputs!$B$25-(Q811+T811)),Inputs!$B$25),0))</f>
        <v>0</v>
      </c>
      <c r="V811" s="10" t="n">
        <f aca="false">IF(A811="","",IF(Inputs!$B$22="Cash",Q811,0))</f>
        <v>0</v>
      </c>
      <c r="W811" s="10" t="n">
        <f aca="false">IF(A811="","",IF(Inputs!$B$22="PUA",Q811,0))</f>
        <v>0</v>
      </c>
      <c r="X811" s="12" t="n">
        <f aca="false">IF(A811="","",IFERROR(INDEX(PUA_TABLE!$D$4:$D$105,MATCH(E811,PUA_TABLE!$C$4:$C$105,1)),0))</f>
        <v>0.893749579755003</v>
      </c>
      <c r="Y811" s="10" t="n">
        <f aca="false">IF(A811="","",IF(W811&gt;0,IF(X811&gt;0,W811/X811,0),0))</f>
        <v>0</v>
      </c>
      <c r="Z811" s="10" t="n">
        <f aca="false">IF(A811="","",N811+Y811)</f>
        <v>0</v>
      </c>
      <c r="AA811" s="10" t="n">
        <f aca="false">IF(A811="","",IFERROR(Z811*INDEX(PUA_TABLE!$I$4:$I$105,MATCH(E811,PUA_TABLE!$C$4:$C$105,1))/1000,0))</f>
        <v>0</v>
      </c>
      <c r="AB811" s="10" t="n">
        <f aca="false">IF(A811="","",IFERROR(L811+AA811,0))</f>
        <v>44823.3949549017</v>
      </c>
      <c r="AC811" s="10" t="n">
        <f aca="false">IF(A811="","",IF(Inputs!$B$22="Premium Offset",MIN(Inputs!$B$25,Q811+T811),0))</f>
        <v>0</v>
      </c>
    </row>
    <row r="812" customFormat="false" ht="15" hidden="false" customHeight="false" outlineLevel="0" collapsed="false">
      <c r="A812" s="1" t="n">
        <f aca="false">IF(A811="","",IF(INT((C811+1)/12)+Inputs!$B$7&gt;MAX(MORTALITY!$A:$A),"",Inputs!$B$4))</f>
        <v>34</v>
      </c>
      <c r="B812" s="3" t="n">
        <f aca="false">IF(A812="","",EOMONTH(B811,1))</f>
        <v>46387</v>
      </c>
      <c r="C812" s="1" t="n">
        <f aca="false">IF(A812="","",C811+1)</f>
        <v>810</v>
      </c>
      <c r="D812" s="1" t="n">
        <f aca="false">IF(A812="","",INT(C812/12))</f>
        <v>67</v>
      </c>
      <c r="E812" s="1" t="n">
        <f aca="false">IF(A812="","",D812+Inputs!$B$7)</f>
        <v>83</v>
      </c>
      <c r="F812" s="3" t="n">
        <f aca="false">IF(A812="","",DATE(YEAR(B$2)+D812,MONTH(B$2),DAY(B$2)))</f>
        <v>46178</v>
      </c>
      <c r="G812" s="3" t="n">
        <f aca="false">IF(A812="","",DATE(YEAR(F812)+1,MONTH(F812),DAY(F812)))</f>
        <v>46543</v>
      </c>
      <c r="H812" s="10" t="n">
        <f aca="false">IF(A812="","",IF(G812&gt;F812,(B812-F812)/(G812-F812),0))</f>
        <v>0.572602739726027</v>
      </c>
      <c r="I812" s="10" t="n">
        <f aca="false">IF(A812="","",IFERROR(INDEX(CV_RATES!$I:$I,MATCH(D812,CV_RATES!$C:$C,0)),0))</f>
        <v>893.749579755003</v>
      </c>
      <c r="J812" s="10" t="n">
        <f aca="false">IF(A812="","",IFERROR(IF(E812=MAX(MORTALITY!$A:$A),1000,INDEX(CV_RATES!$J:$J,MATCH(D812,CV_RATES!$C:$C,0))),0))</f>
        <v>899.323661553913</v>
      </c>
      <c r="K812" s="10" t="n">
        <f aca="false">IF(A812="","",IFERROR(I812+H812*(J812-I812),0))</f>
        <v>896.941314264516</v>
      </c>
      <c r="L812" s="10" t="n">
        <f aca="false">IF(A812="","",IFERROR(K812*Inputs!$B$9,0))</f>
        <v>44847.0657132258</v>
      </c>
      <c r="M812" s="10" t="n">
        <f aca="false">IF(A812="","",IFERROR(K812*Inputs!$B$10,0))</f>
        <v>143507.91945838</v>
      </c>
      <c r="N812" s="10" t="n">
        <f aca="false">IF(A812="","",Z811)</f>
        <v>0</v>
      </c>
      <c r="O812" s="6" t="n">
        <f aca="false">IF(A812="","",Inputs!$B$18+N812)</f>
        <v>50000</v>
      </c>
      <c r="P812" s="5" t="n">
        <f aca="false">IF(A812="","",VLOOKUP(D812,DIvidend_Assumption!$A$3:$CX$103,($E$2+2),0)/12)</f>
        <v>0</v>
      </c>
      <c r="Q812" s="10" t="n">
        <f aca="false">IF(A812="","",IFERROR(AB811*P812,""))</f>
        <v>0</v>
      </c>
      <c r="R812" s="10" t="n">
        <f aca="false">IF(A812="","",IFERROR(IF(Inputs!$B$22="Accumulate",T812+Q812,IF(Inputs!$B$22="Premium Offset",MAX(0,T812+Q812-Inputs!$B$25),T812)),""))</f>
        <v>0</v>
      </c>
      <c r="S812" s="10" t="n">
        <f aca="false">IF(A812="","",R811)</f>
        <v>0</v>
      </c>
      <c r="T812" s="10" t="n">
        <f aca="false">IF(A812="","",IFERROR(S812*(1+Inputs!$B$23/12),""))</f>
        <v>0</v>
      </c>
      <c r="U812" s="6" t="n">
        <f aca="false">IF(A812="","",IF(D812&lt;=Inputs!$B$8,IF(Inputs!$B$22="Premium Offset",MAX(0,Inputs!$B$25-(Q812+T812)),Inputs!$B$25),0))</f>
        <v>0</v>
      </c>
      <c r="V812" s="10" t="n">
        <f aca="false">IF(A812="","",IF(Inputs!$B$22="Cash",Q812,0))</f>
        <v>0</v>
      </c>
      <c r="W812" s="10" t="n">
        <f aca="false">IF(A812="","",IF(Inputs!$B$22="PUA",Q812,0))</f>
        <v>0</v>
      </c>
      <c r="X812" s="12" t="n">
        <f aca="false">IF(A812="","",IFERROR(INDEX(PUA_TABLE!$D$4:$D$105,MATCH(E812,PUA_TABLE!$C$4:$C$105,1)),0))</f>
        <v>0.893749579755003</v>
      </c>
      <c r="Y812" s="10" t="n">
        <f aca="false">IF(A812="","",IF(W812&gt;0,IF(X812&gt;0,W812/X812,0),0))</f>
        <v>0</v>
      </c>
      <c r="Z812" s="10" t="n">
        <f aca="false">IF(A812="","",N812+Y812)</f>
        <v>0</v>
      </c>
      <c r="AA812" s="10" t="n">
        <f aca="false">IF(A812="","",IFERROR(Z812*INDEX(PUA_TABLE!$I$4:$I$105,MATCH(E812,PUA_TABLE!$C$4:$C$105,1))/1000,0))</f>
        <v>0</v>
      </c>
      <c r="AB812" s="10" t="n">
        <f aca="false">IF(A812="","",IFERROR(L812+AA812,0))</f>
        <v>44847.0657132258</v>
      </c>
      <c r="AC812" s="10" t="n">
        <f aca="false">IF(A812="","",IF(Inputs!$B$22="Premium Offset",MIN(Inputs!$B$25,Q812+T812),0))</f>
        <v>0</v>
      </c>
    </row>
    <row r="813" customFormat="false" ht="15" hidden="false" customHeight="false" outlineLevel="0" collapsed="false">
      <c r="A813" s="1" t="n">
        <f aca="false">IF(A812="","",IF(INT((C812+1)/12)+Inputs!$B$7&gt;MAX(MORTALITY!$A:$A),"",Inputs!$B$4))</f>
        <v>34</v>
      </c>
      <c r="B813" s="3" t="n">
        <f aca="false">IF(A813="","",EOMONTH(B812,1))</f>
        <v>46418</v>
      </c>
      <c r="C813" s="1" t="n">
        <f aca="false">IF(A813="","",C812+1)</f>
        <v>811</v>
      </c>
      <c r="D813" s="1" t="n">
        <f aca="false">IF(A813="","",INT(C813/12))</f>
        <v>67</v>
      </c>
      <c r="E813" s="1" t="n">
        <f aca="false">IF(A813="","",D813+Inputs!$B$7)</f>
        <v>83</v>
      </c>
      <c r="F813" s="3" t="n">
        <f aca="false">IF(A813="","",DATE(YEAR(B$2)+D813,MONTH(B$2),DAY(B$2)))</f>
        <v>46178</v>
      </c>
      <c r="G813" s="3" t="n">
        <f aca="false">IF(A813="","",DATE(YEAR(F813)+1,MONTH(F813),DAY(F813)))</f>
        <v>46543</v>
      </c>
      <c r="H813" s="10" t="n">
        <f aca="false">IF(A813="","",IF(G813&gt;F813,(B813-F813)/(G813-F813),0))</f>
        <v>0.657534246575342</v>
      </c>
      <c r="I813" s="10" t="n">
        <f aca="false">IF(A813="","",IFERROR(INDEX(CV_RATES!$I:$I,MATCH(D813,CV_RATES!$C:$C,0)),0))</f>
        <v>893.749579755003</v>
      </c>
      <c r="J813" s="10" t="n">
        <f aca="false">IF(A813="","",IFERROR(IF(E813=MAX(MORTALITY!$A:$A),1000,INDEX(CV_RATES!$J:$J,MATCH(D813,CV_RATES!$C:$C,0))),0))</f>
        <v>899.323661553913</v>
      </c>
      <c r="K813" s="10" t="n">
        <f aca="false">IF(A813="","",IFERROR(I813+H813*(J813-I813),0))</f>
        <v>897.414729430999</v>
      </c>
      <c r="L813" s="10" t="n">
        <f aca="false">IF(A813="","",IFERROR(K813*Inputs!$B$9,0))</f>
        <v>44870.7364715499</v>
      </c>
      <c r="M813" s="10" t="n">
        <f aca="false">IF(A813="","",IFERROR(K813*Inputs!$B$10,0))</f>
        <v>143583.664464772</v>
      </c>
      <c r="N813" s="10" t="n">
        <f aca="false">IF(A813="","",Z812)</f>
        <v>0</v>
      </c>
      <c r="O813" s="6" t="n">
        <f aca="false">IF(A813="","",Inputs!$B$18+N813)</f>
        <v>50000</v>
      </c>
      <c r="P813" s="5" t="n">
        <f aca="false">IF(A813="","",VLOOKUP(D813,DIvidend_Assumption!$A$3:$CX$103,($E$2+2),0)/12)</f>
        <v>0</v>
      </c>
      <c r="Q813" s="10" t="n">
        <f aca="false">IF(A813="","",IFERROR(AB812*P813,""))</f>
        <v>0</v>
      </c>
      <c r="R813" s="10" t="n">
        <f aca="false">IF(A813="","",IFERROR(IF(Inputs!$B$22="Accumulate",T813+Q813,IF(Inputs!$B$22="Premium Offset",MAX(0,T813+Q813-Inputs!$B$25),T813)),""))</f>
        <v>0</v>
      </c>
      <c r="S813" s="10" t="n">
        <f aca="false">IF(A813="","",R812)</f>
        <v>0</v>
      </c>
      <c r="T813" s="10" t="n">
        <f aca="false">IF(A813="","",IFERROR(S813*(1+Inputs!$B$23/12),""))</f>
        <v>0</v>
      </c>
      <c r="U813" s="6" t="n">
        <f aca="false">IF(A813="","",IF(D813&lt;=Inputs!$B$8,IF(Inputs!$B$22="Premium Offset",MAX(0,Inputs!$B$25-(Q813+T813)),Inputs!$B$25),0))</f>
        <v>0</v>
      </c>
      <c r="V813" s="10" t="n">
        <f aca="false">IF(A813="","",IF(Inputs!$B$22="Cash",Q813,0))</f>
        <v>0</v>
      </c>
      <c r="W813" s="10" t="n">
        <f aca="false">IF(A813="","",IF(Inputs!$B$22="PUA",Q813,0))</f>
        <v>0</v>
      </c>
      <c r="X813" s="12" t="n">
        <f aca="false">IF(A813="","",IFERROR(INDEX(PUA_TABLE!$D$4:$D$105,MATCH(E813,PUA_TABLE!$C$4:$C$105,1)),0))</f>
        <v>0.893749579755003</v>
      </c>
      <c r="Y813" s="10" t="n">
        <f aca="false">IF(A813="","",IF(W813&gt;0,IF(X813&gt;0,W813/X813,0),0))</f>
        <v>0</v>
      </c>
      <c r="Z813" s="10" t="n">
        <f aca="false">IF(A813="","",N813+Y813)</f>
        <v>0</v>
      </c>
      <c r="AA813" s="10" t="n">
        <f aca="false">IF(A813="","",IFERROR(Z813*INDEX(PUA_TABLE!$I$4:$I$105,MATCH(E813,PUA_TABLE!$C$4:$C$105,1))/1000,0))</f>
        <v>0</v>
      </c>
      <c r="AB813" s="10" t="n">
        <f aca="false">IF(A813="","",IFERROR(L813+AA813,0))</f>
        <v>44870.7364715499</v>
      </c>
      <c r="AC813" s="10" t="n">
        <f aca="false">IF(A813="","",IF(Inputs!$B$22="Premium Offset",MIN(Inputs!$B$25,Q813+T813),0))</f>
        <v>0</v>
      </c>
    </row>
    <row r="814" customFormat="false" ht="15" hidden="false" customHeight="false" outlineLevel="0" collapsed="false">
      <c r="A814" s="1" t="n">
        <f aca="false">IF(A813="","",IF(INT((C813+1)/12)+Inputs!$B$7&gt;MAX(MORTALITY!$A:$A),"",Inputs!$B$4))</f>
        <v>34</v>
      </c>
      <c r="B814" s="3" t="n">
        <f aca="false">IF(A814="","",EOMONTH(B813,1))</f>
        <v>46446</v>
      </c>
      <c r="C814" s="1" t="n">
        <f aca="false">IF(A814="","",C813+1)</f>
        <v>812</v>
      </c>
      <c r="D814" s="1" t="n">
        <f aca="false">IF(A814="","",INT(C814/12))</f>
        <v>67</v>
      </c>
      <c r="E814" s="1" t="n">
        <f aca="false">IF(A814="","",D814+Inputs!$B$7)</f>
        <v>83</v>
      </c>
      <c r="F814" s="3" t="n">
        <f aca="false">IF(A814="","",DATE(YEAR(B$2)+D814,MONTH(B$2),DAY(B$2)))</f>
        <v>46178</v>
      </c>
      <c r="G814" s="3" t="n">
        <f aca="false">IF(A814="","",DATE(YEAR(F814)+1,MONTH(F814),DAY(F814)))</f>
        <v>46543</v>
      </c>
      <c r="H814" s="10" t="n">
        <f aca="false">IF(A814="","",IF(G814&gt;F814,(B814-F814)/(G814-F814),0))</f>
        <v>0.734246575342466</v>
      </c>
      <c r="I814" s="10" t="n">
        <f aca="false">IF(A814="","",IFERROR(INDEX(CV_RATES!$I:$I,MATCH(D814,CV_RATES!$C:$C,0)),0))</f>
        <v>893.749579755003</v>
      </c>
      <c r="J814" s="10" t="n">
        <f aca="false">IF(A814="","",IFERROR(IF(E814=MAX(MORTALITY!$A:$A),1000,INDEX(CV_RATES!$J:$J,MATCH(D814,CV_RATES!$C:$C,0))),0))</f>
        <v>899.323661553913</v>
      </c>
      <c r="K814" s="10" t="n">
        <f aca="false">IF(A814="","",IFERROR(I814+H814*(J814-I814),0))</f>
        <v>897.842330226532</v>
      </c>
      <c r="L814" s="10" t="n">
        <f aca="false">IF(A814="","",IFERROR(K814*Inputs!$B$9,0))</f>
        <v>44892.1165113266</v>
      </c>
      <c r="M814" s="10" t="n">
        <f aca="false">IF(A814="","",IFERROR(K814*Inputs!$B$10,0))</f>
        <v>143652.079309254</v>
      </c>
      <c r="N814" s="10" t="n">
        <f aca="false">IF(A814="","",Z813)</f>
        <v>0</v>
      </c>
      <c r="O814" s="6" t="n">
        <f aca="false">IF(A814="","",Inputs!$B$18+N814)</f>
        <v>50000</v>
      </c>
      <c r="P814" s="5" t="n">
        <f aca="false">IF(A814="","",VLOOKUP(D814,DIvidend_Assumption!$A$3:$CX$103,($E$2+2),0)/12)</f>
        <v>0</v>
      </c>
      <c r="Q814" s="10" t="n">
        <f aca="false">IF(A814="","",IFERROR(AB813*P814,""))</f>
        <v>0</v>
      </c>
      <c r="R814" s="10" t="n">
        <f aca="false">IF(A814="","",IFERROR(IF(Inputs!$B$22="Accumulate",T814+Q814,IF(Inputs!$B$22="Premium Offset",MAX(0,T814+Q814-Inputs!$B$25),T814)),""))</f>
        <v>0</v>
      </c>
      <c r="S814" s="10" t="n">
        <f aca="false">IF(A814="","",R813)</f>
        <v>0</v>
      </c>
      <c r="T814" s="10" t="n">
        <f aca="false">IF(A814="","",IFERROR(S814*(1+Inputs!$B$23/12),""))</f>
        <v>0</v>
      </c>
      <c r="U814" s="6" t="n">
        <f aca="false">IF(A814="","",IF(D814&lt;=Inputs!$B$8,IF(Inputs!$B$22="Premium Offset",MAX(0,Inputs!$B$25-(Q814+T814)),Inputs!$B$25),0))</f>
        <v>0</v>
      </c>
      <c r="V814" s="10" t="n">
        <f aca="false">IF(A814="","",IF(Inputs!$B$22="Cash",Q814,0))</f>
        <v>0</v>
      </c>
      <c r="W814" s="10" t="n">
        <f aca="false">IF(A814="","",IF(Inputs!$B$22="PUA",Q814,0))</f>
        <v>0</v>
      </c>
      <c r="X814" s="12" t="n">
        <f aca="false">IF(A814="","",IFERROR(INDEX(PUA_TABLE!$D$4:$D$105,MATCH(E814,PUA_TABLE!$C$4:$C$105,1)),0))</f>
        <v>0.893749579755003</v>
      </c>
      <c r="Y814" s="10" t="n">
        <f aca="false">IF(A814="","",IF(W814&gt;0,IF(X814&gt;0,W814/X814,0),0))</f>
        <v>0</v>
      </c>
      <c r="Z814" s="10" t="n">
        <f aca="false">IF(A814="","",N814+Y814)</f>
        <v>0</v>
      </c>
      <c r="AA814" s="10" t="n">
        <f aca="false">IF(A814="","",IFERROR(Z814*INDEX(PUA_TABLE!$I$4:$I$105,MATCH(E814,PUA_TABLE!$C$4:$C$105,1))/1000,0))</f>
        <v>0</v>
      </c>
      <c r="AB814" s="10" t="n">
        <f aca="false">IF(A814="","",IFERROR(L814+AA814,0))</f>
        <v>44892.1165113266</v>
      </c>
      <c r="AC814" s="10" t="n">
        <f aca="false">IF(A814="","",IF(Inputs!$B$22="Premium Offset",MIN(Inputs!$B$25,Q814+T814),0))</f>
        <v>0</v>
      </c>
    </row>
    <row r="815" customFormat="false" ht="15" hidden="false" customHeight="false" outlineLevel="0" collapsed="false">
      <c r="A815" s="1" t="n">
        <f aca="false">IF(A814="","",IF(INT((C814+1)/12)+Inputs!$B$7&gt;MAX(MORTALITY!$A:$A),"",Inputs!$B$4))</f>
        <v>34</v>
      </c>
      <c r="B815" s="3" t="n">
        <f aca="false">IF(A815="","",EOMONTH(B814,1))</f>
        <v>46477</v>
      </c>
      <c r="C815" s="1" t="n">
        <f aca="false">IF(A815="","",C814+1)</f>
        <v>813</v>
      </c>
      <c r="D815" s="1" t="n">
        <f aca="false">IF(A815="","",INT(C815/12))</f>
        <v>67</v>
      </c>
      <c r="E815" s="1" t="n">
        <f aca="false">IF(A815="","",D815+Inputs!$B$7)</f>
        <v>83</v>
      </c>
      <c r="F815" s="3" t="n">
        <f aca="false">IF(A815="","",DATE(YEAR(B$2)+D815,MONTH(B$2),DAY(B$2)))</f>
        <v>46178</v>
      </c>
      <c r="G815" s="3" t="n">
        <f aca="false">IF(A815="","",DATE(YEAR(F815)+1,MONTH(F815),DAY(F815)))</f>
        <v>46543</v>
      </c>
      <c r="H815" s="10" t="n">
        <f aca="false">IF(A815="","",IF(G815&gt;F815,(B815-F815)/(G815-F815),0))</f>
        <v>0.819178082191781</v>
      </c>
      <c r="I815" s="10" t="n">
        <f aca="false">IF(A815="","",IFERROR(INDEX(CV_RATES!$I:$I,MATCH(D815,CV_RATES!$C:$C,0)),0))</f>
        <v>893.749579755003</v>
      </c>
      <c r="J815" s="10" t="n">
        <f aca="false">IF(A815="","",IFERROR(IF(E815=MAX(MORTALITY!$A:$A),1000,INDEX(CV_RATES!$J:$J,MATCH(D815,CV_RATES!$C:$C,0))),0))</f>
        <v>899.323661553913</v>
      </c>
      <c r="K815" s="10" t="n">
        <f aca="false">IF(A815="","",IFERROR(I815+H815*(J815-I815),0))</f>
        <v>898.315745393015</v>
      </c>
      <c r="L815" s="10" t="n">
        <f aca="false">IF(A815="","",IFERROR(K815*Inputs!$B$9,0))</f>
        <v>44915.7872696507</v>
      </c>
      <c r="M815" s="10" t="n">
        <f aca="false">IF(A815="","",IFERROR(K815*Inputs!$B$10,0))</f>
        <v>143727.824315646</v>
      </c>
      <c r="N815" s="10" t="n">
        <f aca="false">IF(A815="","",Z814)</f>
        <v>0</v>
      </c>
      <c r="O815" s="6" t="n">
        <f aca="false">IF(A815="","",Inputs!$B$18+N815)</f>
        <v>50000</v>
      </c>
      <c r="P815" s="5" t="n">
        <f aca="false">IF(A815="","",VLOOKUP(D815,DIvidend_Assumption!$A$3:$CX$103,($E$2+2),0)/12)</f>
        <v>0</v>
      </c>
      <c r="Q815" s="10" t="n">
        <f aca="false">IF(A815="","",IFERROR(AB814*P815,""))</f>
        <v>0</v>
      </c>
      <c r="R815" s="10" t="n">
        <f aca="false">IF(A815="","",IFERROR(IF(Inputs!$B$22="Accumulate",T815+Q815,IF(Inputs!$B$22="Premium Offset",MAX(0,T815+Q815-Inputs!$B$25),T815)),""))</f>
        <v>0</v>
      </c>
      <c r="S815" s="10" t="n">
        <f aca="false">IF(A815="","",R814)</f>
        <v>0</v>
      </c>
      <c r="T815" s="10" t="n">
        <f aca="false">IF(A815="","",IFERROR(S815*(1+Inputs!$B$23/12),""))</f>
        <v>0</v>
      </c>
      <c r="U815" s="6" t="n">
        <f aca="false">IF(A815="","",IF(D815&lt;=Inputs!$B$8,IF(Inputs!$B$22="Premium Offset",MAX(0,Inputs!$B$25-(Q815+T815)),Inputs!$B$25),0))</f>
        <v>0</v>
      </c>
      <c r="V815" s="10" t="n">
        <f aca="false">IF(A815="","",IF(Inputs!$B$22="Cash",Q815,0))</f>
        <v>0</v>
      </c>
      <c r="W815" s="10" t="n">
        <f aca="false">IF(A815="","",IF(Inputs!$B$22="PUA",Q815,0))</f>
        <v>0</v>
      </c>
      <c r="X815" s="12" t="n">
        <f aca="false">IF(A815="","",IFERROR(INDEX(PUA_TABLE!$D$4:$D$105,MATCH(E815,PUA_TABLE!$C$4:$C$105,1)),0))</f>
        <v>0.893749579755003</v>
      </c>
      <c r="Y815" s="10" t="n">
        <f aca="false">IF(A815="","",IF(W815&gt;0,IF(X815&gt;0,W815/X815,0),0))</f>
        <v>0</v>
      </c>
      <c r="Z815" s="10" t="n">
        <f aca="false">IF(A815="","",N815+Y815)</f>
        <v>0</v>
      </c>
      <c r="AA815" s="10" t="n">
        <f aca="false">IF(A815="","",IFERROR(Z815*INDEX(PUA_TABLE!$I$4:$I$105,MATCH(E815,PUA_TABLE!$C$4:$C$105,1))/1000,0))</f>
        <v>0</v>
      </c>
      <c r="AB815" s="10" t="n">
        <f aca="false">IF(A815="","",IFERROR(L815+AA815,0))</f>
        <v>44915.7872696507</v>
      </c>
      <c r="AC815" s="10" t="n">
        <f aca="false">IF(A815="","",IF(Inputs!$B$22="Premium Offset",MIN(Inputs!$B$25,Q815+T815),0))</f>
        <v>0</v>
      </c>
    </row>
    <row r="816" customFormat="false" ht="15" hidden="false" customHeight="false" outlineLevel="0" collapsed="false">
      <c r="A816" s="1" t="n">
        <f aca="false">IF(A815="","",IF(INT((C815+1)/12)+Inputs!$B$7&gt;MAX(MORTALITY!$A:$A),"",Inputs!$B$4))</f>
        <v>34</v>
      </c>
      <c r="B816" s="3" t="n">
        <f aca="false">IF(A816="","",EOMONTH(B815,1))</f>
        <v>46507</v>
      </c>
      <c r="C816" s="1" t="n">
        <f aca="false">IF(A816="","",C815+1)</f>
        <v>814</v>
      </c>
      <c r="D816" s="1" t="n">
        <f aca="false">IF(A816="","",INT(C816/12))</f>
        <v>67</v>
      </c>
      <c r="E816" s="1" t="n">
        <f aca="false">IF(A816="","",D816+Inputs!$B$7)</f>
        <v>83</v>
      </c>
      <c r="F816" s="3" t="n">
        <f aca="false">IF(A816="","",DATE(YEAR(B$2)+D816,MONTH(B$2),DAY(B$2)))</f>
        <v>46178</v>
      </c>
      <c r="G816" s="3" t="n">
        <f aca="false">IF(A816="","",DATE(YEAR(F816)+1,MONTH(F816),DAY(F816)))</f>
        <v>46543</v>
      </c>
      <c r="H816" s="10" t="n">
        <f aca="false">IF(A816="","",IF(G816&gt;F816,(B816-F816)/(G816-F816),0))</f>
        <v>0.901369863013699</v>
      </c>
      <c r="I816" s="10" t="n">
        <f aca="false">IF(A816="","",IFERROR(INDEX(CV_RATES!$I:$I,MATCH(D816,CV_RATES!$C:$C,0)),0))</f>
        <v>893.749579755003</v>
      </c>
      <c r="J816" s="10" t="n">
        <f aca="false">IF(A816="","",IFERROR(IF(E816=MAX(MORTALITY!$A:$A),1000,INDEX(CV_RATES!$J:$J,MATCH(D816,CV_RATES!$C:$C,0))),0))</f>
        <v>899.323661553913</v>
      </c>
      <c r="K816" s="10" t="n">
        <f aca="false">IF(A816="","",IFERROR(I816+H816*(J816-I816),0))</f>
        <v>898.773889102514</v>
      </c>
      <c r="L816" s="10" t="n">
        <f aca="false">IF(A816="","",IFERROR(K816*Inputs!$B$9,0))</f>
        <v>44938.6944551257</v>
      </c>
      <c r="M816" s="10" t="n">
        <f aca="false">IF(A816="","",IFERROR(K816*Inputs!$B$10,0))</f>
        <v>143801.125934735</v>
      </c>
      <c r="N816" s="10" t="n">
        <f aca="false">IF(A816="","",Z815)</f>
        <v>0</v>
      </c>
      <c r="O816" s="6" t="n">
        <f aca="false">IF(A816="","",Inputs!$B$18+N816)</f>
        <v>50000</v>
      </c>
      <c r="P816" s="5" t="n">
        <f aca="false">IF(A816="","",VLOOKUP(D816,DIvidend_Assumption!$A$3:$CX$103,($E$2+2),0)/12)</f>
        <v>0</v>
      </c>
      <c r="Q816" s="10" t="n">
        <f aca="false">IF(A816="","",IFERROR(AB815*P816,""))</f>
        <v>0</v>
      </c>
      <c r="R816" s="10" t="n">
        <f aca="false">IF(A816="","",IFERROR(IF(Inputs!$B$22="Accumulate",T816+Q816,IF(Inputs!$B$22="Premium Offset",MAX(0,T816+Q816-Inputs!$B$25),T816)),""))</f>
        <v>0</v>
      </c>
      <c r="S816" s="10" t="n">
        <f aca="false">IF(A816="","",R815)</f>
        <v>0</v>
      </c>
      <c r="T816" s="10" t="n">
        <f aca="false">IF(A816="","",IFERROR(S816*(1+Inputs!$B$23/12),""))</f>
        <v>0</v>
      </c>
      <c r="U816" s="6" t="n">
        <f aca="false">IF(A816="","",IF(D816&lt;=Inputs!$B$8,IF(Inputs!$B$22="Premium Offset",MAX(0,Inputs!$B$25-(Q816+T816)),Inputs!$B$25),0))</f>
        <v>0</v>
      </c>
      <c r="V816" s="10" t="n">
        <f aca="false">IF(A816="","",IF(Inputs!$B$22="Cash",Q816,0))</f>
        <v>0</v>
      </c>
      <c r="W816" s="10" t="n">
        <f aca="false">IF(A816="","",IF(Inputs!$B$22="PUA",Q816,0))</f>
        <v>0</v>
      </c>
      <c r="X816" s="12" t="n">
        <f aca="false">IF(A816="","",IFERROR(INDEX(PUA_TABLE!$D$4:$D$105,MATCH(E816,PUA_TABLE!$C$4:$C$105,1)),0))</f>
        <v>0.893749579755003</v>
      </c>
      <c r="Y816" s="10" t="n">
        <f aca="false">IF(A816="","",IF(W816&gt;0,IF(X816&gt;0,W816/X816,0),0))</f>
        <v>0</v>
      </c>
      <c r="Z816" s="10" t="n">
        <f aca="false">IF(A816="","",N816+Y816)</f>
        <v>0</v>
      </c>
      <c r="AA816" s="10" t="n">
        <f aca="false">IF(A816="","",IFERROR(Z816*INDEX(PUA_TABLE!$I$4:$I$105,MATCH(E816,PUA_TABLE!$C$4:$C$105,1))/1000,0))</f>
        <v>0</v>
      </c>
      <c r="AB816" s="10" t="n">
        <f aca="false">IF(A816="","",IFERROR(L816+AA816,0))</f>
        <v>44938.6944551257</v>
      </c>
      <c r="AC816" s="10" t="n">
        <f aca="false">IF(A816="","",IF(Inputs!$B$22="Premium Offset",MIN(Inputs!$B$25,Q816+T816),0))</f>
        <v>0</v>
      </c>
    </row>
    <row r="817" customFormat="false" ht="15" hidden="false" customHeight="false" outlineLevel="0" collapsed="false">
      <c r="A817" s="1" t="n">
        <f aca="false">IF(A816="","",IF(INT((C816+1)/12)+Inputs!$B$7&gt;MAX(MORTALITY!$A:$A),"",Inputs!$B$4))</f>
        <v>34</v>
      </c>
      <c r="B817" s="3" t="n">
        <f aca="false">IF(A817="","",EOMONTH(B816,1))</f>
        <v>46538</v>
      </c>
      <c r="C817" s="1" t="n">
        <f aca="false">IF(A817="","",C816+1)</f>
        <v>815</v>
      </c>
      <c r="D817" s="1" t="n">
        <f aca="false">IF(A817="","",INT(C817/12))</f>
        <v>67</v>
      </c>
      <c r="E817" s="1" t="n">
        <f aca="false">IF(A817="","",D817+Inputs!$B$7)</f>
        <v>83</v>
      </c>
      <c r="F817" s="3" t="n">
        <f aca="false">IF(A817="","",DATE(YEAR(B$2)+D817,MONTH(B$2),DAY(B$2)))</f>
        <v>46178</v>
      </c>
      <c r="G817" s="3" t="n">
        <f aca="false">IF(A817="","",DATE(YEAR(F817)+1,MONTH(F817),DAY(F817)))</f>
        <v>46543</v>
      </c>
      <c r="H817" s="10" t="n">
        <f aca="false">IF(A817="","",IF(G817&gt;F817,(B817-F817)/(G817-F817),0))</f>
        <v>0.986301369863014</v>
      </c>
      <c r="I817" s="10" t="n">
        <f aca="false">IF(A817="","",IFERROR(INDEX(CV_RATES!$I:$I,MATCH(D817,CV_RATES!$C:$C,0)),0))</f>
        <v>893.749579755003</v>
      </c>
      <c r="J817" s="10" t="n">
        <f aca="false">IF(A817="","",IFERROR(IF(E817=MAX(MORTALITY!$A:$A),1000,INDEX(CV_RATES!$J:$J,MATCH(D817,CV_RATES!$C:$C,0))),0))</f>
        <v>899.323661553913</v>
      </c>
      <c r="K817" s="10" t="n">
        <f aca="false">IF(A817="","",IFERROR(I817+H817*(J817-I817),0))</f>
        <v>899.247304268997</v>
      </c>
      <c r="L817" s="10" t="n">
        <f aca="false">IF(A817="","",IFERROR(K817*Inputs!$B$9,0))</f>
        <v>44962.3652134498</v>
      </c>
      <c r="M817" s="10" t="n">
        <f aca="false">IF(A817="","",IFERROR(K817*Inputs!$B$10,0))</f>
        <v>143876.870941127</v>
      </c>
      <c r="N817" s="10" t="n">
        <f aca="false">IF(A817="","",Z816)</f>
        <v>0</v>
      </c>
      <c r="O817" s="6" t="n">
        <f aca="false">IF(A817="","",Inputs!$B$18+N817)</f>
        <v>50000</v>
      </c>
      <c r="P817" s="5" t="n">
        <f aca="false">IF(A817="","",VLOOKUP(D817,DIvidend_Assumption!$A$3:$CX$103,($E$2+2),0)/12)</f>
        <v>0</v>
      </c>
      <c r="Q817" s="10" t="n">
        <f aca="false">IF(A817="","",IFERROR(AB816*P817,""))</f>
        <v>0</v>
      </c>
      <c r="R817" s="10" t="n">
        <f aca="false">IF(A817="","",IFERROR(IF(Inputs!$B$22="Accumulate",T817+Q817,IF(Inputs!$B$22="Premium Offset",MAX(0,T817+Q817-Inputs!$B$25),T817)),""))</f>
        <v>0</v>
      </c>
      <c r="S817" s="10" t="n">
        <f aca="false">IF(A817="","",R816)</f>
        <v>0</v>
      </c>
      <c r="T817" s="10" t="n">
        <f aca="false">IF(A817="","",IFERROR(S817*(1+Inputs!$B$23/12),""))</f>
        <v>0</v>
      </c>
      <c r="U817" s="6" t="n">
        <f aca="false">IF(A817="","",IF(D817&lt;=Inputs!$B$8,IF(Inputs!$B$22="Premium Offset",MAX(0,Inputs!$B$25-(Q817+T817)),Inputs!$B$25),0))</f>
        <v>0</v>
      </c>
      <c r="V817" s="10" t="n">
        <f aca="false">IF(A817="","",IF(Inputs!$B$22="Cash",Q817,0))</f>
        <v>0</v>
      </c>
      <c r="W817" s="10" t="n">
        <f aca="false">IF(A817="","",IF(Inputs!$B$22="PUA",Q817,0))</f>
        <v>0</v>
      </c>
      <c r="X817" s="12" t="n">
        <f aca="false">IF(A817="","",IFERROR(INDEX(PUA_TABLE!$D$4:$D$105,MATCH(E817,PUA_TABLE!$C$4:$C$105,1)),0))</f>
        <v>0.893749579755003</v>
      </c>
      <c r="Y817" s="10" t="n">
        <f aca="false">IF(A817="","",IF(W817&gt;0,IF(X817&gt;0,W817/X817,0),0))</f>
        <v>0</v>
      </c>
      <c r="Z817" s="10" t="n">
        <f aca="false">IF(A817="","",N817+Y817)</f>
        <v>0</v>
      </c>
      <c r="AA817" s="10" t="n">
        <f aca="false">IF(A817="","",IFERROR(Z817*INDEX(PUA_TABLE!$I$4:$I$105,MATCH(E817,PUA_TABLE!$C$4:$C$105,1))/1000,0))</f>
        <v>0</v>
      </c>
      <c r="AB817" s="10" t="n">
        <f aca="false">IF(A817="","",IFERROR(L817+AA817,0))</f>
        <v>44962.3652134498</v>
      </c>
      <c r="AC817" s="10" t="n">
        <f aca="false">IF(A817="","",IF(Inputs!$B$22="Premium Offset",MIN(Inputs!$B$25,Q817+T817),0))</f>
        <v>0</v>
      </c>
    </row>
    <row r="818" customFormat="false" ht="15" hidden="false" customHeight="false" outlineLevel="0" collapsed="false">
      <c r="A818" s="1" t="n">
        <f aca="false">IF(A817="","",IF(INT((C817+1)/12)+Inputs!$B$7&gt;MAX(MORTALITY!$A:$A),"",Inputs!$B$4))</f>
        <v>34</v>
      </c>
      <c r="B818" s="3" t="n">
        <f aca="false">IF(A818="","",EOMONTH(B817,1))</f>
        <v>46568</v>
      </c>
      <c r="C818" s="1" t="n">
        <f aca="false">IF(A818="","",C817+1)</f>
        <v>816</v>
      </c>
      <c r="D818" s="1" t="n">
        <f aca="false">IF(A818="","",INT(C818/12))</f>
        <v>68</v>
      </c>
      <c r="E818" s="1" t="n">
        <f aca="false">IF(A818="","",D818+Inputs!$B$7)</f>
        <v>84</v>
      </c>
      <c r="F818" s="3" t="n">
        <f aca="false">IF(A818="","",DATE(YEAR(B$2)+D818,MONTH(B$2),DAY(B$2)))</f>
        <v>46543</v>
      </c>
      <c r="G818" s="3" t="n">
        <f aca="false">IF(A818="","",DATE(YEAR(F818)+1,MONTH(F818),DAY(F818)))</f>
        <v>46909</v>
      </c>
      <c r="H818" s="10" t="n">
        <f aca="false">IF(A818="","",IF(G818&gt;F818,(B818-F818)/(G818-F818),0))</f>
        <v>0.0683060109289618</v>
      </c>
      <c r="I818" s="10" t="n">
        <f aca="false">IF(A818="","",IFERROR(INDEX(CV_RATES!$I:$I,MATCH(D818,CV_RATES!$C:$C,0)),0))</f>
        <v>899.323661553913</v>
      </c>
      <c r="J818" s="10" t="n">
        <f aca="false">IF(A818="","",IFERROR(IF(E818=MAX(MORTALITY!$A:$A),1000,INDEX(CV_RATES!$J:$J,MATCH(D818,CV_RATES!$C:$C,0))),0))</f>
        <v>904.65633455197</v>
      </c>
      <c r="K818" s="10" t="n">
        <f aca="false">IF(A818="","",IFERROR(I818+H818*(J818-I818),0))</f>
        <v>899.687915173999</v>
      </c>
      <c r="L818" s="10" t="n">
        <f aca="false">IF(A818="","",IFERROR(K818*Inputs!$B$9,0))</f>
        <v>44984.3957587</v>
      </c>
      <c r="M818" s="10" t="n">
        <f aca="false">IF(A818="","",IFERROR(K818*Inputs!$B$10,0))</f>
        <v>143947.367364094</v>
      </c>
      <c r="N818" s="10" t="n">
        <f aca="false">IF(A818="","",Z817)</f>
        <v>0</v>
      </c>
      <c r="O818" s="6" t="n">
        <f aca="false">IF(A818="","",Inputs!$B$18+N818)</f>
        <v>50000</v>
      </c>
      <c r="P818" s="5" t="n">
        <f aca="false">IF(A818="","",VLOOKUP(D818,DIvidend_Assumption!$A$3:$CX$103,($E$2+2),0)/12)</f>
        <v>0</v>
      </c>
      <c r="Q818" s="10" t="n">
        <f aca="false">IF(A818="","",IFERROR(AB817*P818,""))</f>
        <v>0</v>
      </c>
      <c r="R818" s="10" t="n">
        <f aca="false">IF(A818="","",IFERROR(IF(Inputs!$B$22="Accumulate",T818+Q818,IF(Inputs!$B$22="Premium Offset",MAX(0,T818+Q818-Inputs!$B$25),T818)),""))</f>
        <v>0</v>
      </c>
      <c r="S818" s="10" t="n">
        <f aca="false">IF(A818="","",R817)</f>
        <v>0</v>
      </c>
      <c r="T818" s="10" t="n">
        <f aca="false">IF(A818="","",IFERROR(S818*(1+Inputs!$B$23/12),""))</f>
        <v>0</v>
      </c>
      <c r="U818" s="6" t="n">
        <f aca="false">IF(A818="","",IF(D818&lt;=Inputs!$B$8,IF(Inputs!$B$22="Premium Offset",MAX(0,Inputs!$B$25-(Q818+T818)),Inputs!$B$25),0))</f>
        <v>0</v>
      </c>
      <c r="V818" s="10" t="n">
        <f aca="false">IF(A818="","",IF(Inputs!$B$22="Cash",Q818,0))</f>
        <v>0</v>
      </c>
      <c r="W818" s="10" t="n">
        <f aca="false">IF(A818="","",IF(Inputs!$B$22="PUA",Q818,0))</f>
        <v>0</v>
      </c>
      <c r="X818" s="12" t="n">
        <f aca="false">IF(A818="","",IFERROR(INDEX(PUA_TABLE!$D$4:$D$105,MATCH(E818,PUA_TABLE!$C$4:$C$105,1)),0))</f>
        <v>0.899323661553913</v>
      </c>
      <c r="Y818" s="10" t="n">
        <f aca="false">IF(A818="","",IF(W818&gt;0,IF(X818&gt;0,W818/X818,0),0))</f>
        <v>0</v>
      </c>
      <c r="Z818" s="10" t="n">
        <f aca="false">IF(A818="","",N818+Y818)</f>
        <v>0</v>
      </c>
      <c r="AA818" s="10" t="n">
        <f aca="false">IF(A818="","",IFERROR(Z818*INDEX(PUA_TABLE!$I$4:$I$105,MATCH(E818,PUA_TABLE!$C$4:$C$105,1))/1000,0))</f>
        <v>0</v>
      </c>
      <c r="AB818" s="10" t="n">
        <f aca="false">IF(A818="","",IFERROR(L818+AA818,0))</f>
        <v>44984.3957587</v>
      </c>
      <c r="AC818" s="10" t="n">
        <f aca="false">IF(A818="","",IF(Inputs!$B$22="Premium Offset",MIN(Inputs!$B$25,Q818+T818),0))</f>
        <v>0</v>
      </c>
    </row>
    <row r="819" customFormat="false" ht="15" hidden="false" customHeight="false" outlineLevel="0" collapsed="false">
      <c r="A819" s="1" t="n">
        <f aca="false">IF(A818="","",IF(INT((C818+1)/12)+Inputs!$B$7&gt;MAX(MORTALITY!$A:$A),"",Inputs!$B$4))</f>
        <v>34</v>
      </c>
      <c r="B819" s="3" t="n">
        <f aca="false">IF(A819="","",EOMONTH(B818,1))</f>
        <v>46599</v>
      </c>
      <c r="C819" s="1" t="n">
        <f aca="false">IF(A819="","",C818+1)</f>
        <v>817</v>
      </c>
      <c r="D819" s="1" t="n">
        <f aca="false">IF(A819="","",INT(C819/12))</f>
        <v>68</v>
      </c>
      <c r="E819" s="1" t="n">
        <f aca="false">IF(A819="","",D819+Inputs!$B$7)</f>
        <v>84</v>
      </c>
      <c r="F819" s="3" t="n">
        <f aca="false">IF(A819="","",DATE(YEAR(B$2)+D819,MONTH(B$2),DAY(B$2)))</f>
        <v>46543</v>
      </c>
      <c r="G819" s="3" t="n">
        <f aca="false">IF(A819="","",DATE(YEAR(F819)+1,MONTH(F819),DAY(F819)))</f>
        <v>46909</v>
      </c>
      <c r="H819" s="10" t="n">
        <f aca="false">IF(A819="","",IF(G819&gt;F819,(B819-F819)/(G819-F819),0))</f>
        <v>0.153005464480874</v>
      </c>
      <c r="I819" s="10" t="n">
        <f aca="false">IF(A819="","",IFERROR(INDEX(CV_RATES!$I:$I,MATCH(D819,CV_RATES!$C:$C,0)),0))</f>
        <v>899.323661553913</v>
      </c>
      <c r="J819" s="10" t="n">
        <f aca="false">IF(A819="","",IFERROR(IF(E819=MAX(MORTALITY!$A:$A),1000,INDEX(CV_RATES!$J:$J,MATCH(D819,CV_RATES!$C:$C,0))),0))</f>
        <v>904.65633455197</v>
      </c>
      <c r="K819" s="10" t="n">
        <f aca="false">IF(A819="","",IFERROR(I819+H819*(J819-I819),0))</f>
        <v>900.139589662906</v>
      </c>
      <c r="L819" s="10" t="n">
        <f aca="false">IF(A819="","",IFERROR(K819*Inputs!$B$9,0))</f>
        <v>45006.9794831453</v>
      </c>
      <c r="M819" s="10" t="n">
        <f aca="false">IF(A819="","",IFERROR(K819*Inputs!$B$10,0))</f>
        <v>144019.633927296</v>
      </c>
      <c r="N819" s="10" t="n">
        <f aca="false">IF(A819="","",Z818)</f>
        <v>0</v>
      </c>
      <c r="O819" s="6" t="n">
        <f aca="false">IF(A819="","",Inputs!$B$18+N819)</f>
        <v>50000</v>
      </c>
      <c r="P819" s="5" t="n">
        <f aca="false">IF(A819="","",VLOOKUP(D819,DIvidend_Assumption!$A$3:$CX$103,($E$2+2),0)/12)</f>
        <v>0</v>
      </c>
      <c r="Q819" s="10" t="n">
        <f aca="false">IF(A819="","",IFERROR(AB818*P819,""))</f>
        <v>0</v>
      </c>
      <c r="R819" s="10" t="n">
        <f aca="false">IF(A819="","",IFERROR(IF(Inputs!$B$22="Accumulate",T819+Q819,IF(Inputs!$B$22="Premium Offset",MAX(0,T819+Q819-Inputs!$B$25),T819)),""))</f>
        <v>0</v>
      </c>
      <c r="S819" s="10" t="n">
        <f aca="false">IF(A819="","",R818)</f>
        <v>0</v>
      </c>
      <c r="T819" s="10" t="n">
        <f aca="false">IF(A819="","",IFERROR(S819*(1+Inputs!$B$23/12),""))</f>
        <v>0</v>
      </c>
      <c r="U819" s="6" t="n">
        <f aca="false">IF(A819="","",IF(D819&lt;=Inputs!$B$8,IF(Inputs!$B$22="Premium Offset",MAX(0,Inputs!$B$25-(Q819+T819)),Inputs!$B$25),0))</f>
        <v>0</v>
      </c>
      <c r="V819" s="10" t="n">
        <f aca="false">IF(A819="","",IF(Inputs!$B$22="Cash",Q819,0))</f>
        <v>0</v>
      </c>
      <c r="W819" s="10" t="n">
        <f aca="false">IF(A819="","",IF(Inputs!$B$22="PUA",Q819,0))</f>
        <v>0</v>
      </c>
      <c r="X819" s="12" t="n">
        <f aca="false">IF(A819="","",IFERROR(INDEX(PUA_TABLE!$D$4:$D$105,MATCH(E819,PUA_TABLE!$C$4:$C$105,1)),0))</f>
        <v>0.899323661553913</v>
      </c>
      <c r="Y819" s="10" t="n">
        <f aca="false">IF(A819="","",IF(W819&gt;0,IF(X819&gt;0,W819/X819,0),0))</f>
        <v>0</v>
      </c>
      <c r="Z819" s="10" t="n">
        <f aca="false">IF(A819="","",N819+Y819)</f>
        <v>0</v>
      </c>
      <c r="AA819" s="10" t="n">
        <f aca="false">IF(A819="","",IFERROR(Z819*INDEX(PUA_TABLE!$I$4:$I$105,MATCH(E819,PUA_TABLE!$C$4:$C$105,1))/1000,0))</f>
        <v>0</v>
      </c>
      <c r="AB819" s="10" t="n">
        <f aca="false">IF(A819="","",IFERROR(L819+AA819,0))</f>
        <v>45006.9794831453</v>
      </c>
      <c r="AC819" s="10" t="n">
        <f aca="false">IF(A819="","",IF(Inputs!$B$22="Premium Offset",MIN(Inputs!$B$25,Q819+T819),0))</f>
        <v>0</v>
      </c>
    </row>
    <row r="820" customFormat="false" ht="15" hidden="false" customHeight="false" outlineLevel="0" collapsed="false">
      <c r="A820" s="1" t="n">
        <f aca="false">IF(A819="","",IF(INT((C819+1)/12)+Inputs!$B$7&gt;MAX(MORTALITY!$A:$A),"",Inputs!$B$4))</f>
        <v>34</v>
      </c>
      <c r="B820" s="3" t="n">
        <f aca="false">IF(A820="","",EOMONTH(B819,1))</f>
        <v>46630</v>
      </c>
      <c r="C820" s="1" t="n">
        <f aca="false">IF(A820="","",C819+1)</f>
        <v>818</v>
      </c>
      <c r="D820" s="1" t="n">
        <f aca="false">IF(A820="","",INT(C820/12))</f>
        <v>68</v>
      </c>
      <c r="E820" s="1" t="n">
        <f aca="false">IF(A820="","",D820+Inputs!$B$7)</f>
        <v>84</v>
      </c>
      <c r="F820" s="3" t="n">
        <f aca="false">IF(A820="","",DATE(YEAR(B$2)+D820,MONTH(B$2),DAY(B$2)))</f>
        <v>46543</v>
      </c>
      <c r="G820" s="3" t="n">
        <f aca="false">IF(A820="","",DATE(YEAR(F820)+1,MONTH(F820),DAY(F820)))</f>
        <v>46909</v>
      </c>
      <c r="H820" s="10" t="n">
        <f aca="false">IF(A820="","",IF(G820&gt;F820,(B820-F820)/(G820-F820),0))</f>
        <v>0.237704918032787</v>
      </c>
      <c r="I820" s="10" t="n">
        <f aca="false">IF(A820="","",IFERROR(INDEX(CV_RATES!$I:$I,MATCH(D820,CV_RATES!$C:$C,0)),0))</f>
        <v>899.323661553913</v>
      </c>
      <c r="J820" s="10" t="n">
        <f aca="false">IF(A820="","",IFERROR(IF(E820=MAX(MORTALITY!$A:$A),1000,INDEX(CV_RATES!$J:$J,MATCH(D820,CV_RATES!$C:$C,0))),0))</f>
        <v>904.65633455197</v>
      </c>
      <c r="K820" s="10" t="n">
        <f aca="false">IF(A820="","",IFERROR(I820+H820*(J820-I820),0))</f>
        <v>900.591264151812</v>
      </c>
      <c r="L820" s="10" t="n">
        <f aca="false">IF(A820="","",IFERROR(K820*Inputs!$B$9,0))</f>
        <v>45029.5632075906</v>
      </c>
      <c r="M820" s="10" t="n">
        <f aca="false">IF(A820="","",IFERROR(K820*Inputs!$B$10,0))</f>
        <v>144091.900490497</v>
      </c>
      <c r="N820" s="10" t="n">
        <f aca="false">IF(A820="","",Z819)</f>
        <v>0</v>
      </c>
      <c r="O820" s="6" t="n">
        <f aca="false">IF(A820="","",Inputs!$B$18+N820)</f>
        <v>50000</v>
      </c>
      <c r="P820" s="5" t="n">
        <f aca="false">IF(A820="","",VLOOKUP(D820,DIvidend_Assumption!$A$3:$CX$103,($E$2+2),0)/12)</f>
        <v>0</v>
      </c>
      <c r="Q820" s="10" t="n">
        <f aca="false">IF(A820="","",IFERROR(AB819*P820,""))</f>
        <v>0</v>
      </c>
      <c r="R820" s="10" t="n">
        <f aca="false">IF(A820="","",IFERROR(IF(Inputs!$B$22="Accumulate",T820+Q820,IF(Inputs!$B$22="Premium Offset",MAX(0,T820+Q820-Inputs!$B$25),T820)),""))</f>
        <v>0</v>
      </c>
      <c r="S820" s="10" t="n">
        <f aca="false">IF(A820="","",R819)</f>
        <v>0</v>
      </c>
      <c r="T820" s="10" t="n">
        <f aca="false">IF(A820="","",IFERROR(S820*(1+Inputs!$B$23/12),""))</f>
        <v>0</v>
      </c>
      <c r="U820" s="6" t="n">
        <f aca="false">IF(A820="","",IF(D820&lt;=Inputs!$B$8,IF(Inputs!$B$22="Premium Offset",MAX(0,Inputs!$B$25-(Q820+T820)),Inputs!$B$25),0))</f>
        <v>0</v>
      </c>
      <c r="V820" s="10" t="n">
        <f aca="false">IF(A820="","",IF(Inputs!$B$22="Cash",Q820,0))</f>
        <v>0</v>
      </c>
      <c r="W820" s="10" t="n">
        <f aca="false">IF(A820="","",IF(Inputs!$B$22="PUA",Q820,0))</f>
        <v>0</v>
      </c>
      <c r="X820" s="12" t="n">
        <f aca="false">IF(A820="","",IFERROR(INDEX(PUA_TABLE!$D$4:$D$105,MATCH(E820,PUA_TABLE!$C$4:$C$105,1)),0))</f>
        <v>0.899323661553913</v>
      </c>
      <c r="Y820" s="10" t="n">
        <f aca="false">IF(A820="","",IF(W820&gt;0,IF(X820&gt;0,W820/X820,0),0))</f>
        <v>0</v>
      </c>
      <c r="Z820" s="10" t="n">
        <f aca="false">IF(A820="","",N820+Y820)</f>
        <v>0</v>
      </c>
      <c r="AA820" s="10" t="n">
        <f aca="false">IF(A820="","",IFERROR(Z820*INDEX(PUA_TABLE!$I$4:$I$105,MATCH(E820,PUA_TABLE!$C$4:$C$105,1))/1000,0))</f>
        <v>0</v>
      </c>
      <c r="AB820" s="10" t="n">
        <f aca="false">IF(A820="","",IFERROR(L820+AA820,0))</f>
        <v>45029.5632075906</v>
      </c>
      <c r="AC820" s="10" t="n">
        <f aca="false">IF(A820="","",IF(Inputs!$B$22="Premium Offset",MIN(Inputs!$B$25,Q820+T820),0))</f>
        <v>0</v>
      </c>
    </row>
    <row r="821" customFormat="false" ht="15" hidden="false" customHeight="false" outlineLevel="0" collapsed="false">
      <c r="A821" s="1" t="n">
        <f aca="false">IF(A820="","",IF(INT((C820+1)/12)+Inputs!$B$7&gt;MAX(MORTALITY!$A:$A),"",Inputs!$B$4))</f>
        <v>34</v>
      </c>
      <c r="B821" s="3" t="n">
        <f aca="false">IF(A821="","",EOMONTH(B820,1))</f>
        <v>46660</v>
      </c>
      <c r="C821" s="1" t="n">
        <f aca="false">IF(A821="","",C820+1)</f>
        <v>819</v>
      </c>
      <c r="D821" s="1" t="n">
        <f aca="false">IF(A821="","",INT(C821/12))</f>
        <v>68</v>
      </c>
      <c r="E821" s="1" t="n">
        <f aca="false">IF(A821="","",D821+Inputs!$B$7)</f>
        <v>84</v>
      </c>
      <c r="F821" s="3" t="n">
        <f aca="false">IF(A821="","",DATE(YEAR(B$2)+D821,MONTH(B$2),DAY(B$2)))</f>
        <v>46543</v>
      </c>
      <c r="G821" s="3" t="n">
        <f aca="false">IF(A821="","",DATE(YEAR(F821)+1,MONTH(F821),DAY(F821)))</f>
        <v>46909</v>
      </c>
      <c r="H821" s="10" t="n">
        <f aca="false">IF(A821="","",IF(G821&gt;F821,(B821-F821)/(G821-F821),0))</f>
        <v>0.319672131147541</v>
      </c>
      <c r="I821" s="10" t="n">
        <f aca="false">IF(A821="","",IFERROR(INDEX(CV_RATES!$I:$I,MATCH(D821,CV_RATES!$C:$C,0)),0))</f>
        <v>899.323661553913</v>
      </c>
      <c r="J821" s="10" t="n">
        <f aca="false">IF(A821="","",IFERROR(IF(E821=MAX(MORTALITY!$A:$A),1000,INDEX(CV_RATES!$J:$J,MATCH(D821,CV_RATES!$C:$C,0))),0))</f>
        <v>904.65633455197</v>
      </c>
      <c r="K821" s="10" t="n">
        <f aca="false">IF(A821="","",IFERROR(I821+H821*(J821-I821),0))</f>
        <v>901.028368495915</v>
      </c>
      <c r="L821" s="10" t="n">
        <f aca="false">IF(A821="","",IFERROR(K821*Inputs!$B$9,0))</f>
        <v>45051.4184247957</v>
      </c>
      <c r="M821" s="10" t="n">
        <f aca="false">IF(A821="","",IFERROR(K821*Inputs!$B$10,0))</f>
        <v>144161.835874241</v>
      </c>
      <c r="N821" s="10" t="n">
        <f aca="false">IF(A821="","",Z820)</f>
        <v>0</v>
      </c>
      <c r="O821" s="6" t="n">
        <f aca="false">IF(A821="","",Inputs!$B$18+N821)</f>
        <v>50000</v>
      </c>
      <c r="P821" s="5" t="n">
        <f aca="false">IF(A821="","",VLOOKUP(D821,DIvidend_Assumption!$A$3:$CX$103,($E$2+2),0)/12)</f>
        <v>0</v>
      </c>
      <c r="Q821" s="10" t="n">
        <f aca="false">IF(A821="","",IFERROR(AB820*P821,""))</f>
        <v>0</v>
      </c>
      <c r="R821" s="10" t="n">
        <f aca="false">IF(A821="","",IFERROR(IF(Inputs!$B$22="Accumulate",T821+Q821,IF(Inputs!$B$22="Premium Offset",MAX(0,T821+Q821-Inputs!$B$25),T821)),""))</f>
        <v>0</v>
      </c>
      <c r="S821" s="10" t="n">
        <f aca="false">IF(A821="","",R820)</f>
        <v>0</v>
      </c>
      <c r="T821" s="10" t="n">
        <f aca="false">IF(A821="","",IFERROR(S821*(1+Inputs!$B$23/12),""))</f>
        <v>0</v>
      </c>
      <c r="U821" s="6" t="n">
        <f aca="false">IF(A821="","",IF(D821&lt;=Inputs!$B$8,IF(Inputs!$B$22="Premium Offset",MAX(0,Inputs!$B$25-(Q821+T821)),Inputs!$B$25),0))</f>
        <v>0</v>
      </c>
      <c r="V821" s="10" t="n">
        <f aca="false">IF(A821="","",IF(Inputs!$B$22="Cash",Q821,0))</f>
        <v>0</v>
      </c>
      <c r="W821" s="10" t="n">
        <f aca="false">IF(A821="","",IF(Inputs!$B$22="PUA",Q821,0))</f>
        <v>0</v>
      </c>
      <c r="X821" s="12" t="n">
        <f aca="false">IF(A821="","",IFERROR(INDEX(PUA_TABLE!$D$4:$D$105,MATCH(E821,PUA_TABLE!$C$4:$C$105,1)),0))</f>
        <v>0.899323661553913</v>
      </c>
      <c r="Y821" s="10" t="n">
        <f aca="false">IF(A821="","",IF(W821&gt;0,IF(X821&gt;0,W821/X821,0),0))</f>
        <v>0</v>
      </c>
      <c r="Z821" s="10" t="n">
        <f aca="false">IF(A821="","",N821+Y821)</f>
        <v>0</v>
      </c>
      <c r="AA821" s="10" t="n">
        <f aca="false">IF(A821="","",IFERROR(Z821*INDEX(PUA_TABLE!$I$4:$I$105,MATCH(E821,PUA_TABLE!$C$4:$C$105,1))/1000,0))</f>
        <v>0</v>
      </c>
      <c r="AB821" s="10" t="n">
        <f aca="false">IF(A821="","",IFERROR(L821+AA821,0))</f>
        <v>45051.4184247957</v>
      </c>
      <c r="AC821" s="10" t="n">
        <f aca="false">IF(A821="","",IF(Inputs!$B$22="Premium Offset",MIN(Inputs!$B$25,Q821+T821),0))</f>
        <v>0</v>
      </c>
    </row>
    <row r="822" customFormat="false" ht="15" hidden="false" customHeight="false" outlineLevel="0" collapsed="false">
      <c r="A822" s="1" t="n">
        <f aca="false">IF(A821="","",IF(INT((C821+1)/12)+Inputs!$B$7&gt;MAX(MORTALITY!$A:$A),"",Inputs!$B$4))</f>
        <v>34</v>
      </c>
      <c r="B822" s="3" t="n">
        <f aca="false">IF(A822="","",EOMONTH(B821,1))</f>
        <v>46691</v>
      </c>
      <c r="C822" s="1" t="n">
        <f aca="false">IF(A822="","",C821+1)</f>
        <v>820</v>
      </c>
      <c r="D822" s="1" t="n">
        <f aca="false">IF(A822="","",INT(C822/12))</f>
        <v>68</v>
      </c>
      <c r="E822" s="1" t="n">
        <f aca="false">IF(A822="","",D822+Inputs!$B$7)</f>
        <v>84</v>
      </c>
      <c r="F822" s="3" t="n">
        <f aca="false">IF(A822="","",DATE(YEAR(B$2)+D822,MONTH(B$2),DAY(B$2)))</f>
        <v>46543</v>
      </c>
      <c r="G822" s="3" t="n">
        <f aca="false">IF(A822="","",DATE(YEAR(F822)+1,MONTH(F822),DAY(F822)))</f>
        <v>46909</v>
      </c>
      <c r="H822" s="10" t="n">
        <f aca="false">IF(A822="","",IF(G822&gt;F822,(B822-F822)/(G822-F822),0))</f>
        <v>0.404371584699454</v>
      </c>
      <c r="I822" s="10" t="n">
        <f aca="false">IF(A822="","",IFERROR(INDEX(CV_RATES!$I:$I,MATCH(D822,CV_RATES!$C:$C,0)),0))</f>
        <v>899.323661553913</v>
      </c>
      <c r="J822" s="10" t="n">
        <f aca="false">IF(A822="","",IFERROR(IF(E822=MAX(MORTALITY!$A:$A),1000,INDEX(CV_RATES!$J:$J,MATCH(D822,CV_RATES!$C:$C,0))),0))</f>
        <v>904.65633455197</v>
      </c>
      <c r="K822" s="10" t="n">
        <f aca="false">IF(A822="","",IFERROR(I822+H822*(J822-I822),0))</f>
        <v>901.480042984821</v>
      </c>
      <c r="L822" s="10" t="n">
        <f aca="false">IF(A822="","",IFERROR(K822*Inputs!$B$9,0))</f>
        <v>45074.0021492411</v>
      </c>
      <c r="M822" s="10" t="n">
        <f aca="false">IF(A822="","",IFERROR(K822*Inputs!$B$10,0))</f>
        <v>144234.102437442</v>
      </c>
      <c r="N822" s="10" t="n">
        <f aca="false">IF(A822="","",Z821)</f>
        <v>0</v>
      </c>
      <c r="O822" s="6" t="n">
        <f aca="false">IF(A822="","",Inputs!$B$18+N822)</f>
        <v>50000</v>
      </c>
      <c r="P822" s="5" t="n">
        <f aca="false">IF(A822="","",VLOOKUP(D822,DIvidend_Assumption!$A$3:$CX$103,($E$2+2),0)/12)</f>
        <v>0</v>
      </c>
      <c r="Q822" s="10" t="n">
        <f aca="false">IF(A822="","",IFERROR(AB821*P822,""))</f>
        <v>0</v>
      </c>
      <c r="R822" s="10" t="n">
        <f aca="false">IF(A822="","",IFERROR(IF(Inputs!$B$22="Accumulate",T822+Q822,IF(Inputs!$B$22="Premium Offset",MAX(0,T822+Q822-Inputs!$B$25),T822)),""))</f>
        <v>0</v>
      </c>
      <c r="S822" s="10" t="n">
        <f aca="false">IF(A822="","",R821)</f>
        <v>0</v>
      </c>
      <c r="T822" s="10" t="n">
        <f aca="false">IF(A822="","",IFERROR(S822*(1+Inputs!$B$23/12),""))</f>
        <v>0</v>
      </c>
      <c r="U822" s="6" t="n">
        <f aca="false">IF(A822="","",IF(D822&lt;=Inputs!$B$8,IF(Inputs!$B$22="Premium Offset",MAX(0,Inputs!$B$25-(Q822+T822)),Inputs!$B$25),0))</f>
        <v>0</v>
      </c>
      <c r="V822" s="10" t="n">
        <f aca="false">IF(A822="","",IF(Inputs!$B$22="Cash",Q822,0))</f>
        <v>0</v>
      </c>
      <c r="W822" s="10" t="n">
        <f aca="false">IF(A822="","",IF(Inputs!$B$22="PUA",Q822,0))</f>
        <v>0</v>
      </c>
      <c r="X822" s="12" t="n">
        <f aca="false">IF(A822="","",IFERROR(INDEX(PUA_TABLE!$D$4:$D$105,MATCH(E822,PUA_TABLE!$C$4:$C$105,1)),0))</f>
        <v>0.899323661553913</v>
      </c>
      <c r="Y822" s="10" t="n">
        <f aca="false">IF(A822="","",IF(W822&gt;0,IF(X822&gt;0,W822/X822,0),0))</f>
        <v>0</v>
      </c>
      <c r="Z822" s="10" t="n">
        <f aca="false">IF(A822="","",N822+Y822)</f>
        <v>0</v>
      </c>
      <c r="AA822" s="10" t="n">
        <f aca="false">IF(A822="","",IFERROR(Z822*INDEX(PUA_TABLE!$I$4:$I$105,MATCH(E822,PUA_TABLE!$C$4:$C$105,1))/1000,0))</f>
        <v>0</v>
      </c>
      <c r="AB822" s="10" t="n">
        <f aca="false">IF(A822="","",IFERROR(L822+AA822,0))</f>
        <v>45074.0021492411</v>
      </c>
      <c r="AC822" s="10" t="n">
        <f aca="false">IF(A822="","",IF(Inputs!$B$22="Premium Offset",MIN(Inputs!$B$25,Q822+T822),0))</f>
        <v>0</v>
      </c>
    </row>
    <row r="823" customFormat="false" ht="15" hidden="false" customHeight="false" outlineLevel="0" collapsed="false">
      <c r="A823" s="1" t="n">
        <f aca="false">IF(A822="","",IF(INT((C822+1)/12)+Inputs!$B$7&gt;MAX(MORTALITY!$A:$A),"",Inputs!$B$4))</f>
        <v>34</v>
      </c>
      <c r="B823" s="3" t="n">
        <f aca="false">IF(A823="","",EOMONTH(B822,1))</f>
        <v>46721</v>
      </c>
      <c r="C823" s="1" t="n">
        <f aca="false">IF(A823="","",C822+1)</f>
        <v>821</v>
      </c>
      <c r="D823" s="1" t="n">
        <f aca="false">IF(A823="","",INT(C823/12))</f>
        <v>68</v>
      </c>
      <c r="E823" s="1" t="n">
        <f aca="false">IF(A823="","",D823+Inputs!$B$7)</f>
        <v>84</v>
      </c>
      <c r="F823" s="3" t="n">
        <f aca="false">IF(A823="","",DATE(YEAR(B$2)+D823,MONTH(B$2),DAY(B$2)))</f>
        <v>46543</v>
      </c>
      <c r="G823" s="3" t="n">
        <f aca="false">IF(A823="","",DATE(YEAR(F823)+1,MONTH(F823),DAY(F823)))</f>
        <v>46909</v>
      </c>
      <c r="H823" s="10" t="n">
        <f aca="false">IF(A823="","",IF(G823&gt;F823,(B823-F823)/(G823-F823),0))</f>
        <v>0.486338797814208</v>
      </c>
      <c r="I823" s="10" t="n">
        <f aca="false">IF(A823="","",IFERROR(INDEX(CV_RATES!$I:$I,MATCH(D823,CV_RATES!$C:$C,0)),0))</f>
        <v>899.323661553913</v>
      </c>
      <c r="J823" s="10" t="n">
        <f aca="false">IF(A823="","",IFERROR(IF(E823=MAX(MORTALITY!$A:$A),1000,INDEX(CV_RATES!$J:$J,MATCH(D823,CV_RATES!$C:$C,0))),0))</f>
        <v>904.65633455197</v>
      </c>
      <c r="K823" s="10" t="n">
        <f aca="false">IF(A823="","",IFERROR(I823+H823*(J823-I823),0))</f>
        <v>901.917147328924</v>
      </c>
      <c r="L823" s="10" t="n">
        <f aca="false">IF(A823="","",IFERROR(K823*Inputs!$B$9,0))</f>
        <v>45095.8573664462</v>
      </c>
      <c r="M823" s="10" t="n">
        <f aca="false">IF(A823="","",IFERROR(K823*Inputs!$B$10,0))</f>
        <v>144304.037821186</v>
      </c>
      <c r="N823" s="10" t="n">
        <f aca="false">IF(A823="","",Z822)</f>
        <v>0</v>
      </c>
      <c r="O823" s="6" t="n">
        <f aca="false">IF(A823="","",Inputs!$B$18+N823)</f>
        <v>50000</v>
      </c>
      <c r="P823" s="5" t="n">
        <f aca="false">IF(A823="","",VLOOKUP(D823,DIvidend_Assumption!$A$3:$CX$103,($E$2+2),0)/12)</f>
        <v>0</v>
      </c>
      <c r="Q823" s="10" t="n">
        <f aca="false">IF(A823="","",IFERROR(AB822*P823,""))</f>
        <v>0</v>
      </c>
      <c r="R823" s="10" t="n">
        <f aca="false">IF(A823="","",IFERROR(IF(Inputs!$B$22="Accumulate",T823+Q823,IF(Inputs!$B$22="Premium Offset",MAX(0,T823+Q823-Inputs!$B$25),T823)),""))</f>
        <v>0</v>
      </c>
      <c r="S823" s="10" t="n">
        <f aca="false">IF(A823="","",R822)</f>
        <v>0</v>
      </c>
      <c r="T823" s="10" t="n">
        <f aca="false">IF(A823="","",IFERROR(S823*(1+Inputs!$B$23/12),""))</f>
        <v>0</v>
      </c>
      <c r="U823" s="6" t="n">
        <f aca="false">IF(A823="","",IF(D823&lt;=Inputs!$B$8,IF(Inputs!$B$22="Premium Offset",MAX(0,Inputs!$B$25-(Q823+T823)),Inputs!$B$25),0))</f>
        <v>0</v>
      </c>
      <c r="V823" s="10" t="n">
        <f aca="false">IF(A823="","",IF(Inputs!$B$22="Cash",Q823,0))</f>
        <v>0</v>
      </c>
      <c r="W823" s="10" t="n">
        <f aca="false">IF(A823="","",IF(Inputs!$B$22="PUA",Q823,0))</f>
        <v>0</v>
      </c>
      <c r="X823" s="12" t="n">
        <f aca="false">IF(A823="","",IFERROR(INDEX(PUA_TABLE!$D$4:$D$105,MATCH(E823,PUA_TABLE!$C$4:$C$105,1)),0))</f>
        <v>0.899323661553913</v>
      </c>
      <c r="Y823" s="10" t="n">
        <f aca="false">IF(A823="","",IF(W823&gt;0,IF(X823&gt;0,W823/X823,0),0))</f>
        <v>0</v>
      </c>
      <c r="Z823" s="10" t="n">
        <f aca="false">IF(A823="","",N823+Y823)</f>
        <v>0</v>
      </c>
      <c r="AA823" s="10" t="n">
        <f aca="false">IF(A823="","",IFERROR(Z823*INDEX(PUA_TABLE!$I$4:$I$105,MATCH(E823,PUA_TABLE!$C$4:$C$105,1))/1000,0))</f>
        <v>0</v>
      </c>
      <c r="AB823" s="10" t="n">
        <f aca="false">IF(A823="","",IFERROR(L823+AA823,0))</f>
        <v>45095.8573664462</v>
      </c>
      <c r="AC823" s="10" t="n">
        <f aca="false">IF(A823="","",IF(Inputs!$B$22="Premium Offset",MIN(Inputs!$B$25,Q823+T823),0))</f>
        <v>0</v>
      </c>
    </row>
    <row r="824" customFormat="false" ht="15" hidden="false" customHeight="false" outlineLevel="0" collapsed="false">
      <c r="A824" s="1" t="n">
        <f aca="false">IF(A823="","",IF(INT((C823+1)/12)+Inputs!$B$7&gt;MAX(MORTALITY!$A:$A),"",Inputs!$B$4))</f>
        <v>34</v>
      </c>
      <c r="B824" s="3" t="n">
        <f aca="false">IF(A824="","",EOMONTH(B823,1))</f>
        <v>46752</v>
      </c>
      <c r="C824" s="1" t="n">
        <f aca="false">IF(A824="","",C823+1)</f>
        <v>822</v>
      </c>
      <c r="D824" s="1" t="n">
        <f aca="false">IF(A824="","",INT(C824/12))</f>
        <v>68</v>
      </c>
      <c r="E824" s="1" t="n">
        <f aca="false">IF(A824="","",D824+Inputs!$B$7)</f>
        <v>84</v>
      </c>
      <c r="F824" s="3" t="n">
        <f aca="false">IF(A824="","",DATE(YEAR(B$2)+D824,MONTH(B$2),DAY(B$2)))</f>
        <v>46543</v>
      </c>
      <c r="G824" s="3" t="n">
        <f aca="false">IF(A824="","",DATE(YEAR(F824)+1,MONTH(F824),DAY(F824)))</f>
        <v>46909</v>
      </c>
      <c r="H824" s="10" t="n">
        <f aca="false">IF(A824="","",IF(G824&gt;F824,(B824-F824)/(G824-F824),0))</f>
        <v>0.57103825136612</v>
      </c>
      <c r="I824" s="10" t="n">
        <f aca="false">IF(A824="","",IFERROR(INDEX(CV_RATES!$I:$I,MATCH(D824,CV_RATES!$C:$C,0)),0))</f>
        <v>899.323661553913</v>
      </c>
      <c r="J824" s="10" t="n">
        <f aca="false">IF(A824="","",IFERROR(IF(E824=MAX(MORTALITY!$A:$A),1000,INDEX(CV_RATES!$J:$J,MATCH(D824,CV_RATES!$C:$C,0))),0))</f>
        <v>904.65633455197</v>
      </c>
      <c r="K824" s="10" t="n">
        <f aca="false">IF(A824="","",IFERROR(I824+H824*(J824-I824),0))</f>
        <v>902.368821817831</v>
      </c>
      <c r="L824" s="10" t="n">
        <f aca="false">IF(A824="","",IFERROR(K824*Inputs!$B$9,0))</f>
        <v>45118.4410908915</v>
      </c>
      <c r="M824" s="10" t="n">
        <f aca="false">IF(A824="","",IFERROR(K824*Inputs!$B$10,0))</f>
        <v>144376.304384387</v>
      </c>
      <c r="N824" s="10" t="n">
        <f aca="false">IF(A824="","",Z823)</f>
        <v>0</v>
      </c>
      <c r="O824" s="6" t="n">
        <f aca="false">IF(A824="","",Inputs!$B$18+N824)</f>
        <v>50000</v>
      </c>
      <c r="P824" s="5" t="n">
        <f aca="false">IF(A824="","",VLOOKUP(D824,DIvidend_Assumption!$A$3:$CX$103,($E$2+2),0)/12)</f>
        <v>0</v>
      </c>
      <c r="Q824" s="10" t="n">
        <f aca="false">IF(A824="","",IFERROR(AB823*P824,""))</f>
        <v>0</v>
      </c>
      <c r="R824" s="10" t="n">
        <f aca="false">IF(A824="","",IFERROR(IF(Inputs!$B$22="Accumulate",T824+Q824,IF(Inputs!$B$22="Premium Offset",MAX(0,T824+Q824-Inputs!$B$25),T824)),""))</f>
        <v>0</v>
      </c>
      <c r="S824" s="10" t="n">
        <f aca="false">IF(A824="","",R823)</f>
        <v>0</v>
      </c>
      <c r="T824" s="10" t="n">
        <f aca="false">IF(A824="","",IFERROR(S824*(1+Inputs!$B$23/12),""))</f>
        <v>0</v>
      </c>
      <c r="U824" s="6" t="n">
        <f aca="false">IF(A824="","",IF(D824&lt;=Inputs!$B$8,IF(Inputs!$B$22="Premium Offset",MAX(0,Inputs!$B$25-(Q824+T824)),Inputs!$B$25),0))</f>
        <v>0</v>
      </c>
      <c r="V824" s="10" t="n">
        <f aca="false">IF(A824="","",IF(Inputs!$B$22="Cash",Q824,0))</f>
        <v>0</v>
      </c>
      <c r="W824" s="10" t="n">
        <f aca="false">IF(A824="","",IF(Inputs!$B$22="PUA",Q824,0))</f>
        <v>0</v>
      </c>
      <c r="X824" s="12" t="n">
        <f aca="false">IF(A824="","",IFERROR(INDEX(PUA_TABLE!$D$4:$D$105,MATCH(E824,PUA_TABLE!$C$4:$C$105,1)),0))</f>
        <v>0.899323661553913</v>
      </c>
      <c r="Y824" s="10" t="n">
        <f aca="false">IF(A824="","",IF(W824&gt;0,IF(X824&gt;0,W824/X824,0),0))</f>
        <v>0</v>
      </c>
      <c r="Z824" s="10" t="n">
        <f aca="false">IF(A824="","",N824+Y824)</f>
        <v>0</v>
      </c>
      <c r="AA824" s="10" t="n">
        <f aca="false">IF(A824="","",IFERROR(Z824*INDEX(PUA_TABLE!$I$4:$I$105,MATCH(E824,PUA_TABLE!$C$4:$C$105,1))/1000,0))</f>
        <v>0</v>
      </c>
      <c r="AB824" s="10" t="n">
        <f aca="false">IF(A824="","",IFERROR(L824+AA824,0))</f>
        <v>45118.4410908915</v>
      </c>
      <c r="AC824" s="10" t="n">
        <f aca="false">IF(A824="","",IF(Inputs!$B$22="Premium Offset",MIN(Inputs!$B$25,Q824+T824),0))</f>
        <v>0</v>
      </c>
    </row>
    <row r="825" customFormat="false" ht="15" hidden="false" customHeight="false" outlineLevel="0" collapsed="false">
      <c r="A825" s="1" t="n">
        <f aca="false">IF(A824="","",IF(INT((C824+1)/12)+Inputs!$B$7&gt;MAX(MORTALITY!$A:$A),"",Inputs!$B$4))</f>
        <v>34</v>
      </c>
      <c r="B825" s="3" t="n">
        <f aca="false">IF(A825="","",EOMONTH(B824,1))</f>
        <v>46783</v>
      </c>
      <c r="C825" s="1" t="n">
        <f aca="false">IF(A825="","",C824+1)</f>
        <v>823</v>
      </c>
      <c r="D825" s="1" t="n">
        <f aca="false">IF(A825="","",INT(C825/12))</f>
        <v>68</v>
      </c>
      <c r="E825" s="1" t="n">
        <f aca="false">IF(A825="","",D825+Inputs!$B$7)</f>
        <v>84</v>
      </c>
      <c r="F825" s="3" t="n">
        <f aca="false">IF(A825="","",DATE(YEAR(B$2)+D825,MONTH(B$2),DAY(B$2)))</f>
        <v>46543</v>
      </c>
      <c r="G825" s="3" t="n">
        <f aca="false">IF(A825="","",DATE(YEAR(F825)+1,MONTH(F825),DAY(F825)))</f>
        <v>46909</v>
      </c>
      <c r="H825" s="10" t="n">
        <f aca="false">IF(A825="","",IF(G825&gt;F825,(B825-F825)/(G825-F825),0))</f>
        <v>0.655737704918033</v>
      </c>
      <c r="I825" s="10" t="n">
        <f aca="false">IF(A825="","",IFERROR(INDEX(CV_RATES!$I:$I,MATCH(D825,CV_RATES!$C:$C,0)),0))</f>
        <v>899.323661553913</v>
      </c>
      <c r="J825" s="10" t="n">
        <f aca="false">IF(A825="","",IFERROR(IF(E825=MAX(MORTALITY!$A:$A),1000,INDEX(CV_RATES!$J:$J,MATCH(D825,CV_RATES!$C:$C,0))),0))</f>
        <v>904.65633455197</v>
      </c>
      <c r="K825" s="10" t="n">
        <f aca="false">IF(A825="","",IFERROR(I825+H825*(J825-I825),0))</f>
        <v>902.820496306737</v>
      </c>
      <c r="L825" s="10" t="n">
        <f aca="false">IF(A825="","",IFERROR(K825*Inputs!$B$9,0))</f>
        <v>45141.0248153369</v>
      </c>
      <c r="M825" s="10" t="n">
        <f aca="false">IF(A825="","",IFERROR(K825*Inputs!$B$10,0))</f>
        <v>144448.570947589</v>
      </c>
      <c r="N825" s="10" t="n">
        <f aca="false">IF(A825="","",Z824)</f>
        <v>0</v>
      </c>
      <c r="O825" s="6" t="n">
        <f aca="false">IF(A825="","",Inputs!$B$18+N825)</f>
        <v>50000</v>
      </c>
      <c r="P825" s="5" t="n">
        <f aca="false">IF(A825="","",VLOOKUP(D825,DIvidend_Assumption!$A$3:$CX$103,($E$2+2),0)/12)</f>
        <v>0</v>
      </c>
      <c r="Q825" s="10" t="n">
        <f aca="false">IF(A825="","",IFERROR(AB824*P825,""))</f>
        <v>0</v>
      </c>
      <c r="R825" s="10" t="n">
        <f aca="false">IF(A825="","",IFERROR(IF(Inputs!$B$22="Accumulate",T825+Q825,IF(Inputs!$B$22="Premium Offset",MAX(0,T825+Q825-Inputs!$B$25),T825)),""))</f>
        <v>0</v>
      </c>
      <c r="S825" s="10" t="n">
        <f aca="false">IF(A825="","",R824)</f>
        <v>0</v>
      </c>
      <c r="T825" s="10" t="n">
        <f aca="false">IF(A825="","",IFERROR(S825*(1+Inputs!$B$23/12),""))</f>
        <v>0</v>
      </c>
      <c r="U825" s="6" t="n">
        <f aca="false">IF(A825="","",IF(D825&lt;=Inputs!$B$8,IF(Inputs!$B$22="Premium Offset",MAX(0,Inputs!$B$25-(Q825+T825)),Inputs!$B$25),0))</f>
        <v>0</v>
      </c>
      <c r="V825" s="10" t="n">
        <f aca="false">IF(A825="","",IF(Inputs!$B$22="Cash",Q825,0))</f>
        <v>0</v>
      </c>
      <c r="W825" s="10" t="n">
        <f aca="false">IF(A825="","",IF(Inputs!$B$22="PUA",Q825,0))</f>
        <v>0</v>
      </c>
      <c r="X825" s="12" t="n">
        <f aca="false">IF(A825="","",IFERROR(INDEX(PUA_TABLE!$D$4:$D$105,MATCH(E825,PUA_TABLE!$C$4:$C$105,1)),0))</f>
        <v>0.899323661553913</v>
      </c>
      <c r="Y825" s="10" t="n">
        <f aca="false">IF(A825="","",IF(W825&gt;0,IF(X825&gt;0,W825/X825,0),0))</f>
        <v>0</v>
      </c>
      <c r="Z825" s="10" t="n">
        <f aca="false">IF(A825="","",N825+Y825)</f>
        <v>0</v>
      </c>
      <c r="AA825" s="10" t="n">
        <f aca="false">IF(A825="","",IFERROR(Z825*INDEX(PUA_TABLE!$I$4:$I$105,MATCH(E825,PUA_TABLE!$C$4:$C$105,1))/1000,0))</f>
        <v>0</v>
      </c>
      <c r="AB825" s="10" t="n">
        <f aca="false">IF(A825="","",IFERROR(L825+AA825,0))</f>
        <v>45141.0248153369</v>
      </c>
      <c r="AC825" s="10" t="n">
        <f aca="false">IF(A825="","",IF(Inputs!$B$22="Premium Offset",MIN(Inputs!$B$25,Q825+T825),0))</f>
        <v>0</v>
      </c>
    </row>
    <row r="826" customFormat="false" ht="15" hidden="false" customHeight="false" outlineLevel="0" collapsed="false">
      <c r="A826" s="1" t="n">
        <f aca="false">IF(A825="","",IF(INT((C825+1)/12)+Inputs!$B$7&gt;MAX(MORTALITY!$A:$A),"",Inputs!$B$4))</f>
        <v>34</v>
      </c>
      <c r="B826" s="3" t="n">
        <f aca="false">IF(A826="","",EOMONTH(B825,1))</f>
        <v>46812</v>
      </c>
      <c r="C826" s="1" t="n">
        <f aca="false">IF(A826="","",C825+1)</f>
        <v>824</v>
      </c>
      <c r="D826" s="1" t="n">
        <f aca="false">IF(A826="","",INT(C826/12))</f>
        <v>68</v>
      </c>
      <c r="E826" s="1" t="n">
        <f aca="false">IF(A826="","",D826+Inputs!$B$7)</f>
        <v>84</v>
      </c>
      <c r="F826" s="3" t="n">
        <f aca="false">IF(A826="","",DATE(YEAR(B$2)+D826,MONTH(B$2),DAY(B$2)))</f>
        <v>46543</v>
      </c>
      <c r="G826" s="3" t="n">
        <f aca="false">IF(A826="","",DATE(YEAR(F826)+1,MONTH(F826),DAY(F826)))</f>
        <v>46909</v>
      </c>
      <c r="H826" s="10" t="n">
        <f aca="false">IF(A826="","",IF(G826&gt;F826,(B826-F826)/(G826-F826),0))</f>
        <v>0.734972677595629</v>
      </c>
      <c r="I826" s="10" t="n">
        <f aca="false">IF(A826="","",IFERROR(INDEX(CV_RATES!$I:$I,MATCH(D826,CV_RATES!$C:$C,0)),0))</f>
        <v>899.323661553913</v>
      </c>
      <c r="J826" s="10" t="n">
        <f aca="false">IF(A826="","",IFERROR(IF(E826=MAX(MORTALITY!$A:$A),1000,INDEX(CV_RATES!$J:$J,MATCH(D826,CV_RATES!$C:$C,0))),0))</f>
        <v>904.65633455197</v>
      </c>
      <c r="K826" s="10" t="n">
        <f aca="false">IF(A826="","",IFERROR(I826+H826*(J826-I826),0))</f>
        <v>903.243030506037</v>
      </c>
      <c r="L826" s="10" t="n">
        <f aca="false">IF(A826="","",IFERROR(K826*Inputs!$B$9,0))</f>
        <v>45162.1515253018</v>
      </c>
      <c r="M826" s="10" t="n">
        <f aca="false">IF(A826="","",IFERROR(K826*Inputs!$B$10,0))</f>
        <v>144516.175151874</v>
      </c>
      <c r="N826" s="10" t="n">
        <f aca="false">IF(A826="","",Z825)</f>
        <v>0</v>
      </c>
      <c r="O826" s="6" t="n">
        <f aca="false">IF(A826="","",Inputs!$B$18+N826)</f>
        <v>50000</v>
      </c>
      <c r="P826" s="5" t="n">
        <f aca="false">IF(A826="","",VLOOKUP(D826,DIvidend_Assumption!$A$3:$CX$103,($E$2+2),0)/12)</f>
        <v>0</v>
      </c>
      <c r="Q826" s="10" t="n">
        <f aca="false">IF(A826="","",IFERROR(AB825*P826,""))</f>
        <v>0</v>
      </c>
      <c r="R826" s="10" t="n">
        <f aca="false">IF(A826="","",IFERROR(IF(Inputs!$B$22="Accumulate",T826+Q826,IF(Inputs!$B$22="Premium Offset",MAX(0,T826+Q826-Inputs!$B$25),T826)),""))</f>
        <v>0</v>
      </c>
      <c r="S826" s="10" t="n">
        <f aca="false">IF(A826="","",R825)</f>
        <v>0</v>
      </c>
      <c r="T826" s="10" t="n">
        <f aca="false">IF(A826="","",IFERROR(S826*(1+Inputs!$B$23/12),""))</f>
        <v>0</v>
      </c>
      <c r="U826" s="6" t="n">
        <f aca="false">IF(A826="","",IF(D826&lt;=Inputs!$B$8,IF(Inputs!$B$22="Premium Offset",MAX(0,Inputs!$B$25-(Q826+T826)),Inputs!$B$25),0))</f>
        <v>0</v>
      </c>
      <c r="V826" s="10" t="n">
        <f aca="false">IF(A826="","",IF(Inputs!$B$22="Cash",Q826,0))</f>
        <v>0</v>
      </c>
      <c r="W826" s="10" t="n">
        <f aca="false">IF(A826="","",IF(Inputs!$B$22="PUA",Q826,0))</f>
        <v>0</v>
      </c>
      <c r="X826" s="12" t="n">
        <f aca="false">IF(A826="","",IFERROR(INDEX(PUA_TABLE!$D$4:$D$105,MATCH(E826,PUA_TABLE!$C$4:$C$105,1)),0))</f>
        <v>0.899323661553913</v>
      </c>
      <c r="Y826" s="10" t="n">
        <f aca="false">IF(A826="","",IF(W826&gt;0,IF(X826&gt;0,W826/X826,0),0))</f>
        <v>0</v>
      </c>
      <c r="Z826" s="10" t="n">
        <f aca="false">IF(A826="","",N826+Y826)</f>
        <v>0</v>
      </c>
      <c r="AA826" s="10" t="n">
        <f aca="false">IF(A826="","",IFERROR(Z826*INDEX(PUA_TABLE!$I$4:$I$105,MATCH(E826,PUA_TABLE!$C$4:$C$105,1))/1000,0))</f>
        <v>0</v>
      </c>
      <c r="AB826" s="10" t="n">
        <f aca="false">IF(A826="","",IFERROR(L826+AA826,0))</f>
        <v>45162.1515253018</v>
      </c>
      <c r="AC826" s="10" t="n">
        <f aca="false">IF(A826="","",IF(Inputs!$B$22="Premium Offset",MIN(Inputs!$B$25,Q826+T826),0))</f>
        <v>0</v>
      </c>
    </row>
    <row r="827" customFormat="false" ht="15" hidden="false" customHeight="false" outlineLevel="0" collapsed="false">
      <c r="A827" s="1" t="n">
        <f aca="false">IF(A826="","",IF(INT((C826+1)/12)+Inputs!$B$7&gt;MAX(MORTALITY!$A:$A),"",Inputs!$B$4))</f>
        <v>34</v>
      </c>
      <c r="B827" s="3" t="n">
        <f aca="false">IF(A827="","",EOMONTH(B826,1))</f>
        <v>46843</v>
      </c>
      <c r="C827" s="1" t="n">
        <f aca="false">IF(A827="","",C826+1)</f>
        <v>825</v>
      </c>
      <c r="D827" s="1" t="n">
        <f aca="false">IF(A827="","",INT(C827/12))</f>
        <v>68</v>
      </c>
      <c r="E827" s="1" t="n">
        <f aca="false">IF(A827="","",D827+Inputs!$B$7)</f>
        <v>84</v>
      </c>
      <c r="F827" s="3" t="n">
        <f aca="false">IF(A827="","",DATE(YEAR(B$2)+D827,MONTH(B$2),DAY(B$2)))</f>
        <v>46543</v>
      </c>
      <c r="G827" s="3" t="n">
        <f aca="false">IF(A827="","",DATE(YEAR(F827)+1,MONTH(F827),DAY(F827)))</f>
        <v>46909</v>
      </c>
      <c r="H827" s="10" t="n">
        <f aca="false">IF(A827="","",IF(G827&gt;F827,(B827-F827)/(G827-F827),0))</f>
        <v>0.819672131147541</v>
      </c>
      <c r="I827" s="10" t="n">
        <f aca="false">IF(A827="","",IFERROR(INDEX(CV_RATES!$I:$I,MATCH(D827,CV_RATES!$C:$C,0)),0))</f>
        <v>899.323661553913</v>
      </c>
      <c r="J827" s="10" t="n">
        <f aca="false">IF(A827="","",IFERROR(IF(E827=MAX(MORTALITY!$A:$A),1000,INDEX(CV_RATES!$J:$J,MATCH(D827,CV_RATES!$C:$C,0))),0))</f>
        <v>904.65633455197</v>
      </c>
      <c r="K827" s="10" t="n">
        <f aca="false">IF(A827="","",IFERROR(I827+H827*(J827-I827),0))</f>
        <v>903.694704994943</v>
      </c>
      <c r="L827" s="10" t="n">
        <f aca="false">IF(A827="","",IFERROR(K827*Inputs!$B$9,0))</f>
        <v>45184.7352497472</v>
      </c>
      <c r="M827" s="10" t="n">
        <f aca="false">IF(A827="","",IFERROR(K827*Inputs!$B$10,0))</f>
        <v>144588.441715076</v>
      </c>
      <c r="N827" s="10" t="n">
        <f aca="false">IF(A827="","",Z826)</f>
        <v>0</v>
      </c>
      <c r="O827" s="6" t="n">
        <f aca="false">IF(A827="","",Inputs!$B$18+N827)</f>
        <v>50000</v>
      </c>
      <c r="P827" s="5" t="n">
        <f aca="false">IF(A827="","",VLOOKUP(D827,DIvidend_Assumption!$A$3:$CX$103,($E$2+2),0)/12)</f>
        <v>0</v>
      </c>
      <c r="Q827" s="10" t="n">
        <f aca="false">IF(A827="","",IFERROR(AB826*P827,""))</f>
        <v>0</v>
      </c>
      <c r="R827" s="10" t="n">
        <f aca="false">IF(A827="","",IFERROR(IF(Inputs!$B$22="Accumulate",T827+Q827,IF(Inputs!$B$22="Premium Offset",MAX(0,T827+Q827-Inputs!$B$25),T827)),""))</f>
        <v>0</v>
      </c>
      <c r="S827" s="10" t="n">
        <f aca="false">IF(A827="","",R826)</f>
        <v>0</v>
      </c>
      <c r="T827" s="10" t="n">
        <f aca="false">IF(A827="","",IFERROR(S827*(1+Inputs!$B$23/12),""))</f>
        <v>0</v>
      </c>
      <c r="U827" s="6" t="n">
        <f aca="false">IF(A827="","",IF(D827&lt;=Inputs!$B$8,IF(Inputs!$B$22="Premium Offset",MAX(0,Inputs!$B$25-(Q827+T827)),Inputs!$B$25),0))</f>
        <v>0</v>
      </c>
      <c r="V827" s="10" t="n">
        <f aca="false">IF(A827="","",IF(Inputs!$B$22="Cash",Q827,0))</f>
        <v>0</v>
      </c>
      <c r="W827" s="10" t="n">
        <f aca="false">IF(A827="","",IF(Inputs!$B$22="PUA",Q827,0))</f>
        <v>0</v>
      </c>
      <c r="X827" s="12" t="n">
        <f aca="false">IF(A827="","",IFERROR(INDEX(PUA_TABLE!$D$4:$D$105,MATCH(E827,PUA_TABLE!$C$4:$C$105,1)),0))</f>
        <v>0.899323661553913</v>
      </c>
      <c r="Y827" s="10" t="n">
        <f aca="false">IF(A827="","",IF(W827&gt;0,IF(X827&gt;0,W827/X827,0),0))</f>
        <v>0</v>
      </c>
      <c r="Z827" s="10" t="n">
        <f aca="false">IF(A827="","",N827+Y827)</f>
        <v>0</v>
      </c>
      <c r="AA827" s="10" t="n">
        <f aca="false">IF(A827="","",IFERROR(Z827*INDEX(PUA_TABLE!$I$4:$I$105,MATCH(E827,PUA_TABLE!$C$4:$C$105,1))/1000,0))</f>
        <v>0</v>
      </c>
      <c r="AB827" s="10" t="n">
        <f aca="false">IF(A827="","",IFERROR(L827+AA827,0))</f>
        <v>45184.7352497472</v>
      </c>
      <c r="AC827" s="10" t="n">
        <f aca="false">IF(A827="","",IF(Inputs!$B$22="Premium Offset",MIN(Inputs!$B$25,Q827+T827),0))</f>
        <v>0</v>
      </c>
    </row>
    <row r="828" customFormat="false" ht="15" hidden="false" customHeight="false" outlineLevel="0" collapsed="false">
      <c r="A828" s="1" t="n">
        <f aca="false">IF(A827="","",IF(INT((C827+1)/12)+Inputs!$B$7&gt;MAX(MORTALITY!$A:$A),"",Inputs!$B$4))</f>
        <v>34</v>
      </c>
      <c r="B828" s="3" t="n">
        <f aca="false">IF(A828="","",EOMONTH(B827,1))</f>
        <v>46873</v>
      </c>
      <c r="C828" s="1" t="n">
        <f aca="false">IF(A828="","",C827+1)</f>
        <v>826</v>
      </c>
      <c r="D828" s="1" t="n">
        <f aca="false">IF(A828="","",INT(C828/12))</f>
        <v>68</v>
      </c>
      <c r="E828" s="1" t="n">
        <f aca="false">IF(A828="","",D828+Inputs!$B$7)</f>
        <v>84</v>
      </c>
      <c r="F828" s="3" t="n">
        <f aca="false">IF(A828="","",DATE(YEAR(B$2)+D828,MONTH(B$2),DAY(B$2)))</f>
        <v>46543</v>
      </c>
      <c r="G828" s="3" t="n">
        <f aca="false">IF(A828="","",DATE(YEAR(F828)+1,MONTH(F828),DAY(F828)))</f>
        <v>46909</v>
      </c>
      <c r="H828" s="10" t="n">
        <f aca="false">IF(A828="","",IF(G828&gt;F828,(B828-F828)/(G828-F828),0))</f>
        <v>0.901639344262295</v>
      </c>
      <c r="I828" s="10" t="n">
        <f aca="false">IF(A828="","",IFERROR(INDEX(CV_RATES!$I:$I,MATCH(D828,CV_RATES!$C:$C,0)),0))</f>
        <v>899.323661553913</v>
      </c>
      <c r="J828" s="10" t="n">
        <f aca="false">IF(A828="","",IFERROR(IF(E828=MAX(MORTALITY!$A:$A),1000,INDEX(CV_RATES!$J:$J,MATCH(D828,CV_RATES!$C:$C,0))),0))</f>
        <v>904.65633455197</v>
      </c>
      <c r="K828" s="10" t="n">
        <f aca="false">IF(A828="","",IFERROR(I828+H828*(J828-I828),0))</f>
        <v>904.131809339046</v>
      </c>
      <c r="L828" s="10" t="n">
        <f aca="false">IF(A828="","",IFERROR(K828*Inputs!$B$9,0))</f>
        <v>45206.5904669523</v>
      </c>
      <c r="M828" s="10" t="n">
        <f aca="false">IF(A828="","",IFERROR(K828*Inputs!$B$10,0))</f>
        <v>144658.377098819</v>
      </c>
      <c r="N828" s="10" t="n">
        <f aca="false">IF(A828="","",Z827)</f>
        <v>0</v>
      </c>
      <c r="O828" s="6" t="n">
        <f aca="false">IF(A828="","",Inputs!$B$18+N828)</f>
        <v>50000</v>
      </c>
      <c r="P828" s="5" t="n">
        <f aca="false">IF(A828="","",VLOOKUP(D828,DIvidend_Assumption!$A$3:$CX$103,($E$2+2),0)/12)</f>
        <v>0</v>
      </c>
      <c r="Q828" s="10" t="n">
        <f aca="false">IF(A828="","",IFERROR(AB827*P828,""))</f>
        <v>0</v>
      </c>
      <c r="R828" s="10" t="n">
        <f aca="false">IF(A828="","",IFERROR(IF(Inputs!$B$22="Accumulate",T828+Q828,IF(Inputs!$B$22="Premium Offset",MAX(0,T828+Q828-Inputs!$B$25),T828)),""))</f>
        <v>0</v>
      </c>
      <c r="S828" s="10" t="n">
        <f aca="false">IF(A828="","",R827)</f>
        <v>0</v>
      </c>
      <c r="T828" s="10" t="n">
        <f aca="false">IF(A828="","",IFERROR(S828*(1+Inputs!$B$23/12),""))</f>
        <v>0</v>
      </c>
      <c r="U828" s="6" t="n">
        <f aca="false">IF(A828="","",IF(D828&lt;=Inputs!$B$8,IF(Inputs!$B$22="Premium Offset",MAX(0,Inputs!$B$25-(Q828+T828)),Inputs!$B$25),0))</f>
        <v>0</v>
      </c>
      <c r="V828" s="10" t="n">
        <f aca="false">IF(A828="","",IF(Inputs!$B$22="Cash",Q828,0))</f>
        <v>0</v>
      </c>
      <c r="W828" s="10" t="n">
        <f aca="false">IF(A828="","",IF(Inputs!$B$22="PUA",Q828,0))</f>
        <v>0</v>
      </c>
      <c r="X828" s="12" t="n">
        <f aca="false">IF(A828="","",IFERROR(INDEX(PUA_TABLE!$D$4:$D$105,MATCH(E828,PUA_TABLE!$C$4:$C$105,1)),0))</f>
        <v>0.899323661553913</v>
      </c>
      <c r="Y828" s="10" t="n">
        <f aca="false">IF(A828="","",IF(W828&gt;0,IF(X828&gt;0,W828/X828,0),0))</f>
        <v>0</v>
      </c>
      <c r="Z828" s="10" t="n">
        <f aca="false">IF(A828="","",N828+Y828)</f>
        <v>0</v>
      </c>
      <c r="AA828" s="10" t="n">
        <f aca="false">IF(A828="","",IFERROR(Z828*INDEX(PUA_TABLE!$I$4:$I$105,MATCH(E828,PUA_TABLE!$C$4:$C$105,1))/1000,0))</f>
        <v>0</v>
      </c>
      <c r="AB828" s="10" t="n">
        <f aca="false">IF(A828="","",IFERROR(L828+AA828,0))</f>
        <v>45206.5904669523</v>
      </c>
      <c r="AC828" s="10" t="n">
        <f aca="false">IF(A828="","",IF(Inputs!$B$22="Premium Offset",MIN(Inputs!$B$25,Q828+T828),0))</f>
        <v>0</v>
      </c>
    </row>
    <row r="829" customFormat="false" ht="15" hidden="false" customHeight="false" outlineLevel="0" collapsed="false">
      <c r="A829" s="1" t="n">
        <f aca="false">IF(A828="","",IF(INT((C828+1)/12)+Inputs!$B$7&gt;MAX(MORTALITY!$A:$A),"",Inputs!$B$4))</f>
        <v>34</v>
      </c>
      <c r="B829" s="3" t="n">
        <f aca="false">IF(A829="","",EOMONTH(B828,1))</f>
        <v>46904</v>
      </c>
      <c r="C829" s="1" t="n">
        <f aca="false">IF(A829="","",C828+1)</f>
        <v>827</v>
      </c>
      <c r="D829" s="1" t="n">
        <f aca="false">IF(A829="","",INT(C829/12))</f>
        <v>68</v>
      </c>
      <c r="E829" s="1" t="n">
        <f aca="false">IF(A829="","",D829+Inputs!$B$7)</f>
        <v>84</v>
      </c>
      <c r="F829" s="3" t="n">
        <f aca="false">IF(A829="","",DATE(YEAR(B$2)+D829,MONTH(B$2),DAY(B$2)))</f>
        <v>46543</v>
      </c>
      <c r="G829" s="3" t="n">
        <f aca="false">IF(A829="","",DATE(YEAR(F829)+1,MONTH(F829),DAY(F829)))</f>
        <v>46909</v>
      </c>
      <c r="H829" s="10" t="n">
        <f aca="false">IF(A829="","",IF(G829&gt;F829,(B829-F829)/(G829-F829),0))</f>
        <v>0.986338797814208</v>
      </c>
      <c r="I829" s="10" t="n">
        <f aca="false">IF(A829="","",IFERROR(INDEX(CV_RATES!$I:$I,MATCH(D829,CV_RATES!$C:$C,0)),0))</f>
        <v>899.323661553913</v>
      </c>
      <c r="J829" s="10" t="n">
        <f aca="false">IF(A829="","",IFERROR(IF(E829=MAX(MORTALITY!$A:$A),1000,INDEX(CV_RATES!$J:$J,MATCH(D829,CV_RATES!$C:$C,0))),0))</f>
        <v>904.65633455197</v>
      </c>
      <c r="K829" s="10" t="n">
        <f aca="false">IF(A829="","",IFERROR(I829+H829*(J829-I829),0))</f>
        <v>904.583483827952</v>
      </c>
      <c r="L829" s="10" t="n">
        <f aca="false">IF(A829="","",IFERROR(K829*Inputs!$B$9,0))</f>
        <v>45229.1741913976</v>
      </c>
      <c r="M829" s="10" t="n">
        <f aca="false">IF(A829="","",IFERROR(K829*Inputs!$B$10,0))</f>
        <v>144730.643662021</v>
      </c>
      <c r="N829" s="10" t="n">
        <f aca="false">IF(A829="","",Z828)</f>
        <v>0</v>
      </c>
      <c r="O829" s="6" t="n">
        <f aca="false">IF(A829="","",Inputs!$B$18+N829)</f>
        <v>50000</v>
      </c>
      <c r="P829" s="5" t="n">
        <f aca="false">IF(A829="","",VLOOKUP(D829,DIvidend_Assumption!$A$3:$CX$103,($E$2+2),0)/12)</f>
        <v>0</v>
      </c>
      <c r="Q829" s="10" t="n">
        <f aca="false">IF(A829="","",IFERROR(AB828*P829,""))</f>
        <v>0</v>
      </c>
      <c r="R829" s="10" t="n">
        <f aca="false">IF(A829="","",IFERROR(IF(Inputs!$B$22="Accumulate",T829+Q829,IF(Inputs!$B$22="Premium Offset",MAX(0,T829+Q829-Inputs!$B$25),T829)),""))</f>
        <v>0</v>
      </c>
      <c r="S829" s="10" t="n">
        <f aca="false">IF(A829="","",R828)</f>
        <v>0</v>
      </c>
      <c r="T829" s="10" t="n">
        <f aca="false">IF(A829="","",IFERROR(S829*(1+Inputs!$B$23/12),""))</f>
        <v>0</v>
      </c>
      <c r="U829" s="6" t="n">
        <f aca="false">IF(A829="","",IF(D829&lt;=Inputs!$B$8,IF(Inputs!$B$22="Premium Offset",MAX(0,Inputs!$B$25-(Q829+T829)),Inputs!$B$25),0))</f>
        <v>0</v>
      </c>
      <c r="V829" s="10" t="n">
        <f aca="false">IF(A829="","",IF(Inputs!$B$22="Cash",Q829,0))</f>
        <v>0</v>
      </c>
      <c r="W829" s="10" t="n">
        <f aca="false">IF(A829="","",IF(Inputs!$B$22="PUA",Q829,0))</f>
        <v>0</v>
      </c>
      <c r="X829" s="12" t="n">
        <f aca="false">IF(A829="","",IFERROR(INDEX(PUA_TABLE!$D$4:$D$105,MATCH(E829,PUA_TABLE!$C$4:$C$105,1)),0))</f>
        <v>0.899323661553913</v>
      </c>
      <c r="Y829" s="10" t="n">
        <f aca="false">IF(A829="","",IF(W829&gt;0,IF(X829&gt;0,W829/X829,0),0))</f>
        <v>0</v>
      </c>
      <c r="Z829" s="10" t="n">
        <f aca="false">IF(A829="","",N829+Y829)</f>
        <v>0</v>
      </c>
      <c r="AA829" s="10" t="n">
        <f aca="false">IF(A829="","",IFERROR(Z829*INDEX(PUA_TABLE!$I$4:$I$105,MATCH(E829,PUA_TABLE!$C$4:$C$105,1))/1000,0))</f>
        <v>0</v>
      </c>
      <c r="AB829" s="10" t="n">
        <f aca="false">IF(A829="","",IFERROR(L829+AA829,0))</f>
        <v>45229.1741913976</v>
      </c>
      <c r="AC829" s="10" t="n">
        <f aca="false">IF(A829="","",IF(Inputs!$B$22="Premium Offset",MIN(Inputs!$B$25,Q829+T829),0))</f>
        <v>0</v>
      </c>
    </row>
    <row r="830" customFormat="false" ht="15" hidden="false" customHeight="false" outlineLevel="0" collapsed="false">
      <c r="A830" s="1" t="n">
        <f aca="false">IF(A829="","",IF(INT((C829+1)/12)+Inputs!$B$7&gt;MAX(MORTALITY!$A:$A),"",Inputs!$B$4))</f>
        <v>34</v>
      </c>
      <c r="B830" s="3" t="n">
        <f aca="false">IF(A830="","",EOMONTH(B829,1))</f>
        <v>46934</v>
      </c>
      <c r="C830" s="1" t="n">
        <f aca="false">IF(A830="","",C829+1)</f>
        <v>828</v>
      </c>
      <c r="D830" s="1" t="n">
        <f aca="false">IF(A830="","",INT(C830/12))</f>
        <v>69</v>
      </c>
      <c r="E830" s="1" t="n">
        <f aca="false">IF(A830="","",D830+Inputs!$B$7)</f>
        <v>85</v>
      </c>
      <c r="F830" s="3" t="n">
        <f aca="false">IF(A830="","",DATE(YEAR(B$2)+D830,MONTH(B$2),DAY(B$2)))</f>
        <v>46909</v>
      </c>
      <c r="G830" s="3" t="n">
        <f aca="false">IF(A830="","",DATE(YEAR(F830)+1,MONTH(F830),DAY(F830)))</f>
        <v>47274</v>
      </c>
      <c r="H830" s="10" t="n">
        <f aca="false">IF(A830="","",IF(G830&gt;F830,(B830-F830)/(G830-F830),0))</f>
        <v>0.0684931506849315</v>
      </c>
      <c r="I830" s="10" t="n">
        <f aca="false">IF(A830="","",IFERROR(INDEX(CV_RATES!$I:$I,MATCH(D830,CV_RATES!$C:$C,0)),0))</f>
        <v>904.65633455197</v>
      </c>
      <c r="J830" s="10" t="n">
        <f aca="false">IF(A830="","",IFERROR(IF(E830=MAX(MORTALITY!$A:$A),1000,INDEX(CV_RATES!$J:$J,MATCH(D830,CV_RATES!$C:$C,0))),0))</f>
        <v>909.753115162208</v>
      </c>
      <c r="K830" s="10" t="n">
        <f aca="false">IF(A830="","",IFERROR(I830+H830*(J830-I830),0))</f>
        <v>905.005429114315</v>
      </c>
      <c r="L830" s="10" t="n">
        <f aca="false">IF(A830="","",IFERROR(K830*Inputs!$B$9,0))</f>
        <v>45250.2714557157</v>
      </c>
      <c r="M830" s="10" t="n">
        <f aca="false">IF(A830="","",IFERROR(K830*Inputs!$B$10,0))</f>
        <v>144798.153642003</v>
      </c>
      <c r="N830" s="10" t="n">
        <f aca="false">IF(A830="","",Z829)</f>
        <v>0</v>
      </c>
      <c r="O830" s="6" t="n">
        <f aca="false">IF(A830="","",Inputs!$B$18+N830)</f>
        <v>50000</v>
      </c>
      <c r="P830" s="5" t="n">
        <f aca="false">IF(A830="","",VLOOKUP(D830,DIvidend_Assumption!$A$3:$CX$103,($E$2+2),0)/12)</f>
        <v>0</v>
      </c>
      <c r="Q830" s="10" t="n">
        <f aca="false">IF(A830="","",IFERROR(AB829*P830,""))</f>
        <v>0</v>
      </c>
      <c r="R830" s="10" t="n">
        <f aca="false">IF(A830="","",IFERROR(IF(Inputs!$B$22="Accumulate",T830+Q830,IF(Inputs!$B$22="Premium Offset",MAX(0,T830+Q830-Inputs!$B$25),T830)),""))</f>
        <v>0</v>
      </c>
      <c r="S830" s="10" t="n">
        <f aca="false">IF(A830="","",R829)</f>
        <v>0</v>
      </c>
      <c r="T830" s="10" t="n">
        <f aca="false">IF(A830="","",IFERROR(S830*(1+Inputs!$B$23/12),""))</f>
        <v>0</v>
      </c>
      <c r="U830" s="6" t="n">
        <f aca="false">IF(A830="","",IF(D830&lt;=Inputs!$B$8,IF(Inputs!$B$22="Premium Offset",MAX(0,Inputs!$B$25-(Q830+T830)),Inputs!$B$25),0))</f>
        <v>0</v>
      </c>
      <c r="V830" s="10" t="n">
        <f aca="false">IF(A830="","",IF(Inputs!$B$22="Cash",Q830,0))</f>
        <v>0</v>
      </c>
      <c r="W830" s="10" t="n">
        <f aca="false">IF(A830="","",IF(Inputs!$B$22="PUA",Q830,0))</f>
        <v>0</v>
      </c>
      <c r="X830" s="12" t="n">
        <f aca="false">IF(A830="","",IFERROR(INDEX(PUA_TABLE!$D$4:$D$105,MATCH(E830,PUA_TABLE!$C$4:$C$105,1)),0))</f>
        <v>0.90465633455197</v>
      </c>
      <c r="Y830" s="10" t="n">
        <f aca="false">IF(A830="","",IF(W830&gt;0,IF(X830&gt;0,W830/X830,0),0))</f>
        <v>0</v>
      </c>
      <c r="Z830" s="10" t="n">
        <f aca="false">IF(A830="","",N830+Y830)</f>
        <v>0</v>
      </c>
      <c r="AA830" s="10" t="n">
        <f aca="false">IF(A830="","",IFERROR(Z830*INDEX(PUA_TABLE!$I$4:$I$105,MATCH(E830,PUA_TABLE!$C$4:$C$105,1))/1000,0))</f>
        <v>0</v>
      </c>
      <c r="AB830" s="10" t="n">
        <f aca="false">IF(A830="","",IFERROR(L830+AA830,0))</f>
        <v>45250.2714557157</v>
      </c>
      <c r="AC830" s="10" t="n">
        <f aca="false">IF(A830="","",IF(Inputs!$B$22="Premium Offset",MIN(Inputs!$B$25,Q830+T830),0))</f>
        <v>0</v>
      </c>
    </row>
    <row r="831" customFormat="false" ht="15" hidden="false" customHeight="false" outlineLevel="0" collapsed="false">
      <c r="A831" s="1" t="n">
        <f aca="false">IF(A830="","",IF(INT((C830+1)/12)+Inputs!$B$7&gt;MAX(MORTALITY!$A:$A),"",Inputs!$B$4))</f>
        <v>34</v>
      </c>
      <c r="B831" s="3" t="n">
        <f aca="false">IF(A831="","",EOMONTH(B830,1))</f>
        <v>46965</v>
      </c>
      <c r="C831" s="1" t="n">
        <f aca="false">IF(A831="","",C830+1)</f>
        <v>829</v>
      </c>
      <c r="D831" s="1" t="n">
        <f aca="false">IF(A831="","",INT(C831/12))</f>
        <v>69</v>
      </c>
      <c r="E831" s="1" t="n">
        <f aca="false">IF(A831="","",D831+Inputs!$B$7)</f>
        <v>85</v>
      </c>
      <c r="F831" s="3" t="n">
        <f aca="false">IF(A831="","",DATE(YEAR(B$2)+D831,MONTH(B$2),DAY(B$2)))</f>
        <v>46909</v>
      </c>
      <c r="G831" s="3" t="n">
        <f aca="false">IF(A831="","",DATE(YEAR(F831)+1,MONTH(F831),DAY(F831)))</f>
        <v>47274</v>
      </c>
      <c r="H831" s="10" t="n">
        <f aca="false">IF(A831="","",IF(G831&gt;F831,(B831-F831)/(G831-F831),0))</f>
        <v>0.153424657534247</v>
      </c>
      <c r="I831" s="10" t="n">
        <f aca="false">IF(A831="","",IFERROR(INDEX(CV_RATES!$I:$I,MATCH(D831,CV_RATES!$C:$C,0)),0))</f>
        <v>904.65633455197</v>
      </c>
      <c r="J831" s="10" t="n">
        <f aca="false">IF(A831="","",IFERROR(IF(E831=MAX(MORTALITY!$A:$A),1000,INDEX(CV_RATES!$J:$J,MATCH(D831,CV_RATES!$C:$C,0))),0))</f>
        <v>909.753115162208</v>
      </c>
      <c r="K831" s="10" t="n">
        <f aca="false">IF(A831="","",IFERROR(I831+H831*(J831-I831),0))</f>
        <v>905.438306371623</v>
      </c>
      <c r="L831" s="10" t="n">
        <f aca="false">IF(A831="","",IFERROR(K831*Inputs!$B$9,0))</f>
        <v>45271.9153185811</v>
      </c>
      <c r="M831" s="10" t="n">
        <f aca="false">IF(A831="","",IFERROR(K831*Inputs!$B$10,0))</f>
        <v>144867.412704541</v>
      </c>
      <c r="N831" s="10" t="n">
        <f aca="false">IF(A831="","",Z830)</f>
        <v>0</v>
      </c>
      <c r="O831" s="6" t="n">
        <f aca="false">IF(A831="","",Inputs!$B$18+N831)</f>
        <v>50000</v>
      </c>
      <c r="P831" s="5" t="n">
        <f aca="false">IF(A831="","",VLOOKUP(D831,DIvidend_Assumption!$A$3:$CX$103,($E$2+2),0)/12)</f>
        <v>0</v>
      </c>
      <c r="Q831" s="10" t="n">
        <f aca="false">IF(A831="","",IFERROR(AB830*P831,""))</f>
        <v>0</v>
      </c>
      <c r="R831" s="10" t="n">
        <f aca="false">IF(A831="","",IFERROR(IF(Inputs!$B$22="Accumulate",T831+Q831,IF(Inputs!$B$22="Premium Offset",MAX(0,T831+Q831-Inputs!$B$25),T831)),""))</f>
        <v>0</v>
      </c>
      <c r="S831" s="10" t="n">
        <f aca="false">IF(A831="","",R830)</f>
        <v>0</v>
      </c>
      <c r="T831" s="10" t="n">
        <f aca="false">IF(A831="","",IFERROR(S831*(1+Inputs!$B$23/12),""))</f>
        <v>0</v>
      </c>
      <c r="U831" s="6" t="n">
        <f aca="false">IF(A831="","",IF(D831&lt;=Inputs!$B$8,IF(Inputs!$B$22="Premium Offset",MAX(0,Inputs!$B$25-(Q831+T831)),Inputs!$B$25),0))</f>
        <v>0</v>
      </c>
      <c r="V831" s="10" t="n">
        <f aca="false">IF(A831="","",IF(Inputs!$B$22="Cash",Q831,0))</f>
        <v>0</v>
      </c>
      <c r="W831" s="10" t="n">
        <f aca="false">IF(A831="","",IF(Inputs!$B$22="PUA",Q831,0))</f>
        <v>0</v>
      </c>
      <c r="X831" s="12" t="n">
        <f aca="false">IF(A831="","",IFERROR(INDEX(PUA_TABLE!$D$4:$D$105,MATCH(E831,PUA_TABLE!$C$4:$C$105,1)),0))</f>
        <v>0.90465633455197</v>
      </c>
      <c r="Y831" s="10" t="n">
        <f aca="false">IF(A831="","",IF(W831&gt;0,IF(X831&gt;0,W831/X831,0),0))</f>
        <v>0</v>
      </c>
      <c r="Z831" s="10" t="n">
        <f aca="false">IF(A831="","",N831+Y831)</f>
        <v>0</v>
      </c>
      <c r="AA831" s="10" t="n">
        <f aca="false">IF(A831="","",IFERROR(Z831*INDEX(PUA_TABLE!$I$4:$I$105,MATCH(E831,PUA_TABLE!$C$4:$C$105,1))/1000,0))</f>
        <v>0</v>
      </c>
      <c r="AB831" s="10" t="n">
        <f aca="false">IF(A831="","",IFERROR(L831+AA831,0))</f>
        <v>45271.9153185811</v>
      </c>
      <c r="AC831" s="10" t="n">
        <f aca="false">IF(A831="","",IF(Inputs!$B$22="Premium Offset",MIN(Inputs!$B$25,Q831+T831),0))</f>
        <v>0</v>
      </c>
    </row>
    <row r="832" customFormat="false" ht="15" hidden="false" customHeight="false" outlineLevel="0" collapsed="false">
      <c r="A832" s="1" t="n">
        <f aca="false">IF(A831="","",IF(INT((C831+1)/12)+Inputs!$B$7&gt;MAX(MORTALITY!$A:$A),"",Inputs!$B$4))</f>
        <v>34</v>
      </c>
      <c r="B832" s="3" t="n">
        <f aca="false">IF(A832="","",EOMONTH(B831,1))</f>
        <v>46996</v>
      </c>
      <c r="C832" s="1" t="n">
        <f aca="false">IF(A832="","",C831+1)</f>
        <v>830</v>
      </c>
      <c r="D832" s="1" t="n">
        <f aca="false">IF(A832="","",INT(C832/12))</f>
        <v>69</v>
      </c>
      <c r="E832" s="1" t="n">
        <f aca="false">IF(A832="","",D832+Inputs!$B$7)</f>
        <v>85</v>
      </c>
      <c r="F832" s="3" t="n">
        <f aca="false">IF(A832="","",DATE(YEAR(B$2)+D832,MONTH(B$2),DAY(B$2)))</f>
        <v>46909</v>
      </c>
      <c r="G832" s="3" t="n">
        <f aca="false">IF(A832="","",DATE(YEAR(F832)+1,MONTH(F832),DAY(F832)))</f>
        <v>47274</v>
      </c>
      <c r="H832" s="10" t="n">
        <f aca="false">IF(A832="","",IF(G832&gt;F832,(B832-F832)/(G832-F832),0))</f>
        <v>0.238356164383562</v>
      </c>
      <c r="I832" s="10" t="n">
        <f aca="false">IF(A832="","",IFERROR(INDEX(CV_RATES!$I:$I,MATCH(D832,CV_RATES!$C:$C,0)),0))</f>
        <v>904.65633455197</v>
      </c>
      <c r="J832" s="10" t="n">
        <f aca="false">IF(A832="","",IFERROR(IF(E832=MAX(MORTALITY!$A:$A),1000,INDEX(CV_RATES!$J:$J,MATCH(D832,CV_RATES!$C:$C,0))),0))</f>
        <v>909.753115162208</v>
      </c>
      <c r="K832" s="10" t="n">
        <f aca="false">IF(A832="","",IFERROR(I832+H832*(J832-I832),0))</f>
        <v>905.871183628931</v>
      </c>
      <c r="L832" s="10" t="n">
        <f aca="false">IF(A832="","",IFERROR(K832*Inputs!$B$9,0))</f>
        <v>45293.5591814465</v>
      </c>
      <c r="M832" s="10" t="n">
        <f aca="false">IF(A832="","",IFERROR(K832*Inputs!$B$10,0))</f>
        <v>144936.671767078</v>
      </c>
      <c r="N832" s="10" t="n">
        <f aca="false">IF(A832="","",Z831)</f>
        <v>0</v>
      </c>
      <c r="O832" s="6" t="n">
        <f aca="false">IF(A832="","",Inputs!$B$18+N832)</f>
        <v>50000</v>
      </c>
      <c r="P832" s="5" t="n">
        <f aca="false">IF(A832="","",VLOOKUP(D832,DIvidend_Assumption!$A$3:$CX$103,($E$2+2),0)/12)</f>
        <v>0</v>
      </c>
      <c r="Q832" s="10" t="n">
        <f aca="false">IF(A832="","",IFERROR(AB831*P832,""))</f>
        <v>0</v>
      </c>
      <c r="R832" s="10" t="n">
        <f aca="false">IF(A832="","",IFERROR(IF(Inputs!$B$22="Accumulate",T832+Q832,IF(Inputs!$B$22="Premium Offset",MAX(0,T832+Q832-Inputs!$B$25),T832)),""))</f>
        <v>0</v>
      </c>
      <c r="S832" s="10" t="n">
        <f aca="false">IF(A832="","",R831)</f>
        <v>0</v>
      </c>
      <c r="T832" s="10" t="n">
        <f aca="false">IF(A832="","",IFERROR(S832*(1+Inputs!$B$23/12),""))</f>
        <v>0</v>
      </c>
      <c r="U832" s="6" t="n">
        <f aca="false">IF(A832="","",IF(D832&lt;=Inputs!$B$8,IF(Inputs!$B$22="Premium Offset",MAX(0,Inputs!$B$25-(Q832+T832)),Inputs!$B$25),0))</f>
        <v>0</v>
      </c>
      <c r="V832" s="10" t="n">
        <f aca="false">IF(A832="","",IF(Inputs!$B$22="Cash",Q832,0))</f>
        <v>0</v>
      </c>
      <c r="W832" s="10" t="n">
        <f aca="false">IF(A832="","",IF(Inputs!$B$22="PUA",Q832,0))</f>
        <v>0</v>
      </c>
      <c r="X832" s="12" t="n">
        <f aca="false">IF(A832="","",IFERROR(INDEX(PUA_TABLE!$D$4:$D$105,MATCH(E832,PUA_TABLE!$C$4:$C$105,1)),0))</f>
        <v>0.90465633455197</v>
      </c>
      <c r="Y832" s="10" t="n">
        <f aca="false">IF(A832="","",IF(W832&gt;0,IF(X832&gt;0,W832/X832,0),0))</f>
        <v>0</v>
      </c>
      <c r="Z832" s="10" t="n">
        <f aca="false">IF(A832="","",N832+Y832)</f>
        <v>0</v>
      </c>
      <c r="AA832" s="10" t="n">
        <f aca="false">IF(A832="","",IFERROR(Z832*INDEX(PUA_TABLE!$I$4:$I$105,MATCH(E832,PUA_TABLE!$C$4:$C$105,1))/1000,0))</f>
        <v>0</v>
      </c>
      <c r="AB832" s="10" t="n">
        <f aca="false">IF(A832="","",IFERROR(L832+AA832,0))</f>
        <v>45293.5591814465</v>
      </c>
      <c r="AC832" s="10" t="n">
        <f aca="false">IF(A832="","",IF(Inputs!$B$22="Premium Offset",MIN(Inputs!$B$25,Q832+T832),0))</f>
        <v>0</v>
      </c>
    </row>
    <row r="833" customFormat="false" ht="15" hidden="false" customHeight="false" outlineLevel="0" collapsed="false">
      <c r="A833" s="1" t="n">
        <f aca="false">IF(A832="","",IF(INT((C832+1)/12)+Inputs!$B$7&gt;MAX(MORTALITY!$A:$A),"",Inputs!$B$4))</f>
        <v>34</v>
      </c>
      <c r="B833" s="3" t="n">
        <f aca="false">IF(A833="","",EOMONTH(B832,1))</f>
        <v>47026</v>
      </c>
      <c r="C833" s="1" t="n">
        <f aca="false">IF(A833="","",C832+1)</f>
        <v>831</v>
      </c>
      <c r="D833" s="1" t="n">
        <f aca="false">IF(A833="","",INT(C833/12))</f>
        <v>69</v>
      </c>
      <c r="E833" s="1" t="n">
        <f aca="false">IF(A833="","",D833+Inputs!$B$7)</f>
        <v>85</v>
      </c>
      <c r="F833" s="3" t="n">
        <f aca="false">IF(A833="","",DATE(YEAR(B$2)+D833,MONTH(B$2),DAY(B$2)))</f>
        <v>46909</v>
      </c>
      <c r="G833" s="3" t="n">
        <f aca="false">IF(A833="","",DATE(YEAR(F833)+1,MONTH(F833),DAY(F833)))</f>
        <v>47274</v>
      </c>
      <c r="H833" s="10" t="n">
        <f aca="false">IF(A833="","",IF(G833&gt;F833,(B833-F833)/(G833-F833),0))</f>
        <v>0.320547945205479</v>
      </c>
      <c r="I833" s="10" t="n">
        <f aca="false">IF(A833="","",IFERROR(INDEX(CV_RATES!$I:$I,MATCH(D833,CV_RATES!$C:$C,0)),0))</f>
        <v>904.65633455197</v>
      </c>
      <c r="J833" s="10" t="n">
        <f aca="false">IF(A833="","",IFERROR(IF(E833=MAX(MORTALITY!$A:$A),1000,INDEX(CV_RATES!$J:$J,MATCH(D833,CV_RATES!$C:$C,0))),0))</f>
        <v>909.753115162208</v>
      </c>
      <c r="K833" s="10" t="n">
        <f aca="false">IF(A833="","",IFERROR(I833+H833*(J833-I833),0))</f>
        <v>906.290097103745</v>
      </c>
      <c r="L833" s="10" t="n">
        <f aca="false">IF(A833="","",IFERROR(K833*Inputs!$B$9,0))</f>
        <v>45314.5048551872</v>
      </c>
      <c r="M833" s="10" t="n">
        <f aca="false">IF(A833="","",IFERROR(K833*Inputs!$B$10,0))</f>
        <v>145003.696666308</v>
      </c>
      <c r="N833" s="10" t="n">
        <f aca="false">IF(A833="","",Z832)</f>
        <v>0</v>
      </c>
      <c r="O833" s="6" t="n">
        <f aca="false">IF(A833="","",Inputs!$B$18+N833)</f>
        <v>50000</v>
      </c>
      <c r="P833" s="5" t="n">
        <f aca="false">IF(A833="","",VLOOKUP(D833,DIvidend_Assumption!$A$3:$CX$103,($E$2+2),0)/12)</f>
        <v>0</v>
      </c>
      <c r="Q833" s="10" t="n">
        <f aca="false">IF(A833="","",IFERROR(AB832*P833,""))</f>
        <v>0</v>
      </c>
      <c r="R833" s="10" t="n">
        <f aca="false">IF(A833="","",IFERROR(IF(Inputs!$B$22="Accumulate",T833+Q833,IF(Inputs!$B$22="Premium Offset",MAX(0,T833+Q833-Inputs!$B$25),T833)),""))</f>
        <v>0</v>
      </c>
      <c r="S833" s="10" t="n">
        <f aca="false">IF(A833="","",R832)</f>
        <v>0</v>
      </c>
      <c r="T833" s="10" t="n">
        <f aca="false">IF(A833="","",IFERROR(S833*(1+Inputs!$B$23/12),""))</f>
        <v>0</v>
      </c>
      <c r="U833" s="6" t="n">
        <f aca="false">IF(A833="","",IF(D833&lt;=Inputs!$B$8,IF(Inputs!$B$22="Premium Offset",MAX(0,Inputs!$B$25-(Q833+T833)),Inputs!$B$25),0))</f>
        <v>0</v>
      </c>
      <c r="V833" s="10" t="n">
        <f aca="false">IF(A833="","",IF(Inputs!$B$22="Cash",Q833,0))</f>
        <v>0</v>
      </c>
      <c r="W833" s="10" t="n">
        <f aca="false">IF(A833="","",IF(Inputs!$B$22="PUA",Q833,0))</f>
        <v>0</v>
      </c>
      <c r="X833" s="12" t="n">
        <f aca="false">IF(A833="","",IFERROR(INDEX(PUA_TABLE!$D$4:$D$105,MATCH(E833,PUA_TABLE!$C$4:$C$105,1)),0))</f>
        <v>0.90465633455197</v>
      </c>
      <c r="Y833" s="10" t="n">
        <f aca="false">IF(A833="","",IF(W833&gt;0,IF(X833&gt;0,W833/X833,0),0))</f>
        <v>0</v>
      </c>
      <c r="Z833" s="10" t="n">
        <f aca="false">IF(A833="","",N833+Y833)</f>
        <v>0</v>
      </c>
      <c r="AA833" s="10" t="n">
        <f aca="false">IF(A833="","",IFERROR(Z833*INDEX(PUA_TABLE!$I$4:$I$105,MATCH(E833,PUA_TABLE!$C$4:$C$105,1))/1000,0))</f>
        <v>0</v>
      </c>
      <c r="AB833" s="10" t="n">
        <f aca="false">IF(A833="","",IFERROR(L833+AA833,0))</f>
        <v>45314.5048551872</v>
      </c>
      <c r="AC833" s="10" t="n">
        <f aca="false">IF(A833="","",IF(Inputs!$B$22="Premium Offset",MIN(Inputs!$B$25,Q833+T833),0))</f>
        <v>0</v>
      </c>
    </row>
    <row r="834" customFormat="false" ht="15" hidden="false" customHeight="false" outlineLevel="0" collapsed="false">
      <c r="A834" s="1" t="n">
        <f aca="false">IF(A833="","",IF(INT((C833+1)/12)+Inputs!$B$7&gt;MAX(MORTALITY!$A:$A),"",Inputs!$B$4))</f>
        <v>34</v>
      </c>
      <c r="B834" s="3" t="n">
        <f aca="false">IF(A834="","",EOMONTH(B833,1))</f>
        <v>47057</v>
      </c>
      <c r="C834" s="1" t="n">
        <f aca="false">IF(A834="","",C833+1)</f>
        <v>832</v>
      </c>
      <c r="D834" s="1" t="n">
        <f aca="false">IF(A834="","",INT(C834/12))</f>
        <v>69</v>
      </c>
      <c r="E834" s="1" t="n">
        <f aca="false">IF(A834="","",D834+Inputs!$B$7)</f>
        <v>85</v>
      </c>
      <c r="F834" s="3" t="n">
        <f aca="false">IF(A834="","",DATE(YEAR(B$2)+D834,MONTH(B$2),DAY(B$2)))</f>
        <v>46909</v>
      </c>
      <c r="G834" s="3" t="n">
        <f aca="false">IF(A834="","",DATE(YEAR(F834)+1,MONTH(F834),DAY(F834)))</f>
        <v>47274</v>
      </c>
      <c r="H834" s="10" t="n">
        <f aca="false">IF(A834="","",IF(G834&gt;F834,(B834-F834)/(G834-F834),0))</f>
        <v>0.405479452054795</v>
      </c>
      <c r="I834" s="10" t="n">
        <f aca="false">IF(A834="","",IFERROR(INDEX(CV_RATES!$I:$I,MATCH(D834,CV_RATES!$C:$C,0)),0))</f>
        <v>904.65633455197</v>
      </c>
      <c r="J834" s="10" t="n">
        <f aca="false">IF(A834="","",IFERROR(IF(E834=MAX(MORTALITY!$A:$A),1000,INDEX(CV_RATES!$J:$J,MATCH(D834,CV_RATES!$C:$C,0))),0))</f>
        <v>909.753115162208</v>
      </c>
      <c r="K834" s="10" t="n">
        <f aca="false">IF(A834="","",IFERROR(I834+H834*(J834-I834),0))</f>
        <v>906.722974361053</v>
      </c>
      <c r="L834" s="10" t="n">
        <f aca="false">IF(A834="","",IFERROR(K834*Inputs!$B$9,0))</f>
        <v>45336.1487180526</v>
      </c>
      <c r="M834" s="10" t="n">
        <f aca="false">IF(A834="","",IFERROR(K834*Inputs!$B$10,0))</f>
        <v>145072.955728845</v>
      </c>
      <c r="N834" s="10" t="n">
        <f aca="false">IF(A834="","",Z833)</f>
        <v>0</v>
      </c>
      <c r="O834" s="6" t="n">
        <f aca="false">IF(A834="","",Inputs!$B$18+N834)</f>
        <v>50000</v>
      </c>
      <c r="P834" s="5" t="n">
        <f aca="false">IF(A834="","",VLOOKUP(D834,DIvidend_Assumption!$A$3:$CX$103,($E$2+2),0)/12)</f>
        <v>0</v>
      </c>
      <c r="Q834" s="10" t="n">
        <f aca="false">IF(A834="","",IFERROR(AB833*P834,""))</f>
        <v>0</v>
      </c>
      <c r="R834" s="10" t="n">
        <f aca="false">IF(A834="","",IFERROR(IF(Inputs!$B$22="Accumulate",T834+Q834,IF(Inputs!$B$22="Premium Offset",MAX(0,T834+Q834-Inputs!$B$25),T834)),""))</f>
        <v>0</v>
      </c>
      <c r="S834" s="10" t="n">
        <f aca="false">IF(A834="","",R833)</f>
        <v>0</v>
      </c>
      <c r="T834" s="10" t="n">
        <f aca="false">IF(A834="","",IFERROR(S834*(1+Inputs!$B$23/12),""))</f>
        <v>0</v>
      </c>
      <c r="U834" s="6" t="n">
        <f aca="false">IF(A834="","",IF(D834&lt;=Inputs!$B$8,IF(Inputs!$B$22="Premium Offset",MAX(0,Inputs!$B$25-(Q834+T834)),Inputs!$B$25),0))</f>
        <v>0</v>
      </c>
      <c r="V834" s="10" t="n">
        <f aca="false">IF(A834="","",IF(Inputs!$B$22="Cash",Q834,0))</f>
        <v>0</v>
      </c>
      <c r="W834" s="10" t="n">
        <f aca="false">IF(A834="","",IF(Inputs!$B$22="PUA",Q834,0))</f>
        <v>0</v>
      </c>
      <c r="X834" s="12" t="n">
        <f aca="false">IF(A834="","",IFERROR(INDEX(PUA_TABLE!$D$4:$D$105,MATCH(E834,PUA_TABLE!$C$4:$C$105,1)),0))</f>
        <v>0.90465633455197</v>
      </c>
      <c r="Y834" s="10" t="n">
        <f aca="false">IF(A834="","",IF(W834&gt;0,IF(X834&gt;0,W834/X834,0),0))</f>
        <v>0</v>
      </c>
      <c r="Z834" s="10" t="n">
        <f aca="false">IF(A834="","",N834+Y834)</f>
        <v>0</v>
      </c>
      <c r="AA834" s="10" t="n">
        <f aca="false">IF(A834="","",IFERROR(Z834*INDEX(PUA_TABLE!$I$4:$I$105,MATCH(E834,PUA_TABLE!$C$4:$C$105,1))/1000,0))</f>
        <v>0</v>
      </c>
      <c r="AB834" s="10" t="n">
        <f aca="false">IF(A834="","",IFERROR(L834+AA834,0))</f>
        <v>45336.1487180526</v>
      </c>
      <c r="AC834" s="10" t="n">
        <f aca="false">IF(A834="","",IF(Inputs!$B$22="Premium Offset",MIN(Inputs!$B$25,Q834+T834),0))</f>
        <v>0</v>
      </c>
    </row>
    <row r="835" customFormat="false" ht="15" hidden="false" customHeight="false" outlineLevel="0" collapsed="false">
      <c r="A835" s="1" t="n">
        <f aca="false">IF(A834="","",IF(INT((C834+1)/12)+Inputs!$B$7&gt;MAX(MORTALITY!$A:$A),"",Inputs!$B$4))</f>
        <v>34</v>
      </c>
      <c r="B835" s="3" t="n">
        <f aca="false">IF(A835="","",EOMONTH(B834,1))</f>
        <v>47087</v>
      </c>
      <c r="C835" s="1" t="n">
        <f aca="false">IF(A835="","",C834+1)</f>
        <v>833</v>
      </c>
      <c r="D835" s="1" t="n">
        <f aca="false">IF(A835="","",INT(C835/12))</f>
        <v>69</v>
      </c>
      <c r="E835" s="1" t="n">
        <f aca="false">IF(A835="","",D835+Inputs!$B$7)</f>
        <v>85</v>
      </c>
      <c r="F835" s="3" t="n">
        <f aca="false">IF(A835="","",DATE(YEAR(B$2)+D835,MONTH(B$2),DAY(B$2)))</f>
        <v>46909</v>
      </c>
      <c r="G835" s="3" t="n">
        <f aca="false">IF(A835="","",DATE(YEAR(F835)+1,MONTH(F835),DAY(F835)))</f>
        <v>47274</v>
      </c>
      <c r="H835" s="10" t="n">
        <f aca="false">IF(A835="","",IF(G835&gt;F835,(B835-F835)/(G835-F835),0))</f>
        <v>0.487671232876712</v>
      </c>
      <c r="I835" s="10" t="n">
        <f aca="false">IF(A835="","",IFERROR(INDEX(CV_RATES!$I:$I,MATCH(D835,CV_RATES!$C:$C,0)),0))</f>
        <v>904.65633455197</v>
      </c>
      <c r="J835" s="10" t="n">
        <f aca="false">IF(A835="","",IFERROR(IF(E835=MAX(MORTALITY!$A:$A),1000,INDEX(CV_RATES!$J:$J,MATCH(D835,CV_RATES!$C:$C,0))),0))</f>
        <v>909.753115162208</v>
      </c>
      <c r="K835" s="10" t="n">
        <f aca="false">IF(A835="","",IFERROR(I835+H835*(J835-I835),0))</f>
        <v>907.141887835867</v>
      </c>
      <c r="L835" s="10" t="n">
        <f aca="false">IF(A835="","",IFERROR(K835*Inputs!$B$9,0))</f>
        <v>45357.0943917933</v>
      </c>
      <c r="M835" s="10" t="n">
        <f aca="false">IF(A835="","",IFERROR(K835*Inputs!$B$10,0))</f>
        <v>145139.980628075</v>
      </c>
      <c r="N835" s="10" t="n">
        <f aca="false">IF(A835="","",Z834)</f>
        <v>0</v>
      </c>
      <c r="O835" s="6" t="n">
        <f aca="false">IF(A835="","",Inputs!$B$18+N835)</f>
        <v>50000</v>
      </c>
      <c r="P835" s="5" t="n">
        <f aca="false">IF(A835="","",VLOOKUP(D835,DIvidend_Assumption!$A$3:$CX$103,($E$2+2),0)/12)</f>
        <v>0</v>
      </c>
      <c r="Q835" s="10" t="n">
        <f aca="false">IF(A835="","",IFERROR(AB834*P835,""))</f>
        <v>0</v>
      </c>
      <c r="R835" s="10" t="n">
        <f aca="false">IF(A835="","",IFERROR(IF(Inputs!$B$22="Accumulate",T835+Q835,IF(Inputs!$B$22="Premium Offset",MAX(0,T835+Q835-Inputs!$B$25),T835)),""))</f>
        <v>0</v>
      </c>
      <c r="S835" s="10" t="n">
        <f aca="false">IF(A835="","",R834)</f>
        <v>0</v>
      </c>
      <c r="T835" s="10" t="n">
        <f aca="false">IF(A835="","",IFERROR(S835*(1+Inputs!$B$23/12),""))</f>
        <v>0</v>
      </c>
      <c r="U835" s="6" t="n">
        <f aca="false">IF(A835="","",IF(D835&lt;=Inputs!$B$8,IF(Inputs!$B$22="Premium Offset",MAX(0,Inputs!$B$25-(Q835+T835)),Inputs!$B$25),0))</f>
        <v>0</v>
      </c>
      <c r="V835" s="10" t="n">
        <f aca="false">IF(A835="","",IF(Inputs!$B$22="Cash",Q835,0))</f>
        <v>0</v>
      </c>
      <c r="W835" s="10" t="n">
        <f aca="false">IF(A835="","",IF(Inputs!$B$22="PUA",Q835,0))</f>
        <v>0</v>
      </c>
      <c r="X835" s="12" t="n">
        <f aca="false">IF(A835="","",IFERROR(INDEX(PUA_TABLE!$D$4:$D$105,MATCH(E835,PUA_TABLE!$C$4:$C$105,1)),0))</f>
        <v>0.90465633455197</v>
      </c>
      <c r="Y835" s="10" t="n">
        <f aca="false">IF(A835="","",IF(W835&gt;0,IF(X835&gt;0,W835/X835,0),0))</f>
        <v>0</v>
      </c>
      <c r="Z835" s="10" t="n">
        <f aca="false">IF(A835="","",N835+Y835)</f>
        <v>0</v>
      </c>
      <c r="AA835" s="10" t="n">
        <f aca="false">IF(A835="","",IFERROR(Z835*INDEX(PUA_TABLE!$I$4:$I$105,MATCH(E835,PUA_TABLE!$C$4:$C$105,1))/1000,0))</f>
        <v>0</v>
      </c>
      <c r="AB835" s="10" t="n">
        <f aca="false">IF(A835="","",IFERROR(L835+AA835,0))</f>
        <v>45357.0943917933</v>
      </c>
      <c r="AC835" s="10" t="n">
        <f aca="false">IF(A835="","",IF(Inputs!$B$22="Premium Offset",MIN(Inputs!$B$25,Q835+T835),0))</f>
        <v>0</v>
      </c>
    </row>
    <row r="836" customFormat="false" ht="15" hidden="false" customHeight="false" outlineLevel="0" collapsed="false">
      <c r="A836" s="1" t="n">
        <f aca="false">IF(A835="","",IF(INT((C835+1)/12)+Inputs!$B$7&gt;MAX(MORTALITY!$A:$A),"",Inputs!$B$4))</f>
        <v>34</v>
      </c>
      <c r="B836" s="3" t="n">
        <f aca="false">IF(A836="","",EOMONTH(B835,1))</f>
        <v>47118</v>
      </c>
      <c r="C836" s="1" t="n">
        <f aca="false">IF(A836="","",C835+1)</f>
        <v>834</v>
      </c>
      <c r="D836" s="1" t="n">
        <f aca="false">IF(A836="","",INT(C836/12))</f>
        <v>69</v>
      </c>
      <c r="E836" s="1" t="n">
        <f aca="false">IF(A836="","",D836+Inputs!$B$7)</f>
        <v>85</v>
      </c>
      <c r="F836" s="3" t="n">
        <f aca="false">IF(A836="","",DATE(YEAR(B$2)+D836,MONTH(B$2),DAY(B$2)))</f>
        <v>46909</v>
      </c>
      <c r="G836" s="3" t="n">
        <f aca="false">IF(A836="","",DATE(YEAR(F836)+1,MONTH(F836),DAY(F836)))</f>
        <v>47274</v>
      </c>
      <c r="H836" s="10" t="n">
        <f aca="false">IF(A836="","",IF(G836&gt;F836,(B836-F836)/(G836-F836),0))</f>
        <v>0.572602739726027</v>
      </c>
      <c r="I836" s="10" t="n">
        <f aca="false">IF(A836="","",IFERROR(INDEX(CV_RATES!$I:$I,MATCH(D836,CV_RATES!$C:$C,0)),0))</f>
        <v>904.65633455197</v>
      </c>
      <c r="J836" s="10" t="n">
        <f aca="false">IF(A836="","",IFERROR(IF(E836=MAX(MORTALITY!$A:$A),1000,INDEX(CV_RATES!$J:$J,MATCH(D836,CV_RATES!$C:$C,0))),0))</f>
        <v>909.753115162208</v>
      </c>
      <c r="K836" s="10" t="n">
        <f aca="false">IF(A836="","",IFERROR(I836+H836*(J836-I836),0))</f>
        <v>907.574765093175</v>
      </c>
      <c r="L836" s="10" t="n">
        <f aca="false">IF(A836="","",IFERROR(K836*Inputs!$B$9,0))</f>
        <v>45378.7382546587</v>
      </c>
      <c r="M836" s="10" t="n">
        <f aca="false">IF(A836="","",IFERROR(K836*Inputs!$B$10,0))</f>
        <v>145209.239690613</v>
      </c>
      <c r="N836" s="10" t="n">
        <f aca="false">IF(A836="","",Z835)</f>
        <v>0</v>
      </c>
      <c r="O836" s="6" t="n">
        <f aca="false">IF(A836="","",Inputs!$B$18+N836)</f>
        <v>50000</v>
      </c>
      <c r="P836" s="5" t="n">
        <f aca="false">IF(A836="","",VLOOKUP(D836,DIvidend_Assumption!$A$3:$CX$103,($E$2+2),0)/12)</f>
        <v>0</v>
      </c>
      <c r="Q836" s="10" t="n">
        <f aca="false">IF(A836="","",IFERROR(AB835*P836,""))</f>
        <v>0</v>
      </c>
      <c r="R836" s="10" t="n">
        <f aca="false">IF(A836="","",IFERROR(IF(Inputs!$B$22="Accumulate",T836+Q836,IF(Inputs!$B$22="Premium Offset",MAX(0,T836+Q836-Inputs!$B$25),T836)),""))</f>
        <v>0</v>
      </c>
      <c r="S836" s="10" t="n">
        <f aca="false">IF(A836="","",R835)</f>
        <v>0</v>
      </c>
      <c r="T836" s="10" t="n">
        <f aca="false">IF(A836="","",IFERROR(S836*(1+Inputs!$B$23/12),""))</f>
        <v>0</v>
      </c>
      <c r="U836" s="6" t="n">
        <f aca="false">IF(A836="","",IF(D836&lt;=Inputs!$B$8,IF(Inputs!$B$22="Premium Offset",MAX(0,Inputs!$B$25-(Q836+T836)),Inputs!$B$25),0))</f>
        <v>0</v>
      </c>
      <c r="V836" s="10" t="n">
        <f aca="false">IF(A836="","",IF(Inputs!$B$22="Cash",Q836,0))</f>
        <v>0</v>
      </c>
      <c r="W836" s="10" t="n">
        <f aca="false">IF(A836="","",IF(Inputs!$B$22="PUA",Q836,0))</f>
        <v>0</v>
      </c>
      <c r="X836" s="12" t="n">
        <f aca="false">IF(A836="","",IFERROR(INDEX(PUA_TABLE!$D$4:$D$105,MATCH(E836,PUA_TABLE!$C$4:$C$105,1)),0))</f>
        <v>0.90465633455197</v>
      </c>
      <c r="Y836" s="10" t="n">
        <f aca="false">IF(A836="","",IF(W836&gt;0,IF(X836&gt;0,W836/X836,0),0))</f>
        <v>0</v>
      </c>
      <c r="Z836" s="10" t="n">
        <f aca="false">IF(A836="","",N836+Y836)</f>
        <v>0</v>
      </c>
      <c r="AA836" s="10" t="n">
        <f aca="false">IF(A836="","",IFERROR(Z836*INDEX(PUA_TABLE!$I$4:$I$105,MATCH(E836,PUA_TABLE!$C$4:$C$105,1))/1000,0))</f>
        <v>0</v>
      </c>
      <c r="AB836" s="10" t="n">
        <f aca="false">IF(A836="","",IFERROR(L836+AA836,0))</f>
        <v>45378.7382546587</v>
      </c>
      <c r="AC836" s="10" t="n">
        <f aca="false">IF(A836="","",IF(Inputs!$B$22="Premium Offset",MIN(Inputs!$B$25,Q836+T836),0))</f>
        <v>0</v>
      </c>
    </row>
    <row r="837" customFormat="false" ht="15" hidden="false" customHeight="false" outlineLevel="0" collapsed="false">
      <c r="A837" s="1" t="n">
        <f aca="false">IF(A836="","",IF(INT((C836+1)/12)+Inputs!$B$7&gt;MAX(MORTALITY!$A:$A),"",Inputs!$B$4))</f>
        <v>34</v>
      </c>
      <c r="B837" s="3" t="n">
        <f aca="false">IF(A837="","",EOMONTH(B836,1))</f>
        <v>47149</v>
      </c>
      <c r="C837" s="1" t="n">
        <f aca="false">IF(A837="","",C836+1)</f>
        <v>835</v>
      </c>
      <c r="D837" s="1" t="n">
        <f aca="false">IF(A837="","",INT(C837/12))</f>
        <v>69</v>
      </c>
      <c r="E837" s="1" t="n">
        <f aca="false">IF(A837="","",D837+Inputs!$B$7)</f>
        <v>85</v>
      </c>
      <c r="F837" s="3" t="n">
        <f aca="false">IF(A837="","",DATE(YEAR(B$2)+D837,MONTH(B$2),DAY(B$2)))</f>
        <v>46909</v>
      </c>
      <c r="G837" s="3" t="n">
        <f aca="false">IF(A837="","",DATE(YEAR(F837)+1,MONTH(F837),DAY(F837)))</f>
        <v>47274</v>
      </c>
      <c r="H837" s="10" t="n">
        <f aca="false">IF(A837="","",IF(G837&gt;F837,(B837-F837)/(G837-F837),0))</f>
        <v>0.657534246575342</v>
      </c>
      <c r="I837" s="10" t="n">
        <f aca="false">IF(A837="","",IFERROR(INDEX(CV_RATES!$I:$I,MATCH(D837,CV_RATES!$C:$C,0)),0))</f>
        <v>904.65633455197</v>
      </c>
      <c r="J837" s="10" t="n">
        <f aca="false">IF(A837="","",IFERROR(IF(E837=MAX(MORTALITY!$A:$A),1000,INDEX(CV_RATES!$J:$J,MATCH(D837,CV_RATES!$C:$C,0))),0))</f>
        <v>909.753115162208</v>
      </c>
      <c r="K837" s="10" t="n">
        <f aca="false">IF(A837="","",IFERROR(I837+H837*(J837-I837),0))</f>
        <v>908.007642350483</v>
      </c>
      <c r="L837" s="10" t="n">
        <f aca="false">IF(A837="","",IFERROR(K837*Inputs!$B$9,0))</f>
        <v>45400.3821175241</v>
      </c>
      <c r="M837" s="10" t="n">
        <f aca="false">IF(A837="","",IFERROR(K837*Inputs!$B$10,0))</f>
        <v>145278.49875315</v>
      </c>
      <c r="N837" s="10" t="n">
        <f aca="false">IF(A837="","",Z836)</f>
        <v>0</v>
      </c>
      <c r="O837" s="6" t="n">
        <f aca="false">IF(A837="","",Inputs!$B$18+N837)</f>
        <v>50000</v>
      </c>
      <c r="P837" s="5" t="n">
        <f aca="false">IF(A837="","",VLOOKUP(D837,DIvidend_Assumption!$A$3:$CX$103,($E$2+2),0)/12)</f>
        <v>0</v>
      </c>
      <c r="Q837" s="10" t="n">
        <f aca="false">IF(A837="","",IFERROR(AB836*P837,""))</f>
        <v>0</v>
      </c>
      <c r="R837" s="10" t="n">
        <f aca="false">IF(A837="","",IFERROR(IF(Inputs!$B$22="Accumulate",T837+Q837,IF(Inputs!$B$22="Premium Offset",MAX(0,T837+Q837-Inputs!$B$25),T837)),""))</f>
        <v>0</v>
      </c>
      <c r="S837" s="10" t="n">
        <f aca="false">IF(A837="","",R836)</f>
        <v>0</v>
      </c>
      <c r="T837" s="10" t="n">
        <f aca="false">IF(A837="","",IFERROR(S837*(1+Inputs!$B$23/12),""))</f>
        <v>0</v>
      </c>
      <c r="U837" s="6" t="n">
        <f aca="false">IF(A837="","",IF(D837&lt;=Inputs!$B$8,IF(Inputs!$B$22="Premium Offset",MAX(0,Inputs!$B$25-(Q837+T837)),Inputs!$B$25),0))</f>
        <v>0</v>
      </c>
      <c r="V837" s="10" t="n">
        <f aca="false">IF(A837="","",IF(Inputs!$B$22="Cash",Q837,0))</f>
        <v>0</v>
      </c>
      <c r="W837" s="10" t="n">
        <f aca="false">IF(A837="","",IF(Inputs!$B$22="PUA",Q837,0))</f>
        <v>0</v>
      </c>
      <c r="X837" s="12" t="n">
        <f aca="false">IF(A837="","",IFERROR(INDEX(PUA_TABLE!$D$4:$D$105,MATCH(E837,PUA_TABLE!$C$4:$C$105,1)),0))</f>
        <v>0.90465633455197</v>
      </c>
      <c r="Y837" s="10" t="n">
        <f aca="false">IF(A837="","",IF(W837&gt;0,IF(X837&gt;0,W837/X837,0),0))</f>
        <v>0</v>
      </c>
      <c r="Z837" s="10" t="n">
        <f aca="false">IF(A837="","",N837+Y837)</f>
        <v>0</v>
      </c>
      <c r="AA837" s="10" t="n">
        <f aca="false">IF(A837="","",IFERROR(Z837*INDEX(PUA_TABLE!$I$4:$I$105,MATCH(E837,PUA_TABLE!$C$4:$C$105,1))/1000,0))</f>
        <v>0</v>
      </c>
      <c r="AB837" s="10" t="n">
        <f aca="false">IF(A837="","",IFERROR(L837+AA837,0))</f>
        <v>45400.3821175241</v>
      </c>
      <c r="AC837" s="10" t="n">
        <f aca="false">IF(A837="","",IF(Inputs!$B$22="Premium Offset",MIN(Inputs!$B$25,Q837+T837),0))</f>
        <v>0</v>
      </c>
    </row>
    <row r="838" customFormat="false" ht="15" hidden="false" customHeight="false" outlineLevel="0" collapsed="false">
      <c r="A838" s="1" t="n">
        <f aca="false">IF(A837="","",IF(INT((C837+1)/12)+Inputs!$B$7&gt;MAX(MORTALITY!$A:$A),"",Inputs!$B$4))</f>
        <v>34</v>
      </c>
      <c r="B838" s="3" t="n">
        <f aca="false">IF(A838="","",EOMONTH(B837,1))</f>
        <v>47177</v>
      </c>
      <c r="C838" s="1" t="n">
        <f aca="false">IF(A838="","",C837+1)</f>
        <v>836</v>
      </c>
      <c r="D838" s="1" t="n">
        <f aca="false">IF(A838="","",INT(C838/12))</f>
        <v>69</v>
      </c>
      <c r="E838" s="1" t="n">
        <f aca="false">IF(A838="","",D838+Inputs!$B$7)</f>
        <v>85</v>
      </c>
      <c r="F838" s="3" t="n">
        <f aca="false">IF(A838="","",DATE(YEAR(B$2)+D838,MONTH(B$2),DAY(B$2)))</f>
        <v>46909</v>
      </c>
      <c r="G838" s="3" t="n">
        <f aca="false">IF(A838="","",DATE(YEAR(F838)+1,MONTH(F838),DAY(F838)))</f>
        <v>47274</v>
      </c>
      <c r="H838" s="10" t="n">
        <f aca="false">IF(A838="","",IF(G838&gt;F838,(B838-F838)/(G838-F838),0))</f>
        <v>0.734246575342466</v>
      </c>
      <c r="I838" s="10" t="n">
        <f aca="false">IF(A838="","",IFERROR(INDEX(CV_RATES!$I:$I,MATCH(D838,CV_RATES!$C:$C,0)),0))</f>
        <v>904.65633455197</v>
      </c>
      <c r="J838" s="10" t="n">
        <f aca="false">IF(A838="","",IFERROR(IF(E838=MAX(MORTALITY!$A:$A),1000,INDEX(CV_RATES!$J:$J,MATCH(D838,CV_RATES!$C:$C,0))),0))</f>
        <v>909.753115162208</v>
      </c>
      <c r="K838" s="10" t="n">
        <f aca="false">IF(A838="","",IFERROR(I838+H838*(J838-I838),0))</f>
        <v>908.398628260309</v>
      </c>
      <c r="L838" s="10" t="n">
        <f aca="false">IF(A838="","",IFERROR(K838*Inputs!$B$9,0))</f>
        <v>45419.9314130155</v>
      </c>
      <c r="M838" s="10" t="n">
        <f aca="false">IF(A838="","",IFERROR(K838*Inputs!$B$10,0))</f>
        <v>145341.055325765</v>
      </c>
      <c r="N838" s="10" t="n">
        <f aca="false">IF(A838="","",Z837)</f>
        <v>0</v>
      </c>
      <c r="O838" s="6" t="n">
        <f aca="false">IF(A838="","",Inputs!$B$18+N838)</f>
        <v>50000</v>
      </c>
      <c r="P838" s="5" t="n">
        <f aca="false">IF(A838="","",VLOOKUP(D838,DIvidend_Assumption!$A$3:$CX$103,($E$2+2),0)/12)</f>
        <v>0</v>
      </c>
      <c r="Q838" s="10" t="n">
        <f aca="false">IF(A838="","",IFERROR(AB837*P838,""))</f>
        <v>0</v>
      </c>
      <c r="R838" s="10" t="n">
        <f aca="false">IF(A838="","",IFERROR(IF(Inputs!$B$22="Accumulate",T838+Q838,IF(Inputs!$B$22="Premium Offset",MAX(0,T838+Q838-Inputs!$B$25),T838)),""))</f>
        <v>0</v>
      </c>
      <c r="S838" s="10" t="n">
        <f aca="false">IF(A838="","",R837)</f>
        <v>0</v>
      </c>
      <c r="T838" s="10" t="n">
        <f aca="false">IF(A838="","",IFERROR(S838*(1+Inputs!$B$23/12),""))</f>
        <v>0</v>
      </c>
      <c r="U838" s="6" t="n">
        <f aca="false">IF(A838="","",IF(D838&lt;=Inputs!$B$8,IF(Inputs!$B$22="Premium Offset",MAX(0,Inputs!$B$25-(Q838+T838)),Inputs!$B$25),0))</f>
        <v>0</v>
      </c>
      <c r="V838" s="10" t="n">
        <f aca="false">IF(A838="","",IF(Inputs!$B$22="Cash",Q838,0))</f>
        <v>0</v>
      </c>
      <c r="W838" s="10" t="n">
        <f aca="false">IF(A838="","",IF(Inputs!$B$22="PUA",Q838,0))</f>
        <v>0</v>
      </c>
      <c r="X838" s="12" t="n">
        <f aca="false">IF(A838="","",IFERROR(INDEX(PUA_TABLE!$D$4:$D$105,MATCH(E838,PUA_TABLE!$C$4:$C$105,1)),0))</f>
        <v>0.90465633455197</v>
      </c>
      <c r="Y838" s="10" t="n">
        <f aca="false">IF(A838="","",IF(W838&gt;0,IF(X838&gt;0,W838/X838,0),0))</f>
        <v>0</v>
      </c>
      <c r="Z838" s="10" t="n">
        <f aca="false">IF(A838="","",N838+Y838)</f>
        <v>0</v>
      </c>
      <c r="AA838" s="10" t="n">
        <f aca="false">IF(A838="","",IFERROR(Z838*INDEX(PUA_TABLE!$I$4:$I$105,MATCH(E838,PUA_TABLE!$C$4:$C$105,1))/1000,0))</f>
        <v>0</v>
      </c>
      <c r="AB838" s="10" t="n">
        <f aca="false">IF(A838="","",IFERROR(L838+AA838,0))</f>
        <v>45419.9314130155</v>
      </c>
      <c r="AC838" s="10" t="n">
        <f aca="false">IF(A838="","",IF(Inputs!$B$22="Premium Offset",MIN(Inputs!$B$25,Q838+T838),0))</f>
        <v>0</v>
      </c>
    </row>
    <row r="839" customFormat="false" ht="15" hidden="false" customHeight="false" outlineLevel="0" collapsed="false">
      <c r="A839" s="1" t="n">
        <f aca="false">IF(A838="","",IF(INT((C838+1)/12)+Inputs!$B$7&gt;MAX(MORTALITY!$A:$A),"",Inputs!$B$4))</f>
        <v>34</v>
      </c>
      <c r="B839" s="3" t="n">
        <f aca="false">IF(A839="","",EOMONTH(B838,1))</f>
        <v>47208</v>
      </c>
      <c r="C839" s="1" t="n">
        <f aca="false">IF(A839="","",C838+1)</f>
        <v>837</v>
      </c>
      <c r="D839" s="1" t="n">
        <f aca="false">IF(A839="","",INT(C839/12))</f>
        <v>69</v>
      </c>
      <c r="E839" s="1" t="n">
        <f aca="false">IF(A839="","",D839+Inputs!$B$7)</f>
        <v>85</v>
      </c>
      <c r="F839" s="3" t="n">
        <f aca="false">IF(A839="","",DATE(YEAR(B$2)+D839,MONTH(B$2),DAY(B$2)))</f>
        <v>46909</v>
      </c>
      <c r="G839" s="3" t="n">
        <f aca="false">IF(A839="","",DATE(YEAR(F839)+1,MONTH(F839),DAY(F839)))</f>
        <v>47274</v>
      </c>
      <c r="H839" s="10" t="n">
        <f aca="false">IF(A839="","",IF(G839&gt;F839,(B839-F839)/(G839-F839),0))</f>
        <v>0.819178082191781</v>
      </c>
      <c r="I839" s="10" t="n">
        <f aca="false">IF(A839="","",IFERROR(INDEX(CV_RATES!$I:$I,MATCH(D839,CV_RATES!$C:$C,0)),0))</f>
        <v>904.65633455197</v>
      </c>
      <c r="J839" s="10" t="n">
        <f aca="false">IF(A839="","",IFERROR(IF(E839=MAX(MORTALITY!$A:$A),1000,INDEX(CV_RATES!$J:$J,MATCH(D839,CV_RATES!$C:$C,0))),0))</f>
        <v>909.753115162208</v>
      </c>
      <c r="K839" s="10" t="n">
        <f aca="false">IF(A839="","",IFERROR(I839+H839*(J839-I839),0))</f>
        <v>908.831505517617</v>
      </c>
      <c r="L839" s="10" t="n">
        <f aca="false">IF(A839="","",IFERROR(K839*Inputs!$B$9,0))</f>
        <v>45441.5752758809</v>
      </c>
      <c r="M839" s="10" t="n">
        <f aca="false">IF(A839="","",IFERROR(K839*Inputs!$B$10,0))</f>
        <v>145410.314388302</v>
      </c>
      <c r="N839" s="10" t="n">
        <f aca="false">IF(A839="","",Z838)</f>
        <v>0</v>
      </c>
      <c r="O839" s="6" t="n">
        <f aca="false">IF(A839="","",Inputs!$B$18+N839)</f>
        <v>50000</v>
      </c>
      <c r="P839" s="5" t="n">
        <f aca="false">IF(A839="","",VLOOKUP(D839,DIvidend_Assumption!$A$3:$CX$103,($E$2+2),0)/12)</f>
        <v>0</v>
      </c>
      <c r="Q839" s="10" t="n">
        <f aca="false">IF(A839="","",IFERROR(AB838*P839,""))</f>
        <v>0</v>
      </c>
      <c r="R839" s="10" t="n">
        <f aca="false">IF(A839="","",IFERROR(IF(Inputs!$B$22="Accumulate",T839+Q839,IF(Inputs!$B$22="Premium Offset",MAX(0,T839+Q839-Inputs!$B$25),T839)),""))</f>
        <v>0</v>
      </c>
      <c r="S839" s="10" t="n">
        <f aca="false">IF(A839="","",R838)</f>
        <v>0</v>
      </c>
      <c r="T839" s="10" t="n">
        <f aca="false">IF(A839="","",IFERROR(S839*(1+Inputs!$B$23/12),""))</f>
        <v>0</v>
      </c>
      <c r="U839" s="6" t="n">
        <f aca="false">IF(A839="","",IF(D839&lt;=Inputs!$B$8,IF(Inputs!$B$22="Premium Offset",MAX(0,Inputs!$B$25-(Q839+T839)),Inputs!$B$25),0))</f>
        <v>0</v>
      </c>
      <c r="V839" s="10" t="n">
        <f aca="false">IF(A839="","",IF(Inputs!$B$22="Cash",Q839,0))</f>
        <v>0</v>
      </c>
      <c r="W839" s="10" t="n">
        <f aca="false">IF(A839="","",IF(Inputs!$B$22="PUA",Q839,0))</f>
        <v>0</v>
      </c>
      <c r="X839" s="12" t="n">
        <f aca="false">IF(A839="","",IFERROR(INDEX(PUA_TABLE!$D$4:$D$105,MATCH(E839,PUA_TABLE!$C$4:$C$105,1)),0))</f>
        <v>0.90465633455197</v>
      </c>
      <c r="Y839" s="10" t="n">
        <f aca="false">IF(A839="","",IF(W839&gt;0,IF(X839&gt;0,W839/X839,0),0))</f>
        <v>0</v>
      </c>
      <c r="Z839" s="10" t="n">
        <f aca="false">IF(A839="","",N839+Y839)</f>
        <v>0</v>
      </c>
      <c r="AA839" s="10" t="n">
        <f aca="false">IF(A839="","",IFERROR(Z839*INDEX(PUA_TABLE!$I$4:$I$105,MATCH(E839,PUA_TABLE!$C$4:$C$105,1))/1000,0))</f>
        <v>0</v>
      </c>
      <c r="AB839" s="10" t="n">
        <f aca="false">IF(A839="","",IFERROR(L839+AA839,0))</f>
        <v>45441.5752758809</v>
      </c>
      <c r="AC839" s="10" t="n">
        <f aca="false">IF(A839="","",IF(Inputs!$B$22="Premium Offset",MIN(Inputs!$B$25,Q839+T839),0))</f>
        <v>0</v>
      </c>
    </row>
    <row r="840" customFormat="false" ht="15" hidden="false" customHeight="false" outlineLevel="0" collapsed="false">
      <c r="A840" s="1" t="n">
        <f aca="false">IF(A839="","",IF(INT((C839+1)/12)+Inputs!$B$7&gt;MAX(MORTALITY!$A:$A),"",Inputs!$B$4))</f>
        <v>34</v>
      </c>
      <c r="B840" s="3" t="n">
        <f aca="false">IF(A840="","",EOMONTH(B839,1))</f>
        <v>47238</v>
      </c>
      <c r="C840" s="1" t="n">
        <f aca="false">IF(A840="","",C839+1)</f>
        <v>838</v>
      </c>
      <c r="D840" s="1" t="n">
        <f aca="false">IF(A840="","",INT(C840/12))</f>
        <v>69</v>
      </c>
      <c r="E840" s="1" t="n">
        <f aca="false">IF(A840="","",D840+Inputs!$B$7)</f>
        <v>85</v>
      </c>
      <c r="F840" s="3" t="n">
        <f aca="false">IF(A840="","",DATE(YEAR(B$2)+D840,MONTH(B$2),DAY(B$2)))</f>
        <v>46909</v>
      </c>
      <c r="G840" s="3" t="n">
        <f aca="false">IF(A840="","",DATE(YEAR(F840)+1,MONTH(F840),DAY(F840)))</f>
        <v>47274</v>
      </c>
      <c r="H840" s="10" t="n">
        <f aca="false">IF(A840="","",IF(G840&gt;F840,(B840-F840)/(G840-F840),0))</f>
        <v>0.901369863013699</v>
      </c>
      <c r="I840" s="10" t="n">
        <f aca="false">IF(A840="","",IFERROR(INDEX(CV_RATES!$I:$I,MATCH(D840,CV_RATES!$C:$C,0)),0))</f>
        <v>904.65633455197</v>
      </c>
      <c r="J840" s="10" t="n">
        <f aca="false">IF(A840="","",IFERROR(IF(E840=MAX(MORTALITY!$A:$A),1000,INDEX(CV_RATES!$J:$J,MATCH(D840,CV_RATES!$C:$C,0))),0))</f>
        <v>909.753115162208</v>
      </c>
      <c r="K840" s="10" t="n">
        <f aca="false">IF(A840="","",IFERROR(I840+H840*(J840-I840),0))</f>
        <v>909.250418992431</v>
      </c>
      <c r="L840" s="10" t="n">
        <f aca="false">IF(A840="","",IFERROR(K840*Inputs!$B$9,0))</f>
        <v>45462.5209496216</v>
      </c>
      <c r="M840" s="10" t="n">
        <f aca="false">IF(A840="","",IFERROR(K840*Inputs!$B$10,0))</f>
        <v>145477.339287532</v>
      </c>
      <c r="N840" s="10" t="n">
        <f aca="false">IF(A840="","",Z839)</f>
        <v>0</v>
      </c>
      <c r="O840" s="6" t="n">
        <f aca="false">IF(A840="","",Inputs!$B$18+N840)</f>
        <v>50000</v>
      </c>
      <c r="P840" s="5" t="n">
        <f aca="false">IF(A840="","",VLOOKUP(D840,DIvidend_Assumption!$A$3:$CX$103,($E$2+2),0)/12)</f>
        <v>0</v>
      </c>
      <c r="Q840" s="10" t="n">
        <f aca="false">IF(A840="","",IFERROR(AB839*P840,""))</f>
        <v>0</v>
      </c>
      <c r="R840" s="10" t="n">
        <f aca="false">IF(A840="","",IFERROR(IF(Inputs!$B$22="Accumulate",T840+Q840,IF(Inputs!$B$22="Premium Offset",MAX(0,T840+Q840-Inputs!$B$25),T840)),""))</f>
        <v>0</v>
      </c>
      <c r="S840" s="10" t="n">
        <f aca="false">IF(A840="","",R839)</f>
        <v>0</v>
      </c>
      <c r="T840" s="10" t="n">
        <f aca="false">IF(A840="","",IFERROR(S840*(1+Inputs!$B$23/12),""))</f>
        <v>0</v>
      </c>
      <c r="U840" s="6" t="n">
        <f aca="false">IF(A840="","",IF(D840&lt;=Inputs!$B$8,IF(Inputs!$B$22="Premium Offset",MAX(0,Inputs!$B$25-(Q840+T840)),Inputs!$B$25),0))</f>
        <v>0</v>
      </c>
      <c r="V840" s="10" t="n">
        <f aca="false">IF(A840="","",IF(Inputs!$B$22="Cash",Q840,0))</f>
        <v>0</v>
      </c>
      <c r="W840" s="10" t="n">
        <f aca="false">IF(A840="","",IF(Inputs!$B$22="PUA",Q840,0))</f>
        <v>0</v>
      </c>
      <c r="X840" s="12" t="n">
        <f aca="false">IF(A840="","",IFERROR(INDEX(PUA_TABLE!$D$4:$D$105,MATCH(E840,PUA_TABLE!$C$4:$C$105,1)),0))</f>
        <v>0.90465633455197</v>
      </c>
      <c r="Y840" s="10" t="n">
        <f aca="false">IF(A840="","",IF(W840&gt;0,IF(X840&gt;0,W840/X840,0),0))</f>
        <v>0</v>
      </c>
      <c r="Z840" s="10" t="n">
        <f aca="false">IF(A840="","",N840+Y840)</f>
        <v>0</v>
      </c>
      <c r="AA840" s="10" t="n">
        <f aca="false">IF(A840="","",IFERROR(Z840*INDEX(PUA_TABLE!$I$4:$I$105,MATCH(E840,PUA_TABLE!$C$4:$C$105,1))/1000,0))</f>
        <v>0</v>
      </c>
      <c r="AB840" s="10" t="n">
        <f aca="false">IF(A840="","",IFERROR(L840+AA840,0))</f>
        <v>45462.5209496216</v>
      </c>
      <c r="AC840" s="10" t="n">
        <f aca="false">IF(A840="","",IF(Inputs!$B$22="Premium Offset",MIN(Inputs!$B$25,Q840+T840),0))</f>
        <v>0</v>
      </c>
    </row>
    <row r="841" customFormat="false" ht="15" hidden="false" customHeight="false" outlineLevel="0" collapsed="false">
      <c r="A841" s="1" t="n">
        <f aca="false">IF(A840="","",IF(INT((C840+1)/12)+Inputs!$B$7&gt;MAX(MORTALITY!$A:$A),"",Inputs!$B$4))</f>
        <v>34</v>
      </c>
      <c r="B841" s="3" t="n">
        <f aca="false">IF(A841="","",EOMONTH(B840,1))</f>
        <v>47269</v>
      </c>
      <c r="C841" s="1" t="n">
        <f aca="false">IF(A841="","",C840+1)</f>
        <v>839</v>
      </c>
      <c r="D841" s="1" t="n">
        <f aca="false">IF(A841="","",INT(C841/12))</f>
        <v>69</v>
      </c>
      <c r="E841" s="1" t="n">
        <f aca="false">IF(A841="","",D841+Inputs!$B$7)</f>
        <v>85</v>
      </c>
      <c r="F841" s="3" t="n">
        <f aca="false">IF(A841="","",DATE(YEAR(B$2)+D841,MONTH(B$2),DAY(B$2)))</f>
        <v>46909</v>
      </c>
      <c r="G841" s="3" t="n">
        <f aca="false">IF(A841="","",DATE(YEAR(F841)+1,MONTH(F841),DAY(F841)))</f>
        <v>47274</v>
      </c>
      <c r="H841" s="10" t="n">
        <f aca="false">IF(A841="","",IF(G841&gt;F841,(B841-F841)/(G841-F841),0))</f>
        <v>0.986301369863014</v>
      </c>
      <c r="I841" s="10" t="n">
        <f aca="false">IF(A841="","",IFERROR(INDEX(CV_RATES!$I:$I,MATCH(D841,CV_RATES!$C:$C,0)),0))</f>
        <v>904.65633455197</v>
      </c>
      <c r="J841" s="10" t="n">
        <f aca="false">IF(A841="","",IFERROR(IF(E841=MAX(MORTALITY!$A:$A),1000,INDEX(CV_RATES!$J:$J,MATCH(D841,CV_RATES!$C:$C,0))),0))</f>
        <v>909.753115162208</v>
      </c>
      <c r="K841" s="10" t="n">
        <f aca="false">IF(A841="","",IFERROR(I841+H841*(J841-I841),0))</f>
        <v>909.683296249739</v>
      </c>
      <c r="L841" s="10" t="n">
        <f aca="false">IF(A841="","",IFERROR(K841*Inputs!$B$9,0))</f>
        <v>45484.164812487</v>
      </c>
      <c r="M841" s="10" t="n">
        <f aca="false">IF(A841="","",IFERROR(K841*Inputs!$B$10,0))</f>
        <v>145546.59835007</v>
      </c>
      <c r="N841" s="10" t="n">
        <f aca="false">IF(A841="","",Z840)</f>
        <v>0</v>
      </c>
      <c r="O841" s="6" t="n">
        <f aca="false">IF(A841="","",Inputs!$B$18+N841)</f>
        <v>50000</v>
      </c>
      <c r="P841" s="5" t="n">
        <f aca="false">IF(A841="","",VLOOKUP(D841,DIvidend_Assumption!$A$3:$CX$103,($E$2+2),0)/12)</f>
        <v>0</v>
      </c>
      <c r="Q841" s="10" t="n">
        <f aca="false">IF(A841="","",IFERROR(AB840*P841,""))</f>
        <v>0</v>
      </c>
      <c r="R841" s="10" t="n">
        <f aca="false">IF(A841="","",IFERROR(IF(Inputs!$B$22="Accumulate",T841+Q841,IF(Inputs!$B$22="Premium Offset",MAX(0,T841+Q841-Inputs!$B$25),T841)),""))</f>
        <v>0</v>
      </c>
      <c r="S841" s="10" t="n">
        <f aca="false">IF(A841="","",R840)</f>
        <v>0</v>
      </c>
      <c r="T841" s="10" t="n">
        <f aca="false">IF(A841="","",IFERROR(S841*(1+Inputs!$B$23/12),""))</f>
        <v>0</v>
      </c>
      <c r="U841" s="6" t="n">
        <f aca="false">IF(A841="","",IF(D841&lt;=Inputs!$B$8,IF(Inputs!$B$22="Premium Offset",MAX(0,Inputs!$B$25-(Q841+T841)),Inputs!$B$25),0))</f>
        <v>0</v>
      </c>
      <c r="V841" s="10" t="n">
        <f aca="false">IF(A841="","",IF(Inputs!$B$22="Cash",Q841,0))</f>
        <v>0</v>
      </c>
      <c r="W841" s="10" t="n">
        <f aca="false">IF(A841="","",IF(Inputs!$B$22="PUA",Q841,0))</f>
        <v>0</v>
      </c>
      <c r="X841" s="12" t="n">
        <f aca="false">IF(A841="","",IFERROR(INDEX(PUA_TABLE!$D$4:$D$105,MATCH(E841,PUA_TABLE!$C$4:$C$105,1)),0))</f>
        <v>0.90465633455197</v>
      </c>
      <c r="Y841" s="10" t="n">
        <f aca="false">IF(A841="","",IF(W841&gt;0,IF(X841&gt;0,W841/X841,0),0))</f>
        <v>0</v>
      </c>
      <c r="Z841" s="10" t="n">
        <f aca="false">IF(A841="","",N841+Y841)</f>
        <v>0</v>
      </c>
      <c r="AA841" s="10" t="n">
        <f aca="false">IF(A841="","",IFERROR(Z841*INDEX(PUA_TABLE!$I$4:$I$105,MATCH(E841,PUA_TABLE!$C$4:$C$105,1))/1000,0))</f>
        <v>0</v>
      </c>
      <c r="AB841" s="10" t="n">
        <f aca="false">IF(A841="","",IFERROR(L841+AA841,0))</f>
        <v>45484.164812487</v>
      </c>
      <c r="AC841" s="10" t="n">
        <f aca="false">IF(A841="","",IF(Inputs!$B$22="Premium Offset",MIN(Inputs!$B$25,Q841+T841),0))</f>
        <v>0</v>
      </c>
    </row>
    <row r="842" customFormat="false" ht="15" hidden="false" customHeight="false" outlineLevel="0" collapsed="false">
      <c r="A842" s="1" t="n">
        <f aca="false">IF(A841="","",IF(INT((C841+1)/12)+Inputs!$B$7&gt;MAX(MORTALITY!$A:$A),"",Inputs!$B$4))</f>
        <v>34</v>
      </c>
      <c r="B842" s="3" t="n">
        <f aca="false">IF(A842="","",EOMONTH(B841,1))</f>
        <v>47299</v>
      </c>
      <c r="C842" s="1" t="n">
        <f aca="false">IF(A842="","",C841+1)</f>
        <v>840</v>
      </c>
      <c r="D842" s="1" t="n">
        <f aca="false">IF(A842="","",INT(C842/12))</f>
        <v>70</v>
      </c>
      <c r="E842" s="1" t="n">
        <f aca="false">IF(A842="","",D842+Inputs!$B$7)</f>
        <v>86</v>
      </c>
      <c r="F842" s="3" t="n">
        <f aca="false">IF(A842="","",DATE(YEAR(B$2)+D842,MONTH(B$2),DAY(B$2)))</f>
        <v>47274</v>
      </c>
      <c r="G842" s="3" t="n">
        <f aca="false">IF(A842="","",DATE(YEAR(F842)+1,MONTH(F842),DAY(F842)))</f>
        <v>47639</v>
      </c>
      <c r="H842" s="10" t="n">
        <f aca="false">IF(A842="","",IF(G842&gt;F842,(B842-F842)/(G842-F842),0))</f>
        <v>0.0684931506849315</v>
      </c>
      <c r="I842" s="10" t="n">
        <f aca="false">IF(A842="","",IFERROR(INDEX(CV_RATES!$I:$I,MATCH(D842,CV_RATES!$C:$C,0)),0))</f>
        <v>909.753115162208</v>
      </c>
      <c r="J842" s="10" t="n">
        <f aca="false">IF(A842="","",IFERROR(IF(E842=MAX(MORTALITY!$A:$A),1000,INDEX(CV_RATES!$J:$J,MATCH(D842,CV_RATES!$C:$C,0))),0))</f>
        <v>914.62117936489</v>
      </c>
      <c r="K842" s="10" t="n">
        <f aca="false">IF(A842="","",IFERROR(I842+H842*(J842-I842),0))</f>
        <v>910.086544217186</v>
      </c>
      <c r="L842" s="10" t="n">
        <f aca="false">IF(A842="","",IFERROR(K842*Inputs!$B$9,0))</f>
        <v>45504.3272108593</v>
      </c>
      <c r="M842" s="10" t="n">
        <f aca="false">IF(A842="","",IFERROR(K842*Inputs!$B$10,0))</f>
        <v>145611.116815117</v>
      </c>
      <c r="N842" s="10" t="n">
        <f aca="false">IF(A842="","",Z841)</f>
        <v>0</v>
      </c>
      <c r="O842" s="6" t="n">
        <f aca="false">IF(A842="","",Inputs!$B$18+N842)</f>
        <v>50000</v>
      </c>
      <c r="P842" s="5" t="n">
        <f aca="false">IF(A842="","",VLOOKUP(D842,DIvidend_Assumption!$A$3:$CX$103,($E$2+2),0)/12)</f>
        <v>0</v>
      </c>
      <c r="Q842" s="10" t="n">
        <f aca="false">IF(A842="","",IFERROR(AB841*P842,""))</f>
        <v>0</v>
      </c>
      <c r="R842" s="10" t="n">
        <f aca="false">IF(A842="","",IFERROR(IF(Inputs!$B$22="Accumulate",T842+Q842,IF(Inputs!$B$22="Premium Offset",MAX(0,T842+Q842-Inputs!$B$25),T842)),""))</f>
        <v>0</v>
      </c>
      <c r="S842" s="10" t="n">
        <f aca="false">IF(A842="","",R841)</f>
        <v>0</v>
      </c>
      <c r="T842" s="10" t="n">
        <f aca="false">IF(A842="","",IFERROR(S842*(1+Inputs!$B$23/12),""))</f>
        <v>0</v>
      </c>
      <c r="U842" s="6" t="n">
        <f aca="false">IF(A842="","",IF(D842&lt;=Inputs!$B$8,IF(Inputs!$B$22="Premium Offset",MAX(0,Inputs!$B$25-(Q842+T842)),Inputs!$B$25),0))</f>
        <v>0</v>
      </c>
      <c r="V842" s="10" t="n">
        <f aca="false">IF(A842="","",IF(Inputs!$B$22="Cash",Q842,0))</f>
        <v>0</v>
      </c>
      <c r="W842" s="10" t="n">
        <f aca="false">IF(A842="","",IF(Inputs!$B$22="PUA",Q842,0))</f>
        <v>0</v>
      </c>
      <c r="X842" s="12" t="n">
        <f aca="false">IF(A842="","",IFERROR(INDEX(PUA_TABLE!$D$4:$D$105,MATCH(E842,PUA_TABLE!$C$4:$C$105,1)),0))</f>
        <v>0.909753115162208</v>
      </c>
      <c r="Y842" s="10" t="n">
        <f aca="false">IF(A842="","",IF(W842&gt;0,IF(X842&gt;0,W842/X842,0),0))</f>
        <v>0</v>
      </c>
      <c r="Z842" s="10" t="n">
        <f aca="false">IF(A842="","",N842+Y842)</f>
        <v>0</v>
      </c>
      <c r="AA842" s="10" t="n">
        <f aca="false">IF(A842="","",IFERROR(Z842*INDEX(PUA_TABLE!$I$4:$I$105,MATCH(E842,PUA_TABLE!$C$4:$C$105,1))/1000,0))</f>
        <v>0</v>
      </c>
      <c r="AB842" s="10" t="n">
        <f aca="false">IF(A842="","",IFERROR(L842+AA842,0))</f>
        <v>45504.3272108593</v>
      </c>
      <c r="AC842" s="10" t="n">
        <f aca="false">IF(A842="","",IF(Inputs!$B$22="Premium Offset",MIN(Inputs!$B$25,Q842+T842),0))</f>
        <v>0</v>
      </c>
    </row>
    <row r="843" customFormat="false" ht="15" hidden="false" customHeight="false" outlineLevel="0" collapsed="false">
      <c r="A843" s="1" t="n">
        <f aca="false">IF(A842="","",IF(INT((C842+1)/12)+Inputs!$B$7&gt;MAX(MORTALITY!$A:$A),"",Inputs!$B$4))</f>
        <v>34</v>
      </c>
      <c r="B843" s="3" t="n">
        <f aca="false">IF(A843="","",EOMONTH(B842,1))</f>
        <v>47330</v>
      </c>
      <c r="C843" s="1" t="n">
        <f aca="false">IF(A843="","",C842+1)</f>
        <v>841</v>
      </c>
      <c r="D843" s="1" t="n">
        <f aca="false">IF(A843="","",INT(C843/12))</f>
        <v>70</v>
      </c>
      <c r="E843" s="1" t="n">
        <f aca="false">IF(A843="","",D843+Inputs!$B$7)</f>
        <v>86</v>
      </c>
      <c r="F843" s="3" t="n">
        <f aca="false">IF(A843="","",DATE(YEAR(B$2)+D843,MONTH(B$2),DAY(B$2)))</f>
        <v>47274</v>
      </c>
      <c r="G843" s="3" t="n">
        <f aca="false">IF(A843="","",DATE(YEAR(F843)+1,MONTH(F843),DAY(F843)))</f>
        <v>47639</v>
      </c>
      <c r="H843" s="10" t="n">
        <f aca="false">IF(A843="","",IF(G843&gt;F843,(B843-F843)/(G843-F843),0))</f>
        <v>0.153424657534247</v>
      </c>
      <c r="I843" s="10" t="n">
        <f aca="false">IF(A843="","",IFERROR(INDEX(CV_RATES!$I:$I,MATCH(D843,CV_RATES!$C:$C,0)),0))</f>
        <v>909.753115162208</v>
      </c>
      <c r="J843" s="10" t="n">
        <f aca="false">IF(A843="","",IFERROR(IF(E843=MAX(MORTALITY!$A:$A),1000,INDEX(CV_RATES!$J:$J,MATCH(D843,CV_RATES!$C:$C,0))),0))</f>
        <v>914.62117936489</v>
      </c>
      <c r="K843" s="10" t="n">
        <f aca="false">IF(A843="","",IFERROR(I843+H843*(J843-I843),0))</f>
        <v>910.499996245359</v>
      </c>
      <c r="L843" s="10" t="n">
        <f aca="false">IF(A843="","",IFERROR(K843*Inputs!$B$9,0))</f>
        <v>45524.999812268</v>
      </c>
      <c r="M843" s="10" t="n">
        <f aca="false">IF(A843="","",IFERROR(K843*Inputs!$B$10,0))</f>
        <v>145677.267899269</v>
      </c>
      <c r="N843" s="10" t="n">
        <f aca="false">IF(A843="","",Z842)</f>
        <v>0</v>
      </c>
      <c r="O843" s="6" t="n">
        <f aca="false">IF(A843="","",Inputs!$B$18+N843)</f>
        <v>50000</v>
      </c>
      <c r="P843" s="5" t="n">
        <f aca="false">IF(A843="","",VLOOKUP(D843,DIvidend_Assumption!$A$3:$CX$103,($E$2+2),0)/12)</f>
        <v>0</v>
      </c>
      <c r="Q843" s="10" t="n">
        <f aca="false">IF(A843="","",IFERROR(AB842*P843,""))</f>
        <v>0</v>
      </c>
      <c r="R843" s="10" t="n">
        <f aca="false">IF(A843="","",IFERROR(IF(Inputs!$B$22="Accumulate",T843+Q843,IF(Inputs!$B$22="Premium Offset",MAX(0,T843+Q843-Inputs!$B$25),T843)),""))</f>
        <v>0</v>
      </c>
      <c r="S843" s="10" t="n">
        <f aca="false">IF(A843="","",R842)</f>
        <v>0</v>
      </c>
      <c r="T843" s="10" t="n">
        <f aca="false">IF(A843="","",IFERROR(S843*(1+Inputs!$B$23/12),""))</f>
        <v>0</v>
      </c>
      <c r="U843" s="6" t="n">
        <f aca="false">IF(A843="","",IF(D843&lt;=Inputs!$B$8,IF(Inputs!$B$22="Premium Offset",MAX(0,Inputs!$B$25-(Q843+T843)),Inputs!$B$25),0))</f>
        <v>0</v>
      </c>
      <c r="V843" s="10" t="n">
        <f aca="false">IF(A843="","",IF(Inputs!$B$22="Cash",Q843,0))</f>
        <v>0</v>
      </c>
      <c r="W843" s="10" t="n">
        <f aca="false">IF(A843="","",IF(Inputs!$B$22="PUA",Q843,0))</f>
        <v>0</v>
      </c>
      <c r="X843" s="12" t="n">
        <f aca="false">IF(A843="","",IFERROR(INDEX(PUA_TABLE!$D$4:$D$105,MATCH(E843,PUA_TABLE!$C$4:$C$105,1)),0))</f>
        <v>0.909753115162208</v>
      </c>
      <c r="Y843" s="10" t="n">
        <f aca="false">IF(A843="","",IF(W843&gt;0,IF(X843&gt;0,W843/X843,0),0))</f>
        <v>0</v>
      </c>
      <c r="Z843" s="10" t="n">
        <f aca="false">IF(A843="","",N843+Y843)</f>
        <v>0</v>
      </c>
      <c r="AA843" s="10" t="n">
        <f aca="false">IF(A843="","",IFERROR(Z843*INDEX(PUA_TABLE!$I$4:$I$105,MATCH(E843,PUA_TABLE!$C$4:$C$105,1))/1000,0))</f>
        <v>0</v>
      </c>
      <c r="AB843" s="10" t="n">
        <f aca="false">IF(A843="","",IFERROR(L843+AA843,0))</f>
        <v>45524.999812268</v>
      </c>
      <c r="AC843" s="10" t="n">
        <f aca="false">IF(A843="","",IF(Inputs!$B$22="Premium Offset",MIN(Inputs!$B$25,Q843+T843),0))</f>
        <v>0</v>
      </c>
    </row>
    <row r="844" customFormat="false" ht="15" hidden="false" customHeight="false" outlineLevel="0" collapsed="false">
      <c r="A844" s="1" t="n">
        <f aca="false">IF(A843="","",IF(INT((C843+1)/12)+Inputs!$B$7&gt;MAX(MORTALITY!$A:$A),"",Inputs!$B$4))</f>
        <v>34</v>
      </c>
      <c r="B844" s="3" t="n">
        <f aca="false">IF(A844="","",EOMONTH(B843,1))</f>
        <v>47361</v>
      </c>
      <c r="C844" s="1" t="n">
        <f aca="false">IF(A844="","",C843+1)</f>
        <v>842</v>
      </c>
      <c r="D844" s="1" t="n">
        <f aca="false">IF(A844="","",INT(C844/12))</f>
        <v>70</v>
      </c>
      <c r="E844" s="1" t="n">
        <f aca="false">IF(A844="","",D844+Inputs!$B$7)</f>
        <v>86</v>
      </c>
      <c r="F844" s="3" t="n">
        <f aca="false">IF(A844="","",DATE(YEAR(B$2)+D844,MONTH(B$2),DAY(B$2)))</f>
        <v>47274</v>
      </c>
      <c r="G844" s="3" t="n">
        <f aca="false">IF(A844="","",DATE(YEAR(F844)+1,MONTH(F844),DAY(F844)))</f>
        <v>47639</v>
      </c>
      <c r="H844" s="10" t="n">
        <f aca="false">IF(A844="","",IF(G844&gt;F844,(B844-F844)/(G844-F844),0))</f>
        <v>0.238356164383562</v>
      </c>
      <c r="I844" s="10" t="n">
        <f aca="false">IF(A844="","",IFERROR(INDEX(CV_RATES!$I:$I,MATCH(D844,CV_RATES!$C:$C,0)),0))</f>
        <v>909.753115162208</v>
      </c>
      <c r="J844" s="10" t="n">
        <f aca="false">IF(A844="","",IFERROR(IF(E844=MAX(MORTALITY!$A:$A),1000,INDEX(CV_RATES!$J:$J,MATCH(D844,CV_RATES!$C:$C,0))),0))</f>
        <v>914.62117936489</v>
      </c>
      <c r="K844" s="10" t="n">
        <f aca="false">IF(A844="","",IFERROR(I844+H844*(J844-I844),0))</f>
        <v>910.913448273532</v>
      </c>
      <c r="L844" s="10" t="n">
        <f aca="false">IF(A844="","",IFERROR(K844*Inputs!$B$9,0))</f>
        <v>45545.6724136766</v>
      </c>
      <c r="M844" s="10" t="n">
        <f aca="false">IF(A844="","",IFERROR(K844*Inputs!$B$10,0))</f>
        <v>145743.41898342</v>
      </c>
      <c r="N844" s="10" t="n">
        <f aca="false">IF(A844="","",Z843)</f>
        <v>0</v>
      </c>
      <c r="O844" s="6" t="n">
        <f aca="false">IF(A844="","",Inputs!$B$18+N844)</f>
        <v>50000</v>
      </c>
      <c r="P844" s="5" t="n">
        <f aca="false">IF(A844="","",VLOOKUP(D844,DIvidend_Assumption!$A$3:$CX$103,($E$2+2),0)/12)</f>
        <v>0</v>
      </c>
      <c r="Q844" s="10" t="n">
        <f aca="false">IF(A844="","",IFERROR(AB843*P844,""))</f>
        <v>0</v>
      </c>
      <c r="R844" s="10" t="n">
        <f aca="false">IF(A844="","",IFERROR(IF(Inputs!$B$22="Accumulate",T844+Q844,IF(Inputs!$B$22="Premium Offset",MAX(0,T844+Q844-Inputs!$B$25),T844)),""))</f>
        <v>0</v>
      </c>
      <c r="S844" s="10" t="n">
        <f aca="false">IF(A844="","",R843)</f>
        <v>0</v>
      </c>
      <c r="T844" s="10" t="n">
        <f aca="false">IF(A844="","",IFERROR(S844*(1+Inputs!$B$23/12),""))</f>
        <v>0</v>
      </c>
      <c r="U844" s="6" t="n">
        <f aca="false">IF(A844="","",IF(D844&lt;=Inputs!$B$8,IF(Inputs!$B$22="Premium Offset",MAX(0,Inputs!$B$25-(Q844+T844)),Inputs!$B$25),0))</f>
        <v>0</v>
      </c>
      <c r="V844" s="10" t="n">
        <f aca="false">IF(A844="","",IF(Inputs!$B$22="Cash",Q844,0))</f>
        <v>0</v>
      </c>
      <c r="W844" s="10" t="n">
        <f aca="false">IF(A844="","",IF(Inputs!$B$22="PUA",Q844,0))</f>
        <v>0</v>
      </c>
      <c r="X844" s="12" t="n">
        <f aca="false">IF(A844="","",IFERROR(INDEX(PUA_TABLE!$D$4:$D$105,MATCH(E844,PUA_TABLE!$C$4:$C$105,1)),0))</f>
        <v>0.909753115162208</v>
      </c>
      <c r="Y844" s="10" t="n">
        <f aca="false">IF(A844="","",IF(W844&gt;0,IF(X844&gt;0,W844/X844,0),0))</f>
        <v>0</v>
      </c>
      <c r="Z844" s="10" t="n">
        <f aca="false">IF(A844="","",N844+Y844)</f>
        <v>0</v>
      </c>
      <c r="AA844" s="10" t="n">
        <f aca="false">IF(A844="","",IFERROR(Z844*INDEX(PUA_TABLE!$I$4:$I$105,MATCH(E844,PUA_TABLE!$C$4:$C$105,1))/1000,0))</f>
        <v>0</v>
      </c>
      <c r="AB844" s="10" t="n">
        <f aca="false">IF(A844="","",IFERROR(L844+AA844,0))</f>
        <v>45545.6724136766</v>
      </c>
      <c r="AC844" s="10" t="n">
        <f aca="false">IF(A844="","",IF(Inputs!$B$22="Premium Offset",MIN(Inputs!$B$25,Q844+T844),0))</f>
        <v>0</v>
      </c>
    </row>
    <row r="845" customFormat="false" ht="15" hidden="false" customHeight="false" outlineLevel="0" collapsed="false">
      <c r="A845" s="1" t="n">
        <f aca="false">IF(A844="","",IF(INT((C844+1)/12)+Inputs!$B$7&gt;MAX(MORTALITY!$A:$A),"",Inputs!$B$4))</f>
        <v>34</v>
      </c>
      <c r="B845" s="3" t="n">
        <f aca="false">IF(A845="","",EOMONTH(B844,1))</f>
        <v>47391</v>
      </c>
      <c r="C845" s="1" t="n">
        <f aca="false">IF(A845="","",C844+1)</f>
        <v>843</v>
      </c>
      <c r="D845" s="1" t="n">
        <f aca="false">IF(A845="","",INT(C845/12))</f>
        <v>70</v>
      </c>
      <c r="E845" s="1" t="n">
        <f aca="false">IF(A845="","",D845+Inputs!$B$7)</f>
        <v>86</v>
      </c>
      <c r="F845" s="3" t="n">
        <f aca="false">IF(A845="","",DATE(YEAR(B$2)+D845,MONTH(B$2),DAY(B$2)))</f>
        <v>47274</v>
      </c>
      <c r="G845" s="3" t="n">
        <f aca="false">IF(A845="","",DATE(YEAR(F845)+1,MONTH(F845),DAY(F845)))</f>
        <v>47639</v>
      </c>
      <c r="H845" s="10" t="n">
        <f aca="false">IF(A845="","",IF(G845&gt;F845,(B845-F845)/(G845-F845),0))</f>
        <v>0.320547945205479</v>
      </c>
      <c r="I845" s="10" t="n">
        <f aca="false">IF(A845="","",IFERROR(INDEX(CV_RATES!$I:$I,MATCH(D845,CV_RATES!$C:$C,0)),0))</f>
        <v>909.753115162208</v>
      </c>
      <c r="J845" s="10" t="n">
        <f aca="false">IF(A845="","",IFERROR(IF(E845=MAX(MORTALITY!$A:$A),1000,INDEX(CV_RATES!$J:$J,MATCH(D845,CV_RATES!$C:$C,0))),0))</f>
        <v>914.62117936489</v>
      </c>
      <c r="K845" s="10" t="n">
        <f aca="false">IF(A845="","",IFERROR(I845+H845*(J845-I845),0))</f>
        <v>911.313563139506</v>
      </c>
      <c r="L845" s="10" t="n">
        <f aca="false">IF(A845="","",IFERROR(K845*Inputs!$B$9,0))</f>
        <v>45565.6781569753</v>
      </c>
      <c r="M845" s="10" t="n">
        <f aca="false">IF(A845="","",IFERROR(K845*Inputs!$B$10,0))</f>
        <v>145807.436161632</v>
      </c>
      <c r="N845" s="10" t="n">
        <f aca="false">IF(A845="","",Z844)</f>
        <v>0</v>
      </c>
      <c r="O845" s="6" t="n">
        <f aca="false">IF(A845="","",Inputs!$B$18+N845)</f>
        <v>50000</v>
      </c>
      <c r="P845" s="5" t="n">
        <f aca="false">IF(A845="","",VLOOKUP(D845,DIvidend_Assumption!$A$3:$CX$103,($E$2+2),0)/12)</f>
        <v>0</v>
      </c>
      <c r="Q845" s="10" t="n">
        <f aca="false">IF(A845="","",IFERROR(AB844*P845,""))</f>
        <v>0</v>
      </c>
      <c r="R845" s="10" t="n">
        <f aca="false">IF(A845="","",IFERROR(IF(Inputs!$B$22="Accumulate",T845+Q845,IF(Inputs!$B$22="Premium Offset",MAX(0,T845+Q845-Inputs!$B$25),T845)),""))</f>
        <v>0</v>
      </c>
      <c r="S845" s="10" t="n">
        <f aca="false">IF(A845="","",R844)</f>
        <v>0</v>
      </c>
      <c r="T845" s="10" t="n">
        <f aca="false">IF(A845="","",IFERROR(S845*(1+Inputs!$B$23/12),""))</f>
        <v>0</v>
      </c>
      <c r="U845" s="6" t="n">
        <f aca="false">IF(A845="","",IF(D845&lt;=Inputs!$B$8,IF(Inputs!$B$22="Premium Offset",MAX(0,Inputs!$B$25-(Q845+T845)),Inputs!$B$25),0))</f>
        <v>0</v>
      </c>
      <c r="V845" s="10" t="n">
        <f aca="false">IF(A845="","",IF(Inputs!$B$22="Cash",Q845,0))</f>
        <v>0</v>
      </c>
      <c r="W845" s="10" t="n">
        <f aca="false">IF(A845="","",IF(Inputs!$B$22="PUA",Q845,0))</f>
        <v>0</v>
      </c>
      <c r="X845" s="12" t="n">
        <f aca="false">IF(A845="","",IFERROR(INDEX(PUA_TABLE!$D$4:$D$105,MATCH(E845,PUA_TABLE!$C$4:$C$105,1)),0))</f>
        <v>0.909753115162208</v>
      </c>
      <c r="Y845" s="10" t="n">
        <f aca="false">IF(A845="","",IF(W845&gt;0,IF(X845&gt;0,W845/X845,0),0))</f>
        <v>0</v>
      </c>
      <c r="Z845" s="10" t="n">
        <f aca="false">IF(A845="","",N845+Y845)</f>
        <v>0</v>
      </c>
      <c r="AA845" s="10" t="n">
        <f aca="false">IF(A845="","",IFERROR(Z845*INDEX(PUA_TABLE!$I$4:$I$105,MATCH(E845,PUA_TABLE!$C$4:$C$105,1))/1000,0))</f>
        <v>0</v>
      </c>
      <c r="AB845" s="10" t="n">
        <f aca="false">IF(A845="","",IFERROR(L845+AA845,0))</f>
        <v>45565.6781569753</v>
      </c>
      <c r="AC845" s="10" t="n">
        <f aca="false">IF(A845="","",IF(Inputs!$B$22="Premium Offset",MIN(Inputs!$B$25,Q845+T845),0))</f>
        <v>0</v>
      </c>
    </row>
    <row r="846" customFormat="false" ht="15" hidden="false" customHeight="false" outlineLevel="0" collapsed="false">
      <c r="A846" s="1" t="n">
        <f aca="false">IF(A845="","",IF(INT((C845+1)/12)+Inputs!$B$7&gt;MAX(MORTALITY!$A:$A),"",Inputs!$B$4))</f>
        <v>34</v>
      </c>
      <c r="B846" s="3" t="n">
        <f aca="false">IF(A846="","",EOMONTH(B845,1))</f>
        <v>47422</v>
      </c>
      <c r="C846" s="1" t="n">
        <f aca="false">IF(A846="","",C845+1)</f>
        <v>844</v>
      </c>
      <c r="D846" s="1" t="n">
        <f aca="false">IF(A846="","",INT(C846/12))</f>
        <v>70</v>
      </c>
      <c r="E846" s="1" t="n">
        <f aca="false">IF(A846="","",D846+Inputs!$B$7)</f>
        <v>86</v>
      </c>
      <c r="F846" s="3" t="n">
        <f aca="false">IF(A846="","",DATE(YEAR(B$2)+D846,MONTH(B$2),DAY(B$2)))</f>
        <v>47274</v>
      </c>
      <c r="G846" s="3" t="n">
        <f aca="false">IF(A846="","",DATE(YEAR(F846)+1,MONTH(F846),DAY(F846)))</f>
        <v>47639</v>
      </c>
      <c r="H846" s="10" t="n">
        <f aca="false">IF(A846="","",IF(G846&gt;F846,(B846-F846)/(G846-F846),0))</f>
        <v>0.405479452054795</v>
      </c>
      <c r="I846" s="10" t="n">
        <f aca="false">IF(A846="","",IFERROR(INDEX(CV_RATES!$I:$I,MATCH(D846,CV_RATES!$C:$C,0)),0))</f>
        <v>909.753115162208</v>
      </c>
      <c r="J846" s="10" t="n">
        <f aca="false">IF(A846="","",IFERROR(IF(E846=MAX(MORTALITY!$A:$A),1000,INDEX(CV_RATES!$J:$J,MATCH(D846,CV_RATES!$C:$C,0))),0))</f>
        <v>914.62117936489</v>
      </c>
      <c r="K846" s="10" t="n">
        <f aca="false">IF(A846="","",IFERROR(I846+H846*(J846-I846),0))</f>
        <v>911.727015167679</v>
      </c>
      <c r="L846" s="10" t="n">
        <f aca="false">IF(A846="","",IFERROR(K846*Inputs!$B$9,0))</f>
        <v>45586.350758384</v>
      </c>
      <c r="M846" s="10" t="n">
        <f aca="false">IF(A846="","",IFERROR(K846*Inputs!$B$10,0))</f>
        <v>145873.587245783</v>
      </c>
      <c r="N846" s="10" t="n">
        <f aca="false">IF(A846="","",Z845)</f>
        <v>0</v>
      </c>
      <c r="O846" s="6" t="n">
        <f aca="false">IF(A846="","",Inputs!$B$18+N846)</f>
        <v>50000</v>
      </c>
      <c r="P846" s="5" t="n">
        <f aca="false">IF(A846="","",VLOOKUP(D846,DIvidend_Assumption!$A$3:$CX$103,($E$2+2),0)/12)</f>
        <v>0</v>
      </c>
      <c r="Q846" s="10" t="n">
        <f aca="false">IF(A846="","",IFERROR(AB845*P846,""))</f>
        <v>0</v>
      </c>
      <c r="R846" s="10" t="n">
        <f aca="false">IF(A846="","",IFERROR(IF(Inputs!$B$22="Accumulate",T846+Q846,IF(Inputs!$B$22="Premium Offset",MAX(0,T846+Q846-Inputs!$B$25),T846)),""))</f>
        <v>0</v>
      </c>
      <c r="S846" s="10" t="n">
        <f aca="false">IF(A846="","",R845)</f>
        <v>0</v>
      </c>
      <c r="T846" s="10" t="n">
        <f aca="false">IF(A846="","",IFERROR(S846*(1+Inputs!$B$23/12),""))</f>
        <v>0</v>
      </c>
      <c r="U846" s="6" t="n">
        <f aca="false">IF(A846="","",IF(D846&lt;=Inputs!$B$8,IF(Inputs!$B$22="Premium Offset",MAX(0,Inputs!$B$25-(Q846+T846)),Inputs!$B$25),0))</f>
        <v>0</v>
      </c>
      <c r="V846" s="10" t="n">
        <f aca="false">IF(A846="","",IF(Inputs!$B$22="Cash",Q846,0))</f>
        <v>0</v>
      </c>
      <c r="W846" s="10" t="n">
        <f aca="false">IF(A846="","",IF(Inputs!$B$22="PUA",Q846,0))</f>
        <v>0</v>
      </c>
      <c r="X846" s="12" t="n">
        <f aca="false">IF(A846="","",IFERROR(INDEX(PUA_TABLE!$D$4:$D$105,MATCH(E846,PUA_TABLE!$C$4:$C$105,1)),0))</f>
        <v>0.909753115162208</v>
      </c>
      <c r="Y846" s="10" t="n">
        <f aca="false">IF(A846="","",IF(W846&gt;0,IF(X846&gt;0,W846/X846,0),0))</f>
        <v>0</v>
      </c>
      <c r="Z846" s="10" t="n">
        <f aca="false">IF(A846="","",N846+Y846)</f>
        <v>0</v>
      </c>
      <c r="AA846" s="10" t="n">
        <f aca="false">IF(A846="","",IFERROR(Z846*INDEX(PUA_TABLE!$I$4:$I$105,MATCH(E846,PUA_TABLE!$C$4:$C$105,1))/1000,0))</f>
        <v>0</v>
      </c>
      <c r="AB846" s="10" t="n">
        <f aca="false">IF(A846="","",IFERROR(L846+AA846,0))</f>
        <v>45586.350758384</v>
      </c>
      <c r="AC846" s="10" t="n">
        <f aca="false">IF(A846="","",IF(Inputs!$B$22="Premium Offset",MIN(Inputs!$B$25,Q846+T846),0))</f>
        <v>0</v>
      </c>
    </row>
    <row r="847" customFormat="false" ht="15" hidden="false" customHeight="false" outlineLevel="0" collapsed="false">
      <c r="A847" s="1" t="n">
        <f aca="false">IF(A846="","",IF(INT((C846+1)/12)+Inputs!$B$7&gt;MAX(MORTALITY!$A:$A),"",Inputs!$B$4))</f>
        <v>34</v>
      </c>
      <c r="B847" s="3" t="n">
        <f aca="false">IF(A847="","",EOMONTH(B846,1))</f>
        <v>47452</v>
      </c>
      <c r="C847" s="1" t="n">
        <f aca="false">IF(A847="","",C846+1)</f>
        <v>845</v>
      </c>
      <c r="D847" s="1" t="n">
        <f aca="false">IF(A847="","",INT(C847/12))</f>
        <v>70</v>
      </c>
      <c r="E847" s="1" t="n">
        <f aca="false">IF(A847="","",D847+Inputs!$B$7)</f>
        <v>86</v>
      </c>
      <c r="F847" s="3" t="n">
        <f aca="false">IF(A847="","",DATE(YEAR(B$2)+D847,MONTH(B$2),DAY(B$2)))</f>
        <v>47274</v>
      </c>
      <c r="G847" s="3" t="n">
        <f aca="false">IF(A847="","",DATE(YEAR(F847)+1,MONTH(F847),DAY(F847)))</f>
        <v>47639</v>
      </c>
      <c r="H847" s="10" t="n">
        <f aca="false">IF(A847="","",IF(G847&gt;F847,(B847-F847)/(G847-F847),0))</f>
        <v>0.487671232876712</v>
      </c>
      <c r="I847" s="10" t="n">
        <f aca="false">IF(A847="","",IFERROR(INDEX(CV_RATES!$I:$I,MATCH(D847,CV_RATES!$C:$C,0)),0))</f>
        <v>909.753115162208</v>
      </c>
      <c r="J847" s="10" t="n">
        <f aca="false">IF(A847="","",IFERROR(IF(E847=MAX(MORTALITY!$A:$A),1000,INDEX(CV_RATES!$J:$J,MATCH(D847,CV_RATES!$C:$C,0))),0))</f>
        <v>914.62117936489</v>
      </c>
      <c r="K847" s="10" t="n">
        <f aca="false">IF(A847="","",IFERROR(I847+H847*(J847-I847),0))</f>
        <v>912.127130033653</v>
      </c>
      <c r="L847" s="10" t="n">
        <f aca="false">IF(A847="","",IFERROR(K847*Inputs!$B$9,0))</f>
        <v>45606.3565016827</v>
      </c>
      <c r="M847" s="10" t="n">
        <f aca="false">IF(A847="","",IFERROR(K847*Inputs!$B$10,0))</f>
        <v>145937.604423994</v>
      </c>
      <c r="N847" s="10" t="n">
        <f aca="false">IF(A847="","",Z846)</f>
        <v>0</v>
      </c>
      <c r="O847" s="6" t="n">
        <f aca="false">IF(A847="","",Inputs!$B$18+N847)</f>
        <v>50000</v>
      </c>
      <c r="P847" s="5" t="n">
        <f aca="false">IF(A847="","",VLOOKUP(D847,DIvidend_Assumption!$A$3:$CX$103,($E$2+2),0)/12)</f>
        <v>0</v>
      </c>
      <c r="Q847" s="10" t="n">
        <f aca="false">IF(A847="","",IFERROR(AB846*P847,""))</f>
        <v>0</v>
      </c>
      <c r="R847" s="10" t="n">
        <f aca="false">IF(A847="","",IFERROR(IF(Inputs!$B$22="Accumulate",T847+Q847,IF(Inputs!$B$22="Premium Offset",MAX(0,T847+Q847-Inputs!$B$25),T847)),""))</f>
        <v>0</v>
      </c>
      <c r="S847" s="10" t="n">
        <f aca="false">IF(A847="","",R846)</f>
        <v>0</v>
      </c>
      <c r="T847" s="10" t="n">
        <f aca="false">IF(A847="","",IFERROR(S847*(1+Inputs!$B$23/12),""))</f>
        <v>0</v>
      </c>
      <c r="U847" s="6" t="n">
        <f aca="false">IF(A847="","",IF(D847&lt;=Inputs!$B$8,IF(Inputs!$B$22="Premium Offset",MAX(0,Inputs!$B$25-(Q847+T847)),Inputs!$B$25),0))</f>
        <v>0</v>
      </c>
      <c r="V847" s="10" t="n">
        <f aca="false">IF(A847="","",IF(Inputs!$B$22="Cash",Q847,0))</f>
        <v>0</v>
      </c>
      <c r="W847" s="10" t="n">
        <f aca="false">IF(A847="","",IF(Inputs!$B$22="PUA",Q847,0))</f>
        <v>0</v>
      </c>
      <c r="X847" s="12" t="n">
        <f aca="false">IF(A847="","",IFERROR(INDEX(PUA_TABLE!$D$4:$D$105,MATCH(E847,PUA_TABLE!$C$4:$C$105,1)),0))</f>
        <v>0.909753115162208</v>
      </c>
      <c r="Y847" s="10" t="n">
        <f aca="false">IF(A847="","",IF(W847&gt;0,IF(X847&gt;0,W847/X847,0),0))</f>
        <v>0</v>
      </c>
      <c r="Z847" s="10" t="n">
        <f aca="false">IF(A847="","",N847+Y847)</f>
        <v>0</v>
      </c>
      <c r="AA847" s="10" t="n">
        <f aca="false">IF(A847="","",IFERROR(Z847*INDEX(PUA_TABLE!$I$4:$I$105,MATCH(E847,PUA_TABLE!$C$4:$C$105,1))/1000,0))</f>
        <v>0</v>
      </c>
      <c r="AB847" s="10" t="n">
        <f aca="false">IF(A847="","",IFERROR(L847+AA847,0))</f>
        <v>45606.3565016827</v>
      </c>
      <c r="AC847" s="10" t="n">
        <f aca="false">IF(A847="","",IF(Inputs!$B$22="Premium Offset",MIN(Inputs!$B$25,Q847+T847),0))</f>
        <v>0</v>
      </c>
    </row>
    <row r="848" customFormat="false" ht="15" hidden="false" customHeight="false" outlineLevel="0" collapsed="false">
      <c r="A848" s="1" t="n">
        <f aca="false">IF(A847="","",IF(INT((C847+1)/12)+Inputs!$B$7&gt;MAX(MORTALITY!$A:$A),"",Inputs!$B$4))</f>
        <v>34</v>
      </c>
      <c r="B848" s="3" t="n">
        <f aca="false">IF(A848="","",EOMONTH(B847,1))</f>
        <v>47483</v>
      </c>
      <c r="C848" s="1" t="n">
        <f aca="false">IF(A848="","",C847+1)</f>
        <v>846</v>
      </c>
      <c r="D848" s="1" t="n">
        <f aca="false">IF(A848="","",INT(C848/12))</f>
        <v>70</v>
      </c>
      <c r="E848" s="1" t="n">
        <f aca="false">IF(A848="","",D848+Inputs!$B$7)</f>
        <v>86</v>
      </c>
      <c r="F848" s="3" t="n">
        <f aca="false">IF(A848="","",DATE(YEAR(B$2)+D848,MONTH(B$2),DAY(B$2)))</f>
        <v>47274</v>
      </c>
      <c r="G848" s="3" t="n">
        <f aca="false">IF(A848="","",DATE(YEAR(F848)+1,MONTH(F848),DAY(F848)))</f>
        <v>47639</v>
      </c>
      <c r="H848" s="10" t="n">
        <f aca="false">IF(A848="","",IF(G848&gt;F848,(B848-F848)/(G848-F848),0))</f>
        <v>0.572602739726027</v>
      </c>
      <c r="I848" s="10" t="n">
        <f aca="false">IF(A848="","",IFERROR(INDEX(CV_RATES!$I:$I,MATCH(D848,CV_RATES!$C:$C,0)),0))</f>
        <v>909.753115162208</v>
      </c>
      <c r="J848" s="10" t="n">
        <f aca="false">IF(A848="","",IFERROR(IF(E848=MAX(MORTALITY!$A:$A),1000,INDEX(CV_RATES!$J:$J,MATCH(D848,CV_RATES!$C:$C,0))),0))</f>
        <v>914.62117936489</v>
      </c>
      <c r="K848" s="10" t="n">
        <f aca="false">IF(A848="","",IFERROR(I848+H848*(J848-I848),0))</f>
        <v>912.540582061826</v>
      </c>
      <c r="L848" s="10" t="n">
        <f aca="false">IF(A848="","",IFERROR(K848*Inputs!$B$9,0))</f>
        <v>45627.0291030913</v>
      </c>
      <c r="M848" s="10" t="n">
        <f aca="false">IF(A848="","",IFERROR(K848*Inputs!$B$10,0))</f>
        <v>146003.755508146</v>
      </c>
      <c r="N848" s="10" t="n">
        <f aca="false">IF(A848="","",Z847)</f>
        <v>0</v>
      </c>
      <c r="O848" s="6" t="n">
        <f aca="false">IF(A848="","",Inputs!$B$18+N848)</f>
        <v>50000</v>
      </c>
      <c r="P848" s="5" t="n">
        <f aca="false">IF(A848="","",VLOOKUP(D848,DIvidend_Assumption!$A$3:$CX$103,($E$2+2),0)/12)</f>
        <v>0</v>
      </c>
      <c r="Q848" s="10" t="n">
        <f aca="false">IF(A848="","",IFERROR(AB847*P848,""))</f>
        <v>0</v>
      </c>
      <c r="R848" s="10" t="n">
        <f aca="false">IF(A848="","",IFERROR(IF(Inputs!$B$22="Accumulate",T848+Q848,IF(Inputs!$B$22="Premium Offset",MAX(0,T848+Q848-Inputs!$B$25),T848)),""))</f>
        <v>0</v>
      </c>
      <c r="S848" s="10" t="n">
        <f aca="false">IF(A848="","",R847)</f>
        <v>0</v>
      </c>
      <c r="T848" s="10" t="n">
        <f aca="false">IF(A848="","",IFERROR(S848*(1+Inputs!$B$23/12),""))</f>
        <v>0</v>
      </c>
      <c r="U848" s="6" t="n">
        <f aca="false">IF(A848="","",IF(D848&lt;=Inputs!$B$8,IF(Inputs!$B$22="Premium Offset",MAX(0,Inputs!$B$25-(Q848+T848)),Inputs!$B$25),0))</f>
        <v>0</v>
      </c>
      <c r="V848" s="10" t="n">
        <f aca="false">IF(A848="","",IF(Inputs!$B$22="Cash",Q848,0))</f>
        <v>0</v>
      </c>
      <c r="W848" s="10" t="n">
        <f aca="false">IF(A848="","",IF(Inputs!$B$22="PUA",Q848,0))</f>
        <v>0</v>
      </c>
      <c r="X848" s="12" t="n">
        <f aca="false">IF(A848="","",IFERROR(INDEX(PUA_TABLE!$D$4:$D$105,MATCH(E848,PUA_TABLE!$C$4:$C$105,1)),0))</f>
        <v>0.909753115162208</v>
      </c>
      <c r="Y848" s="10" t="n">
        <f aca="false">IF(A848="","",IF(W848&gt;0,IF(X848&gt;0,W848/X848,0),0))</f>
        <v>0</v>
      </c>
      <c r="Z848" s="10" t="n">
        <f aca="false">IF(A848="","",N848+Y848)</f>
        <v>0</v>
      </c>
      <c r="AA848" s="10" t="n">
        <f aca="false">IF(A848="","",IFERROR(Z848*INDEX(PUA_TABLE!$I$4:$I$105,MATCH(E848,PUA_TABLE!$C$4:$C$105,1))/1000,0))</f>
        <v>0</v>
      </c>
      <c r="AB848" s="10" t="n">
        <f aca="false">IF(A848="","",IFERROR(L848+AA848,0))</f>
        <v>45627.0291030913</v>
      </c>
      <c r="AC848" s="10" t="n">
        <f aca="false">IF(A848="","",IF(Inputs!$B$22="Premium Offset",MIN(Inputs!$B$25,Q848+T848),0))</f>
        <v>0</v>
      </c>
    </row>
    <row r="849" customFormat="false" ht="15" hidden="false" customHeight="false" outlineLevel="0" collapsed="false">
      <c r="A849" s="1" t="n">
        <f aca="false">IF(A848="","",IF(INT((C848+1)/12)+Inputs!$B$7&gt;MAX(MORTALITY!$A:$A),"",Inputs!$B$4))</f>
        <v>34</v>
      </c>
      <c r="B849" s="3" t="n">
        <f aca="false">IF(A849="","",EOMONTH(B848,1))</f>
        <v>47514</v>
      </c>
      <c r="C849" s="1" t="n">
        <f aca="false">IF(A849="","",C848+1)</f>
        <v>847</v>
      </c>
      <c r="D849" s="1" t="n">
        <f aca="false">IF(A849="","",INT(C849/12))</f>
        <v>70</v>
      </c>
      <c r="E849" s="1" t="n">
        <f aca="false">IF(A849="","",D849+Inputs!$B$7)</f>
        <v>86</v>
      </c>
      <c r="F849" s="3" t="n">
        <f aca="false">IF(A849="","",DATE(YEAR(B$2)+D849,MONTH(B$2),DAY(B$2)))</f>
        <v>47274</v>
      </c>
      <c r="G849" s="3" t="n">
        <f aca="false">IF(A849="","",DATE(YEAR(F849)+1,MONTH(F849),DAY(F849)))</f>
        <v>47639</v>
      </c>
      <c r="H849" s="10" t="n">
        <f aca="false">IF(A849="","",IF(G849&gt;F849,(B849-F849)/(G849-F849),0))</f>
        <v>0.657534246575342</v>
      </c>
      <c r="I849" s="10" t="n">
        <f aca="false">IF(A849="","",IFERROR(INDEX(CV_RATES!$I:$I,MATCH(D849,CV_RATES!$C:$C,0)),0))</f>
        <v>909.753115162208</v>
      </c>
      <c r="J849" s="10" t="n">
        <f aca="false">IF(A849="","",IFERROR(IF(E849=MAX(MORTALITY!$A:$A),1000,INDEX(CV_RATES!$J:$J,MATCH(D849,CV_RATES!$C:$C,0))),0))</f>
        <v>914.62117936489</v>
      </c>
      <c r="K849" s="10" t="n">
        <f aca="false">IF(A849="","",IFERROR(I849+H849*(J849-I849),0))</f>
        <v>912.954034089999</v>
      </c>
      <c r="L849" s="10" t="n">
        <f aca="false">IF(A849="","",IFERROR(K849*Inputs!$B$9,0))</f>
        <v>45647.7017045</v>
      </c>
      <c r="M849" s="10" t="n">
        <f aca="false">IF(A849="","",IFERROR(K849*Inputs!$B$10,0))</f>
        <v>146069.906592298</v>
      </c>
      <c r="N849" s="10" t="n">
        <f aca="false">IF(A849="","",Z848)</f>
        <v>0</v>
      </c>
      <c r="O849" s="6" t="n">
        <f aca="false">IF(A849="","",Inputs!$B$18+N849)</f>
        <v>50000</v>
      </c>
      <c r="P849" s="5" t="n">
        <f aca="false">IF(A849="","",VLOOKUP(D849,DIvidend_Assumption!$A$3:$CX$103,($E$2+2),0)/12)</f>
        <v>0</v>
      </c>
      <c r="Q849" s="10" t="n">
        <f aca="false">IF(A849="","",IFERROR(AB848*P849,""))</f>
        <v>0</v>
      </c>
      <c r="R849" s="10" t="n">
        <f aca="false">IF(A849="","",IFERROR(IF(Inputs!$B$22="Accumulate",T849+Q849,IF(Inputs!$B$22="Premium Offset",MAX(0,T849+Q849-Inputs!$B$25),T849)),""))</f>
        <v>0</v>
      </c>
      <c r="S849" s="10" t="n">
        <f aca="false">IF(A849="","",R848)</f>
        <v>0</v>
      </c>
      <c r="T849" s="10" t="n">
        <f aca="false">IF(A849="","",IFERROR(S849*(1+Inputs!$B$23/12),""))</f>
        <v>0</v>
      </c>
      <c r="U849" s="6" t="n">
        <f aca="false">IF(A849="","",IF(D849&lt;=Inputs!$B$8,IF(Inputs!$B$22="Premium Offset",MAX(0,Inputs!$B$25-(Q849+T849)),Inputs!$B$25),0))</f>
        <v>0</v>
      </c>
      <c r="V849" s="10" t="n">
        <f aca="false">IF(A849="","",IF(Inputs!$B$22="Cash",Q849,0))</f>
        <v>0</v>
      </c>
      <c r="W849" s="10" t="n">
        <f aca="false">IF(A849="","",IF(Inputs!$B$22="PUA",Q849,0))</f>
        <v>0</v>
      </c>
      <c r="X849" s="12" t="n">
        <f aca="false">IF(A849="","",IFERROR(INDEX(PUA_TABLE!$D$4:$D$105,MATCH(E849,PUA_TABLE!$C$4:$C$105,1)),0))</f>
        <v>0.909753115162208</v>
      </c>
      <c r="Y849" s="10" t="n">
        <f aca="false">IF(A849="","",IF(W849&gt;0,IF(X849&gt;0,W849/X849,0),0))</f>
        <v>0</v>
      </c>
      <c r="Z849" s="10" t="n">
        <f aca="false">IF(A849="","",N849+Y849)</f>
        <v>0</v>
      </c>
      <c r="AA849" s="10" t="n">
        <f aca="false">IF(A849="","",IFERROR(Z849*INDEX(PUA_TABLE!$I$4:$I$105,MATCH(E849,PUA_TABLE!$C$4:$C$105,1))/1000,0))</f>
        <v>0</v>
      </c>
      <c r="AB849" s="10" t="n">
        <f aca="false">IF(A849="","",IFERROR(L849+AA849,0))</f>
        <v>45647.7017045</v>
      </c>
      <c r="AC849" s="10" t="n">
        <f aca="false">IF(A849="","",IF(Inputs!$B$22="Premium Offset",MIN(Inputs!$B$25,Q849+T849),0))</f>
        <v>0</v>
      </c>
    </row>
    <row r="850" customFormat="false" ht="15" hidden="false" customHeight="false" outlineLevel="0" collapsed="false">
      <c r="A850" s="1" t="n">
        <f aca="false">IF(A849="","",IF(INT((C849+1)/12)+Inputs!$B$7&gt;MAX(MORTALITY!$A:$A),"",Inputs!$B$4))</f>
        <v>34</v>
      </c>
      <c r="B850" s="3" t="n">
        <f aca="false">IF(A850="","",EOMONTH(B849,1))</f>
        <v>47542</v>
      </c>
      <c r="C850" s="1" t="n">
        <f aca="false">IF(A850="","",C849+1)</f>
        <v>848</v>
      </c>
      <c r="D850" s="1" t="n">
        <f aca="false">IF(A850="","",INT(C850/12))</f>
        <v>70</v>
      </c>
      <c r="E850" s="1" t="n">
        <f aca="false">IF(A850="","",D850+Inputs!$B$7)</f>
        <v>86</v>
      </c>
      <c r="F850" s="3" t="n">
        <f aca="false">IF(A850="","",DATE(YEAR(B$2)+D850,MONTH(B$2),DAY(B$2)))</f>
        <v>47274</v>
      </c>
      <c r="G850" s="3" t="n">
        <f aca="false">IF(A850="","",DATE(YEAR(F850)+1,MONTH(F850),DAY(F850)))</f>
        <v>47639</v>
      </c>
      <c r="H850" s="10" t="n">
        <f aca="false">IF(A850="","",IF(G850&gt;F850,(B850-F850)/(G850-F850),0))</f>
        <v>0.734246575342466</v>
      </c>
      <c r="I850" s="10" t="n">
        <f aca="false">IF(A850="","",IFERROR(INDEX(CV_RATES!$I:$I,MATCH(D850,CV_RATES!$C:$C,0)),0))</f>
        <v>909.753115162208</v>
      </c>
      <c r="J850" s="10" t="n">
        <f aca="false">IF(A850="","",IFERROR(IF(E850=MAX(MORTALITY!$A:$A),1000,INDEX(CV_RATES!$J:$J,MATCH(D850,CV_RATES!$C:$C,0))),0))</f>
        <v>914.62117936489</v>
      </c>
      <c r="K850" s="10" t="n">
        <f aca="false">IF(A850="","",IFERROR(I850+H850*(J850-I850),0))</f>
        <v>913.327474631575</v>
      </c>
      <c r="L850" s="10" t="n">
        <f aca="false">IF(A850="","",IFERROR(K850*Inputs!$B$9,0))</f>
        <v>45666.3737315787</v>
      </c>
      <c r="M850" s="10" t="n">
        <f aca="false">IF(A850="","",IFERROR(K850*Inputs!$B$10,0))</f>
        <v>146129.655958628</v>
      </c>
      <c r="N850" s="10" t="n">
        <f aca="false">IF(A850="","",Z849)</f>
        <v>0</v>
      </c>
      <c r="O850" s="6" t="n">
        <f aca="false">IF(A850="","",Inputs!$B$18+N850)</f>
        <v>50000</v>
      </c>
      <c r="P850" s="5" t="n">
        <f aca="false">IF(A850="","",VLOOKUP(D850,DIvidend_Assumption!$A$3:$CX$103,($E$2+2),0)/12)</f>
        <v>0</v>
      </c>
      <c r="Q850" s="10" t="n">
        <f aca="false">IF(A850="","",IFERROR(AB849*P850,""))</f>
        <v>0</v>
      </c>
      <c r="R850" s="10" t="n">
        <f aca="false">IF(A850="","",IFERROR(IF(Inputs!$B$22="Accumulate",T850+Q850,IF(Inputs!$B$22="Premium Offset",MAX(0,T850+Q850-Inputs!$B$25),T850)),""))</f>
        <v>0</v>
      </c>
      <c r="S850" s="10" t="n">
        <f aca="false">IF(A850="","",R849)</f>
        <v>0</v>
      </c>
      <c r="T850" s="10" t="n">
        <f aca="false">IF(A850="","",IFERROR(S850*(1+Inputs!$B$23/12),""))</f>
        <v>0</v>
      </c>
      <c r="U850" s="6" t="n">
        <f aca="false">IF(A850="","",IF(D850&lt;=Inputs!$B$8,IF(Inputs!$B$22="Premium Offset",MAX(0,Inputs!$B$25-(Q850+T850)),Inputs!$B$25),0))</f>
        <v>0</v>
      </c>
      <c r="V850" s="10" t="n">
        <f aca="false">IF(A850="","",IF(Inputs!$B$22="Cash",Q850,0))</f>
        <v>0</v>
      </c>
      <c r="W850" s="10" t="n">
        <f aca="false">IF(A850="","",IF(Inputs!$B$22="PUA",Q850,0))</f>
        <v>0</v>
      </c>
      <c r="X850" s="12" t="n">
        <f aca="false">IF(A850="","",IFERROR(INDEX(PUA_TABLE!$D$4:$D$105,MATCH(E850,PUA_TABLE!$C$4:$C$105,1)),0))</f>
        <v>0.909753115162208</v>
      </c>
      <c r="Y850" s="10" t="n">
        <f aca="false">IF(A850="","",IF(W850&gt;0,IF(X850&gt;0,W850/X850,0),0))</f>
        <v>0</v>
      </c>
      <c r="Z850" s="10" t="n">
        <f aca="false">IF(A850="","",N850+Y850)</f>
        <v>0</v>
      </c>
      <c r="AA850" s="10" t="n">
        <f aca="false">IF(A850="","",IFERROR(Z850*INDEX(PUA_TABLE!$I$4:$I$105,MATCH(E850,PUA_TABLE!$C$4:$C$105,1))/1000,0))</f>
        <v>0</v>
      </c>
      <c r="AB850" s="10" t="n">
        <f aca="false">IF(A850="","",IFERROR(L850+AA850,0))</f>
        <v>45666.3737315787</v>
      </c>
      <c r="AC850" s="10" t="n">
        <f aca="false">IF(A850="","",IF(Inputs!$B$22="Premium Offset",MIN(Inputs!$B$25,Q850+T850),0))</f>
        <v>0</v>
      </c>
    </row>
    <row r="851" customFormat="false" ht="15" hidden="false" customHeight="false" outlineLevel="0" collapsed="false">
      <c r="A851" s="1" t="n">
        <f aca="false">IF(A850="","",IF(INT((C850+1)/12)+Inputs!$B$7&gt;MAX(MORTALITY!$A:$A),"",Inputs!$B$4))</f>
        <v>34</v>
      </c>
      <c r="B851" s="3" t="n">
        <f aca="false">IF(A851="","",EOMONTH(B850,1))</f>
        <v>47573</v>
      </c>
      <c r="C851" s="1" t="n">
        <f aca="false">IF(A851="","",C850+1)</f>
        <v>849</v>
      </c>
      <c r="D851" s="1" t="n">
        <f aca="false">IF(A851="","",INT(C851/12))</f>
        <v>70</v>
      </c>
      <c r="E851" s="1" t="n">
        <f aca="false">IF(A851="","",D851+Inputs!$B$7)</f>
        <v>86</v>
      </c>
      <c r="F851" s="3" t="n">
        <f aca="false">IF(A851="","",DATE(YEAR(B$2)+D851,MONTH(B$2),DAY(B$2)))</f>
        <v>47274</v>
      </c>
      <c r="G851" s="3" t="n">
        <f aca="false">IF(A851="","",DATE(YEAR(F851)+1,MONTH(F851),DAY(F851)))</f>
        <v>47639</v>
      </c>
      <c r="H851" s="10" t="n">
        <f aca="false">IF(A851="","",IF(G851&gt;F851,(B851-F851)/(G851-F851),0))</f>
        <v>0.819178082191781</v>
      </c>
      <c r="I851" s="10" t="n">
        <f aca="false">IF(A851="","",IFERROR(INDEX(CV_RATES!$I:$I,MATCH(D851,CV_RATES!$C:$C,0)),0))</f>
        <v>909.753115162208</v>
      </c>
      <c r="J851" s="10" t="n">
        <f aca="false">IF(A851="","",IFERROR(IF(E851=MAX(MORTALITY!$A:$A),1000,INDEX(CV_RATES!$J:$J,MATCH(D851,CV_RATES!$C:$C,0))),0))</f>
        <v>914.62117936489</v>
      </c>
      <c r="K851" s="10" t="n">
        <f aca="false">IF(A851="","",IFERROR(I851+H851*(J851-I851),0))</f>
        <v>913.740926659748</v>
      </c>
      <c r="L851" s="10" t="n">
        <f aca="false">IF(A851="","",IFERROR(K851*Inputs!$B$9,0))</f>
        <v>45687.0463329874</v>
      </c>
      <c r="M851" s="10" t="n">
        <f aca="false">IF(A851="","",IFERROR(K851*Inputs!$B$10,0))</f>
        <v>146195.80704278</v>
      </c>
      <c r="N851" s="10" t="n">
        <f aca="false">IF(A851="","",Z850)</f>
        <v>0</v>
      </c>
      <c r="O851" s="6" t="n">
        <f aca="false">IF(A851="","",Inputs!$B$18+N851)</f>
        <v>50000</v>
      </c>
      <c r="P851" s="5" t="n">
        <f aca="false">IF(A851="","",VLOOKUP(D851,DIvidend_Assumption!$A$3:$CX$103,($E$2+2),0)/12)</f>
        <v>0</v>
      </c>
      <c r="Q851" s="10" t="n">
        <f aca="false">IF(A851="","",IFERROR(AB850*P851,""))</f>
        <v>0</v>
      </c>
      <c r="R851" s="10" t="n">
        <f aca="false">IF(A851="","",IFERROR(IF(Inputs!$B$22="Accumulate",T851+Q851,IF(Inputs!$B$22="Premium Offset",MAX(0,T851+Q851-Inputs!$B$25),T851)),""))</f>
        <v>0</v>
      </c>
      <c r="S851" s="10" t="n">
        <f aca="false">IF(A851="","",R850)</f>
        <v>0</v>
      </c>
      <c r="T851" s="10" t="n">
        <f aca="false">IF(A851="","",IFERROR(S851*(1+Inputs!$B$23/12),""))</f>
        <v>0</v>
      </c>
      <c r="U851" s="6" t="n">
        <f aca="false">IF(A851="","",IF(D851&lt;=Inputs!$B$8,IF(Inputs!$B$22="Premium Offset",MAX(0,Inputs!$B$25-(Q851+T851)),Inputs!$B$25),0))</f>
        <v>0</v>
      </c>
      <c r="V851" s="10" t="n">
        <f aca="false">IF(A851="","",IF(Inputs!$B$22="Cash",Q851,0))</f>
        <v>0</v>
      </c>
      <c r="W851" s="10" t="n">
        <f aca="false">IF(A851="","",IF(Inputs!$B$22="PUA",Q851,0))</f>
        <v>0</v>
      </c>
      <c r="X851" s="12" t="n">
        <f aca="false">IF(A851="","",IFERROR(INDEX(PUA_TABLE!$D$4:$D$105,MATCH(E851,PUA_TABLE!$C$4:$C$105,1)),0))</f>
        <v>0.909753115162208</v>
      </c>
      <c r="Y851" s="10" t="n">
        <f aca="false">IF(A851="","",IF(W851&gt;0,IF(X851&gt;0,W851/X851,0),0))</f>
        <v>0</v>
      </c>
      <c r="Z851" s="10" t="n">
        <f aca="false">IF(A851="","",N851+Y851)</f>
        <v>0</v>
      </c>
      <c r="AA851" s="10" t="n">
        <f aca="false">IF(A851="","",IFERROR(Z851*INDEX(PUA_TABLE!$I$4:$I$105,MATCH(E851,PUA_TABLE!$C$4:$C$105,1))/1000,0))</f>
        <v>0</v>
      </c>
      <c r="AB851" s="10" t="n">
        <f aca="false">IF(A851="","",IFERROR(L851+AA851,0))</f>
        <v>45687.0463329874</v>
      </c>
      <c r="AC851" s="10" t="n">
        <f aca="false">IF(A851="","",IF(Inputs!$B$22="Premium Offset",MIN(Inputs!$B$25,Q851+T851),0))</f>
        <v>0</v>
      </c>
    </row>
    <row r="852" customFormat="false" ht="15" hidden="false" customHeight="false" outlineLevel="0" collapsed="false">
      <c r="A852" s="1" t="n">
        <f aca="false">IF(A851="","",IF(INT((C851+1)/12)+Inputs!$B$7&gt;MAX(MORTALITY!$A:$A),"",Inputs!$B$4))</f>
        <v>34</v>
      </c>
      <c r="B852" s="3" t="n">
        <f aca="false">IF(A852="","",EOMONTH(B851,1))</f>
        <v>47603</v>
      </c>
      <c r="C852" s="1" t="n">
        <f aca="false">IF(A852="","",C851+1)</f>
        <v>850</v>
      </c>
      <c r="D852" s="1" t="n">
        <f aca="false">IF(A852="","",INT(C852/12))</f>
        <v>70</v>
      </c>
      <c r="E852" s="1" t="n">
        <f aca="false">IF(A852="","",D852+Inputs!$B$7)</f>
        <v>86</v>
      </c>
      <c r="F852" s="3" t="n">
        <f aca="false">IF(A852="","",DATE(YEAR(B$2)+D852,MONTH(B$2),DAY(B$2)))</f>
        <v>47274</v>
      </c>
      <c r="G852" s="3" t="n">
        <f aca="false">IF(A852="","",DATE(YEAR(F852)+1,MONTH(F852),DAY(F852)))</f>
        <v>47639</v>
      </c>
      <c r="H852" s="10" t="n">
        <f aca="false">IF(A852="","",IF(G852&gt;F852,(B852-F852)/(G852-F852),0))</f>
        <v>0.901369863013699</v>
      </c>
      <c r="I852" s="10" t="n">
        <f aca="false">IF(A852="","",IFERROR(INDEX(CV_RATES!$I:$I,MATCH(D852,CV_RATES!$C:$C,0)),0))</f>
        <v>909.753115162208</v>
      </c>
      <c r="J852" s="10" t="n">
        <f aca="false">IF(A852="","",IFERROR(IF(E852=MAX(MORTALITY!$A:$A),1000,INDEX(CV_RATES!$J:$J,MATCH(D852,CV_RATES!$C:$C,0))),0))</f>
        <v>914.62117936489</v>
      </c>
      <c r="K852" s="10" t="n">
        <f aca="false">IF(A852="","",IFERROR(I852+H852*(J852-I852),0))</f>
        <v>914.141041525722</v>
      </c>
      <c r="L852" s="10" t="n">
        <f aca="false">IF(A852="","",IFERROR(K852*Inputs!$B$9,0))</f>
        <v>45707.0520762861</v>
      </c>
      <c r="M852" s="10" t="n">
        <f aca="false">IF(A852="","",IFERROR(K852*Inputs!$B$10,0))</f>
        <v>146259.824220991</v>
      </c>
      <c r="N852" s="10" t="n">
        <f aca="false">IF(A852="","",Z851)</f>
        <v>0</v>
      </c>
      <c r="O852" s="6" t="n">
        <f aca="false">IF(A852="","",Inputs!$B$18+N852)</f>
        <v>50000</v>
      </c>
      <c r="P852" s="5" t="n">
        <f aca="false">IF(A852="","",VLOOKUP(D852,DIvidend_Assumption!$A$3:$CX$103,($E$2+2),0)/12)</f>
        <v>0</v>
      </c>
      <c r="Q852" s="10" t="n">
        <f aca="false">IF(A852="","",IFERROR(AB851*P852,""))</f>
        <v>0</v>
      </c>
      <c r="R852" s="10" t="n">
        <f aca="false">IF(A852="","",IFERROR(IF(Inputs!$B$22="Accumulate",T852+Q852,IF(Inputs!$B$22="Premium Offset",MAX(0,T852+Q852-Inputs!$B$25),T852)),""))</f>
        <v>0</v>
      </c>
      <c r="S852" s="10" t="n">
        <f aca="false">IF(A852="","",R851)</f>
        <v>0</v>
      </c>
      <c r="T852" s="10" t="n">
        <f aca="false">IF(A852="","",IFERROR(S852*(1+Inputs!$B$23/12),""))</f>
        <v>0</v>
      </c>
      <c r="U852" s="6" t="n">
        <f aca="false">IF(A852="","",IF(D852&lt;=Inputs!$B$8,IF(Inputs!$B$22="Premium Offset",MAX(0,Inputs!$B$25-(Q852+T852)),Inputs!$B$25),0))</f>
        <v>0</v>
      </c>
      <c r="V852" s="10" t="n">
        <f aca="false">IF(A852="","",IF(Inputs!$B$22="Cash",Q852,0))</f>
        <v>0</v>
      </c>
      <c r="W852" s="10" t="n">
        <f aca="false">IF(A852="","",IF(Inputs!$B$22="PUA",Q852,0))</f>
        <v>0</v>
      </c>
      <c r="X852" s="12" t="n">
        <f aca="false">IF(A852="","",IFERROR(INDEX(PUA_TABLE!$D$4:$D$105,MATCH(E852,PUA_TABLE!$C$4:$C$105,1)),0))</f>
        <v>0.909753115162208</v>
      </c>
      <c r="Y852" s="10" t="n">
        <f aca="false">IF(A852="","",IF(W852&gt;0,IF(X852&gt;0,W852/X852,0),0))</f>
        <v>0</v>
      </c>
      <c r="Z852" s="10" t="n">
        <f aca="false">IF(A852="","",N852+Y852)</f>
        <v>0</v>
      </c>
      <c r="AA852" s="10" t="n">
        <f aca="false">IF(A852="","",IFERROR(Z852*INDEX(PUA_TABLE!$I$4:$I$105,MATCH(E852,PUA_TABLE!$C$4:$C$105,1))/1000,0))</f>
        <v>0</v>
      </c>
      <c r="AB852" s="10" t="n">
        <f aca="false">IF(A852="","",IFERROR(L852+AA852,0))</f>
        <v>45707.0520762861</v>
      </c>
      <c r="AC852" s="10" t="n">
        <f aca="false">IF(A852="","",IF(Inputs!$B$22="Premium Offset",MIN(Inputs!$B$25,Q852+T852),0))</f>
        <v>0</v>
      </c>
    </row>
    <row r="853" customFormat="false" ht="15" hidden="false" customHeight="false" outlineLevel="0" collapsed="false">
      <c r="A853" s="1" t="n">
        <f aca="false">IF(A852="","",IF(INT((C852+1)/12)+Inputs!$B$7&gt;MAX(MORTALITY!$A:$A),"",Inputs!$B$4))</f>
        <v>34</v>
      </c>
      <c r="B853" s="3" t="n">
        <f aca="false">IF(A853="","",EOMONTH(B852,1))</f>
        <v>47634</v>
      </c>
      <c r="C853" s="1" t="n">
        <f aca="false">IF(A853="","",C852+1)</f>
        <v>851</v>
      </c>
      <c r="D853" s="1" t="n">
        <f aca="false">IF(A853="","",INT(C853/12))</f>
        <v>70</v>
      </c>
      <c r="E853" s="1" t="n">
        <f aca="false">IF(A853="","",D853+Inputs!$B$7)</f>
        <v>86</v>
      </c>
      <c r="F853" s="3" t="n">
        <f aca="false">IF(A853="","",DATE(YEAR(B$2)+D853,MONTH(B$2),DAY(B$2)))</f>
        <v>47274</v>
      </c>
      <c r="G853" s="3" t="n">
        <f aca="false">IF(A853="","",DATE(YEAR(F853)+1,MONTH(F853),DAY(F853)))</f>
        <v>47639</v>
      </c>
      <c r="H853" s="10" t="n">
        <f aca="false">IF(A853="","",IF(G853&gt;F853,(B853-F853)/(G853-F853),0))</f>
        <v>0.986301369863014</v>
      </c>
      <c r="I853" s="10" t="n">
        <f aca="false">IF(A853="","",IFERROR(INDEX(CV_RATES!$I:$I,MATCH(D853,CV_RATES!$C:$C,0)),0))</f>
        <v>909.753115162208</v>
      </c>
      <c r="J853" s="10" t="n">
        <f aca="false">IF(A853="","",IFERROR(IF(E853=MAX(MORTALITY!$A:$A),1000,INDEX(CV_RATES!$J:$J,MATCH(D853,CV_RATES!$C:$C,0))),0))</f>
        <v>914.62117936489</v>
      </c>
      <c r="K853" s="10" t="n">
        <f aca="false">IF(A853="","",IFERROR(I853+H853*(J853-I853),0))</f>
        <v>914.554493553895</v>
      </c>
      <c r="L853" s="10" t="n">
        <f aca="false">IF(A853="","",IFERROR(K853*Inputs!$B$9,0))</f>
        <v>45727.7246776947</v>
      </c>
      <c r="M853" s="10" t="n">
        <f aca="false">IF(A853="","",IFERROR(K853*Inputs!$B$10,0))</f>
        <v>146325.975305143</v>
      </c>
      <c r="N853" s="10" t="n">
        <f aca="false">IF(A853="","",Z852)</f>
        <v>0</v>
      </c>
      <c r="O853" s="6" t="n">
        <f aca="false">IF(A853="","",Inputs!$B$18+N853)</f>
        <v>50000</v>
      </c>
      <c r="P853" s="5" t="n">
        <f aca="false">IF(A853="","",VLOOKUP(D853,DIvidend_Assumption!$A$3:$CX$103,($E$2+2),0)/12)</f>
        <v>0</v>
      </c>
      <c r="Q853" s="10" t="n">
        <f aca="false">IF(A853="","",IFERROR(AB852*P853,""))</f>
        <v>0</v>
      </c>
      <c r="R853" s="10" t="n">
        <f aca="false">IF(A853="","",IFERROR(IF(Inputs!$B$22="Accumulate",T853+Q853,IF(Inputs!$B$22="Premium Offset",MAX(0,T853+Q853-Inputs!$B$25),T853)),""))</f>
        <v>0</v>
      </c>
      <c r="S853" s="10" t="n">
        <f aca="false">IF(A853="","",R852)</f>
        <v>0</v>
      </c>
      <c r="T853" s="10" t="n">
        <f aca="false">IF(A853="","",IFERROR(S853*(1+Inputs!$B$23/12),""))</f>
        <v>0</v>
      </c>
      <c r="U853" s="6" t="n">
        <f aca="false">IF(A853="","",IF(D853&lt;=Inputs!$B$8,IF(Inputs!$B$22="Premium Offset",MAX(0,Inputs!$B$25-(Q853+T853)),Inputs!$B$25),0))</f>
        <v>0</v>
      </c>
      <c r="V853" s="10" t="n">
        <f aca="false">IF(A853="","",IF(Inputs!$B$22="Cash",Q853,0))</f>
        <v>0</v>
      </c>
      <c r="W853" s="10" t="n">
        <f aca="false">IF(A853="","",IF(Inputs!$B$22="PUA",Q853,0))</f>
        <v>0</v>
      </c>
      <c r="X853" s="12" t="n">
        <f aca="false">IF(A853="","",IFERROR(INDEX(PUA_TABLE!$D$4:$D$105,MATCH(E853,PUA_TABLE!$C$4:$C$105,1)),0))</f>
        <v>0.909753115162208</v>
      </c>
      <c r="Y853" s="10" t="n">
        <f aca="false">IF(A853="","",IF(W853&gt;0,IF(X853&gt;0,W853/X853,0),0))</f>
        <v>0</v>
      </c>
      <c r="Z853" s="10" t="n">
        <f aca="false">IF(A853="","",N853+Y853)</f>
        <v>0</v>
      </c>
      <c r="AA853" s="10" t="n">
        <f aca="false">IF(A853="","",IFERROR(Z853*INDEX(PUA_TABLE!$I$4:$I$105,MATCH(E853,PUA_TABLE!$C$4:$C$105,1))/1000,0))</f>
        <v>0</v>
      </c>
      <c r="AB853" s="10" t="n">
        <f aca="false">IF(A853="","",IFERROR(L853+AA853,0))</f>
        <v>45727.7246776947</v>
      </c>
      <c r="AC853" s="10" t="n">
        <f aca="false">IF(A853="","",IF(Inputs!$B$22="Premium Offset",MIN(Inputs!$B$25,Q853+T853),0))</f>
        <v>0</v>
      </c>
    </row>
    <row r="854" customFormat="false" ht="15" hidden="false" customHeight="false" outlineLevel="0" collapsed="false">
      <c r="A854" s="1" t="n">
        <f aca="false">IF(A853="","",IF(INT((C853+1)/12)+Inputs!$B$7&gt;MAX(MORTALITY!$A:$A),"",Inputs!$B$4))</f>
        <v>34</v>
      </c>
      <c r="B854" s="3" t="n">
        <f aca="false">IF(A854="","",EOMONTH(B853,1))</f>
        <v>47664</v>
      </c>
      <c r="C854" s="1" t="n">
        <f aca="false">IF(A854="","",C853+1)</f>
        <v>852</v>
      </c>
      <c r="D854" s="1" t="n">
        <f aca="false">IF(A854="","",INT(C854/12))</f>
        <v>71</v>
      </c>
      <c r="E854" s="1" t="n">
        <f aca="false">IF(A854="","",D854+Inputs!$B$7)</f>
        <v>87</v>
      </c>
      <c r="F854" s="3" t="n">
        <f aca="false">IF(A854="","",DATE(YEAR(B$2)+D854,MONTH(B$2),DAY(B$2)))</f>
        <v>47639</v>
      </c>
      <c r="G854" s="3" t="n">
        <f aca="false">IF(A854="","",DATE(YEAR(F854)+1,MONTH(F854),DAY(F854)))</f>
        <v>48004</v>
      </c>
      <c r="H854" s="10" t="n">
        <f aca="false">IF(A854="","",IF(G854&gt;F854,(B854-F854)/(G854-F854),0))</f>
        <v>0.0684931506849315</v>
      </c>
      <c r="I854" s="10" t="n">
        <f aca="false">IF(A854="","",IFERROR(INDEX(CV_RATES!$I:$I,MATCH(D854,CV_RATES!$C:$C,0)),0))</f>
        <v>914.62117936489</v>
      </c>
      <c r="J854" s="10" t="n">
        <f aca="false">IF(A854="","",IFERROR(IF(E854=MAX(MORTALITY!$A:$A),1000,INDEX(CV_RATES!$J:$J,MATCH(D854,CV_RATES!$C:$C,0))),0))</f>
        <v>919.27206483853</v>
      </c>
      <c r="K854" s="10" t="n">
        <f aca="false">IF(A854="","",IFERROR(I854+H854*(J854-I854),0))</f>
        <v>914.939733164455</v>
      </c>
      <c r="L854" s="10" t="n">
        <f aca="false">IF(A854="","",IFERROR(K854*Inputs!$B$9,0))</f>
        <v>45746.9866582227</v>
      </c>
      <c r="M854" s="10" t="n">
        <f aca="false">IF(A854="","",IFERROR(K854*Inputs!$B$10,0))</f>
        <v>146387.612487113</v>
      </c>
      <c r="N854" s="10" t="n">
        <f aca="false">IF(A854="","",Z853)</f>
        <v>0</v>
      </c>
      <c r="O854" s="6" t="n">
        <f aca="false">IF(A854="","",Inputs!$B$18+N854)</f>
        <v>50000</v>
      </c>
      <c r="P854" s="5" t="n">
        <f aca="false">IF(A854="","",VLOOKUP(D854,DIvidend_Assumption!$A$3:$CX$103,($E$2+2),0)/12)</f>
        <v>0</v>
      </c>
      <c r="Q854" s="10" t="n">
        <f aca="false">IF(A854="","",IFERROR(AB853*P854,""))</f>
        <v>0</v>
      </c>
      <c r="R854" s="10" t="n">
        <f aca="false">IF(A854="","",IFERROR(IF(Inputs!$B$22="Accumulate",T854+Q854,IF(Inputs!$B$22="Premium Offset",MAX(0,T854+Q854-Inputs!$B$25),T854)),""))</f>
        <v>0</v>
      </c>
      <c r="S854" s="10" t="n">
        <f aca="false">IF(A854="","",R853)</f>
        <v>0</v>
      </c>
      <c r="T854" s="10" t="n">
        <f aca="false">IF(A854="","",IFERROR(S854*(1+Inputs!$B$23/12),""))</f>
        <v>0</v>
      </c>
      <c r="U854" s="6" t="n">
        <f aca="false">IF(A854="","",IF(D854&lt;=Inputs!$B$8,IF(Inputs!$B$22="Premium Offset",MAX(0,Inputs!$B$25-(Q854+T854)),Inputs!$B$25),0))</f>
        <v>0</v>
      </c>
      <c r="V854" s="10" t="n">
        <f aca="false">IF(A854="","",IF(Inputs!$B$22="Cash",Q854,0))</f>
        <v>0</v>
      </c>
      <c r="W854" s="10" t="n">
        <f aca="false">IF(A854="","",IF(Inputs!$B$22="PUA",Q854,0))</f>
        <v>0</v>
      </c>
      <c r="X854" s="12" t="n">
        <f aca="false">IF(A854="","",IFERROR(INDEX(PUA_TABLE!$D$4:$D$105,MATCH(E854,PUA_TABLE!$C$4:$C$105,1)),0))</f>
        <v>0.91462117936489</v>
      </c>
      <c r="Y854" s="10" t="n">
        <f aca="false">IF(A854="","",IF(W854&gt;0,IF(X854&gt;0,W854/X854,0),0))</f>
        <v>0</v>
      </c>
      <c r="Z854" s="10" t="n">
        <f aca="false">IF(A854="","",N854+Y854)</f>
        <v>0</v>
      </c>
      <c r="AA854" s="10" t="n">
        <f aca="false">IF(A854="","",IFERROR(Z854*INDEX(PUA_TABLE!$I$4:$I$105,MATCH(E854,PUA_TABLE!$C$4:$C$105,1))/1000,0))</f>
        <v>0</v>
      </c>
      <c r="AB854" s="10" t="n">
        <f aca="false">IF(A854="","",IFERROR(L854+AA854,0))</f>
        <v>45746.9866582227</v>
      </c>
      <c r="AC854" s="10" t="n">
        <f aca="false">IF(A854="","",IF(Inputs!$B$22="Premium Offset",MIN(Inputs!$B$25,Q854+T854),0))</f>
        <v>0</v>
      </c>
    </row>
    <row r="855" customFormat="false" ht="15" hidden="false" customHeight="false" outlineLevel="0" collapsed="false">
      <c r="A855" s="1" t="n">
        <f aca="false">IF(A854="","",IF(INT((C854+1)/12)+Inputs!$B$7&gt;MAX(MORTALITY!$A:$A),"",Inputs!$B$4))</f>
        <v>34</v>
      </c>
      <c r="B855" s="3" t="n">
        <f aca="false">IF(A855="","",EOMONTH(B854,1))</f>
        <v>47695</v>
      </c>
      <c r="C855" s="1" t="n">
        <f aca="false">IF(A855="","",C854+1)</f>
        <v>853</v>
      </c>
      <c r="D855" s="1" t="n">
        <f aca="false">IF(A855="","",INT(C855/12))</f>
        <v>71</v>
      </c>
      <c r="E855" s="1" t="n">
        <f aca="false">IF(A855="","",D855+Inputs!$B$7)</f>
        <v>87</v>
      </c>
      <c r="F855" s="3" t="n">
        <f aca="false">IF(A855="","",DATE(YEAR(B$2)+D855,MONTH(B$2),DAY(B$2)))</f>
        <v>47639</v>
      </c>
      <c r="G855" s="3" t="n">
        <f aca="false">IF(A855="","",DATE(YEAR(F855)+1,MONTH(F855),DAY(F855)))</f>
        <v>48004</v>
      </c>
      <c r="H855" s="10" t="n">
        <f aca="false">IF(A855="","",IF(G855&gt;F855,(B855-F855)/(G855-F855),0))</f>
        <v>0.153424657534247</v>
      </c>
      <c r="I855" s="10" t="n">
        <f aca="false">IF(A855="","",IFERROR(INDEX(CV_RATES!$I:$I,MATCH(D855,CV_RATES!$C:$C,0)),0))</f>
        <v>914.62117936489</v>
      </c>
      <c r="J855" s="10" t="n">
        <f aca="false">IF(A855="","",IFERROR(IF(E855=MAX(MORTALITY!$A:$A),1000,INDEX(CV_RATES!$J:$J,MATCH(D855,CV_RATES!$C:$C,0))),0))</f>
        <v>919.27206483853</v>
      </c>
      <c r="K855" s="10" t="n">
        <f aca="false">IF(A855="","",IFERROR(I855+H855*(J855-I855),0))</f>
        <v>915.334739875915</v>
      </c>
      <c r="L855" s="10" t="n">
        <f aca="false">IF(A855="","",IFERROR(K855*Inputs!$B$9,0))</f>
        <v>45766.7369937957</v>
      </c>
      <c r="M855" s="10" t="n">
        <f aca="false">IF(A855="","",IFERROR(K855*Inputs!$B$10,0))</f>
        <v>146450.812375927</v>
      </c>
      <c r="N855" s="10" t="n">
        <f aca="false">IF(A855="","",Z854)</f>
        <v>0</v>
      </c>
      <c r="O855" s="6" t="n">
        <f aca="false">IF(A855="","",Inputs!$B$18+N855)</f>
        <v>50000</v>
      </c>
      <c r="P855" s="5" t="n">
        <f aca="false">IF(A855="","",VLOOKUP(D855,DIvidend_Assumption!$A$3:$CX$103,($E$2+2),0)/12)</f>
        <v>0</v>
      </c>
      <c r="Q855" s="10" t="n">
        <f aca="false">IF(A855="","",IFERROR(AB854*P855,""))</f>
        <v>0</v>
      </c>
      <c r="R855" s="10" t="n">
        <f aca="false">IF(A855="","",IFERROR(IF(Inputs!$B$22="Accumulate",T855+Q855,IF(Inputs!$B$22="Premium Offset",MAX(0,T855+Q855-Inputs!$B$25),T855)),""))</f>
        <v>0</v>
      </c>
      <c r="S855" s="10" t="n">
        <f aca="false">IF(A855="","",R854)</f>
        <v>0</v>
      </c>
      <c r="T855" s="10" t="n">
        <f aca="false">IF(A855="","",IFERROR(S855*(1+Inputs!$B$23/12),""))</f>
        <v>0</v>
      </c>
      <c r="U855" s="6" t="n">
        <f aca="false">IF(A855="","",IF(D855&lt;=Inputs!$B$8,IF(Inputs!$B$22="Premium Offset",MAX(0,Inputs!$B$25-(Q855+T855)),Inputs!$B$25),0))</f>
        <v>0</v>
      </c>
      <c r="V855" s="10" t="n">
        <f aca="false">IF(A855="","",IF(Inputs!$B$22="Cash",Q855,0))</f>
        <v>0</v>
      </c>
      <c r="W855" s="10" t="n">
        <f aca="false">IF(A855="","",IF(Inputs!$B$22="PUA",Q855,0))</f>
        <v>0</v>
      </c>
      <c r="X855" s="12" t="n">
        <f aca="false">IF(A855="","",IFERROR(INDEX(PUA_TABLE!$D$4:$D$105,MATCH(E855,PUA_TABLE!$C$4:$C$105,1)),0))</f>
        <v>0.91462117936489</v>
      </c>
      <c r="Y855" s="10" t="n">
        <f aca="false">IF(A855="","",IF(W855&gt;0,IF(X855&gt;0,W855/X855,0),0))</f>
        <v>0</v>
      </c>
      <c r="Z855" s="10" t="n">
        <f aca="false">IF(A855="","",N855+Y855)</f>
        <v>0</v>
      </c>
      <c r="AA855" s="10" t="n">
        <f aca="false">IF(A855="","",IFERROR(Z855*INDEX(PUA_TABLE!$I$4:$I$105,MATCH(E855,PUA_TABLE!$C$4:$C$105,1))/1000,0))</f>
        <v>0</v>
      </c>
      <c r="AB855" s="10" t="n">
        <f aca="false">IF(A855="","",IFERROR(L855+AA855,0))</f>
        <v>45766.7369937957</v>
      </c>
      <c r="AC855" s="10" t="n">
        <f aca="false">IF(A855="","",IF(Inputs!$B$22="Premium Offset",MIN(Inputs!$B$25,Q855+T855),0))</f>
        <v>0</v>
      </c>
    </row>
    <row r="856" customFormat="false" ht="15" hidden="false" customHeight="false" outlineLevel="0" collapsed="false">
      <c r="A856" s="1" t="n">
        <f aca="false">IF(A855="","",IF(INT((C855+1)/12)+Inputs!$B$7&gt;MAX(MORTALITY!$A:$A),"",Inputs!$B$4))</f>
        <v>34</v>
      </c>
      <c r="B856" s="3" t="n">
        <f aca="false">IF(A856="","",EOMONTH(B855,1))</f>
        <v>47726</v>
      </c>
      <c r="C856" s="1" t="n">
        <f aca="false">IF(A856="","",C855+1)</f>
        <v>854</v>
      </c>
      <c r="D856" s="1" t="n">
        <f aca="false">IF(A856="","",INT(C856/12))</f>
        <v>71</v>
      </c>
      <c r="E856" s="1" t="n">
        <f aca="false">IF(A856="","",D856+Inputs!$B$7)</f>
        <v>87</v>
      </c>
      <c r="F856" s="3" t="n">
        <f aca="false">IF(A856="","",DATE(YEAR(B$2)+D856,MONTH(B$2),DAY(B$2)))</f>
        <v>47639</v>
      </c>
      <c r="G856" s="3" t="n">
        <f aca="false">IF(A856="","",DATE(YEAR(F856)+1,MONTH(F856),DAY(F856)))</f>
        <v>48004</v>
      </c>
      <c r="H856" s="10" t="n">
        <f aca="false">IF(A856="","",IF(G856&gt;F856,(B856-F856)/(G856-F856),0))</f>
        <v>0.238356164383562</v>
      </c>
      <c r="I856" s="10" t="n">
        <f aca="false">IF(A856="","",IFERROR(INDEX(CV_RATES!$I:$I,MATCH(D856,CV_RATES!$C:$C,0)),0))</f>
        <v>914.62117936489</v>
      </c>
      <c r="J856" s="10" t="n">
        <f aca="false">IF(A856="","",IFERROR(IF(E856=MAX(MORTALITY!$A:$A),1000,INDEX(CV_RATES!$J:$J,MATCH(D856,CV_RATES!$C:$C,0))),0))</f>
        <v>919.27206483853</v>
      </c>
      <c r="K856" s="10" t="n">
        <f aca="false">IF(A856="","",IFERROR(I856+H856*(J856-I856),0))</f>
        <v>915.729746587374</v>
      </c>
      <c r="L856" s="10" t="n">
        <f aca="false">IF(A856="","",IFERROR(K856*Inputs!$B$9,0))</f>
        <v>45786.4873293687</v>
      </c>
      <c r="M856" s="10" t="n">
        <f aca="false">IF(A856="","",IFERROR(K856*Inputs!$B$10,0))</f>
        <v>146514.01226474</v>
      </c>
      <c r="N856" s="10" t="n">
        <f aca="false">IF(A856="","",Z855)</f>
        <v>0</v>
      </c>
      <c r="O856" s="6" t="n">
        <f aca="false">IF(A856="","",Inputs!$B$18+N856)</f>
        <v>50000</v>
      </c>
      <c r="P856" s="5" t="n">
        <f aca="false">IF(A856="","",VLOOKUP(D856,DIvidend_Assumption!$A$3:$CX$103,($E$2+2),0)/12)</f>
        <v>0</v>
      </c>
      <c r="Q856" s="10" t="n">
        <f aca="false">IF(A856="","",IFERROR(AB855*P856,""))</f>
        <v>0</v>
      </c>
      <c r="R856" s="10" t="n">
        <f aca="false">IF(A856="","",IFERROR(IF(Inputs!$B$22="Accumulate",T856+Q856,IF(Inputs!$B$22="Premium Offset",MAX(0,T856+Q856-Inputs!$B$25),T856)),""))</f>
        <v>0</v>
      </c>
      <c r="S856" s="10" t="n">
        <f aca="false">IF(A856="","",R855)</f>
        <v>0</v>
      </c>
      <c r="T856" s="10" t="n">
        <f aca="false">IF(A856="","",IFERROR(S856*(1+Inputs!$B$23/12),""))</f>
        <v>0</v>
      </c>
      <c r="U856" s="6" t="n">
        <f aca="false">IF(A856="","",IF(D856&lt;=Inputs!$B$8,IF(Inputs!$B$22="Premium Offset",MAX(0,Inputs!$B$25-(Q856+T856)),Inputs!$B$25),0))</f>
        <v>0</v>
      </c>
      <c r="V856" s="10" t="n">
        <f aca="false">IF(A856="","",IF(Inputs!$B$22="Cash",Q856,0))</f>
        <v>0</v>
      </c>
      <c r="W856" s="10" t="n">
        <f aca="false">IF(A856="","",IF(Inputs!$B$22="PUA",Q856,0))</f>
        <v>0</v>
      </c>
      <c r="X856" s="12" t="n">
        <f aca="false">IF(A856="","",IFERROR(INDEX(PUA_TABLE!$D$4:$D$105,MATCH(E856,PUA_TABLE!$C$4:$C$105,1)),0))</f>
        <v>0.91462117936489</v>
      </c>
      <c r="Y856" s="10" t="n">
        <f aca="false">IF(A856="","",IF(W856&gt;0,IF(X856&gt;0,W856/X856,0),0))</f>
        <v>0</v>
      </c>
      <c r="Z856" s="10" t="n">
        <f aca="false">IF(A856="","",N856+Y856)</f>
        <v>0</v>
      </c>
      <c r="AA856" s="10" t="n">
        <f aca="false">IF(A856="","",IFERROR(Z856*INDEX(PUA_TABLE!$I$4:$I$105,MATCH(E856,PUA_TABLE!$C$4:$C$105,1))/1000,0))</f>
        <v>0</v>
      </c>
      <c r="AB856" s="10" t="n">
        <f aca="false">IF(A856="","",IFERROR(L856+AA856,0))</f>
        <v>45786.4873293687</v>
      </c>
      <c r="AC856" s="10" t="n">
        <f aca="false">IF(A856="","",IF(Inputs!$B$22="Premium Offset",MIN(Inputs!$B$25,Q856+T856),0))</f>
        <v>0</v>
      </c>
    </row>
    <row r="857" customFormat="false" ht="15" hidden="false" customHeight="false" outlineLevel="0" collapsed="false">
      <c r="A857" s="1" t="n">
        <f aca="false">IF(A856="","",IF(INT((C856+1)/12)+Inputs!$B$7&gt;MAX(MORTALITY!$A:$A),"",Inputs!$B$4))</f>
        <v>34</v>
      </c>
      <c r="B857" s="3" t="n">
        <f aca="false">IF(A857="","",EOMONTH(B856,1))</f>
        <v>47756</v>
      </c>
      <c r="C857" s="1" t="n">
        <f aca="false">IF(A857="","",C856+1)</f>
        <v>855</v>
      </c>
      <c r="D857" s="1" t="n">
        <f aca="false">IF(A857="","",INT(C857/12))</f>
        <v>71</v>
      </c>
      <c r="E857" s="1" t="n">
        <f aca="false">IF(A857="","",D857+Inputs!$B$7)</f>
        <v>87</v>
      </c>
      <c r="F857" s="3" t="n">
        <f aca="false">IF(A857="","",DATE(YEAR(B$2)+D857,MONTH(B$2),DAY(B$2)))</f>
        <v>47639</v>
      </c>
      <c r="G857" s="3" t="n">
        <f aca="false">IF(A857="","",DATE(YEAR(F857)+1,MONTH(F857),DAY(F857)))</f>
        <v>48004</v>
      </c>
      <c r="H857" s="10" t="n">
        <f aca="false">IF(A857="","",IF(G857&gt;F857,(B857-F857)/(G857-F857),0))</f>
        <v>0.320547945205479</v>
      </c>
      <c r="I857" s="10" t="n">
        <f aca="false">IF(A857="","",IFERROR(INDEX(CV_RATES!$I:$I,MATCH(D857,CV_RATES!$C:$C,0)),0))</f>
        <v>914.62117936489</v>
      </c>
      <c r="J857" s="10" t="n">
        <f aca="false">IF(A857="","",IFERROR(IF(E857=MAX(MORTALITY!$A:$A),1000,INDEX(CV_RATES!$J:$J,MATCH(D857,CV_RATES!$C:$C,0))),0))</f>
        <v>919.27206483853</v>
      </c>
      <c r="K857" s="10" t="n">
        <f aca="false">IF(A857="","",IFERROR(I857+H857*(J857-I857),0))</f>
        <v>916.112011146852</v>
      </c>
      <c r="L857" s="10" t="n">
        <f aca="false">IF(A857="","",IFERROR(K857*Inputs!$B$9,0))</f>
        <v>45805.6005573426</v>
      </c>
      <c r="M857" s="10" t="n">
        <f aca="false">IF(A857="","",IFERROR(K857*Inputs!$B$10,0))</f>
        <v>146575.173447463</v>
      </c>
      <c r="N857" s="10" t="n">
        <f aca="false">IF(A857="","",Z856)</f>
        <v>0</v>
      </c>
      <c r="O857" s="6" t="n">
        <f aca="false">IF(A857="","",Inputs!$B$18+N857)</f>
        <v>50000</v>
      </c>
      <c r="P857" s="5" t="n">
        <f aca="false">IF(A857="","",VLOOKUP(D857,DIvidend_Assumption!$A$3:$CX$103,($E$2+2),0)/12)</f>
        <v>0</v>
      </c>
      <c r="Q857" s="10" t="n">
        <f aca="false">IF(A857="","",IFERROR(AB856*P857,""))</f>
        <v>0</v>
      </c>
      <c r="R857" s="10" t="n">
        <f aca="false">IF(A857="","",IFERROR(IF(Inputs!$B$22="Accumulate",T857+Q857,IF(Inputs!$B$22="Premium Offset",MAX(0,T857+Q857-Inputs!$B$25),T857)),""))</f>
        <v>0</v>
      </c>
      <c r="S857" s="10" t="n">
        <f aca="false">IF(A857="","",R856)</f>
        <v>0</v>
      </c>
      <c r="T857" s="10" t="n">
        <f aca="false">IF(A857="","",IFERROR(S857*(1+Inputs!$B$23/12),""))</f>
        <v>0</v>
      </c>
      <c r="U857" s="6" t="n">
        <f aca="false">IF(A857="","",IF(D857&lt;=Inputs!$B$8,IF(Inputs!$B$22="Premium Offset",MAX(0,Inputs!$B$25-(Q857+T857)),Inputs!$B$25),0))</f>
        <v>0</v>
      </c>
      <c r="V857" s="10" t="n">
        <f aca="false">IF(A857="","",IF(Inputs!$B$22="Cash",Q857,0))</f>
        <v>0</v>
      </c>
      <c r="W857" s="10" t="n">
        <f aca="false">IF(A857="","",IF(Inputs!$B$22="PUA",Q857,0))</f>
        <v>0</v>
      </c>
      <c r="X857" s="12" t="n">
        <f aca="false">IF(A857="","",IFERROR(INDEX(PUA_TABLE!$D$4:$D$105,MATCH(E857,PUA_TABLE!$C$4:$C$105,1)),0))</f>
        <v>0.91462117936489</v>
      </c>
      <c r="Y857" s="10" t="n">
        <f aca="false">IF(A857="","",IF(W857&gt;0,IF(X857&gt;0,W857/X857,0),0))</f>
        <v>0</v>
      </c>
      <c r="Z857" s="10" t="n">
        <f aca="false">IF(A857="","",N857+Y857)</f>
        <v>0</v>
      </c>
      <c r="AA857" s="10" t="n">
        <f aca="false">IF(A857="","",IFERROR(Z857*INDEX(PUA_TABLE!$I$4:$I$105,MATCH(E857,PUA_TABLE!$C$4:$C$105,1))/1000,0))</f>
        <v>0</v>
      </c>
      <c r="AB857" s="10" t="n">
        <f aca="false">IF(A857="","",IFERROR(L857+AA857,0))</f>
        <v>45805.6005573426</v>
      </c>
      <c r="AC857" s="10" t="n">
        <f aca="false">IF(A857="","",IF(Inputs!$B$22="Premium Offset",MIN(Inputs!$B$25,Q857+T857),0))</f>
        <v>0</v>
      </c>
    </row>
    <row r="858" customFormat="false" ht="15" hidden="false" customHeight="false" outlineLevel="0" collapsed="false">
      <c r="A858" s="1" t="n">
        <f aca="false">IF(A857="","",IF(INT((C857+1)/12)+Inputs!$B$7&gt;MAX(MORTALITY!$A:$A),"",Inputs!$B$4))</f>
        <v>34</v>
      </c>
      <c r="B858" s="3" t="n">
        <f aca="false">IF(A858="","",EOMONTH(B857,1))</f>
        <v>47787</v>
      </c>
      <c r="C858" s="1" t="n">
        <f aca="false">IF(A858="","",C857+1)</f>
        <v>856</v>
      </c>
      <c r="D858" s="1" t="n">
        <f aca="false">IF(A858="","",INT(C858/12))</f>
        <v>71</v>
      </c>
      <c r="E858" s="1" t="n">
        <f aca="false">IF(A858="","",D858+Inputs!$B$7)</f>
        <v>87</v>
      </c>
      <c r="F858" s="3" t="n">
        <f aca="false">IF(A858="","",DATE(YEAR(B$2)+D858,MONTH(B$2),DAY(B$2)))</f>
        <v>47639</v>
      </c>
      <c r="G858" s="3" t="n">
        <f aca="false">IF(A858="","",DATE(YEAR(F858)+1,MONTH(F858),DAY(F858)))</f>
        <v>48004</v>
      </c>
      <c r="H858" s="10" t="n">
        <f aca="false">IF(A858="","",IF(G858&gt;F858,(B858-F858)/(G858-F858),0))</f>
        <v>0.405479452054795</v>
      </c>
      <c r="I858" s="10" t="n">
        <f aca="false">IF(A858="","",IFERROR(INDEX(CV_RATES!$I:$I,MATCH(D858,CV_RATES!$C:$C,0)),0))</f>
        <v>914.62117936489</v>
      </c>
      <c r="J858" s="10" t="n">
        <f aca="false">IF(A858="","",IFERROR(IF(E858=MAX(MORTALITY!$A:$A),1000,INDEX(CV_RATES!$J:$J,MATCH(D858,CV_RATES!$C:$C,0))),0))</f>
        <v>919.27206483853</v>
      </c>
      <c r="K858" s="10" t="n">
        <f aca="false">IF(A858="","",IFERROR(I858+H858*(J858-I858),0))</f>
        <v>916.507017858311</v>
      </c>
      <c r="L858" s="10" t="n">
        <f aca="false">IF(A858="","",IFERROR(K858*Inputs!$B$9,0))</f>
        <v>45825.3508929156</v>
      </c>
      <c r="M858" s="10" t="n">
        <f aca="false">IF(A858="","",IFERROR(K858*Inputs!$B$10,0))</f>
        <v>146638.373336276</v>
      </c>
      <c r="N858" s="10" t="n">
        <f aca="false">IF(A858="","",Z857)</f>
        <v>0</v>
      </c>
      <c r="O858" s="6" t="n">
        <f aca="false">IF(A858="","",Inputs!$B$18+N858)</f>
        <v>50000</v>
      </c>
      <c r="P858" s="5" t="n">
        <f aca="false">IF(A858="","",VLOOKUP(D858,DIvidend_Assumption!$A$3:$CX$103,($E$2+2),0)/12)</f>
        <v>0</v>
      </c>
      <c r="Q858" s="10" t="n">
        <f aca="false">IF(A858="","",IFERROR(AB857*P858,""))</f>
        <v>0</v>
      </c>
      <c r="R858" s="10" t="n">
        <f aca="false">IF(A858="","",IFERROR(IF(Inputs!$B$22="Accumulate",T858+Q858,IF(Inputs!$B$22="Premium Offset",MAX(0,T858+Q858-Inputs!$B$25),T858)),""))</f>
        <v>0</v>
      </c>
      <c r="S858" s="10" t="n">
        <f aca="false">IF(A858="","",R857)</f>
        <v>0</v>
      </c>
      <c r="T858" s="10" t="n">
        <f aca="false">IF(A858="","",IFERROR(S858*(1+Inputs!$B$23/12),""))</f>
        <v>0</v>
      </c>
      <c r="U858" s="6" t="n">
        <f aca="false">IF(A858="","",IF(D858&lt;=Inputs!$B$8,IF(Inputs!$B$22="Premium Offset",MAX(0,Inputs!$B$25-(Q858+T858)),Inputs!$B$25),0))</f>
        <v>0</v>
      </c>
      <c r="V858" s="10" t="n">
        <f aca="false">IF(A858="","",IF(Inputs!$B$22="Cash",Q858,0))</f>
        <v>0</v>
      </c>
      <c r="W858" s="10" t="n">
        <f aca="false">IF(A858="","",IF(Inputs!$B$22="PUA",Q858,0))</f>
        <v>0</v>
      </c>
      <c r="X858" s="12" t="n">
        <f aca="false">IF(A858="","",IFERROR(INDEX(PUA_TABLE!$D$4:$D$105,MATCH(E858,PUA_TABLE!$C$4:$C$105,1)),0))</f>
        <v>0.91462117936489</v>
      </c>
      <c r="Y858" s="10" t="n">
        <f aca="false">IF(A858="","",IF(W858&gt;0,IF(X858&gt;0,W858/X858,0),0))</f>
        <v>0</v>
      </c>
      <c r="Z858" s="10" t="n">
        <f aca="false">IF(A858="","",N858+Y858)</f>
        <v>0</v>
      </c>
      <c r="AA858" s="10" t="n">
        <f aca="false">IF(A858="","",IFERROR(Z858*INDEX(PUA_TABLE!$I$4:$I$105,MATCH(E858,PUA_TABLE!$C$4:$C$105,1))/1000,0))</f>
        <v>0</v>
      </c>
      <c r="AB858" s="10" t="n">
        <f aca="false">IF(A858="","",IFERROR(L858+AA858,0))</f>
        <v>45825.3508929156</v>
      </c>
      <c r="AC858" s="10" t="n">
        <f aca="false">IF(A858="","",IF(Inputs!$B$22="Premium Offset",MIN(Inputs!$B$25,Q858+T858),0))</f>
        <v>0</v>
      </c>
    </row>
    <row r="859" customFormat="false" ht="15" hidden="false" customHeight="false" outlineLevel="0" collapsed="false">
      <c r="A859" s="1" t="n">
        <f aca="false">IF(A858="","",IF(INT((C858+1)/12)+Inputs!$B$7&gt;MAX(MORTALITY!$A:$A),"",Inputs!$B$4))</f>
        <v>34</v>
      </c>
      <c r="B859" s="3" t="n">
        <f aca="false">IF(A859="","",EOMONTH(B858,1))</f>
        <v>47817</v>
      </c>
      <c r="C859" s="1" t="n">
        <f aca="false">IF(A859="","",C858+1)</f>
        <v>857</v>
      </c>
      <c r="D859" s="1" t="n">
        <f aca="false">IF(A859="","",INT(C859/12))</f>
        <v>71</v>
      </c>
      <c r="E859" s="1" t="n">
        <f aca="false">IF(A859="","",D859+Inputs!$B$7)</f>
        <v>87</v>
      </c>
      <c r="F859" s="3" t="n">
        <f aca="false">IF(A859="","",DATE(YEAR(B$2)+D859,MONTH(B$2),DAY(B$2)))</f>
        <v>47639</v>
      </c>
      <c r="G859" s="3" t="n">
        <f aca="false">IF(A859="","",DATE(YEAR(F859)+1,MONTH(F859),DAY(F859)))</f>
        <v>48004</v>
      </c>
      <c r="H859" s="10" t="n">
        <f aca="false">IF(A859="","",IF(G859&gt;F859,(B859-F859)/(G859-F859),0))</f>
        <v>0.487671232876712</v>
      </c>
      <c r="I859" s="10" t="n">
        <f aca="false">IF(A859="","",IFERROR(INDEX(CV_RATES!$I:$I,MATCH(D859,CV_RATES!$C:$C,0)),0))</f>
        <v>914.62117936489</v>
      </c>
      <c r="J859" s="10" t="n">
        <f aca="false">IF(A859="","",IFERROR(IF(E859=MAX(MORTALITY!$A:$A),1000,INDEX(CV_RATES!$J:$J,MATCH(D859,CV_RATES!$C:$C,0))),0))</f>
        <v>919.27206483853</v>
      </c>
      <c r="K859" s="10" t="n">
        <f aca="false">IF(A859="","",IFERROR(I859+H859*(J859-I859),0))</f>
        <v>916.889282417789</v>
      </c>
      <c r="L859" s="10" t="n">
        <f aca="false">IF(A859="","",IFERROR(K859*Inputs!$B$9,0))</f>
        <v>45844.4641208894</v>
      </c>
      <c r="M859" s="10" t="n">
        <f aca="false">IF(A859="","",IFERROR(K859*Inputs!$B$10,0))</f>
        <v>146699.534518999</v>
      </c>
      <c r="N859" s="10" t="n">
        <f aca="false">IF(A859="","",Z858)</f>
        <v>0</v>
      </c>
      <c r="O859" s="6" t="n">
        <f aca="false">IF(A859="","",Inputs!$B$18+N859)</f>
        <v>50000</v>
      </c>
      <c r="P859" s="5" t="n">
        <f aca="false">IF(A859="","",VLOOKUP(D859,DIvidend_Assumption!$A$3:$CX$103,($E$2+2),0)/12)</f>
        <v>0</v>
      </c>
      <c r="Q859" s="10" t="n">
        <f aca="false">IF(A859="","",IFERROR(AB858*P859,""))</f>
        <v>0</v>
      </c>
      <c r="R859" s="10" t="n">
        <f aca="false">IF(A859="","",IFERROR(IF(Inputs!$B$22="Accumulate",T859+Q859,IF(Inputs!$B$22="Premium Offset",MAX(0,T859+Q859-Inputs!$B$25),T859)),""))</f>
        <v>0</v>
      </c>
      <c r="S859" s="10" t="n">
        <f aca="false">IF(A859="","",R858)</f>
        <v>0</v>
      </c>
      <c r="T859" s="10" t="n">
        <f aca="false">IF(A859="","",IFERROR(S859*(1+Inputs!$B$23/12),""))</f>
        <v>0</v>
      </c>
      <c r="U859" s="6" t="n">
        <f aca="false">IF(A859="","",IF(D859&lt;=Inputs!$B$8,IF(Inputs!$B$22="Premium Offset",MAX(0,Inputs!$B$25-(Q859+T859)),Inputs!$B$25),0))</f>
        <v>0</v>
      </c>
      <c r="V859" s="10" t="n">
        <f aca="false">IF(A859="","",IF(Inputs!$B$22="Cash",Q859,0))</f>
        <v>0</v>
      </c>
      <c r="W859" s="10" t="n">
        <f aca="false">IF(A859="","",IF(Inputs!$B$22="PUA",Q859,0))</f>
        <v>0</v>
      </c>
      <c r="X859" s="12" t="n">
        <f aca="false">IF(A859="","",IFERROR(INDEX(PUA_TABLE!$D$4:$D$105,MATCH(E859,PUA_TABLE!$C$4:$C$105,1)),0))</f>
        <v>0.91462117936489</v>
      </c>
      <c r="Y859" s="10" t="n">
        <f aca="false">IF(A859="","",IF(W859&gt;0,IF(X859&gt;0,W859/X859,0),0))</f>
        <v>0</v>
      </c>
      <c r="Z859" s="10" t="n">
        <f aca="false">IF(A859="","",N859+Y859)</f>
        <v>0</v>
      </c>
      <c r="AA859" s="10" t="n">
        <f aca="false">IF(A859="","",IFERROR(Z859*INDEX(PUA_TABLE!$I$4:$I$105,MATCH(E859,PUA_TABLE!$C$4:$C$105,1))/1000,0))</f>
        <v>0</v>
      </c>
      <c r="AB859" s="10" t="n">
        <f aca="false">IF(A859="","",IFERROR(L859+AA859,0))</f>
        <v>45844.4641208894</v>
      </c>
      <c r="AC859" s="10" t="n">
        <f aca="false">IF(A859="","",IF(Inputs!$B$22="Premium Offset",MIN(Inputs!$B$25,Q859+T859),0))</f>
        <v>0</v>
      </c>
    </row>
    <row r="860" customFormat="false" ht="15" hidden="false" customHeight="false" outlineLevel="0" collapsed="false">
      <c r="A860" s="1" t="n">
        <f aca="false">IF(A859="","",IF(INT((C859+1)/12)+Inputs!$B$7&gt;MAX(MORTALITY!$A:$A),"",Inputs!$B$4))</f>
        <v>34</v>
      </c>
      <c r="B860" s="3" t="n">
        <f aca="false">IF(A860="","",EOMONTH(B859,1))</f>
        <v>47848</v>
      </c>
      <c r="C860" s="1" t="n">
        <f aca="false">IF(A860="","",C859+1)</f>
        <v>858</v>
      </c>
      <c r="D860" s="1" t="n">
        <f aca="false">IF(A860="","",INT(C860/12))</f>
        <v>71</v>
      </c>
      <c r="E860" s="1" t="n">
        <f aca="false">IF(A860="","",D860+Inputs!$B$7)</f>
        <v>87</v>
      </c>
      <c r="F860" s="3" t="n">
        <f aca="false">IF(A860="","",DATE(YEAR(B$2)+D860,MONTH(B$2),DAY(B$2)))</f>
        <v>47639</v>
      </c>
      <c r="G860" s="3" t="n">
        <f aca="false">IF(A860="","",DATE(YEAR(F860)+1,MONTH(F860),DAY(F860)))</f>
        <v>48004</v>
      </c>
      <c r="H860" s="10" t="n">
        <f aca="false">IF(A860="","",IF(G860&gt;F860,(B860-F860)/(G860-F860),0))</f>
        <v>0.572602739726027</v>
      </c>
      <c r="I860" s="10" t="n">
        <f aca="false">IF(A860="","",IFERROR(INDEX(CV_RATES!$I:$I,MATCH(D860,CV_RATES!$C:$C,0)),0))</f>
        <v>914.62117936489</v>
      </c>
      <c r="J860" s="10" t="n">
        <f aca="false">IF(A860="","",IFERROR(IF(E860=MAX(MORTALITY!$A:$A),1000,INDEX(CV_RATES!$J:$J,MATCH(D860,CV_RATES!$C:$C,0))),0))</f>
        <v>919.27206483853</v>
      </c>
      <c r="K860" s="10" t="n">
        <f aca="false">IF(A860="","",IFERROR(I860+H860*(J860-I860),0))</f>
        <v>917.284289129248</v>
      </c>
      <c r="L860" s="10" t="n">
        <f aca="false">IF(A860="","",IFERROR(K860*Inputs!$B$9,0))</f>
        <v>45864.2144564624</v>
      </c>
      <c r="M860" s="10" t="n">
        <f aca="false">IF(A860="","",IFERROR(K860*Inputs!$B$10,0))</f>
        <v>146762.734407812</v>
      </c>
      <c r="N860" s="10" t="n">
        <f aca="false">IF(A860="","",Z859)</f>
        <v>0</v>
      </c>
      <c r="O860" s="6" t="n">
        <f aca="false">IF(A860="","",Inputs!$B$18+N860)</f>
        <v>50000</v>
      </c>
      <c r="P860" s="5" t="n">
        <f aca="false">IF(A860="","",VLOOKUP(D860,DIvidend_Assumption!$A$3:$CX$103,($E$2+2),0)/12)</f>
        <v>0</v>
      </c>
      <c r="Q860" s="10" t="n">
        <f aca="false">IF(A860="","",IFERROR(AB859*P860,""))</f>
        <v>0</v>
      </c>
      <c r="R860" s="10" t="n">
        <f aca="false">IF(A860="","",IFERROR(IF(Inputs!$B$22="Accumulate",T860+Q860,IF(Inputs!$B$22="Premium Offset",MAX(0,T860+Q860-Inputs!$B$25),T860)),""))</f>
        <v>0</v>
      </c>
      <c r="S860" s="10" t="n">
        <f aca="false">IF(A860="","",R859)</f>
        <v>0</v>
      </c>
      <c r="T860" s="10" t="n">
        <f aca="false">IF(A860="","",IFERROR(S860*(1+Inputs!$B$23/12),""))</f>
        <v>0</v>
      </c>
      <c r="U860" s="6" t="n">
        <f aca="false">IF(A860="","",IF(D860&lt;=Inputs!$B$8,IF(Inputs!$B$22="Premium Offset",MAX(0,Inputs!$B$25-(Q860+T860)),Inputs!$B$25),0))</f>
        <v>0</v>
      </c>
      <c r="V860" s="10" t="n">
        <f aca="false">IF(A860="","",IF(Inputs!$B$22="Cash",Q860,0))</f>
        <v>0</v>
      </c>
      <c r="W860" s="10" t="n">
        <f aca="false">IF(A860="","",IF(Inputs!$B$22="PUA",Q860,0))</f>
        <v>0</v>
      </c>
      <c r="X860" s="12" t="n">
        <f aca="false">IF(A860="","",IFERROR(INDEX(PUA_TABLE!$D$4:$D$105,MATCH(E860,PUA_TABLE!$C$4:$C$105,1)),0))</f>
        <v>0.91462117936489</v>
      </c>
      <c r="Y860" s="10" t="n">
        <f aca="false">IF(A860="","",IF(W860&gt;0,IF(X860&gt;0,W860/X860,0),0))</f>
        <v>0</v>
      </c>
      <c r="Z860" s="10" t="n">
        <f aca="false">IF(A860="","",N860+Y860)</f>
        <v>0</v>
      </c>
      <c r="AA860" s="10" t="n">
        <f aca="false">IF(A860="","",IFERROR(Z860*INDEX(PUA_TABLE!$I$4:$I$105,MATCH(E860,PUA_TABLE!$C$4:$C$105,1))/1000,0))</f>
        <v>0</v>
      </c>
      <c r="AB860" s="10" t="n">
        <f aca="false">IF(A860="","",IFERROR(L860+AA860,0))</f>
        <v>45864.2144564624</v>
      </c>
      <c r="AC860" s="10" t="n">
        <f aca="false">IF(A860="","",IF(Inputs!$B$22="Premium Offset",MIN(Inputs!$B$25,Q860+T860),0))</f>
        <v>0</v>
      </c>
    </row>
    <row r="861" customFormat="false" ht="15" hidden="false" customHeight="false" outlineLevel="0" collapsed="false">
      <c r="A861" s="1" t="n">
        <f aca="false">IF(A860="","",IF(INT((C860+1)/12)+Inputs!$B$7&gt;MAX(MORTALITY!$A:$A),"",Inputs!$B$4))</f>
        <v>34</v>
      </c>
      <c r="B861" s="3" t="n">
        <f aca="false">IF(A861="","",EOMONTH(B860,1))</f>
        <v>47879</v>
      </c>
      <c r="C861" s="1" t="n">
        <f aca="false">IF(A861="","",C860+1)</f>
        <v>859</v>
      </c>
      <c r="D861" s="1" t="n">
        <f aca="false">IF(A861="","",INT(C861/12))</f>
        <v>71</v>
      </c>
      <c r="E861" s="1" t="n">
        <f aca="false">IF(A861="","",D861+Inputs!$B$7)</f>
        <v>87</v>
      </c>
      <c r="F861" s="3" t="n">
        <f aca="false">IF(A861="","",DATE(YEAR(B$2)+D861,MONTH(B$2),DAY(B$2)))</f>
        <v>47639</v>
      </c>
      <c r="G861" s="3" t="n">
        <f aca="false">IF(A861="","",DATE(YEAR(F861)+1,MONTH(F861),DAY(F861)))</f>
        <v>48004</v>
      </c>
      <c r="H861" s="10" t="n">
        <f aca="false">IF(A861="","",IF(G861&gt;F861,(B861-F861)/(G861-F861),0))</f>
        <v>0.657534246575342</v>
      </c>
      <c r="I861" s="10" t="n">
        <f aca="false">IF(A861="","",IFERROR(INDEX(CV_RATES!$I:$I,MATCH(D861,CV_RATES!$C:$C,0)),0))</f>
        <v>914.62117936489</v>
      </c>
      <c r="J861" s="10" t="n">
        <f aca="false">IF(A861="","",IFERROR(IF(E861=MAX(MORTALITY!$A:$A),1000,INDEX(CV_RATES!$J:$J,MATCH(D861,CV_RATES!$C:$C,0))),0))</f>
        <v>919.27206483853</v>
      </c>
      <c r="K861" s="10" t="n">
        <f aca="false">IF(A861="","",IFERROR(I861+H861*(J861-I861),0))</f>
        <v>917.679295840708</v>
      </c>
      <c r="L861" s="10" t="n">
        <f aca="false">IF(A861="","",IFERROR(K861*Inputs!$B$9,0))</f>
        <v>45883.9647920354</v>
      </c>
      <c r="M861" s="10" t="n">
        <f aca="false">IF(A861="","",IFERROR(K861*Inputs!$B$10,0))</f>
        <v>146825.934296626</v>
      </c>
      <c r="N861" s="10" t="n">
        <f aca="false">IF(A861="","",Z860)</f>
        <v>0</v>
      </c>
      <c r="O861" s="6" t="n">
        <f aca="false">IF(A861="","",Inputs!$B$18+N861)</f>
        <v>50000</v>
      </c>
      <c r="P861" s="5" t="n">
        <f aca="false">IF(A861="","",VLOOKUP(D861,DIvidend_Assumption!$A$3:$CX$103,($E$2+2),0)/12)</f>
        <v>0</v>
      </c>
      <c r="Q861" s="10" t="n">
        <f aca="false">IF(A861="","",IFERROR(AB860*P861,""))</f>
        <v>0</v>
      </c>
      <c r="R861" s="10" t="n">
        <f aca="false">IF(A861="","",IFERROR(IF(Inputs!$B$22="Accumulate",T861+Q861,IF(Inputs!$B$22="Premium Offset",MAX(0,T861+Q861-Inputs!$B$25),T861)),""))</f>
        <v>0</v>
      </c>
      <c r="S861" s="10" t="n">
        <f aca="false">IF(A861="","",R860)</f>
        <v>0</v>
      </c>
      <c r="T861" s="10" t="n">
        <f aca="false">IF(A861="","",IFERROR(S861*(1+Inputs!$B$23/12),""))</f>
        <v>0</v>
      </c>
      <c r="U861" s="6" t="n">
        <f aca="false">IF(A861="","",IF(D861&lt;=Inputs!$B$8,IF(Inputs!$B$22="Premium Offset",MAX(0,Inputs!$B$25-(Q861+T861)),Inputs!$B$25),0))</f>
        <v>0</v>
      </c>
      <c r="V861" s="10" t="n">
        <f aca="false">IF(A861="","",IF(Inputs!$B$22="Cash",Q861,0))</f>
        <v>0</v>
      </c>
      <c r="W861" s="10" t="n">
        <f aca="false">IF(A861="","",IF(Inputs!$B$22="PUA",Q861,0))</f>
        <v>0</v>
      </c>
      <c r="X861" s="12" t="n">
        <f aca="false">IF(A861="","",IFERROR(INDEX(PUA_TABLE!$D$4:$D$105,MATCH(E861,PUA_TABLE!$C$4:$C$105,1)),0))</f>
        <v>0.91462117936489</v>
      </c>
      <c r="Y861" s="10" t="n">
        <f aca="false">IF(A861="","",IF(W861&gt;0,IF(X861&gt;0,W861/X861,0),0))</f>
        <v>0</v>
      </c>
      <c r="Z861" s="10" t="n">
        <f aca="false">IF(A861="","",N861+Y861)</f>
        <v>0</v>
      </c>
      <c r="AA861" s="10" t="n">
        <f aca="false">IF(A861="","",IFERROR(Z861*INDEX(PUA_TABLE!$I$4:$I$105,MATCH(E861,PUA_TABLE!$C$4:$C$105,1))/1000,0))</f>
        <v>0</v>
      </c>
      <c r="AB861" s="10" t="n">
        <f aca="false">IF(A861="","",IFERROR(L861+AA861,0))</f>
        <v>45883.9647920354</v>
      </c>
      <c r="AC861" s="10" t="n">
        <f aca="false">IF(A861="","",IF(Inputs!$B$22="Premium Offset",MIN(Inputs!$B$25,Q861+T861),0))</f>
        <v>0</v>
      </c>
    </row>
    <row r="862" customFormat="false" ht="15" hidden="false" customHeight="false" outlineLevel="0" collapsed="false">
      <c r="A862" s="1" t="n">
        <f aca="false">IF(A861="","",IF(INT((C861+1)/12)+Inputs!$B$7&gt;MAX(MORTALITY!$A:$A),"",Inputs!$B$4))</f>
        <v>34</v>
      </c>
      <c r="B862" s="3" t="n">
        <f aca="false">IF(A862="","",EOMONTH(B861,1))</f>
        <v>47907</v>
      </c>
      <c r="C862" s="1" t="n">
        <f aca="false">IF(A862="","",C861+1)</f>
        <v>860</v>
      </c>
      <c r="D862" s="1" t="n">
        <f aca="false">IF(A862="","",INT(C862/12))</f>
        <v>71</v>
      </c>
      <c r="E862" s="1" t="n">
        <f aca="false">IF(A862="","",D862+Inputs!$B$7)</f>
        <v>87</v>
      </c>
      <c r="F862" s="3" t="n">
        <f aca="false">IF(A862="","",DATE(YEAR(B$2)+D862,MONTH(B$2),DAY(B$2)))</f>
        <v>47639</v>
      </c>
      <c r="G862" s="3" t="n">
        <f aca="false">IF(A862="","",DATE(YEAR(F862)+1,MONTH(F862),DAY(F862)))</f>
        <v>48004</v>
      </c>
      <c r="H862" s="10" t="n">
        <f aca="false">IF(A862="","",IF(G862&gt;F862,(B862-F862)/(G862-F862),0))</f>
        <v>0.734246575342466</v>
      </c>
      <c r="I862" s="10" t="n">
        <f aca="false">IF(A862="","",IFERROR(INDEX(CV_RATES!$I:$I,MATCH(D862,CV_RATES!$C:$C,0)),0))</f>
        <v>914.62117936489</v>
      </c>
      <c r="J862" s="10" t="n">
        <f aca="false">IF(A862="","",IFERROR(IF(E862=MAX(MORTALITY!$A:$A),1000,INDEX(CV_RATES!$J:$J,MATCH(D862,CV_RATES!$C:$C,0))),0))</f>
        <v>919.27206483853</v>
      </c>
      <c r="K862" s="10" t="n">
        <f aca="false">IF(A862="","",IFERROR(I862+H862*(J862-I862),0))</f>
        <v>918.03607609622</v>
      </c>
      <c r="L862" s="10" t="n">
        <f aca="false">IF(A862="","",IFERROR(K862*Inputs!$B$9,0))</f>
        <v>45901.803804811</v>
      </c>
      <c r="M862" s="10" t="n">
        <f aca="false">IF(A862="","",IFERROR(K862*Inputs!$B$10,0))</f>
        <v>146883.018067167</v>
      </c>
      <c r="N862" s="10" t="n">
        <f aca="false">IF(A862="","",Z861)</f>
        <v>0</v>
      </c>
      <c r="O862" s="6" t="n">
        <f aca="false">IF(A862="","",Inputs!$B$18+N862)</f>
        <v>50000</v>
      </c>
      <c r="P862" s="5" t="n">
        <f aca="false">IF(A862="","",VLOOKUP(D862,DIvidend_Assumption!$A$3:$CX$103,($E$2+2),0)/12)</f>
        <v>0</v>
      </c>
      <c r="Q862" s="10" t="n">
        <f aca="false">IF(A862="","",IFERROR(AB861*P862,""))</f>
        <v>0</v>
      </c>
      <c r="R862" s="10" t="n">
        <f aca="false">IF(A862="","",IFERROR(IF(Inputs!$B$22="Accumulate",T862+Q862,IF(Inputs!$B$22="Premium Offset",MAX(0,T862+Q862-Inputs!$B$25),T862)),""))</f>
        <v>0</v>
      </c>
      <c r="S862" s="10" t="n">
        <f aca="false">IF(A862="","",R861)</f>
        <v>0</v>
      </c>
      <c r="T862" s="10" t="n">
        <f aca="false">IF(A862="","",IFERROR(S862*(1+Inputs!$B$23/12),""))</f>
        <v>0</v>
      </c>
      <c r="U862" s="6" t="n">
        <f aca="false">IF(A862="","",IF(D862&lt;=Inputs!$B$8,IF(Inputs!$B$22="Premium Offset",MAX(0,Inputs!$B$25-(Q862+T862)),Inputs!$B$25),0))</f>
        <v>0</v>
      </c>
      <c r="V862" s="10" t="n">
        <f aca="false">IF(A862="","",IF(Inputs!$B$22="Cash",Q862,0))</f>
        <v>0</v>
      </c>
      <c r="W862" s="10" t="n">
        <f aca="false">IF(A862="","",IF(Inputs!$B$22="PUA",Q862,0))</f>
        <v>0</v>
      </c>
      <c r="X862" s="12" t="n">
        <f aca="false">IF(A862="","",IFERROR(INDEX(PUA_TABLE!$D$4:$D$105,MATCH(E862,PUA_TABLE!$C$4:$C$105,1)),0))</f>
        <v>0.91462117936489</v>
      </c>
      <c r="Y862" s="10" t="n">
        <f aca="false">IF(A862="","",IF(W862&gt;0,IF(X862&gt;0,W862/X862,0),0))</f>
        <v>0</v>
      </c>
      <c r="Z862" s="10" t="n">
        <f aca="false">IF(A862="","",N862+Y862)</f>
        <v>0</v>
      </c>
      <c r="AA862" s="10" t="n">
        <f aca="false">IF(A862="","",IFERROR(Z862*INDEX(PUA_TABLE!$I$4:$I$105,MATCH(E862,PUA_TABLE!$C$4:$C$105,1))/1000,0))</f>
        <v>0</v>
      </c>
      <c r="AB862" s="10" t="n">
        <f aca="false">IF(A862="","",IFERROR(L862+AA862,0))</f>
        <v>45901.803804811</v>
      </c>
      <c r="AC862" s="10" t="n">
        <f aca="false">IF(A862="","",IF(Inputs!$B$22="Premium Offset",MIN(Inputs!$B$25,Q862+T862),0))</f>
        <v>0</v>
      </c>
    </row>
    <row r="863" customFormat="false" ht="15" hidden="false" customHeight="false" outlineLevel="0" collapsed="false">
      <c r="A863" s="1" t="n">
        <f aca="false">IF(A862="","",IF(INT((C862+1)/12)+Inputs!$B$7&gt;MAX(MORTALITY!$A:$A),"",Inputs!$B$4))</f>
        <v>34</v>
      </c>
      <c r="B863" s="3" t="n">
        <f aca="false">IF(A863="","",EOMONTH(B862,1))</f>
        <v>47938</v>
      </c>
      <c r="C863" s="1" t="n">
        <f aca="false">IF(A863="","",C862+1)</f>
        <v>861</v>
      </c>
      <c r="D863" s="1" t="n">
        <f aca="false">IF(A863="","",INT(C863/12))</f>
        <v>71</v>
      </c>
      <c r="E863" s="1" t="n">
        <f aca="false">IF(A863="","",D863+Inputs!$B$7)</f>
        <v>87</v>
      </c>
      <c r="F863" s="3" t="n">
        <f aca="false">IF(A863="","",DATE(YEAR(B$2)+D863,MONTH(B$2),DAY(B$2)))</f>
        <v>47639</v>
      </c>
      <c r="G863" s="3" t="n">
        <f aca="false">IF(A863="","",DATE(YEAR(F863)+1,MONTH(F863),DAY(F863)))</f>
        <v>48004</v>
      </c>
      <c r="H863" s="10" t="n">
        <f aca="false">IF(A863="","",IF(G863&gt;F863,(B863-F863)/(G863-F863),0))</f>
        <v>0.819178082191781</v>
      </c>
      <c r="I863" s="10" t="n">
        <f aca="false">IF(A863="","",IFERROR(INDEX(CV_RATES!$I:$I,MATCH(D863,CV_RATES!$C:$C,0)),0))</f>
        <v>914.62117936489</v>
      </c>
      <c r="J863" s="10" t="n">
        <f aca="false">IF(A863="","",IFERROR(IF(E863=MAX(MORTALITY!$A:$A),1000,INDEX(CV_RATES!$J:$J,MATCH(D863,CV_RATES!$C:$C,0))),0))</f>
        <v>919.27206483853</v>
      </c>
      <c r="K863" s="10" t="n">
        <f aca="false">IF(A863="","",IFERROR(I863+H863*(J863-I863),0))</f>
        <v>918.43108280768</v>
      </c>
      <c r="L863" s="10" t="n">
        <f aca="false">IF(A863="","",IFERROR(K863*Inputs!$B$9,0))</f>
        <v>45921.554140384</v>
      </c>
      <c r="M863" s="10" t="n">
        <f aca="false">IF(A863="","",IFERROR(K863*Inputs!$B$10,0))</f>
        <v>146946.21795598</v>
      </c>
      <c r="N863" s="10" t="n">
        <f aca="false">IF(A863="","",Z862)</f>
        <v>0</v>
      </c>
      <c r="O863" s="6" t="n">
        <f aca="false">IF(A863="","",Inputs!$B$18+N863)</f>
        <v>50000</v>
      </c>
      <c r="P863" s="5" t="n">
        <f aca="false">IF(A863="","",VLOOKUP(D863,DIvidend_Assumption!$A$3:$CX$103,($E$2+2),0)/12)</f>
        <v>0</v>
      </c>
      <c r="Q863" s="10" t="n">
        <f aca="false">IF(A863="","",IFERROR(AB862*P863,""))</f>
        <v>0</v>
      </c>
      <c r="R863" s="10" t="n">
        <f aca="false">IF(A863="","",IFERROR(IF(Inputs!$B$22="Accumulate",T863+Q863,IF(Inputs!$B$22="Premium Offset",MAX(0,T863+Q863-Inputs!$B$25),T863)),""))</f>
        <v>0</v>
      </c>
      <c r="S863" s="10" t="n">
        <f aca="false">IF(A863="","",R862)</f>
        <v>0</v>
      </c>
      <c r="T863" s="10" t="n">
        <f aca="false">IF(A863="","",IFERROR(S863*(1+Inputs!$B$23/12),""))</f>
        <v>0</v>
      </c>
      <c r="U863" s="6" t="n">
        <f aca="false">IF(A863="","",IF(D863&lt;=Inputs!$B$8,IF(Inputs!$B$22="Premium Offset",MAX(0,Inputs!$B$25-(Q863+T863)),Inputs!$B$25),0))</f>
        <v>0</v>
      </c>
      <c r="V863" s="10" t="n">
        <f aca="false">IF(A863="","",IF(Inputs!$B$22="Cash",Q863,0))</f>
        <v>0</v>
      </c>
      <c r="W863" s="10" t="n">
        <f aca="false">IF(A863="","",IF(Inputs!$B$22="PUA",Q863,0))</f>
        <v>0</v>
      </c>
      <c r="X863" s="12" t="n">
        <f aca="false">IF(A863="","",IFERROR(INDEX(PUA_TABLE!$D$4:$D$105,MATCH(E863,PUA_TABLE!$C$4:$C$105,1)),0))</f>
        <v>0.91462117936489</v>
      </c>
      <c r="Y863" s="10" t="n">
        <f aca="false">IF(A863="","",IF(W863&gt;0,IF(X863&gt;0,W863/X863,0),0))</f>
        <v>0</v>
      </c>
      <c r="Z863" s="10" t="n">
        <f aca="false">IF(A863="","",N863+Y863)</f>
        <v>0</v>
      </c>
      <c r="AA863" s="10" t="n">
        <f aca="false">IF(A863="","",IFERROR(Z863*INDEX(PUA_TABLE!$I$4:$I$105,MATCH(E863,PUA_TABLE!$C$4:$C$105,1))/1000,0))</f>
        <v>0</v>
      </c>
      <c r="AB863" s="10" t="n">
        <f aca="false">IF(A863="","",IFERROR(L863+AA863,0))</f>
        <v>45921.554140384</v>
      </c>
      <c r="AC863" s="10" t="n">
        <f aca="false">IF(A863="","",IF(Inputs!$B$22="Premium Offset",MIN(Inputs!$B$25,Q863+T863),0))</f>
        <v>0</v>
      </c>
    </row>
    <row r="864" customFormat="false" ht="15" hidden="false" customHeight="false" outlineLevel="0" collapsed="false">
      <c r="A864" s="1" t="n">
        <f aca="false">IF(A863="","",IF(INT((C863+1)/12)+Inputs!$B$7&gt;MAX(MORTALITY!$A:$A),"",Inputs!$B$4))</f>
        <v>34</v>
      </c>
      <c r="B864" s="3" t="n">
        <f aca="false">IF(A864="","",EOMONTH(B863,1))</f>
        <v>47968</v>
      </c>
      <c r="C864" s="1" t="n">
        <f aca="false">IF(A864="","",C863+1)</f>
        <v>862</v>
      </c>
      <c r="D864" s="1" t="n">
        <f aca="false">IF(A864="","",INT(C864/12))</f>
        <v>71</v>
      </c>
      <c r="E864" s="1" t="n">
        <f aca="false">IF(A864="","",D864+Inputs!$B$7)</f>
        <v>87</v>
      </c>
      <c r="F864" s="3" t="n">
        <f aca="false">IF(A864="","",DATE(YEAR(B$2)+D864,MONTH(B$2),DAY(B$2)))</f>
        <v>47639</v>
      </c>
      <c r="G864" s="3" t="n">
        <f aca="false">IF(A864="","",DATE(YEAR(F864)+1,MONTH(F864),DAY(F864)))</f>
        <v>48004</v>
      </c>
      <c r="H864" s="10" t="n">
        <f aca="false">IF(A864="","",IF(G864&gt;F864,(B864-F864)/(G864-F864),0))</f>
        <v>0.901369863013699</v>
      </c>
      <c r="I864" s="10" t="n">
        <f aca="false">IF(A864="","",IFERROR(INDEX(CV_RATES!$I:$I,MATCH(D864,CV_RATES!$C:$C,0)),0))</f>
        <v>914.62117936489</v>
      </c>
      <c r="J864" s="10" t="n">
        <f aca="false">IF(A864="","",IFERROR(IF(E864=MAX(MORTALITY!$A:$A),1000,INDEX(CV_RATES!$J:$J,MATCH(D864,CV_RATES!$C:$C,0))),0))</f>
        <v>919.27206483853</v>
      </c>
      <c r="K864" s="10" t="n">
        <f aca="false">IF(A864="","",IFERROR(I864+H864*(J864-I864),0))</f>
        <v>918.813347367157</v>
      </c>
      <c r="L864" s="10" t="n">
        <f aca="false">IF(A864="","",IFERROR(K864*Inputs!$B$9,0))</f>
        <v>45940.6673683579</v>
      </c>
      <c r="M864" s="10" t="n">
        <f aca="false">IF(A864="","",IFERROR(K864*Inputs!$B$10,0))</f>
        <v>147007.379138703</v>
      </c>
      <c r="N864" s="10" t="n">
        <f aca="false">IF(A864="","",Z863)</f>
        <v>0</v>
      </c>
      <c r="O864" s="6" t="n">
        <f aca="false">IF(A864="","",Inputs!$B$18+N864)</f>
        <v>50000</v>
      </c>
      <c r="P864" s="5" t="n">
        <f aca="false">IF(A864="","",VLOOKUP(D864,DIvidend_Assumption!$A$3:$CX$103,($E$2+2),0)/12)</f>
        <v>0</v>
      </c>
      <c r="Q864" s="10" t="n">
        <f aca="false">IF(A864="","",IFERROR(AB863*P864,""))</f>
        <v>0</v>
      </c>
      <c r="R864" s="10" t="n">
        <f aca="false">IF(A864="","",IFERROR(IF(Inputs!$B$22="Accumulate",T864+Q864,IF(Inputs!$B$22="Premium Offset",MAX(0,T864+Q864-Inputs!$B$25),T864)),""))</f>
        <v>0</v>
      </c>
      <c r="S864" s="10" t="n">
        <f aca="false">IF(A864="","",R863)</f>
        <v>0</v>
      </c>
      <c r="T864" s="10" t="n">
        <f aca="false">IF(A864="","",IFERROR(S864*(1+Inputs!$B$23/12),""))</f>
        <v>0</v>
      </c>
      <c r="U864" s="6" t="n">
        <f aca="false">IF(A864="","",IF(D864&lt;=Inputs!$B$8,IF(Inputs!$B$22="Premium Offset",MAX(0,Inputs!$B$25-(Q864+T864)),Inputs!$B$25),0))</f>
        <v>0</v>
      </c>
      <c r="V864" s="10" t="n">
        <f aca="false">IF(A864="","",IF(Inputs!$B$22="Cash",Q864,0))</f>
        <v>0</v>
      </c>
      <c r="W864" s="10" t="n">
        <f aca="false">IF(A864="","",IF(Inputs!$B$22="PUA",Q864,0))</f>
        <v>0</v>
      </c>
      <c r="X864" s="12" t="n">
        <f aca="false">IF(A864="","",IFERROR(INDEX(PUA_TABLE!$D$4:$D$105,MATCH(E864,PUA_TABLE!$C$4:$C$105,1)),0))</f>
        <v>0.91462117936489</v>
      </c>
      <c r="Y864" s="10" t="n">
        <f aca="false">IF(A864="","",IF(W864&gt;0,IF(X864&gt;0,W864/X864,0),0))</f>
        <v>0</v>
      </c>
      <c r="Z864" s="10" t="n">
        <f aca="false">IF(A864="","",N864+Y864)</f>
        <v>0</v>
      </c>
      <c r="AA864" s="10" t="n">
        <f aca="false">IF(A864="","",IFERROR(Z864*INDEX(PUA_TABLE!$I$4:$I$105,MATCH(E864,PUA_TABLE!$C$4:$C$105,1))/1000,0))</f>
        <v>0</v>
      </c>
      <c r="AB864" s="10" t="n">
        <f aca="false">IF(A864="","",IFERROR(L864+AA864,0))</f>
        <v>45940.6673683579</v>
      </c>
      <c r="AC864" s="10" t="n">
        <f aca="false">IF(A864="","",IF(Inputs!$B$22="Premium Offset",MIN(Inputs!$B$25,Q864+T864),0))</f>
        <v>0</v>
      </c>
    </row>
    <row r="865" customFormat="false" ht="15" hidden="false" customHeight="false" outlineLevel="0" collapsed="false">
      <c r="A865" s="1" t="n">
        <f aca="false">IF(A864="","",IF(INT((C864+1)/12)+Inputs!$B$7&gt;MAX(MORTALITY!$A:$A),"",Inputs!$B$4))</f>
        <v>34</v>
      </c>
      <c r="B865" s="3" t="n">
        <f aca="false">IF(A865="","",EOMONTH(B864,1))</f>
        <v>47999</v>
      </c>
      <c r="C865" s="1" t="n">
        <f aca="false">IF(A865="","",C864+1)</f>
        <v>863</v>
      </c>
      <c r="D865" s="1" t="n">
        <f aca="false">IF(A865="","",INT(C865/12))</f>
        <v>71</v>
      </c>
      <c r="E865" s="1" t="n">
        <f aca="false">IF(A865="","",D865+Inputs!$B$7)</f>
        <v>87</v>
      </c>
      <c r="F865" s="3" t="n">
        <f aca="false">IF(A865="","",DATE(YEAR(B$2)+D865,MONTH(B$2),DAY(B$2)))</f>
        <v>47639</v>
      </c>
      <c r="G865" s="3" t="n">
        <f aca="false">IF(A865="","",DATE(YEAR(F865)+1,MONTH(F865),DAY(F865)))</f>
        <v>48004</v>
      </c>
      <c r="H865" s="10" t="n">
        <f aca="false">IF(A865="","",IF(G865&gt;F865,(B865-F865)/(G865-F865),0))</f>
        <v>0.986301369863014</v>
      </c>
      <c r="I865" s="10" t="n">
        <f aca="false">IF(A865="","",IFERROR(INDEX(CV_RATES!$I:$I,MATCH(D865,CV_RATES!$C:$C,0)),0))</f>
        <v>914.62117936489</v>
      </c>
      <c r="J865" s="10" t="n">
        <f aca="false">IF(A865="","",IFERROR(IF(E865=MAX(MORTALITY!$A:$A),1000,INDEX(CV_RATES!$J:$J,MATCH(D865,CV_RATES!$C:$C,0))),0))</f>
        <v>919.27206483853</v>
      </c>
      <c r="K865" s="10" t="n">
        <f aca="false">IF(A865="","",IFERROR(I865+H865*(J865-I865),0))</f>
        <v>919.208354078617</v>
      </c>
      <c r="L865" s="10" t="n">
        <f aca="false">IF(A865="","",IFERROR(K865*Inputs!$B$9,0))</f>
        <v>45960.4177039309</v>
      </c>
      <c r="M865" s="10" t="n">
        <f aca="false">IF(A865="","",IFERROR(K865*Inputs!$B$10,0))</f>
        <v>147070.579027517</v>
      </c>
      <c r="N865" s="10" t="n">
        <f aca="false">IF(A865="","",Z864)</f>
        <v>0</v>
      </c>
      <c r="O865" s="6" t="n">
        <f aca="false">IF(A865="","",Inputs!$B$18+N865)</f>
        <v>50000</v>
      </c>
      <c r="P865" s="5" t="n">
        <f aca="false">IF(A865="","",VLOOKUP(D865,DIvidend_Assumption!$A$3:$CX$103,($E$2+2),0)/12)</f>
        <v>0</v>
      </c>
      <c r="Q865" s="10" t="n">
        <f aca="false">IF(A865="","",IFERROR(AB864*P865,""))</f>
        <v>0</v>
      </c>
      <c r="R865" s="10" t="n">
        <f aca="false">IF(A865="","",IFERROR(IF(Inputs!$B$22="Accumulate",T865+Q865,IF(Inputs!$B$22="Premium Offset",MAX(0,T865+Q865-Inputs!$B$25),T865)),""))</f>
        <v>0</v>
      </c>
      <c r="S865" s="10" t="n">
        <f aca="false">IF(A865="","",R864)</f>
        <v>0</v>
      </c>
      <c r="T865" s="10" t="n">
        <f aca="false">IF(A865="","",IFERROR(S865*(1+Inputs!$B$23/12),""))</f>
        <v>0</v>
      </c>
      <c r="U865" s="6" t="n">
        <f aca="false">IF(A865="","",IF(D865&lt;=Inputs!$B$8,IF(Inputs!$B$22="Premium Offset",MAX(0,Inputs!$B$25-(Q865+T865)),Inputs!$B$25),0))</f>
        <v>0</v>
      </c>
      <c r="V865" s="10" t="n">
        <f aca="false">IF(A865="","",IF(Inputs!$B$22="Cash",Q865,0))</f>
        <v>0</v>
      </c>
      <c r="W865" s="10" t="n">
        <f aca="false">IF(A865="","",IF(Inputs!$B$22="PUA",Q865,0))</f>
        <v>0</v>
      </c>
      <c r="X865" s="12" t="n">
        <f aca="false">IF(A865="","",IFERROR(INDEX(PUA_TABLE!$D$4:$D$105,MATCH(E865,PUA_TABLE!$C$4:$C$105,1)),0))</f>
        <v>0.91462117936489</v>
      </c>
      <c r="Y865" s="10" t="n">
        <f aca="false">IF(A865="","",IF(W865&gt;0,IF(X865&gt;0,W865/X865,0),0))</f>
        <v>0</v>
      </c>
      <c r="Z865" s="10" t="n">
        <f aca="false">IF(A865="","",N865+Y865)</f>
        <v>0</v>
      </c>
      <c r="AA865" s="10" t="n">
        <f aca="false">IF(A865="","",IFERROR(Z865*INDEX(PUA_TABLE!$I$4:$I$105,MATCH(E865,PUA_TABLE!$C$4:$C$105,1))/1000,0))</f>
        <v>0</v>
      </c>
      <c r="AB865" s="10" t="n">
        <f aca="false">IF(A865="","",IFERROR(L865+AA865,0))</f>
        <v>45960.4177039309</v>
      </c>
      <c r="AC865" s="10" t="n">
        <f aca="false">IF(A865="","",IF(Inputs!$B$22="Premium Offset",MIN(Inputs!$B$25,Q865+T865),0))</f>
        <v>0</v>
      </c>
    </row>
    <row r="866" customFormat="false" ht="15" hidden="false" customHeight="false" outlineLevel="0" collapsed="false">
      <c r="A866" s="1" t="n">
        <f aca="false">IF(A865="","",IF(INT((C865+1)/12)+Inputs!$B$7&gt;MAX(MORTALITY!$A:$A),"",Inputs!$B$4))</f>
        <v>34</v>
      </c>
      <c r="B866" s="3" t="n">
        <f aca="false">IF(A866="","",EOMONTH(B865,1))</f>
        <v>48029</v>
      </c>
      <c r="C866" s="1" t="n">
        <f aca="false">IF(A866="","",C865+1)</f>
        <v>864</v>
      </c>
      <c r="D866" s="1" t="n">
        <f aca="false">IF(A866="","",INT(C866/12))</f>
        <v>72</v>
      </c>
      <c r="E866" s="1" t="n">
        <f aca="false">IF(A866="","",D866+Inputs!$B$7)</f>
        <v>88</v>
      </c>
      <c r="F866" s="3" t="n">
        <f aca="false">IF(A866="","",DATE(YEAR(B$2)+D866,MONTH(B$2),DAY(B$2)))</f>
        <v>48004</v>
      </c>
      <c r="G866" s="3" t="n">
        <f aca="false">IF(A866="","",DATE(YEAR(F866)+1,MONTH(F866),DAY(F866)))</f>
        <v>48370</v>
      </c>
      <c r="H866" s="10" t="n">
        <f aca="false">IF(A866="","",IF(G866&gt;F866,(B866-F866)/(G866-F866),0))</f>
        <v>0.0683060109289618</v>
      </c>
      <c r="I866" s="10" t="n">
        <f aca="false">IF(A866="","",IFERROR(INDEX(CV_RATES!$I:$I,MATCH(D866,CV_RATES!$C:$C,0)),0))</f>
        <v>919.27206483853</v>
      </c>
      <c r="J866" s="10" t="n">
        <f aca="false">IF(A866="","",IFERROR(IF(E866=MAX(MORTALITY!$A:$A),1000,INDEX(CV_RATES!$J:$J,MATCH(D866,CV_RATES!$C:$C,0))),0))</f>
        <v>923.717128744377</v>
      </c>
      <c r="K866" s="10" t="n">
        <f aca="false">IF(A866="","",IFERROR(I866+H866*(J866-I866),0))</f>
        <v>919.575689422263</v>
      </c>
      <c r="L866" s="10" t="n">
        <f aca="false">IF(A866="","",IFERROR(K866*Inputs!$B$9,0))</f>
        <v>45978.7844711131</v>
      </c>
      <c r="M866" s="10" t="n">
        <f aca="false">IF(A866="","",IFERROR(K866*Inputs!$B$10,0))</f>
        <v>147129.351580494</v>
      </c>
      <c r="N866" s="10" t="n">
        <f aca="false">IF(A866="","",Z865)</f>
        <v>0</v>
      </c>
      <c r="O866" s="6" t="n">
        <f aca="false">IF(A866="","",Inputs!$B$18+N866)</f>
        <v>50000</v>
      </c>
      <c r="P866" s="5" t="n">
        <f aca="false">IF(A866="","",VLOOKUP(D866,DIvidend_Assumption!$A$3:$CX$103,($E$2+2),0)/12)</f>
        <v>0</v>
      </c>
      <c r="Q866" s="10" t="n">
        <f aca="false">IF(A866="","",IFERROR(AB865*P866,""))</f>
        <v>0</v>
      </c>
      <c r="R866" s="10" t="n">
        <f aca="false">IF(A866="","",IFERROR(IF(Inputs!$B$22="Accumulate",T866+Q866,IF(Inputs!$B$22="Premium Offset",MAX(0,T866+Q866-Inputs!$B$25),T866)),""))</f>
        <v>0</v>
      </c>
      <c r="S866" s="10" t="n">
        <f aca="false">IF(A866="","",R865)</f>
        <v>0</v>
      </c>
      <c r="T866" s="10" t="n">
        <f aca="false">IF(A866="","",IFERROR(S866*(1+Inputs!$B$23/12),""))</f>
        <v>0</v>
      </c>
      <c r="U866" s="6" t="n">
        <f aca="false">IF(A866="","",IF(D866&lt;=Inputs!$B$8,IF(Inputs!$B$22="Premium Offset",MAX(0,Inputs!$B$25-(Q866+T866)),Inputs!$B$25),0))</f>
        <v>0</v>
      </c>
      <c r="V866" s="10" t="n">
        <f aca="false">IF(A866="","",IF(Inputs!$B$22="Cash",Q866,0))</f>
        <v>0</v>
      </c>
      <c r="W866" s="10" t="n">
        <f aca="false">IF(A866="","",IF(Inputs!$B$22="PUA",Q866,0))</f>
        <v>0</v>
      </c>
      <c r="X866" s="12" t="n">
        <f aca="false">IF(A866="","",IFERROR(INDEX(PUA_TABLE!$D$4:$D$105,MATCH(E866,PUA_TABLE!$C$4:$C$105,1)),0))</f>
        <v>0.91927206483853</v>
      </c>
      <c r="Y866" s="10" t="n">
        <f aca="false">IF(A866="","",IF(W866&gt;0,IF(X866&gt;0,W866/X866,0),0))</f>
        <v>0</v>
      </c>
      <c r="Z866" s="10" t="n">
        <f aca="false">IF(A866="","",N866+Y866)</f>
        <v>0</v>
      </c>
      <c r="AA866" s="10" t="n">
        <f aca="false">IF(A866="","",IFERROR(Z866*INDEX(PUA_TABLE!$I$4:$I$105,MATCH(E866,PUA_TABLE!$C$4:$C$105,1))/1000,0))</f>
        <v>0</v>
      </c>
      <c r="AB866" s="10" t="n">
        <f aca="false">IF(A866="","",IFERROR(L866+AA866,0))</f>
        <v>45978.7844711131</v>
      </c>
      <c r="AC866" s="10" t="n">
        <f aca="false">IF(A866="","",IF(Inputs!$B$22="Premium Offset",MIN(Inputs!$B$25,Q866+T866),0))</f>
        <v>0</v>
      </c>
    </row>
    <row r="867" customFormat="false" ht="15" hidden="false" customHeight="false" outlineLevel="0" collapsed="false">
      <c r="A867" s="1" t="n">
        <f aca="false">IF(A866="","",IF(INT((C866+1)/12)+Inputs!$B$7&gt;MAX(MORTALITY!$A:$A),"",Inputs!$B$4))</f>
        <v>34</v>
      </c>
      <c r="B867" s="3" t="n">
        <f aca="false">IF(A867="","",EOMONTH(B866,1))</f>
        <v>48060</v>
      </c>
      <c r="C867" s="1" t="n">
        <f aca="false">IF(A867="","",C866+1)</f>
        <v>865</v>
      </c>
      <c r="D867" s="1" t="n">
        <f aca="false">IF(A867="","",INT(C867/12))</f>
        <v>72</v>
      </c>
      <c r="E867" s="1" t="n">
        <f aca="false">IF(A867="","",D867+Inputs!$B$7)</f>
        <v>88</v>
      </c>
      <c r="F867" s="3" t="n">
        <f aca="false">IF(A867="","",DATE(YEAR(B$2)+D867,MONTH(B$2),DAY(B$2)))</f>
        <v>48004</v>
      </c>
      <c r="G867" s="3" t="n">
        <f aca="false">IF(A867="","",DATE(YEAR(F867)+1,MONTH(F867),DAY(F867)))</f>
        <v>48370</v>
      </c>
      <c r="H867" s="10" t="n">
        <f aca="false">IF(A867="","",IF(G867&gt;F867,(B867-F867)/(G867-F867),0))</f>
        <v>0.153005464480874</v>
      </c>
      <c r="I867" s="10" t="n">
        <f aca="false">IF(A867="","",IFERROR(INDEX(CV_RATES!$I:$I,MATCH(D867,CV_RATES!$C:$C,0)),0))</f>
        <v>919.27206483853</v>
      </c>
      <c r="J867" s="10" t="n">
        <f aca="false">IF(A867="","",IFERROR(IF(E867=MAX(MORTALITY!$A:$A),1000,INDEX(CV_RATES!$J:$J,MATCH(D867,CV_RATES!$C:$C,0))),0))</f>
        <v>923.717128744377</v>
      </c>
      <c r="K867" s="10" t="n">
        <f aca="false">IF(A867="","",IFERROR(I867+H867*(J867-I867),0))</f>
        <v>919.952183906091</v>
      </c>
      <c r="L867" s="10" t="n">
        <f aca="false">IF(A867="","",IFERROR(K867*Inputs!$B$9,0))</f>
        <v>45997.6091953046</v>
      </c>
      <c r="M867" s="10" t="n">
        <f aca="false">IF(A867="","",IFERROR(K867*Inputs!$B$10,0))</f>
        <v>147189.589568423</v>
      </c>
      <c r="N867" s="10" t="n">
        <f aca="false">IF(A867="","",Z866)</f>
        <v>0</v>
      </c>
      <c r="O867" s="6" t="n">
        <f aca="false">IF(A867="","",Inputs!$B$18+N867)</f>
        <v>50000</v>
      </c>
      <c r="P867" s="5" t="n">
        <f aca="false">IF(A867="","",VLOOKUP(D867,DIvidend_Assumption!$A$3:$CX$103,($E$2+2),0)/12)</f>
        <v>0</v>
      </c>
      <c r="Q867" s="10" t="n">
        <f aca="false">IF(A867="","",IFERROR(AB866*P867,""))</f>
        <v>0</v>
      </c>
      <c r="R867" s="10" t="n">
        <f aca="false">IF(A867="","",IFERROR(IF(Inputs!$B$22="Accumulate",T867+Q867,IF(Inputs!$B$22="Premium Offset",MAX(0,T867+Q867-Inputs!$B$25),T867)),""))</f>
        <v>0</v>
      </c>
      <c r="S867" s="10" t="n">
        <f aca="false">IF(A867="","",R866)</f>
        <v>0</v>
      </c>
      <c r="T867" s="10" t="n">
        <f aca="false">IF(A867="","",IFERROR(S867*(1+Inputs!$B$23/12),""))</f>
        <v>0</v>
      </c>
      <c r="U867" s="6" t="n">
        <f aca="false">IF(A867="","",IF(D867&lt;=Inputs!$B$8,IF(Inputs!$B$22="Premium Offset",MAX(0,Inputs!$B$25-(Q867+T867)),Inputs!$B$25),0))</f>
        <v>0</v>
      </c>
      <c r="V867" s="10" t="n">
        <f aca="false">IF(A867="","",IF(Inputs!$B$22="Cash",Q867,0))</f>
        <v>0</v>
      </c>
      <c r="W867" s="10" t="n">
        <f aca="false">IF(A867="","",IF(Inputs!$B$22="PUA",Q867,0))</f>
        <v>0</v>
      </c>
      <c r="X867" s="12" t="n">
        <f aca="false">IF(A867="","",IFERROR(INDEX(PUA_TABLE!$D$4:$D$105,MATCH(E867,PUA_TABLE!$C$4:$C$105,1)),0))</f>
        <v>0.91927206483853</v>
      </c>
      <c r="Y867" s="10" t="n">
        <f aca="false">IF(A867="","",IF(W867&gt;0,IF(X867&gt;0,W867/X867,0),0))</f>
        <v>0</v>
      </c>
      <c r="Z867" s="10" t="n">
        <f aca="false">IF(A867="","",N867+Y867)</f>
        <v>0</v>
      </c>
      <c r="AA867" s="10" t="n">
        <f aca="false">IF(A867="","",IFERROR(Z867*INDEX(PUA_TABLE!$I$4:$I$105,MATCH(E867,PUA_TABLE!$C$4:$C$105,1))/1000,0))</f>
        <v>0</v>
      </c>
      <c r="AB867" s="10" t="n">
        <f aca="false">IF(A867="","",IFERROR(L867+AA867,0))</f>
        <v>45997.6091953046</v>
      </c>
      <c r="AC867" s="10" t="n">
        <f aca="false">IF(A867="","",IF(Inputs!$B$22="Premium Offset",MIN(Inputs!$B$25,Q867+T867),0))</f>
        <v>0</v>
      </c>
    </row>
    <row r="868" customFormat="false" ht="15" hidden="false" customHeight="false" outlineLevel="0" collapsed="false">
      <c r="A868" s="1" t="n">
        <f aca="false">IF(A867="","",IF(INT((C867+1)/12)+Inputs!$B$7&gt;MAX(MORTALITY!$A:$A),"",Inputs!$B$4))</f>
        <v>34</v>
      </c>
      <c r="B868" s="3" t="n">
        <f aca="false">IF(A868="","",EOMONTH(B867,1))</f>
        <v>48091</v>
      </c>
      <c r="C868" s="1" t="n">
        <f aca="false">IF(A868="","",C867+1)</f>
        <v>866</v>
      </c>
      <c r="D868" s="1" t="n">
        <f aca="false">IF(A868="","",INT(C868/12))</f>
        <v>72</v>
      </c>
      <c r="E868" s="1" t="n">
        <f aca="false">IF(A868="","",D868+Inputs!$B$7)</f>
        <v>88</v>
      </c>
      <c r="F868" s="3" t="n">
        <f aca="false">IF(A868="","",DATE(YEAR(B$2)+D868,MONTH(B$2),DAY(B$2)))</f>
        <v>48004</v>
      </c>
      <c r="G868" s="3" t="n">
        <f aca="false">IF(A868="","",DATE(YEAR(F868)+1,MONTH(F868),DAY(F868)))</f>
        <v>48370</v>
      </c>
      <c r="H868" s="10" t="n">
        <f aca="false">IF(A868="","",IF(G868&gt;F868,(B868-F868)/(G868-F868),0))</f>
        <v>0.237704918032787</v>
      </c>
      <c r="I868" s="10" t="n">
        <f aca="false">IF(A868="","",IFERROR(INDEX(CV_RATES!$I:$I,MATCH(D868,CV_RATES!$C:$C,0)),0))</f>
        <v>919.27206483853</v>
      </c>
      <c r="J868" s="10" t="n">
        <f aca="false">IF(A868="","",IFERROR(IF(E868=MAX(MORTALITY!$A:$A),1000,INDEX(CV_RATES!$J:$J,MATCH(D868,CV_RATES!$C:$C,0))),0))</f>
        <v>923.717128744377</v>
      </c>
      <c r="K868" s="10" t="n">
        <f aca="false">IF(A868="","",IFERROR(I868+H868*(J868-I868),0))</f>
        <v>920.32867838992</v>
      </c>
      <c r="L868" s="10" t="n">
        <f aca="false">IF(A868="","",IFERROR(K868*Inputs!$B$9,0))</f>
        <v>46016.433919496</v>
      </c>
      <c r="M868" s="10" t="n">
        <f aca="false">IF(A868="","",IFERROR(K868*Inputs!$B$10,0))</f>
        <v>147249.827556352</v>
      </c>
      <c r="N868" s="10" t="n">
        <f aca="false">IF(A868="","",Z867)</f>
        <v>0</v>
      </c>
      <c r="O868" s="6" t="n">
        <f aca="false">IF(A868="","",Inputs!$B$18+N868)</f>
        <v>50000</v>
      </c>
      <c r="P868" s="5" t="n">
        <f aca="false">IF(A868="","",VLOOKUP(D868,DIvidend_Assumption!$A$3:$CX$103,($E$2+2),0)/12)</f>
        <v>0</v>
      </c>
      <c r="Q868" s="10" t="n">
        <f aca="false">IF(A868="","",IFERROR(AB867*P868,""))</f>
        <v>0</v>
      </c>
      <c r="R868" s="10" t="n">
        <f aca="false">IF(A868="","",IFERROR(IF(Inputs!$B$22="Accumulate",T868+Q868,IF(Inputs!$B$22="Premium Offset",MAX(0,T868+Q868-Inputs!$B$25),T868)),""))</f>
        <v>0</v>
      </c>
      <c r="S868" s="10" t="n">
        <f aca="false">IF(A868="","",R867)</f>
        <v>0</v>
      </c>
      <c r="T868" s="10" t="n">
        <f aca="false">IF(A868="","",IFERROR(S868*(1+Inputs!$B$23/12),""))</f>
        <v>0</v>
      </c>
      <c r="U868" s="6" t="n">
        <f aca="false">IF(A868="","",IF(D868&lt;=Inputs!$B$8,IF(Inputs!$B$22="Premium Offset",MAX(0,Inputs!$B$25-(Q868+T868)),Inputs!$B$25),0))</f>
        <v>0</v>
      </c>
      <c r="V868" s="10" t="n">
        <f aca="false">IF(A868="","",IF(Inputs!$B$22="Cash",Q868,0))</f>
        <v>0</v>
      </c>
      <c r="W868" s="10" t="n">
        <f aca="false">IF(A868="","",IF(Inputs!$B$22="PUA",Q868,0))</f>
        <v>0</v>
      </c>
      <c r="X868" s="12" t="n">
        <f aca="false">IF(A868="","",IFERROR(INDEX(PUA_TABLE!$D$4:$D$105,MATCH(E868,PUA_TABLE!$C$4:$C$105,1)),0))</f>
        <v>0.91927206483853</v>
      </c>
      <c r="Y868" s="10" t="n">
        <f aca="false">IF(A868="","",IF(W868&gt;0,IF(X868&gt;0,W868/X868,0),0))</f>
        <v>0</v>
      </c>
      <c r="Z868" s="10" t="n">
        <f aca="false">IF(A868="","",N868+Y868)</f>
        <v>0</v>
      </c>
      <c r="AA868" s="10" t="n">
        <f aca="false">IF(A868="","",IFERROR(Z868*INDEX(PUA_TABLE!$I$4:$I$105,MATCH(E868,PUA_TABLE!$C$4:$C$105,1))/1000,0))</f>
        <v>0</v>
      </c>
      <c r="AB868" s="10" t="n">
        <f aca="false">IF(A868="","",IFERROR(L868+AA868,0))</f>
        <v>46016.433919496</v>
      </c>
      <c r="AC868" s="10" t="n">
        <f aca="false">IF(A868="","",IF(Inputs!$B$22="Premium Offset",MIN(Inputs!$B$25,Q868+T868),0))</f>
        <v>0</v>
      </c>
    </row>
    <row r="869" customFormat="false" ht="15" hidden="false" customHeight="false" outlineLevel="0" collapsed="false">
      <c r="A869" s="1" t="n">
        <f aca="false">IF(A868="","",IF(INT((C868+1)/12)+Inputs!$B$7&gt;MAX(MORTALITY!$A:$A),"",Inputs!$B$4))</f>
        <v>34</v>
      </c>
      <c r="B869" s="3" t="n">
        <f aca="false">IF(A869="","",EOMONTH(B868,1))</f>
        <v>48121</v>
      </c>
      <c r="C869" s="1" t="n">
        <f aca="false">IF(A869="","",C868+1)</f>
        <v>867</v>
      </c>
      <c r="D869" s="1" t="n">
        <f aca="false">IF(A869="","",INT(C869/12))</f>
        <v>72</v>
      </c>
      <c r="E869" s="1" t="n">
        <f aca="false">IF(A869="","",D869+Inputs!$B$7)</f>
        <v>88</v>
      </c>
      <c r="F869" s="3" t="n">
        <f aca="false">IF(A869="","",DATE(YEAR(B$2)+D869,MONTH(B$2),DAY(B$2)))</f>
        <v>48004</v>
      </c>
      <c r="G869" s="3" t="n">
        <f aca="false">IF(A869="","",DATE(YEAR(F869)+1,MONTH(F869),DAY(F869)))</f>
        <v>48370</v>
      </c>
      <c r="H869" s="10" t="n">
        <f aca="false">IF(A869="","",IF(G869&gt;F869,(B869-F869)/(G869-F869),0))</f>
        <v>0.319672131147541</v>
      </c>
      <c r="I869" s="10" t="n">
        <f aca="false">IF(A869="","",IFERROR(INDEX(CV_RATES!$I:$I,MATCH(D869,CV_RATES!$C:$C,0)),0))</f>
        <v>919.27206483853</v>
      </c>
      <c r="J869" s="10" t="n">
        <f aca="false">IF(A869="","",IFERROR(IF(E869=MAX(MORTALITY!$A:$A),1000,INDEX(CV_RATES!$J:$J,MATCH(D869,CV_RATES!$C:$C,0))),0))</f>
        <v>923.717128744377</v>
      </c>
      <c r="K869" s="10" t="n">
        <f aca="false">IF(A869="","",IFERROR(I869+H869*(J869-I869),0))</f>
        <v>920.693027890399</v>
      </c>
      <c r="L869" s="10" t="n">
        <f aca="false">IF(A869="","",IFERROR(K869*Inputs!$B$9,0))</f>
        <v>46034.65139452</v>
      </c>
      <c r="M869" s="10" t="n">
        <f aca="false">IF(A869="","",IFERROR(K869*Inputs!$B$10,0))</f>
        <v>147308.12238338</v>
      </c>
      <c r="N869" s="10" t="n">
        <f aca="false">IF(A869="","",Z868)</f>
        <v>0</v>
      </c>
      <c r="O869" s="6" t="n">
        <f aca="false">IF(A869="","",Inputs!$B$18+N869)</f>
        <v>50000</v>
      </c>
      <c r="P869" s="5" t="n">
        <f aca="false">IF(A869="","",VLOOKUP(D869,DIvidend_Assumption!$A$3:$CX$103,($E$2+2),0)/12)</f>
        <v>0</v>
      </c>
      <c r="Q869" s="10" t="n">
        <f aca="false">IF(A869="","",IFERROR(AB868*P869,""))</f>
        <v>0</v>
      </c>
      <c r="R869" s="10" t="n">
        <f aca="false">IF(A869="","",IFERROR(IF(Inputs!$B$22="Accumulate",T869+Q869,IF(Inputs!$B$22="Premium Offset",MAX(0,T869+Q869-Inputs!$B$25),T869)),""))</f>
        <v>0</v>
      </c>
      <c r="S869" s="10" t="n">
        <f aca="false">IF(A869="","",R868)</f>
        <v>0</v>
      </c>
      <c r="T869" s="10" t="n">
        <f aca="false">IF(A869="","",IFERROR(S869*(1+Inputs!$B$23/12),""))</f>
        <v>0</v>
      </c>
      <c r="U869" s="6" t="n">
        <f aca="false">IF(A869="","",IF(D869&lt;=Inputs!$B$8,IF(Inputs!$B$22="Premium Offset",MAX(0,Inputs!$B$25-(Q869+T869)),Inputs!$B$25),0))</f>
        <v>0</v>
      </c>
      <c r="V869" s="10" t="n">
        <f aca="false">IF(A869="","",IF(Inputs!$B$22="Cash",Q869,0))</f>
        <v>0</v>
      </c>
      <c r="W869" s="10" t="n">
        <f aca="false">IF(A869="","",IF(Inputs!$B$22="PUA",Q869,0))</f>
        <v>0</v>
      </c>
      <c r="X869" s="12" t="n">
        <f aca="false">IF(A869="","",IFERROR(INDEX(PUA_TABLE!$D$4:$D$105,MATCH(E869,PUA_TABLE!$C$4:$C$105,1)),0))</f>
        <v>0.91927206483853</v>
      </c>
      <c r="Y869" s="10" t="n">
        <f aca="false">IF(A869="","",IF(W869&gt;0,IF(X869&gt;0,W869/X869,0),0))</f>
        <v>0</v>
      </c>
      <c r="Z869" s="10" t="n">
        <f aca="false">IF(A869="","",N869+Y869)</f>
        <v>0</v>
      </c>
      <c r="AA869" s="10" t="n">
        <f aca="false">IF(A869="","",IFERROR(Z869*INDEX(PUA_TABLE!$I$4:$I$105,MATCH(E869,PUA_TABLE!$C$4:$C$105,1))/1000,0))</f>
        <v>0</v>
      </c>
      <c r="AB869" s="10" t="n">
        <f aca="false">IF(A869="","",IFERROR(L869+AA869,0))</f>
        <v>46034.65139452</v>
      </c>
      <c r="AC869" s="10" t="n">
        <f aca="false">IF(A869="","",IF(Inputs!$B$22="Premium Offset",MIN(Inputs!$B$25,Q869+T869),0))</f>
        <v>0</v>
      </c>
    </row>
    <row r="870" customFormat="false" ht="15" hidden="false" customHeight="false" outlineLevel="0" collapsed="false">
      <c r="A870" s="1" t="n">
        <f aca="false">IF(A869="","",IF(INT((C869+1)/12)+Inputs!$B$7&gt;MAX(MORTALITY!$A:$A),"",Inputs!$B$4))</f>
        <v>34</v>
      </c>
      <c r="B870" s="3" t="n">
        <f aca="false">IF(A870="","",EOMONTH(B869,1))</f>
        <v>48152</v>
      </c>
      <c r="C870" s="1" t="n">
        <f aca="false">IF(A870="","",C869+1)</f>
        <v>868</v>
      </c>
      <c r="D870" s="1" t="n">
        <f aca="false">IF(A870="","",INT(C870/12))</f>
        <v>72</v>
      </c>
      <c r="E870" s="1" t="n">
        <f aca="false">IF(A870="","",D870+Inputs!$B$7)</f>
        <v>88</v>
      </c>
      <c r="F870" s="3" t="n">
        <f aca="false">IF(A870="","",DATE(YEAR(B$2)+D870,MONTH(B$2),DAY(B$2)))</f>
        <v>48004</v>
      </c>
      <c r="G870" s="3" t="n">
        <f aca="false">IF(A870="","",DATE(YEAR(F870)+1,MONTH(F870),DAY(F870)))</f>
        <v>48370</v>
      </c>
      <c r="H870" s="10" t="n">
        <f aca="false">IF(A870="","",IF(G870&gt;F870,(B870-F870)/(G870-F870),0))</f>
        <v>0.404371584699454</v>
      </c>
      <c r="I870" s="10" t="n">
        <f aca="false">IF(A870="","",IFERROR(INDEX(CV_RATES!$I:$I,MATCH(D870,CV_RATES!$C:$C,0)),0))</f>
        <v>919.27206483853</v>
      </c>
      <c r="J870" s="10" t="n">
        <f aca="false">IF(A870="","",IFERROR(IF(E870=MAX(MORTALITY!$A:$A),1000,INDEX(CV_RATES!$J:$J,MATCH(D870,CV_RATES!$C:$C,0))),0))</f>
        <v>923.717128744377</v>
      </c>
      <c r="K870" s="10" t="n">
        <f aca="false">IF(A870="","",IFERROR(I870+H870*(J870-I870),0))</f>
        <v>921.069522374228</v>
      </c>
      <c r="L870" s="10" t="n">
        <f aca="false">IF(A870="","",IFERROR(K870*Inputs!$B$9,0))</f>
        <v>46053.4761187114</v>
      </c>
      <c r="M870" s="10" t="n">
        <f aca="false">IF(A870="","",IFERROR(K870*Inputs!$B$10,0))</f>
        <v>147368.360371309</v>
      </c>
      <c r="N870" s="10" t="n">
        <f aca="false">IF(A870="","",Z869)</f>
        <v>0</v>
      </c>
      <c r="O870" s="6" t="n">
        <f aca="false">IF(A870="","",Inputs!$B$18+N870)</f>
        <v>50000</v>
      </c>
      <c r="P870" s="5" t="n">
        <f aca="false">IF(A870="","",VLOOKUP(D870,DIvidend_Assumption!$A$3:$CX$103,($E$2+2),0)/12)</f>
        <v>0</v>
      </c>
      <c r="Q870" s="10" t="n">
        <f aca="false">IF(A870="","",IFERROR(AB869*P870,""))</f>
        <v>0</v>
      </c>
      <c r="R870" s="10" t="n">
        <f aca="false">IF(A870="","",IFERROR(IF(Inputs!$B$22="Accumulate",T870+Q870,IF(Inputs!$B$22="Premium Offset",MAX(0,T870+Q870-Inputs!$B$25),T870)),""))</f>
        <v>0</v>
      </c>
      <c r="S870" s="10" t="n">
        <f aca="false">IF(A870="","",R869)</f>
        <v>0</v>
      </c>
      <c r="T870" s="10" t="n">
        <f aca="false">IF(A870="","",IFERROR(S870*(1+Inputs!$B$23/12),""))</f>
        <v>0</v>
      </c>
      <c r="U870" s="6" t="n">
        <f aca="false">IF(A870="","",IF(D870&lt;=Inputs!$B$8,IF(Inputs!$B$22="Premium Offset",MAX(0,Inputs!$B$25-(Q870+T870)),Inputs!$B$25),0))</f>
        <v>0</v>
      </c>
      <c r="V870" s="10" t="n">
        <f aca="false">IF(A870="","",IF(Inputs!$B$22="Cash",Q870,0))</f>
        <v>0</v>
      </c>
      <c r="W870" s="10" t="n">
        <f aca="false">IF(A870="","",IF(Inputs!$B$22="PUA",Q870,0))</f>
        <v>0</v>
      </c>
      <c r="X870" s="12" t="n">
        <f aca="false">IF(A870="","",IFERROR(INDEX(PUA_TABLE!$D$4:$D$105,MATCH(E870,PUA_TABLE!$C$4:$C$105,1)),0))</f>
        <v>0.91927206483853</v>
      </c>
      <c r="Y870" s="10" t="n">
        <f aca="false">IF(A870="","",IF(W870&gt;0,IF(X870&gt;0,W870/X870,0),0))</f>
        <v>0</v>
      </c>
      <c r="Z870" s="10" t="n">
        <f aca="false">IF(A870="","",N870+Y870)</f>
        <v>0</v>
      </c>
      <c r="AA870" s="10" t="n">
        <f aca="false">IF(A870="","",IFERROR(Z870*INDEX(PUA_TABLE!$I$4:$I$105,MATCH(E870,PUA_TABLE!$C$4:$C$105,1))/1000,0))</f>
        <v>0</v>
      </c>
      <c r="AB870" s="10" t="n">
        <f aca="false">IF(A870="","",IFERROR(L870+AA870,0))</f>
        <v>46053.4761187114</v>
      </c>
      <c r="AC870" s="10" t="n">
        <f aca="false">IF(A870="","",IF(Inputs!$B$22="Premium Offset",MIN(Inputs!$B$25,Q870+T870),0))</f>
        <v>0</v>
      </c>
    </row>
    <row r="871" customFormat="false" ht="15" hidden="false" customHeight="false" outlineLevel="0" collapsed="false">
      <c r="A871" s="1" t="n">
        <f aca="false">IF(A870="","",IF(INT((C870+1)/12)+Inputs!$B$7&gt;MAX(MORTALITY!$A:$A),"",Inputs!$B$4))</f>
        <v>34</v>
      </c>
      <c r="B871" s="3" t="n">
        <f aca="false">IF(A871="","",EOMONTH(B870,1))</f>
        <v>48182</v>
      </c>
      <c r="C871" s="1" t="n">
        <f aca="false">IF(A871="","",C870+1)</f>
        <v>869</v>
      </c>
      <c r="D871" s="1" t="n">
        <f aca="false">IF(A871="","",INT(C871/12))</f>
        <v>72</v>
      </c>
      <c r="E871" s="1" t="n">
        <f aca="false">IF(A871="","",D871+Inputs!$B$7)</f>
        <v>88</v>
      </c>
      <c r="F871" s="3" t="n">
        <f aca="false">IF(A871="","",DATE(YEAR(B$2)+D871,MONTH(B$2),DAY(B$2)))</f>
        <v>48004</v>
      </c>
      <c r="G871" s="3" t="n">
        <f aca="false">IF(A871="","",DATE(YEAR(F871)+1,MONTH(F871),DAY(F871)))</f>
        <v>48370</v>
      </c>
      <c r="H871" s="10" t="n">
        <f aca="false">IF(A871="","",IF(G871&gt;F871,(B871-F871)/(G871-F871),0))</f>
        <v>0.486338797814208</v>
      </c>
      <c r="I871" s="10" t="n">
        <f aca="false">IF(A871="","",IFERROR(INDEX(CV_RATES!$I:$I,MATCH(D871,CV_RATES!$C:$C,0)),0))</f>
        <v>919.27206483853</v>
      </c>
      <c r="J871" s="10" t="n">
        <f aca="false">IF(A871="","",IFERROR(IF(E871=MAX(MORTALITY!$A:$A),1000,INDEX(CV_RATES!$J:$J,MATCH(D871,CV_RATES!$C:$C,0))),0))</f>
        <v>923.717128744377</v>
      </c>
      <c r="K871" s="10" t="n">
        <f aca="false">IF(A871="","",IFERROR(I871+H871*(J871-I871),0))</f>
        <v>921.433871874707</v>
      </c>
      <c r="L871" s="10" t="n">
        <f aca="false">IF(A871="","",IFERROR(K871*Inputs!$B$9,0))</f>
        <v>46071.6935937354</v>
      </c>
      <c r="M871" s="10" t="n">
        <f aca="false">IF(A871="","",IFERROR(K871*Inputs!$B$10,0))</f>
        <v>147426.655198338</v>
      </c>
      <c r="N871" s="10" t="n">
        <f aca="false">IF(A871="","",Z870)</f>
        <v>0</v>
      </c>
      <c r="O871" s="6" t="n">
        <f aca="false">IF(A871="","",Inputs!$B$18+N871)</f>
        <v>50000</v>
      </c>
      <c r="P871" s="5" t="n">
        <f aca="false">IF(A871="","",VLOOKUP(D871,DIvidend_Assumption!$A$3:$CX$103,($E$2+2),0)/12)</f>
        <v>0</v>
      </c>
      <c r="Q871" s="10" t="n">
        <f aca="false">IF(A871="","",IFERROR(AB870*P871,""))</f>
        <v>0</v>
      </c>
      <c r="R871" s="10" t="n">
        <f aca="false">IF(A871="","",IFERROR(IF(Inputs!$B$22="Accumulate",T871+Q871,IF(Inputs!$B$22="Premium Offset",MAX(0,T871+Q871-Inputs!$B$25),T871)),""))</f>
        <v>0</v>
      </c>
      <c r="S871" s="10" t="n">
        <f aca="false">IF(A871="","",R870)</f>
        <v>0</v>
      </c>
      <c r="T871" s="10" t="n">
        <f aca="false">IF(A871="","",IFERROR(S871*(1+Inputs!$B$23/12),""))</f>
        <v>0</v>
      </c>
      <c r="U871" s="6" t="n">
        <f aca="false">IF(A871="","",IF(D871&lt;=Inputs!$B$8,IF(Inputs!$B$22="Premium Offset",MAX(0,Inputs!$B$25-(Q871+T871)),Inputs!$B$25),0))</f>
        <v>0</v>
      </c>
      <c r="V871" s="10" t="n">
        <f aca="false">IF(A871="","",IF(Inputs!$B$22="Cash",Q871,0))</f>
        <v>0</v>
      </c>
      <c r="W871" s="10" t="n">
        <f aca="false">IF(A871="","",IF(Inputs!$B$22="PUA",Q871,0))</f>
        <v>0</v>
      </c>
      <c r="X871" s="12" t="n">
        <f aca="false">IF(A871="","",IFERROR(INDEX(PUA_TABLE!$D$4:$D$105,MATCH(E871,PUA_TABLE!$C$4:$C$105,1)),0))</f>
        <v>0.91927206483853</v>
      </c>
      <c r="Y871" s="10" t="n">
        <f aca="false">IF(A871="","",IF(W871&gt;0,IF(X871&gt;0,W871/X871,0),0))</f>
        <v>0</v>
      </c>
      <c r="Z871" s="10" t="n">
        <f aca="false">IF(A871="","",N871+Y871)</f>
        <v>0</v>
      </c>
      <c r="AA871" s="10" t="n">
        <f aca="false">IF(A871="","",IFERROR(Z871*INDEX(PUA_TABLE!$I$4:$I$105,MATCH(E871,PUA_TABLE!$C$4:$C$105,1))/1000,0))</f>
        <v>0</v>
      </c>
      <c r="AB871" s="10" t="n">
        <f aca="false">IF(A871="","",IFERROR(L871+AA871,0))</f>
        <v>46071.6935937354</v>
      </c>
      <c r="AC871" s="10" t="n">
        <f aca="false">IF(A871="","",IF(Inputs!$B$22="Premium Offset",MIN(Inputs!$B$25,Q871+T871),0))</f>
        <v>0</v>
      </c>
    </row>
    <row r="872" customFormat="false" ht="15" hidden="false" customHeight="false" outlineLevel="0" collapsed="false">
      <c r="A872" s="1" t="n">
        <f aca="false">IF(A871="","",IF(INT((C871+1)/12)+Inputs!$B$7&gt;MAX(MORTALITY!$A:$A),"",Inputs!$B$4))</f>
        <v>34</v>
      </c>
      <c r="B872" s="3" t="n">
        <f aca="false">IF(A872="","",EOMONTH(B871,1))</f>
        <v>48213</v>
      </c>
      <c r="C872" s="1" t="n">
        <f aca="false">IF(A872="","",C871+1)</f>
        <v>870</v>
      </c>
      <c r="D872" s="1" t="n">
        <f aca="false">IF(A872="","",INT(C872/12))</f>
        <v>72</v>
      </c>
      <c r="E872" s="1" t="n">
        <f aca="false">IF(A872="","",D872+Inputs!$B$7)</f>
        <v>88</v>
      </c>
      <c r="F872" s="3" t="n">
        <f aca="false">IF(A872="","",DATE(YEAR(B$2)+D872,MONTH(B$2),DAY(B$2)))</f>
        <v>48004</v>
      </c>
      <c r="G872" s="3" t="n">
        <f aca="false">IF(A872="","",DATE(YEAR(F872)+1,MONTH(F872),DAY(F872)))</f>
        <v>48370</v>
      </c>
      <c r="H872" s="10" t="n">
        <f aca="false">IF(A872="","",IF(G872&gt;F872,(B872-F872)/(G872-F872),0))</f>
        <v>0.57103825136612</v>
      </c>
      <c r="I872" s="10" t="n">
        <f aca="false">IF(A872="","",IFERROR(INDEX(CV_RATES!$I:$I,MATCH(D872,CV_RATES!$C:$C,0)),0))</f>
        <v>919.27206483853</v>
      </c>
      <c r="J872" s="10" t="n">
        <f aca="false">IF(A872="","",IFERROR(IF(E872=MAX(MORTALITY!$A:$A),1000,INDEX(CV_RATES!$J:$J,MATCH(D872,CV_RATES!$C:$C,0))),0))</f>
        <v>923.717128744377</v>
      </c>
      <c r="K872" s="10" t="n">
        <f aca="false">IF(A872="","",IFERROR(I872+H872*(J872-I872),0))</f>
        <v>921.810366358536</v>
      </c>
      <c r="L872" s="10" t="n">
        <f aca="false">IF(A872="","",IFERROR(K872*Inputs!$B$9,0))</f>
        <v>46090.5183179268</v>
      </c>
      <c r="M872" s="10" t="n">
        <f aca="false">IF(A872="","",IFERROR(K872*Inputs!$B$10,0))</f>
        <v>147486.893186267</v>
      </c>
      <c r="N872" s="10" t="n">
        <f aca="false">IF(A872="","",Z871)</f>
        <v>0</v>
      </c>
      <c r="O872" s="6" t="n">
        <f aca="false">IF(A872="","",Inputs!$B$18+N872)</f>
        <v>50000</v>
      </c>
      <c r="P872" s="5" t="n">
        <f aca="false">IF(A872="","",VLOOKUP(D872,DIvidend_Assumption!$A$3:$CX$103,($E$2+2),0)/12)</f>
        <v>0</v>
      </c>
      <c r="Q872" s="10" t="n">
        <f aca="false">IF(A872="","",IFERROR(AB871*P872,""))</f>
        <v>0</v>
      </c>
      <c r="R872" s="10" t="n">
        <f aca="false">IF(A872="","",IFERROR(IF(Inputs!$B$22="Accumulate",T872+Q872,IF(Inputs!$B$22="Premium Offset",MAX(0,T872+Q872-Inputs!$B$25),T872)),""))</f>
        <v>0</v>
      </c>
      <c r="S872" s="10" t="n">
        <f aca="false">IF(A872="","",R871)</f>
        <v>0</v>
      </c>
      <c r="T872" s="10" t="n">
        <f aca="false">IF(A872="","",IFERROR(S872*(1+Inputs!$B$23/12),""))</f>
        <v>0</v>
      </c>
      <c r="U872" s="6" t="n">
        <f aca="false">IF(A872="","",IF(D872&lt;=Inputs!$B$8,IF(Inputs!$B$22="Premium Offset",MAX(0,Inputs!$B$25-(Q872+T872)),Inputs!$B$25),0))</f>
        <v>0</v>
      </c>
      <c r="V872" s="10" t="n">
        <f aca="false">IF(A872="","",IF(Inputs!$B$22="Cash",Q872,0))</f>
        <v>0</v>
      </c>
      <c r="W872" s="10" t="n">
        <f aca="false">IF(A872="","",IF(Inputs!$B$22="PUA",Q872,0))</f>
        <v>0</v>
      </c>
      <c r="X872" s="12" t="n">
        <f aca="false">IF(A872="","",IFERROR(INDEX(PUA_TABLE!$D$4:$D$105,MATCH(E872,PUA_TABLE!$C$4:$C$105,1)),0))</f>
        <v>0.91927206483853</v>
      </c>
      <c r="Y872" s="10" t="n">
        <f aca="false">IF(A872="","",IF(W872&gt;0,IF(X872&gt;0,W872/X872,0),0))</f>
        <v>0</v>
      </c>
      <c r="Z872" s="10" t="n">
        <f aca="false">IF(A872="","",N872+Y872)</f>
        <v>0</v>
      </c>
      <c r="AA872" s="10" t="n">
        <f aca="false">IF(A872="","",IFERROR(Z872*INDEX(PUA_TABLE!$I$4:$I$105,MATCH(E872,PUA_TABLE!$C$4:$C$105,1))/1000,0))</f>
        <v>0</v>
      </c>
      <c r="AB872" s="10" t="n">
        <f aca="false">IF(A872="","",IFERROR(L872+AA872,0))</f>
        <v>46090.5183179268</v>
      </c>
      <c r="AC872" s="10" t="n">
        <f aca="false">IF(A872="","",IF(Inputs!$B$22="Premium Offset",MIN(Inputs!$B$25,Q872+T872),0))</f>
        <v>0</v>
      </c>
    </row>
    <row r="873" customFormat="false" ht="15" hidden="false" customHeight="false" outlineLevel="0" collapsed="false">
      <c r="A873" s="1" t="n">
        <f aca="false">IF(A872="","",IF(INT((C872+1)/12)+Inputs!$B$7&gt;MAX(MORTALITY!$A:$A),"",Inputs!$B$4))</f>
        <v>34</v>
      </c>
      <c r="B873" s="3" t="n">
        <f aca="false">IF(A873="","",EOMONTH(B872,1))</f>
        <v>48244</v>
      </c>
      <c r="C873" s="1" t="n">
        <f aca="false">IF(A873="","",C872+1)</f>
        <v>871</v>
      </c>
      <c r="D873" s="1" t="n">
        <f aca="false">IF(A873="","",INT(C873/12))</f>
        <v>72</v>
      </c>
      <c r="E873" s="1" t="n">
        <f aca="false">IF(A873="","",D873+Inputs!$B$7)</f>
        <v>88</v>
      </c>
      <c r="F873" s="3" t="n">
        <f aca="false">IF(A873="","",DATE(YEAR(B$2)+D873,MONTH(B$2),DAY(B$2)))</f>
        <v>48004</v>
      </c>
      <c r="G873" s="3" t="n">
        <f aca="false">IF(A873="","",DATE(YEAR(F873)+1,MONTH(F873),DAY(F873)))</f>
        <v>48370</v>
      </c>
      <c r="H873" s="10" t="n">
        <f aca="false">IF(A873="","",IF(G873&gt;F873,(B873-F873)/(G873-F873),0))</f>
        <v>0.655737704918033</v>
      </c>
      <c r="I873" s="10" t="n">
        <f aca="false">IF(A873="","",IFERROR(INDEX(CV_RATES!$I:$I,MATCH(D873,CV_RATES!$C:$C,0)),0))</f>
        <v>919.27206483853</v>
      </c>
      <c r="J873" s="10" t="n">
        <f aca="false">IF(A873="","",IFERROR(IF(E873=MAX(MORTALITY!$A:$A),1000,INDEX(CV_RATES!$J:$J,MATCH(D873,CV_RATES!$C:$C,0))),0))</f>
        <v>923.717128744377</v>
      </c>
      <c r="K873" s="10" t="n">
        <f aca="false">IF(A873="","",IFERROR(I873+H873*(J873-I873),0))</f>
        <v>922.186860842364</v>
      </c>
      <c r="L873" s="10" t="n">
        <f aca="false">IF(A873="","",IFERROR(K873*Inputs!$B$9,0))</f>
        <v>46109.3430421182</v>
      </c>
      <c r="M873" s="10" t="n">
        <f aca="false">IF(A873="","",IFERROR(K873*Inputs!$B$10,0))</f>
        <v>147547.131174196</v>
      </c>
      <c r="N873" s="10" t="n">
        <f aca="false">IF(A873="","",Z872)</f>
        <v>0</v>
      </c>
      <c r="O873" s="6" t="n">
        <f aca="false">IF(A873="","",Inputs!$B$18+N873)</f>
        <v>50000</v>
      </c>
      <c r="P873" s="5" t="n">
        <f aca="false">IF(A873="","",VLOOKUP(D873,DIvidend_Assumption!$A$3:$CX$103,($E$2+2),0)/12)</f>
        <v>0</v>
      </c>
      <c r="Q873" s="10" t="n">
        <f aca="false">IF(A873="","",IFERROR(AB872*P873,""))</f>
        <v>0</v>
      </c>
      <c r="R873" s="10" t="n">
        <f aca="false">IF(A873="","",IFERROR(IF(Inputs!$B$22="Accumulate",T873+Q873,IF(Inputs!$B$22="Premium Offset",MAX(0,T873+Q873-Inputs!$B$25),T873)),""))</f>
        <v>0</v>
      </c>
      <c r="S873" s="10" t="n">
        <f aca="false">IF(A873="","",R872)</f>
        <v>0</v>
      </c>
      <c r="T873" s="10" t="n">
        <f aca="false">IF(A873="","",IFERROR(S873*(1+Inputs!$B$23/12),""))</f>
        <v>0</v>
      </c>
      <c r="U873" s="6" t="n">
        <f aca="false">IF(A873="","",IF(D873&lt;=Inputs!$B$8,IF(Inputs!$B$22="Premium Offset",MAX(0,Inputs!$B$25-(Q873+T873)),Inputs!$B$25),0))</f>
        <v>0</v>
      </c>
      <c r="V873" s="10" t="n">
        <f aca="false">IF(A873="","",IF(Inputs!$B$22="Cash",Q873,0))</f>
        <v>0</v>
      </c>
      <c r="W873" s="10" t="n">
        <f aca="false">IF(A873="","",IF(Inputs!$B$22="PUA",Q873,0))</f>
        <v>0</v>
      </c>
      <c r="X873" s="12" t="n">
        <f aca="false">IF(A873="","",IFERROR(INDEX(PUA_TABLE!$D$4:$D$105,MATCH(E873,PUA_TABLE!$C$4:$C$105,1)),0))</f>
        <v>0.91927206483853</v>
      </c>
      <c r="Y873" s="10" t="n">
        <f aca="false">IF(A873="","",IF(W873&gt;0,IF(X873&gt;0,W873/X873,0),0))</f>
        <v>0</v>
      </c>
      <c r="Z873" s="10" t="n">
        <f aca="false">IF(A873="","",N873+Y873)</f>
        <v>0</v>
      </c>
      <c r="AA873" s="10" t="n">
        <f aca="false">IF(A873="","",IFERROR(Z873*INDEX(PUA_TABLE!$I$4:$I$105,MATCH(E873,PUA_TABLE!$C$4:$C$105,1))/1000,0))</f>
        <v>0</v>
      </c>
      <c r="AB873" s="10" t="n">
        <f aca="false">IF(A873="","",IFERROR(L873+AA873,0))</f>
        <v>46109.3430421182</v>
      </c>
      <c r="AC873" s="10" t="n">
        <f aca="false">IF(A873="","",IF(Inputs!$B$22="Premium Offset",MIN(Inputs!$B$25,Q873+T873),0))</f>
        <v>0</v>
      </c>
    </row>
    <row r="874" customFormat="false" ht="15" hidden="false" customHeight="false" outlineLevel="0" collapsed="false">
      <c r="A874" s="1" t="n">
        <f aca="false">IF(A873="","",IF(INT((C873+1)/12)+Inputs!$B$7&gt;MAX(MORTALITY!$A:$A),"",Inputs!$B$4))</f>
        <v>34</v>
      </c>
      <c r="B874" s="3" t="n">
        <f aca="false">IF(A874="","",EOMONTH(B873,1))</f>
        <v>48273</v>
      </c>
      <c r="C874" s="1" t="n">
        <f aca="false">IF(A874="","",C873+1)</f>
        <v>872</v>
      </c>
      <c r="D874" s="1" t="n">
        <f aca="false">IF(A874="","",INT(C874/12))</f>
        <v>72</v>
      </c>
      <c r="E874" s="1" t="n">
        <f aca="false">IF(A874="","",D874+Inputs!$B$7)</f>
        <v>88</v>
      </c>
      <c r="F874" s="3" t="n">
        <f aca="false">IF(A874="","",DATE(YEAR(B$2)+D874,MONTH(B$2),DAY(B$2)))</f>
        <v>48004</v>
      </c>
      <c r="G874" s="3" t="n">
        <f aca="false">IF(A874="","",DATE(YEAR(F874)+1,MONTH(F874),DAY(F874)))</f>
        <v>48370</v>
      </c>
      <c r="H874" s="10" t="n">
        <f aca="false">IF(A874="","",IF(G874&gt;F874,(B874-F874)/(G874-F874),0))</f>
        <v>0.734972677595629</v>
      </c>
      <c r="I874" s="10" t="n">
        <f aca="false">IF(A874="","",IFERROR(INDEX(CV_RATES!$I:$I,MATCH(D874,CV_RATES!$C:$C,0)),0))</f>
        <v>919.27206483853</v>
      </c>
      <c r="J874" s="10" t="n">
        <f aca="false">IF(A874="","",IFERROR(IF(E874=MAX(MORTALITY!$A:$A),1000,INDEX(CV_RATES!$J:$J,MATCH(D874,CV_RATES!$C:$C,0))),0))</f>
        <v>923.717128744377</v>
      </c>
      <c r="K874" s="10" t="n">
        <f aca="false">IF(A874="","",IFERROR(I874+H874*(J874-I874),0))</f>
        <v>922.539065359494</v>
      </c>
      <c r="L874" s="10" t="n">
        <f aca="false">IF(A874="","",IFERROR(K874*Inputs!$B$9,0))</f>
        <v>46126.9532679747</v>
      </c>
      <c r="M874" s="10" t="n">
        <f aca="false">IF(A874="","",IFERROR(K874*Inputs!$B$10,0))</f>
        <v>147603.482840323</v>
      </c>
      <c r="N874" s="10" t="n">
        <f aca="false">IF(A874="","",Z873)</f>
        <v>0</v>
      </c>
      <c r="O874" s="6" t="n">
        <f aca="false">IF(A874="","",Inputs!$B$18+N874)</f>
        <v>50000</v>
      </c>
      <c r="P874" s="5" t="n">
        <f aca="false">IF(A874="","",VLOOKUP(D874,DIvidend_Assumption!$A$3:$CX$103,($E$2+2),0)/12)</f>
        <v>0</v>
      </c>
      <c r="Q874" s="10" t="n">
        <f aca="false">IF(A874="","",IFERROR(AB873*P874,""))</f>
        <v>0</v>
      </c>
      <c r="R874" s="10" t="n">
        <f aca="false">IF(A874="","",IFERROR(IF(Inputs!$B$22="Accumulate",T874+Q874,IF(Inputs!$B$22="Premium Offset",MAX(0,T874+Q874-Inputs!$B$25),T874)),""))</f>
        <v>0</v>
      </c>
      <c r="S874" s="10" t="n">
        <f aca="false">IF(A874="","",R873)</f>
        <v>0</v>
      </c>
      <c r="T874" s="10" t="n">
        <f aca="false">IF(A874="","",IFERROR(S874*(1+Inputs!$B$23/12),""))</f>
        <v>0</v>
      </c>
      <c r="U874" s="6" t="n">
        <f aca="false">IF(A874="","",IF(D874&lt;=Inputs!$B$8,IF(Inputs!$B$22="Premium Offset",MAX(0,Inputs!$B$25-(Q874+T874)),Inputs!$B$25),0))</f>
        <v>0</v>
      </c>
      <c r="V874" s="10" t="n">
        <f aca="false">IF(A874="","",IF(Inputs!$B$22="Cash",Q874,0))</f>
        <v>0</v>
      </c>
      <c r="W874" s="10" t="n">
        <f aca="false">IF(A874="","",IF(Inputs!$B$22="PUA",Q874,0))</f>
        <v>0</v>
      </c>
      <c r="X874" s="12" t="n">
        <f aca="false">IF(A874="","",IFERROR(INDEX(PUA_TABLE!$D$4:$D$105,MATCH(E874,PUA_TABLE!$C$4:$C$105,1)),0))</f>
        <v>0.91927206483853</v>
      </c>
      <c r="Y874" s="10" t="n">
        <f aca="false">IF(A874="","",IF(W874&gt;0,IF(X874&gt;0,W874/X874,0),0))</f>
        <v>0</v>
      </c>
      <c r="Z874" s="10" t="n">
        <f aca="false">IF(A874="","",N874+Y874)</f>
        <v>0</v>
      </c>
      <c r="AA874" s="10" t="n">
        <f aca="false">IF(A874="","",IFERROR(Z874*INDEX(PUA_TABLE!$I$4:$I$105,MATCH(E874,PUA_TABLE!$C$4:$C$105,1))/1000,0))</f>
        <v>0</v>
      </c>
      <c r="AB874" s="10" t="n">
        <f aca="false">IF(A874="","",IFERROR(L874+AA874,0))</f>
        <v>46126.9532679747</v>
      </c>
      <c r="AC874" s="10" t="n">
        <f aca="false">IF(A874="","",IF(Inputs!$B$22="Premium Offset",MIN(Inputs!$B$25,Q874+T874),0))</f>
        <v>0</v>
      </c>
    </row>
    <row r="875" customFormat="false" ht="15" hidden="false" customHeight="false" outlineLevel="0" collapsed="false">
      <c r="A875" s="1" t="n">
        <f aca="false">IF(A874="","",IF(INT((C874+1)/12)+Inputs!$B$7&gt;MAX(MORTALITY!$A:$A),"",Inputs!$B$4))</f>
        <v>34</v>
      </c>
      <c r="B875" s="3" t="n">
        <f aca="false">IF(A875="","",EOMONTH(B874,1))</f>
        <v>48304</v>
      </c>
      <c r="C875" s="1" t="n">
        <f aca="false">IF(A875="","",C874+1)</f>
        <v>873</v>
      </c>
      <c r="D875" s="1" t="n">
        <f aca="false">IF(A875="","",INT(C875/12))</f>
        <v>72</v>
      </c>
      <c r="E875" s="1" t="n">
        <f aca="false">IF(A875="","",D875+Inputs!$B$7)</f>
        <v>88</v>
      </c>
      <c r="F875" s="3" t="n">
        <f aca="false">IF(A875="","",DATE(YEAR(B$2)+D875,MONTH(B$2),DAY(B$2)))</f>
        <v>48004</v>
      </c>
      <c r="G875" s="3" t="n">
        <f aca="false">IF(A875="","",DATE(YEAR(F875)+1,MONTH(F875),DAY(F875)))</f>
        <v>48370</v>
      </c>
      <c r="H875" s="10" t="n">
        <f aca="false">IF(A875="","",IF(G875&gt;F875,(B875-F875)/(G875-F875),0))</f>
        <v>0.819672131147541</v>
      </c>
      <c r="I875" s="10" t="n">
        <f aca="false">IF(A875="","",IFERROR(INDEX(CV_RATES!$I:$I,MATCH(D875,CV_RATES!$C:$C,0)),0))</f>
        <v>919.27206483853</v>
      </c>
      <c r="J875" s="10" t="n">
        <f aca="false">IF(A875="","",IFERROR(IF(E875=MAX(MORTALITY!$A:$A),1000,INDEX(CV_RATES!$J:$J,MATCH(D875,CV_RATES!$C:$C,0))),0))</f>
        <v>923.717128744377</v>
      </c>
      <c r="K875" s="10" t="n">
        <f aca="false">IF(A875="","",IFERROR(I875+H875*(J875-I875),0))</f>
        <v>922.915559843323</v>
      </c>
      <c r="L875" s="10" t="n">
        <f aca="false">IF(A875="","",IFERROR(K875*Inputs!$B$9,0))</f>
        <v>46145.7779921661</v>
      </c>
      <c r="M875" s="10" t="n">
        <f aca="false">IF(A875="","",IFERROR(K875*Inputs!$B$10,0))</f>
        <v>147663.720828252</v>
      </c>
      <c r="N875" s="10" t="n">
        <f aca="false">IF(A875="","",Z874)</f>
        <v>0</v>
      </c>
      <c r="O875" s="6" t="n">
        <f aca="false">IF(A875="","",Inputs!$B$18+N875)</f>
        <v>50000</v>
      </c>
      <c r="P875" s="5" t="n">
        <f aca="false">IF(A875="","",VLOOKUP(D875,DIvidend_Assumption!$A$3:$CX$103,($E$2+2),0)/12)</f>
        <v>0</v>
      </c>
      <c r="Q875" s="10" t="n">
        <f aca="false">IF(A875="","",IFERROR(AB874*P875,""))</f>
        <v>0</v>
      </c>
      <c r="R875" s="10" t="n">
        <f aca="false">IF(A875="","",IFERROR(IF(Inputs!$B$22="Accumulate",T875+Q875,IF(Inputs!$B$22="Premium Offset",MAX(0,T875+Q875-Inputs!$B$25),T875)),""))</f>
        <v>0</v>
      </c>
      <c r="S875" s="10" t="n">
        <f aca="false">IF(A875="","",R874)</f>
        <v>0</v>
      </c>
      <c r="T875" s="10" t="n">
        <f aca="false">IF(A875="","",IFERROR(S875*(1+Inputs!$B$23/12),""))</f>
        <v>0</v>
      </c>
      <c r="U875" s="6" t="n">
        <f aca="false">IF(A875="","",IF(D875&lt;=Inputs!$B$8,IF(Inputs!$B$22="Premium Offset",MAX(0,Inputs!$B$25-(Q875+T875)),Inputs!$B$25),0))</f>
        <v>0</v>
      </c>
      <c r="V875" s="10" t="n">
        <f aca="false">IF(A875="","",IF(Inputs!$B$22="Cash",Q875,0))</f>
        <v>0</v>
      </c>
      <c r="W875" s="10" t="n">
        <f aca="false">IF(A875="","",IF(Inputs!$B$22="PUA",Q875,0))</f>
        <v>0</v>
      </c>
      <c r="X875" s="12" t="n">
        <f aca="false">IF(A875="","",IFERROR(INDEX(PUA_TABLE!$D$4:$D$105,MATCH(E875,PUA_TABLE!$C$4:$C$105,1)),0))</f>
        <v>0.91927206483853</v>
      </c>
      <c r="Y875" s="10" t="n">
        <f aca="false">IF(A875="","",IF(W875&gt;0,IF(X875&gt;0,W875/X875,0),0))</f>
        <v>0</v>
      </c>
      <c r="Z875" s="10" t="n">
        <f aca="false">IF(A875="","",N875+Y875)</f>
        <v>0</v>
      </c>
      <c r="AA875" s="10" t="n">
        <f aca="false">IF(A875="","",IFERROR(Z875*INDEX(PUA_TABLE!$I$4:$I$105,MATCH(E875,PUA_TABLE!$C$4:$C$105,1))/1000,0))</f>
        <v>0</v>
      </c>
      <c r="AB875" s="10" t="n">
        <f aca="false">IF(A875="","",IFERROR(L875+AA875,0))</f>
        <v>46145.7779921661</v>
      </c>
      <c r="AC875" s="10" t="n">
        <f aca="false">IF(A875="","",IF(Inputs!$B$22="Premium Offset",MIN(Inputs!$B$25,Q875+T875),0))</f>
        <v>0</v>
      </c>
    </row>
    <row r="876" customFormat="false" ht="15" hidden="false" customHeight="false" outlineLevel="0" collapsed="false">
      <c r="A876" s="1" t="n">
        <f aca="false">IF(A875="","",IF(INT((C875+1)/12)+Inputs!$B$7&gt;MAX(MORTALITY!$A:$A),"",Inputs!$B$4))</f>
        <v>34</v>
      </c>
      <c r="B876" s="3" t="n">
        <f aca="false">IF(A876="","",EOMONTH(B875,1))</f>
        <v>48334</v>
      </c>
      <c r="C876" s="1" t="n">
        <f aca="false">IF(A876="","",C875+1)</f>
        <v>874</v>
      </c>
      <c r="D876" s="1" t="n">
        <f aca="false">IF(A876="","",INT(C876/12))</f>
        <v>72</v>
      </c>
      <c r="E876" s="1" t="n">
        <f aca="false">IF(A876="","",D876+Inputs!$B$7)</f>
        <v>88</v>
      </c>
      <c r="F876" s="3" t="n">
        <f aca="false">IF(A876="","",DATE(YEAR(B$2)+D876,MONTH(B$2),DAY(B$2)))</f>
        <v>48004</v>
      </c>
      <c r="G876" s="3" t="n">
        <f aca="false">IF(A876="","",DATE(YEAR(F876)+1,MONTH(F876),DAY(F876)))</f>
        <v>48370</v>
      </c>
      <c r="H876" s="10" t="n">
        <f aca="false">IF(A876="","",IF(G876&gt;F876,(B876-F876)/(G876-F876),0))</f>
        <v>0.901639344262295</v>
      </c>
      <c r="I876" s="10" t="n">
        <f aca="false">IF(A876="","",IFERROR(INDEX(CV_RATES!$I:$I,MATCH(D876,CV_RATES!$C:$C,0)),0))</f>
        <v>919.27206483853</v>
      </c>
      <c r="J876" s="10" t="n">
        <f aca="false">IF(A876="","",IFERROR(IF(E876=MAX(MORTALITY!$A:$A),1000,INDEX(CV_RATES!$J:$J,MATCH(D876,CV_RATES!$C:$C,0))),0))</f>
        <v>923.717128744377</v>
      </c>
      <c r="K876" s="10" t="n">
        <f aca="false">IF(A876="","",IFERROR(I876+H876*(J876-I876),0))</f>
        <v>923.279909343802</v>
      </c>
      <c r="L876" s="10" t="n">
        <f aca="false">IF(A876="","",IFERROR(K876*Inputs!$B$9,0))</f>
        <v>46163.9954671901</v>
      </c>
      <c r="M876" s="10" t="n">
        <f aca="false">IF(A876="","",IFERROR(K876*Inputs!$B$10,0))</f>
        <v>147722.01565528</v>
      </c>
      <c r="N876" s="10" t="n">
        <f aca="false">IF(A876="","",Z875)</f>
        <v>0</v>
      </c>
      <c r="O876" s="6" t="n">
        <f aca="false">IF(A876="","",Inputs!$B$18+N876)</f>
        <v>50000</v>
      </c>
      <c r="P876" s="5" t="n">
        <f aca="false">IF(A876="","",VLOOKUP(D876,DIvidend_Assumption!$A$3:$CX$103,($E$2+2),0)/12)</f>
        <v>0</v>
      </c>
      <c r="Q876" s="10" t="n">
        <f aca="false">IF(A876="","",IFERROR(AB875*P876,""))</f>
        <v>0</v>
      </c>
      <c r="R876" s="10" t="n">
        <f aca="false">IF(A876="","",IFERROR(IF(Inputs!$B$22="Accumulate",T876+Q876,IF(Inputs!$B$22="Premium Offset",MAX(0,T876+Q876-Inputs!$B$25),T876)),""))</f>
        <v>0</v>
      </c>
      <c r="S876" s="10" t="n">
        <f aca="false">IF(A876="","",R875)</f>
        <v>0</v>
      </c>
      <c r="T876" s="10" t="n">
        <f aca="false">IF(A876="","",IFERROR(S876*(1+Inputs!$B$23/12),""))</f>
        <v>0</v>
      </c>
      <c r="U876" s="6" t="n">
        <f aca="false">IF(A876="","",IF(D876&lt;=Inputs!$B$8,IF(Inputs!$B$22="Premium Offset",MAX(0,Inputs!$B$25-(Q876+T876)),Inputs!$B$25),0))</f>
        <v>0</v>
      </c>
      <c r="V876" s="10" t="n">
        <f aca="false">IF(A876="","",IF(Inputs!$B$22="Cash",Q876,0))</f>
        <v>0</v>
      </c>
      <c r="W876" s="10" t="n">
        <f aca="false">IF(A876="","",IF(Inputs!$B$22="PUA",Q876,0))</f>
        <v>0</v>
      </c>
      <c r="X876" s="12" t="n">
        <f aca="false">IF(A876="","",IFERROR(INDEX(PUA_TABLE!$D$4:$D$105,MATCH(E876,PUA_TABLE!$C$4:$C$105,1)),0))</f>
        <v>0.91927206483853</v>
      </c>
      <c r="Y876" s="10" t="n">
        <f aca="false">IF(A876="","",IF(W876&gt;0,IF(X876&gt;0,W876/X876,0),0))</f>
        <v>0</v>
      </c>
      <c r="Z876" s="10" t="n">
        <f aca="false">IF(A876="","",N876+Y876)</f>
        <v>0</v>
      </c>
      <c r="AA876" s="10" t="n">
        <f aca="false">IF(A876="","",IFERROR(Z876*INDEX(PUA_TABLE!$I$4:$I$105,MATCH(E876,PUA_TABLE!$C$4:$C$105,1))/1000,0))</f>
        <v>0</v>
      </c>
      <c r="AB876" s="10" t="n">
        <f aca="false">IF(A876="","",IFERROR(L876+AA876,0))</f>
        <v>46163.9954671901</v>
      </c>
      <c r="AC876" s="10" t="n">
        <f aca="false">IF(A876="","",IF(Inputs!$B$22="Premium Offset",MIN(Inputs!$B$25,Q876+T876),0))</f>
        <v>0</v>
      </c>
    </row>
    <row r="877" customFormat="false" ht="15" hidden="false" customHeight="false" outlineLevel="0" collapsed="false">
      <c r="A877" s="1" t="n">
        <f aca="false">IF(A876="","",IF(INT((C876+1)/12)+Inputs!$B$7&gt;MAX(MORTALITY!$A:$A),"",Inputs!$B$4))</f>
        <v>34</v>
      </c>
      <c r="B877" s="3" t="n">
        <f aca="false">IF(A877="","",EOMONTH(B876,1))</f>
        <v>48365</v>
      </c>
      <c r="C877" s="1" t="n">
        <f aca="false">IF(A877="","",C876+1)</f>
        <v>875</v>
      </c>
      <c r="D877" s="1" t="n">
        <f aca="false">IF(A877="","",INT(C877/12))</f>
        <v>72</v>
      </c>
      <c r="E877" s="1" t="n">
        <f aca="false">IF(A877="","",D877+Inputs!$B$7)</f>
        <v>88</v>
      </c>
      <c r="F877" s="3" t="n">
        <f aca="false">IF(A877="","",DATE(YEAR(B$2)+D877,MONTH(B$2),DAY(B$2)))</f>
        <v>48004</v>
      </c>
      <c r="G877" s="3" t="n">
        <f aca="false">IF(A877="","",DATE(YEAR(F877)+1,MONTH(F877),DAY(F877)))</f>
        <v>48370</v>
      </c>
      <c r="H877" s="10" t="n">
        <f aca="false">IF(A877="","",IF(G877&gt;F877,(B877-F877)/(G877-F877),0))</f>
        <v>0.986338797814208</v>
      </c>
      <c r="I877" s="10" t="n">
        <f aca="false">IF(A877="","",IFERROR(INDEX(CV_RATES!$I:$I,MATCH(D877,CV_RATES!$C:$C,0)),0))</f>
        <v>919.27206483853</v>
      </c>
      <c r="J877" s="10" t="n">
        <f aca="false">IF(A877="","",IFERROR(IF(E877=MAX(MORTALITY!$A:$A),1000,INDEX(CV_RATES!$J:$J,MATCH(D877,CV_RATES!$C:$C,0))),0))</f>
        <v>923.717128744377</v>
      </c>
      <c r="K877" s="10" t="n">
        <f aca="false">IF(A877="","",IFERROR(I877+H877*(J877-I877),0))</f>
        <v>923.65640382763</v>
      </c>
      <c r="L877" s="10" t="n">
        <f aca="false">IF(A877="","",IFERROR(K877*Inputs!$B$9,0))</f>
        <v>46182.8201913815</v>
      </c>
      <c r="M877" s="10" t="n">
        <f aca="false">IF(A877="","",IFERROR(K877*Inputs!$B$10,0))</f>
        <v>147782.253643209</v>
      </c>
      <c r="N877" s="10" t="n">
        <f aca="false">IF(A877="","",Z876)</f>
        <v>0</v>
      </c>
      <c r="O877" s="6" t="n">
        <f aca="false">IF(A877="","",Inputs!$B$18+N877)</f>
        <v>50000</v>
      </c>
      <c r="P877" s="5" t="n">
        <f aca="false">IF(A877="","",VLOOKUP(D877,DIvidend_Assumption!$A$3:$CX$103,($E$2+2),0)/12)</f>
        <v>0</v>
      </c>
      <c r="Q877" s="10" t="n">
        <f aca="false">IF(A877="","",IFERROR(AB876*P877,""))</f>
        <v>0</v>
      </c>
      <c r="R877" s="10" t="n">
        <f aca="false">IF(A877="","",IFERROR(IF(Inputs!$B$22="Accumulate",T877+Q877,IF(Inputs!$B$22="Premium Offset",MAX(0,T877+Q877-Inputs!$B$25),T877)),""))</f>
        <v>0</v>
      </c>
      <c r="S877" s="10" t="n">
        <f aca="false">IF(A877="","",R876)</f>
        <v>0</v>
      </c>
      <c r="T877" s="10" t="n">
        <f aca="false">IF(A877="","",IFERROR(S877*(1+Inputs!$B$23/12),""))</f>
        <v>0</v>
      </c>
      <c r="U877" s="6" t="n">
        <f aca="false">IF(A877="","",IF(D877&lt;=Inputs!$B$8,IF(Inputs!$B$22="Premium Offset",MAX(0,Inputs!$B$25-(Q877+T877)),Inputs!$B$25),0))</f>
        <v>0</v>
      </c>
      <c r="V877" s="10" t="n">
        <f aca="false">IF(A877="","",IF(Inputs!$B$22="Cash",Q877,0))</f>
        <v>0</v>
      </c>
      <c r="W877" s="10" t="n">
        <f aca="false">IF(A877="","",IF(Inputs!$B$22="PUA",Q877,0))</f>
        <v>0</v>
      </c>
      <c r="X877" s="12" t="n">
        <f aca="false">IF(A877="","",IFERROR(INDEX(PUA_TABLE!$D$4:$D$105,MATCH(E877,PUA_TABLE!$C$4:$C$105,1)),0))</f>
        <v>0.91927206483853</v>
      </c>
      <c r="Y877" s="10" t="n">
        <f aca="false">IF(A877="","",IF(W877&gt;0,IF(X877&gt;0,W877/X877,0),0))</f>
        <v>0</v>
      </c>
      <c r="Z877" s="10" t="n">
        <f aca="false">IF(A877="","",N877+Y877)</f>
        <v>0</v>
      </c>
      <c r="AA877" s="10" t="n">
        <f aca="false">IF(A877="","",IFERROR(Z877*INDEX(PUA_TABLE!$I$4:$I$105,MATCH(E877,PUA_TABLE!$C$4:$C$105,1))/1000,0))</f>
        <v>0</v>
      </c>
      <c r="AB877" s="10" t="n">
        <f aca="false">IF(A877="","",IFERROR(L877+AA877,0))</f>
        <v>46182.8201913815</v>
      </c>
      <c r="AC877" s="10" t="n">
        <f aca="false">IF(A877="","",IF(Inputs!$B$22="Premium Offset",MIN(Inputs!$B$25,Q877+T877),0))</f>
        <v>0</v>
      </c>
    </row>
    <row r="878" customFormat="false" ht="15" hidden="false" customHeight="false" outlineLevel="0" collapsed="false">
      <c r="A878" s="1" t="n">
        <f aca="false">IF(A877="","",IF(INT((C877+1)/12)+Inputs!$B$7&gt;MAX(MORTALITY!$A:$A),"",Inputs!$B$4))</f>
        <v>34</v>
      </c>
      <c r="B878" s="3" t="n">
        <f aca="false">IF(A878="","",EOMONTH(B877,1))</f>
        <v>48395</v>
      </c>
      <c r="C878" s="1" t="n">
        <f aca="false">IF(A878="","",C877+1)</f>
        <v>876</v>
      </c>
      <c r="D878" s="1" t="n">
        <f aca="false">IF(A878="","",INT(C878/12))</f>
        <v>73</v>
      </c>
      <c r="E878" s="1" t="n">
        <f aca="false">IF(A878="","",D878+Inputs!$B$7)</f>
        <v>89</v>
      </c>
      <c r="F878" s="3" t="n">
        <f aca="false">IF(A878="","",DATE(YEAR(B$2)+D878,MONTH(B$2),DAY(B$2)))</f>
        <v>48370</v>
      </c>
      <c r="G878" s="3" t="n">
        <f aca="false">IF(A878="","",DATE(YEAR(F878)+1,MONTH(F878),DAY(F878)))</f>
        <v>48735</v>
      </c>
      <c r="H878" s="10" t="n">
        <f aca="false">IF(A878="","",IF(G878&gt;F878,(B878-F878)/(G878-F878),0))</f>
        <v>0.0684931506849315</v>
      </c>
      <c r="I878" s="10" t="n">
        <f aca="false">IF(A878="","",IFERROR(INDEX(CV_RATES!$I:$I,MATCH(D878,CV_RATES!$C:$C,0)),0))</f>
        <v>923.717128744377</v>
      </c>
      <c r="J878" s="10" t="n">
        <f aca="false">IF(A878="","",IFERROR(IF(E878=MAX(MORTALITY!$A:$A),1000,INDEX(CV_RATES!$J:$J,MATCH(D878,CV_RATES!$C:$C,0))),0))</f>
        <v>927.981554596764</v>
      </c>
      <c r="K878" s="10" t="n">
        <f aca="false">IF(A878="","",IFERROR(I878+H878*(J878-I878),0))</f>
        <v>924.009212706869</v>
      </c>
      <c r="L878" s="10" t="n">
        <f aca="false">IF(A878="","",IFERROR(K878*Inputs!$B$9,0))</f>
        <v>46200.4606353435</v>
      </c>
      <c r="M878" s="10" t="n">
        <f aca="false">IF(A878="","",IFERROR(K878*Inputs!$B$10,0))</f>
        <v>147838.702005461</v>
      </c>
      <c r="N878" s="10" t="n">
        <f aca="false">IF(A878="","",Z877)</f>
        <v>0</v>
      </c>
      <c r="O878" s="6" t="n">
        <f aca="false">IF(A878="","",Inputs!$B$18+N878)</f>
        <v>50000</v>
      </c>
      <c r="P878" s="5" t="n">
        <f aca="false">IF(A878="","",VLOOKUP(D878,DIvidend_Assumption!$A$3:$CX$103,($E$2+2),0)/12)</f>
        <v>0</v>
      </c>
      <c r="Q878" s="10" t="n">
        <f aca="false">IF(A878="","",IFERROR(AB877*P878,""))</f>
        <v>0</v>
      </c>
      <c r="R878" s="10" t="n">
        <f aca="false">IF(A878="","",IFERROR(IF(Inputs!$B$22="Accumulate",T878+Q878,IF(Inputs!$B$22="Premium Offset",MAX(0,T878+Q878-Inputs!$B$25),T878)),""))</f>
        <v>0</v>
      </c>
      <c r="S878" s="10" t="n">
        <f aca="false">IF(A878="","",R877)</f>
        <v>0</v>
      </c>
      <c r="T878" s="10" t="n">
        <f aca="false">IF(A878="","",IFERROR(S878*(1+Inputs!$B$23/12),""))</f>
        <v>0</v>
      </c>
      <c r="U878" s="6" t="n">
        <f aca="false">IF(A878="","",IF(D878&lt;=Inputs!$B$8,IF(Inputs!$B$22="Premium Offset",MAX(0,Inputs!$B$25-(Q878+T878)),Inputs!$B$25),0))</f>
        <v>0</v>
      </c>
      <c r="V878" s="10" t="n">
        <f aca="false">IF(A878="","",IF(Inputs!$B$22="Cash",Q878,0))</f>
        <v>0</v>
      </c>
      <c r="W878" s="10" t="n">
        <f aca="false">IF(A878="","",IF(Inputs!$B$22="PUA",Q878,0))</f>
        <v>0</v>
      </c>
      <c r="X878" s="12" t="n">
        <f aca="false">IF(A878="","",IFERROR(INDEX(PUA_TABLE!$D$4:$D$105,MATCH(E878,PUA_TABLE!$C$4:$C$105,1)),0))</f>
        <v>0.923717128744377</v>
      </c>
      <c r="Y878" s="10" t="n">
        <f aca="false">IF(A878="","",IF(W878&gt;0,IF(X878&gt;0,W878/X878,0),0))</f>
        <v>0</v>
      </c>
      <c r="Z878" s="10" t="n">
        <f aca="false">IF(A878="","",N878+Y878)</f>
        <v>0</v>
      </c>
      <c r="AA878" s="10" t="n">
        <f aca="false">IF(A878="","",IFERROR(Z878*INDEX(PUA_TABLE!$I$4:$I$105,MATCH(E878,PUA_TABLE!$C$4:$C$105,1))/1000,0))</f>
        <v>0</v>
      </c>
      <c r="AB878" s="10" t="n">
        <f aca="false">IF(A878="","",IFERROR(L878+AA878,0))</f>
        <v>46200.4606353435</v>
      </c>
      <c r="AC878" s="10" t="n">
        <f aca="false">IF(A878="","",IF(Inputs!$B$22="Premium Offset",MIN(Inputs!$B$25,Q878+T878),0))</f>
        <v>0</v>
      </c>
    </row>
    <row r="879" customFormat="false" ht="15" hidden="false" customHeight="false" outlineLevel="0" collapsed="false">
      <c r="A879" s="1" t="n">
        <f aca="false">IF(A878="","",IF(INT((C878+1)/12)+Inputs!$B$7&gt;MAX(MORTALITY!$A:$A),"",Inputs!$B$4))</f>
        <v>34</v>
      </c>
      <c r="B879" s="3" t="n">
        <f aca="false">IF(A879="","",EOMONTH(B878,1))</f>
        <v>48426</v>
      </c>
      <c r="C879" s="1" t="n">
        <f aca="false">IF(A879="","",C878+1)</f>
        <v>877</v>
      </c>
      <c r="D879" s="1" t="n">
        <f aca="false">IF(A879="","",INT(C879/12))</f>
        <v>73</v>
      </c>
      <c r="E879" s="1" t="n">
        <f aca="false">IF(A879="","",D879+Inputs!$B$7)</f>
        <v>89</v>
      </c>
      <c r="F879" s="3" t="n">
        <f aca="false">IF(A879="","",DATE(YEAR(B$2)+D879,MONTH(B$2),DAY(B$2)))</f>
        <v>48370</v>
      </c>
      <c r="G879" s="3" t="n">
        <f aca="false">IF(A879="","",DATE(YEAR(F879)+1,MONTH(F879),DAY(F879)))</f>
        <v>48735</v>
      </c>
      <c r="H879" s="10" t="n">
        <f aca="false">IF(A879="","",IF(G879&gt;F879,(B879-F879)/(G879-F879),0))</f>
        <v>0.153424657534247</v>
      </c>
      <c r="I879" s="10" t="n">
        <f aca="false">IF(A879="","",IFERROR(INDEX(CV_RATES!$I:$I,MATCH(D879,CV_RATES!$C:$C,0)),0))</f>
        <v>923.717128744377</v>
      </c>
      <c r="J879" s="10" t="n">
        <f aca="false">IF(A879="","",IFERROR(IF(E879=MAX(MORTALITY!$A:$A),1000,INDEX(CV_RATES!$J:$J,MATCH(D879,CV_RATES!$C:$C,0))),0))</f>
        <v>927.981554596764</v>
      </c>
      <c r="K879" s="10" t="n">
        <f aca="false">IF(A879="","",IFERROR(I879+H879*(J879-I879),0))</f>
        <v>924.37139682036</v>
      </c>
      <c r="L879" s="10" t="n">
        <f aca="false">IF(A879="","",IFERROR(K879*Inputs!$B$9,0))</f>
        <v>46218.569841018</v>
      </c>
      <c r="M879" s="10" t="n">
        <f aca="false">IF(A879="","",IFERROR(K879*Inputs!$B$10,0))</f>
        <v>147896.650377067</v>
      </c>
      <c r="N879" s="10" t="n">
        <f aca="false">IF(A879="","",Z878)</f>
        <v>0</v>
      </c>
      <c r="O879" s="6" t="n">
        <f aca="false">IF(A879="","",Inputs!$B$18+N879)</f>
        <v>50000</v>
      </c>
      <c r="P879" s="5" t="n">
        <f aca="false">IF(A879="","",VLOOKUP(D879,DIvidend_Assumption!$A$3:$CX$103,($E$2+2),0)/12)</f>
        <v>0</v>
      </c>
      <c r="Q879" s="10" t="n">
        <f aca="false">IF(A879="","",IFERROR(AB878*P879,""))</f>
        <v>0</v>
      </c>
      <c r="R879" s="10" t="n">
        <f aca="false">IF(A879="","",IFERROR(IF(Inputs!$B$22="Accumulate",T879+Q879,IF(Inputs!$B$22="Premium Offset",MAX(0,T879+Q879-Inputs!$B$25),T879)),""))</f>
        <v>0</v>
      </c>
      <c r="S879" s="10" t="n">
        <f aca="false">IF(A879="","",R878)</f>
        <v>0</v>
      </c>
      <c r="T879" s="10" t="n">
        <f aca="false">IF(A879="","",IFERROR(S879*(1+Inputs!$B$23/12),""))</f>
        <v>0</v>
      </c>
      <c r="U879" s="6" t="n">
        <f aca="false">IF(A879="","",IF(D879&lt;=Inputs!$B$8,IF(Inputs!$B$22="Premium Offset",MAX(0,Inputs!$B$25-(Q879+T879)),Inputs!$B$25),0))</f>
        <v>0</v>
      </c>
      <c r="V879" s="10" t="n">
        <f aca="false">IF(A879="","",IF(Inputs!$B$22="Cash",Q879,0))</f>
        <v>0</v>
      </c>
      <c r="W879" s="10" t="n">
        <f aca="false">IF(A879="","",IF(Inputs!$B$22="PUA",Q879,0))</f>
        <v>0</v>
      </c>
      <c r="X879" s="12" t="n">
        <f aca="false">IF(A879="","",IFERROR(INDEX(PUA_TABLE!$D$4:$D$105,MATCH(E879,PUA_TABLE!$C$4:$C$105,1)),0))</f>
        <v>0.923717128744377</v>
      </c>
      <c r="Y879" s="10" t="n">
        <f aca="false">IF(A879="","",IF(W879&gt;0,IF(X879&gt;0,W879/X879,0),0))</f>
        <v>0</v>
      </c>
      <c r="Z879" s="10" t="n">
        <f aca="false">IF(A879="","",N879+Y879)</f>
        <v>0</v>
      </c>
      <c r="AA879" s="10" t="n">
        <f aca="false">IF(A879="","",IFERROR(Z879*INDEX(PUA_TABLE!$I$4:$I$105,MATCH(E879,PUA_TABLE!$C$4:$C$105,1))/1000,0))</f>
        <v>0</v>
      </c>
      <c r="AB879" s="10" t="n">
        <f aca="false">IF(A879="","",IFERROR(L879+AA879,0))</f>
        <v>46218.569841018</v>
      </c>
      <c r="AC879" s="10" t="n">
        <f aca="false">IF(A879="","",IF(Inputs!$B$22="Premium Offset",MIN(Inputs!$B$25,Q879+T879),0))</f>
        <v>0</v>
      </c>
    </row>
    <row r="880" customFormat="false" ht="15" hidden="false" customHeight="false" outlineLevel="0" collapsed="false">
      <c r="A880" s="1" t="n">
        <f aca="false">IF(A879="","",IF(INT((C879+1)/12)+Inputs!$B$7&gt;MAX(MORTALITY!$A:$A),"",Inputs!$B$4))</f>
        <v>34</v>
      </c>
      <c r="B880" s="3" t="n">
        <f aca="false">IF(A880="","",EOMONTH(B879,1))</f>
        <v>48457</v>
      </c>
      <c r="C880" s="1" t="n">
        <f aca="false">IF(A880="","",C879+1)</f>
        <v>878</v>
      </c>
      <c r="D880" s="1" t="n">
        <f aca="false">IF(A880="","",INT(C880/12))</f>
        <v>73</v>
      </c>
      <c r="E880" s="1" t="n">
        <f aca="false">IF(A880="","",D880+Inputs!$B$7)</f>
        <v>89</v>
      </c>
      <c r="F880" s="3" t="n">
        <f aca="false">IF(A880="","",DATE(YEAR(B$2)+D880,MONTH(B$2),DAY(B$2)))</f>
        <v>48370</v>
      </c>
      <c r="G880" s="3" t="n">
        <f aca="false">IF(A880="","",DATE(YEAR(F880)+1,MONTH(F880),DAY(F880)))</f>
        <v>48735</v>
      </c>
      <c r="H880" s="10" t="n">
        <f aca="false">IF(A880="","",IF(G880&gt;F880,(B880-F880)/(G880-F880),0))</f>
        <v>0.238356164383562</v>
      </c>
      <c r="I880" s="10" t="n">
        <f aca="false">IF(A880="","",IFERROR(INDEX(CV_RATES!$I:$I,MATCH(D880,CV_RATES!$C:$C,0)),0))</f>
        <v>923.717128744377</v>
      </c>
      <c r="J880" s="10" t="n">
        <f aca="false">IF(A880="","",IFERROR(IF(E880=MAX(MORTALITY!$A:$A),1000,INDEX(CV_RATES!$J:$J,MATCH(D880,CV_RATES!$C:$C,0))),0))</f>
        <v>927.981554596764</v>
      </c>
      <c r="K880" s="10" t="n">
        <f aca="false">IF(A880="","",IFERROR(I880+H880*(J880-I880),0))</f>
        <v>924.73358093385</v>
      </c>
      <c r="L880" s="10" t="n">
        <f aca="false">IF(A880="","",IFERROR(K880*Inputs!$B$9,0))</f>
        <v>46236.6790466925</v>
      </c>
      <c r="M880" s="10" t="n">
        <f aca="false">IF(A880="","",IFERROR(K880*Inputs!$B$10,0))</f>
        <v>147954.598748673</v>
      </c>
      <c r="N880" s="10" t="n">
        <f aca="false">IF(A880="","",Z879)</f>
        <v>0</v>
      </c>
      <c r="O880" s="6" t="n">
        <f aca="false">IF(A880="","",Inputs!$B$18+N880)</f>
        <v>50000</v>
      </c>
      <c r="P880" s="5" t="n">
        <f aca="false">IF(A880="","",VLOOKUP(D880,DIvidend_Assumption!$A$3:$CX$103,($E$2+2),0)/12)</f>
        <v>0</v>
      </c>
      <c r="Q880" s="10" t="n">
        <f aca="false">IF(A880="","",IFERROR(AB879*P880,""))</f>
        <v>0</v>
      </c>
      <c r="R880" s="10" t="n">
        <f aca="false">IF(A880="","",IFERROR(IF(Inputs!$B$22="Accumulate",T880+Q880,IF(Inputs!$B$22="Premium Offset",MAX(0,T880+Q880-Inputs!$B$25),T880)),""))</f>
        <v>0</v>
      </c>
      <c r="S880" s="10" t="n">
        <f aca="false">IF(A880="","",R879)</f>
        <v>0</v>
      </c>
      <c r="T880" s="10" t="n">
        <f aca="false">IF(A880="","",IFERROR(S880*(1+Inputs!$B$23/12),""))</f>
        <v>0</v>
      </c>
      <c r="U880" s="6" t="n">
        <f aca="false">IF(A880="","",IF(D880&lt;=Inputs!$B$8,IF(Inputs!$B$22="Premium Offset",MAX(0,Inputs!$B$25-(Q880+T880)),Inputs!$B$25),0))</f>
        <v>0</v>
      </c>
      <c r="V880" s="10" t="n">
        <f aca="false">IF(A880="","",IF(Inputs!$B$22="Cash",Q880,0))</f>
        <v>0</v>
      </c>
      <c r="W880" s="10" t="n">
        <f aca="false">IF(A880="","",IF(Inputs!$B$22="PUA",Q880,0))</f>
        <v>0</v>
      </c>
      <c r="X880" s="12" t="n">
        <f aca="false">IF(A880="","",IFERROR(INDEX(PUA_TABLE!$D$4:$D$105,MATCH(E880,PUA_TABLE!$C$4:$C$105,1)),0))</f>
        <v>0.923717128744377</v>
      </c>
      <c r="Y880" s="10" t="n">
        <f aca="false">IF(A880="","",IF(W880&gt;0,IF(X880&gt;0,W880/X880,0),0))</f>
        <v>0</v>
      </c>
      <c r="Z880" s="10" t="n">
        <f aca="false">IF(A880="","",N880+Y880)</f>
        <v>0</v>
      </c>
      <c r="AA880" s="10" t="n">
        <f aca="false">IF(A880="","",IFERROR(Z880*INDEX(PUA_TABLE!$I$4:$I$105,MATCH(E880,PUA_TABLE!$C$4:$C$105,1))/1000,0))</f>
        <v>0</v>
      </c>
      <c r="AB880" s="10" t="n">
        <f aca="false">IF(A880="","",IFERROR(L880+AA880,0))</f>
        <v>46236.6790466925</v>
      </c>
      <c r="AC880" s="10" t="n">
        <f aca="false">IF(A880="","",IF(Inputs!$B$22="Premium Offset",MIN(Inputs!$B$25,Q880+T880),0))</f>
        <v>0</v>
      </c>
    </row>
    <row r="881" customFormat="false" ht="15" hidden="false" customHeight="false" outlineLevel="0" collapsed="false">
      <c r="A881" s="1" t="n">
        <f aca="false">IF(A880="","",IF(INT((C880+1)/12)+Inputs!$B$7&gt;MAX(MORTALITY!$A:$A),"",Inputs!$B$4))</f>
        <v>34</v>
      </c>
      <c r="B881" s="3" t="n">
        <f aca="false">IF(A881="","",EOMONTH(B880,1))</f>
        <v>48487</v>
      </c>
      <c r="C881" s="1" t="n">
        <f aca="false">IF(A881="","",C880+1)</f>
        <v>879</v>
      </c>
      <c r="D881" s="1" t="n">
        <f aca="false">IF(A881="","",INT(C881/12))</f>
        <v>73</v>
      </c>
      <c r="E881" s="1" t="n">
        <f aca="false">IF(A881="","",D881+Inputs!$B$7)</f>
        <v>89</v>
      </c>
      <c r="F881" s="3" t="n">
        <f aca="false">IF(A881="","",DATE(YEAR(B$2)+D881,MONTH(B$2),DAY(B$2)))</f>
        <v>48370</v>
      </c>
      <c r="G881" s="3" t="n">
        <f aca="false">IF(A881="","",DATE(YEAR(F881)+1,MONTH(F881),DAY(F881)))</f>
        <v>48735</v>
      </c>
      <c r="H881" s="10" t="n">
        <f aca="false">IF(A881="","",IF(G881&gt;F881,(B881-F881)/(G881-F881),0))</f>
        <v>0.320547945205479</v>
      </c>
      <c r="I881" s="10" t="n">
        <f aca="false">IF(A881="","",IFERROR(INDEX(CV_RATES!$I:$I,MATCH(D881,CV_RATES!$C:$C,0)),0))</f>
        <v>923.717128744377</v>
      </c>
      <c r="J881" s="10" t="n">
        <f aca="false">IF(A881="","",IFERROR(IF(E881=MAX(MORTALITY!$A:$A),1000,INDEX(CV_RATES!$J:$J,MATCH(D881,CV_RATES!$C:$C,0))),0))</f>
        <v>927.981554596764</v>
      </c>
      <c r="K881" s="10" t="n">
        <f aca="false">IF(A881="","",IFERROR(I881+H881*(J881-I881),0))</f>
        <v>925.084081688841</v>
      </c>
      <c r="L881" s="10" t="n">
        <f aca="false">IF(A881="","",IFERROR(K881*Inputs!$B$9,0))</f>
        <v>46254.204084442</v>
      </c>
      <c r="M881" s="10" t="n">
        <f aca="false">IF(A881="","",IFERROR(K881*Inputs!$B$10,0))</f>
        <v>148010.677817969</v>
      </c>
      <c r="N881" s="10" t="n">
        <f aca="false">IF(A881="","",Z880)</f>
        <v>0</v>
      </c>
      <c r="O881" s="6" t="n">
        <f aca="false">IF(A881="","",Inputs!$B$18+N881)</f>
        <v>50000</v>
      </c>
      <c r="P881" s="5" t="n">
        <f aca="false">IF(A881="","",VLOOKUP(D881,DIvidend_Assumption!$A$3:$CX$103,($E$2+2),0)/12)</f>
        <v>0</v>
      </c>
      <c r="Q881" s="10" t="n">
        <f aca="false">IF(A881="","",IFERROR(AB880*P881,""))</f>
        <v>0</v>
      </c>
      <c r="R881" s="10" t="n">
        <f aca="false">IF(A881="","",IFERROR(IF(Inputs!$B$22="Accumulate",T881+Q881,IF(Inputs!$B$22="Premium Offset",MAX(0,T881+Q881-Inputs!$B$25),T881)),""))</f>
        <v>0</v>
      </c>
      <c r="S881" s="10" t="n">
        <f aca="false">IF(A881="","",R880)</f>
        <v>0</v>
      </c>
      <c r="T881" s="10" t="n">
        <f aca="false">IF(A881="","",IFERROR(S881*(1+Inputs!$B$23/12),""))</f>
        <v>0</v>
      </c>
      <c r="U881" s="6" t="n">
        <f aca="false">IF(A881="","",IF(D881&lt;=Inputs!$B$8,IF(Inputs!$B$22="Premium Offset",MAX(0,Inputs!$B$25-(Q881+T881)),Inputs!$B$25),0))</f>
        <v>0</v>
      </c>
      <c r="V881" s="10" t="n">
        <f aca="false">IF(A881="","",IF(Inputs!$B$22="Cash",Q881,0))</f>
        <v>0</v>
      </c>
      <c r="W881" s="10" t="n">
        <f aca="false">IF(A881="","",IF(Inputs!$B$22="PUA",Q881,0))</f>
        <v>0</v>
      </c>
      <c r="X881" s="12" t="n">
        <f aca="false">IF(A881="","",IFERROR(INDEX(PUA_TABLE!$D$4:$D$105,MATCH(E881,PUA_TABLE!$C$4:$C$105,1)),0))</f>
        <v>0.923717128744377</v>
      </c>
      <c r="Y881" s="10" t="n">
        <f aca="false">IF(A881="","",IF(W881&gt;0,IF(X881&gt;0,W881/X881,0),0))</f>
        <v>0</v>
      </c>
      <c r="Z881" s="10" t="n">
        <f aca="false">IF(A881="","",N881+Y881)</f>
        <v>0</v>
      </c>
      <c r="AA881" s="10" t="n">
        <f aca="false">IF(A881="","",IFERROR(Z881*INDEX(PUA_TABLE!$I$4:$I$105,MATCH(E881,PUA_TABLE!$C$4:$C$105,1))/1000,0))</f>
        <v>0</v>
      </c>
      <c r="AB881" s="10" t="n">
        <f aca="false">IF(A881="","",IFERROR(L881+AA881,0))</f>
        <v>46254.204084442</v>
      </c>
      <c r="AC881" s="10" t="n">
        <f aca="false">IF(A881="","",IF(Inputs!$B$22="Premium Offset",MIN(Inputs!$B$25,Q881+T881),0))</f>
        <v>0</v>
      </c>
    </row>
    <row r="882" customFormat="false" ht="15" hidden="false" customHeight="false" outlineLevel="0" collapsed="false">
      <c r="A882" s="1" t="n">
        <f aca="false">IF(A881="","",IF(INT((C881+1)/12)+Inputs!$B$7&gt;MAX(MORTALITY!$A:$A),"",Inputs!$B$4))</f>
        <v>34</v>
      </c>
      <c r="B882" s="3" t="n">
        <f aca="false">IF(A882="","",EOMONTH(B881,1))</f>
        <v>48518</v>
      </c>
      <c r="C882" s="1" t="n">
        <f aca="false">IF(A882="","",C881+1)</f>
        <v>880</v>
      </c>
      <c r="D882" s="1" t="n">
        <f aca="false">IF(A882="","",INT(C882/12))</f>
        <v>73</v>
      </c>
      <c r="E882" s="1" t="n">
        <f aca="false">IF(A882="","",D882+Inputs!$B$7)</f>
        <v>89</v>
      </c>
      <c r="F882" s="3" t="n">
        <f aca="false">IF(A882="","",DATE(YEAR(B$2)+D882,MONTH(B$2),DAY(B$2)))</f>
        <v>48370</v>
      </c>
      <c r="G882" s="3" t="n">
        <f aca="false">IF(A882="","",DATE(YEAR(F882)+1,MONTH(F882),DAY(F882)))</f>
        <v>48735</v>
      </c>
      <c r="H882" s="10" t="n">
        <f aca="false">IF(A882="","",IF(G882&gt;F882,(B882-F882)/(G882-F882),0))</f>
        <v>0.405479452054795</v>
      </c>
      <c r="I882" s="10" t="n">
        <f aca="false">IF(A882="","",IFERROR(INDEX(CV_RATES!$I:$I,MATCH(D882,CV_RATES!$C:$C,0)),0))</f>
        <v>923.717128744377</v>
      </c>
      <c r="J882" s="10" t="n">
        <f aca="false">IF(A882="","",IFERROR(IF(E882=MAX(MORTALITY!$A:$A),1000,INDEX(CV_RATES!$J:$J,MATCH(D882,CV_RATES!$C:$C,0))),0))</f>
        <v>927.981554596764</v>
      </c>
      <c r="K882" s="10" t="n">
        <f aca="false">IF(A882="","",IFERROR(I882+H882*(J882-I882),0))</f>
        <v>925.446265802331</v>
      </c>
      <c r="L882" s="10" t="n">
        <f aca="false">IF(A882="","",IFERROR(K882*Inputs!$B$9,0))</f>
        <v>46272.3132901166</v>
      </c>
      <c r="M882" s="10" t="n">
        <f aca="false">IF(A882="","",IFERROR(K882*Inputs!$B$10,0))</f>
        <v>148068.626189576</v>
      </c>
      <c r="N882" s="10" t="n">
        <f aca="false">IF(A882="","",Z881)</f>
        <v>0</v>
      </c>
      <c r="O882" s="6" t="n">
        <f aca="false">IF(A882="","",Inputs!$B$18+N882)</f>
        <v>50000</v>
      </c>
      <c r="P882" s="5" t="n">
        <f aca="false">IF(A882="","",VLOOKUP(D882,DIvidend_Assumption!$A$3:$CX$103,($E$2+2),0)/12)</f>
        <v>0</v>
      </c>
      <c r="Q882" s="10" t="n">
        <f aca="false">IF(A882="","",IFERROR(AB881*P882,""))</f>
        <v>0</v>
      </c>
      <c r="R882" s="10" t="n">
        <f aca="false">IF(A882="","",IFERROR(IF(Inputs!$B$22="Accumulate",T882+Q882,IF(Inputs!$B$22="Premium Offset",MAX(0,T882+Q882-Inputs!$B$25),T882)),""))</f>
        <v>0</v>
      </c>
      <c r="S882" s="10" t="n">
        <f aca="false">IF(A882="","",R881)</f>
        <v>0</v>
      </c>
      <c r="T882" s="10" t="n">
        <f aca="false">IF(A882="","",IFERROR(S882*(1+Inputs!$B$23/12),""))</f>
        <v>0</v>
      </c>
      <c r="U882" s="6" t="n">
        <f aca="false">IF(A882="","",IF(D882&lt;=Inputs!$B$8,IF(Inputs!$B$22="Premium Offset",MAX(0,Inputs!$B$25-(Q882+T882)),Inputs!$B$25),0))</f>
        <v>0</v>
      </c>
      <c r="V882" s="10" t="n">
        <f aca="false">IF(A882="","",IF(Inputs!$B$22="Cash",Q882,0))</f>
        <v>0</v>
      </c>
      <c r="W882" s="10" t="n">
        <f aca="false">IF(A882="","",IF(Inputs!$B$22="PUA",Q882,0))</f>
        <v>0</v>
      </c>
      <c r="X882" s="12" t="n">
        <f aca="false">IF(A882="","",IFERROR(INDEX(PUA_TABLE!$D$4:$D$105,MATCH(E882,PUA_TABLE!$C$4:$C$105,1)),0))</f>
        <v>0.923717128744377</v>
      </c>
      <c r="Y882" s="10" t="n">
        <f aca="false">IF(A882="","",IF(W882&gt;0,IF(X882&gt;0,W882/X882,0),0))</f>
        <v>0</v>
      </c>
      <c r="Z882" s="10" t="n">
        <f aca="false">IF(A882="","",N882+Y882)</f>
        <v>0</v>
      </c>
      <c r="AA882" s="10" t="n">
        <f aca="false">IF(A882="","",IFERROR(Z882*INDEX(PUA_TABLE!$I$4:$I$105,MATCH(E882,PUA_TABLE!$C$4:$C$105,1))/1000,0))</f>
        <v>0</v>
      </c>
      <c r="AB882" s="10" t="n">
        <f aca="false">IF(A882="","",IFERROR(L882+AA882,0))</f>
        <v>46272.3132901166</v>
      </c>
      <c r="AC882" s="10" t="n">
        <f aca="false">IF(A882="","",IF(Inputs!$B$22="Premium Offset",MIN(Inputs!$B$25,Q882+T882),0))</f>
        <v>0</v>
      </c>
    </row>
    <row r="883" customFormat="false" ht="15" hidden="false" customHeight="false" outlineLevel="0" collapsed="false">
      <c r="A883" s="1" t="n">
        <f aca="false">IF(A882="","",IF(INT((C882+1)/12)+Inputs!$B$7&gt;MAX(MORTALITY!$A:$A),"",Inputs!$B$4))</f>
        <v>34</v>
      </c>
      <c r="B883" s="3" t="n">
        <f aca="false">IF(A883="","",EOMONTH(B882,1))</f>
        <v>48548</v>
      </c>
      <c r="C883" s="1" t="n">
        <f aca="false">IF(A883="","",C882+1)</f>
        <v>881</v>
      </c>
      <c r="D883" s="1" t="n">
        <f aca="false">IF(A883="","",INT(C883/12))</f>
        <v>73</v>
      </c>
      <c r="E883" s="1" t="n">
        <f aca="false">IF(A883="","",D883+Inputs!$B$7)</f>
        <v>89</v>
      </c>
      <c r="F883" s="3" t="n">
        <f aca="false">IF(A883="","",DATE(YEAR(B$2)+D883,MONTH(B$2),DAY(B$2)))</f>
        <v>48370</v>
      </c>
      <c r="G883" s="3" t="n">
        <f aca="false">IF(A883="","",DATE(YEAR(F883)+1,MONTH(F883),DAY(F883)))</f>
        <v>48735</v>
      </c>
      <c r="H883" s="10" t="n">
        <f aca="false">IF(A883="","",IF(G883&gt;F883,(B883-F883)/(G883-F883),0))</f>
        <v>0.487671232876712</v>
      </c>
      <c r="I883" s="10" t="n">
        <f aca="false">IF(A883="","",IFERROR(INDEX(CV_RATES!$I:$I,MATCH(D883,CV_RATES!$C:$C,0)),0))</f>
        <v>923.717128744377</v>
      </c>
      <c r="J883" s="10" t="n">
        <f aca="false">IF(A883="","",IFERROR(IF(E883=MAX(MORTALITY!$A:$A),1000,INDEX(CV_RATES!$J:$J,MATCH(D883,CV_RATES!$C:$C,0))),0))</f>
        <v>927.981554596764</v>
      </c>
      <c r="K883" s="10" t="n">
        <f aca="false">IF(A883="","",IFERROR(I883+H883*(J883-I883),0))</f>
        <v>925.796766557322</v>
      </c>
      <c r="L883" s="10" t="n">
        <f aca="false">IF(A883="","",IFERROR(K883*Inputs!$B$9,0))</f>
        <v>46289.8383278661</v>
      </c>
      <c r="M883" s="10" t="n">
        <f aca="false">IF(A883="","",IFERROR(K883*Inputs!$B$10,0))</f>
        <v>148124.705258872</v>
      </c>
      <c r="N883" s="10" t="n">
        <f aca="false">IF(A883="","",Z882)</f>
        <v>0</v>
      </c>
      <c r="O883" s="6" t="n">
        <f aca="false">IF(A883="","",Inputs!$B$18+N883)</f>
        <v>50000</v>
      </c>
      <c r="P883" s="5" t="n">
        <f aca="false">IF(A883="","",VLOOKUP(D883,DIvidend_Assumption!$A$3:$CX$103,($E$2+2),0)/12)</f>
        <v>0</v>
      </c>
      <c r="Q883" s="10" t="n">
        <f aca="false">IF(A883="","",IFERROR(AB882*P883,""))</f>
        <v>0</v>
      </c>
      <c r="R883" s="10" t="n">
        <f aca="false">IF(A883="","",IFERROR(IF(Inputs!$B$22="Accumulate",T883+Q883,IF(Inputs!$B$22="Premium Offset",MAX(0,T883+Q883-Inputs!$B$25),T883)),""))</f>
        <v>0</v>
      </c>
      <c r="S883" s="10" t="n">
        <f aca="false">IF(A883="","",R882)</f>
        <v>0</v>
      </c>
      <c r="T883" s="10" t="n">
        <f aca="false">IF(A883="","",IFERROR(S883*(1+Inputs!$B$23/12),""))</f>
        <v>0</v>
      </c>
      <c r="U883" s="6" t="n">
        <f aca="false">IF(A883="","",IF(D883&lt;=Inputs!$B$8,IF(Inputs!$B$22="Premium Offset",MAX(0,Inputs!$B$25-(Q883+T883)),Inputs!$B$25),0))</f>
        <v>0</v>
      </c>
      <c r="V883" s="10" t="n">
        <f aca="false">IF(A883="","",IF(Inputs!$B$22="Cash",Q883,0))</f>
        <v>0</v>
      </c>
      <c r="W883" s="10" t="n">
        <f aca="false">IF(A883="","",IF(Inputs!$B$22="PUA",Q883,0))</f>
        <v>0</v>
      </c>
      <c r="X883" s="12" t="n">
        <f aca="false">IF(A883="","",IFERROR(INDEX(PUA_TABLE!$D$4:$D$105,MATCH(E883,PUA_TABLE!$C$4:$C$105,1)),0))</f>
        <v>0.923717128744377</v>
      </c>
      <c r="Y883" s="10" t="n">
        <f aca="false">IF(A883="","",IF(W883&gt;0,IF(X883&gt;0,W883/X883,0),0))</f>
        <v>0</v>
      </c>
      <c r="Z883" s="10" t="n">
        <f aca="false">IF(A883="","",N883+Y883)</f>
        <v>0</v>
      </c>
      <c r="AA883" s="10" t="n">
        <f aca="false">IF(A883="","",IFERROR(Z883*INDEX(PUA_TABLE!$I$4:$I$105,MATCH(E883,PUA_TABLE!$C$4:$C$105,1))/1000,0))</f>
        <v>0</v>
      </c>
      <c r="AB883" s="10" t="n">
        <f aca="false">IF(A883="","",IFERROR(L883+AA883,0))</f>
        <v>46289.8383278661</v>
      </c>
      <c r="AC883" s="10" t="n">
        <f aca="false">IF(A883="","",IF(Inputs!$B$22="Premium Offset",MIN(Inputs!$B$25,Q883+T883),0))</f>
        <v>0</v>
      </c>
    </row>
    <row r="884" customFormat="false" ht="15" hidden="false" customHeight="false" outlineLevel="0" collapsed="false">
      <c r="A884" s="1" t="n">
        <f aca="false">IF(A883="","",IF(INT((C883+1)/12)+Inputs!$B$7&gt;MAX(MORTALITY!$A:$A),"",Inputs!$B$4))</f>
        <v>34</v>
      </c>
      <c r="B884" s="3" t="n">
        <f aca="false">IF(A884="","",EOMONTH(B883,1))</f>
        <v>48579</v>
      </c>
      <c r="C884" s="1" t="n">
        <f aca="false">IF(A884="","",C883+1)</f>
        <v>882</v>
      </c>
      <c r="D884" s="1" t="n">
        <f aca="false">IF(A884="","",INT(C884/12))</f>
        <v>73</v>
      </c>
      <c r="E884" s="1" t="n">
        <f aca="false">IF(A884="","",D884+Inputs!$B$7)</f>
        <v>89</v>
      </c>
      <c r="F884" s="3" t="n">
        <f aca="false">IF(A884="","",DATE(YEAR(B$2)+D884,MONTH(B$2),DAY(B$2)))</f>
        <v>48370</v>
      </c>
      <c r="G884" s="3" t="n">
        <f aca="false">IF(A884="","",DATE(YEAR(F884)+1,MONTH(F884),DAY(F884)))</f>
        <v>48735</v>
      </c>
      <c r="H884" s="10" t="n">
        <f aca="false">IF(A884="","",IF(G884&gt;F884,(B884-F884)/(G884-F884),0))</f>
        <v>0.572602739726027</v>
      </c>
      <c r="I884" s="10" t="n">
        <f aca="false">IF(A884="","",IFERROR(INDEX(CV_RATES!$I:$I,MATCH(D884,CV_RATES!$C:$C,0)),0))</f>
        <v>923.717128744377</v>
      </c>
      <c r="J884" s="10" t="n">
        <f aca="false">IF(A884="","",IFERROR(IF(E884=MAX(MORTALITY!$A:$A),1000,INDEX(CV_RATES!$J:$J,MATCH(D884,CV_RATES!$C:$C,0))),0))</f>
        <v>927.981554596764</v>
      </c>
      <c r="K884" s="10" t="n">
        <f aca="false">IF(A884="","",IFERROR(I884+H884*(J884-I884),0))</f>
        <v>926.158950670812</v>
      </c>
      <c r="L884" s="10" t="n">
        <f aca="false">IF(A884="","",IFERROR(K884*Inputs!$B$9,0))</f>
        <v>46307.9475335406</v>
      </c>
      <c r="M884" s="10" t="n">
        <f aca="false">IF(A884="","",IFERROR(K884*Inputs!$B$10,0))</f>
        <v>148182.653630478</v>
      </c>
      <c r="N884" s="10" t="n">
        <f aca="false">IF(A884="","",Z883)</f>
        <v>0</v>
      </c>
      <c r="O884" s="6" t="n">
        <f aca="false">IF(A884="","",Inputs!$B$18+N884)</f>
        <v>50000</v>
      </c>
      <c r="P884" s="5" t="n">
        <f aca="false">IF(A884="","",VLOOKUP(D884,DIvidend_Assumption!$A$3:$CX$103,($E$2+2),0)/12)</f>
        <v>0</v>
      </c>
      <c r="Q884" s="10" t="n">
        <f aca="false">IF(A884="","",IFERROR(AB883*P884,""))</f>
        <v>0</v>
      </c>
      <c r="R884" s="10" t="n">
        <f aca="false">IF(A884="","",IFERROR(IF(Inputs!$B$22="Accumulate",T884+Q884,IF(Inputs!$B$22="Premium Offset",MAX(0,T884+Q884-Inputs!$B$25),T884)),""))</f>
        <v>0</v>
      </c>
      <c r="S884" s="10" t="n">
        <f aca="false">IF(A884="","",R883)</f>
        <v>0</v>
      </c>
      <c r="T884" s="10" t="n">
        <f aca="false">IF(A884="","",IFERROR(S884*(1+Inputs!$B$23/12),""))</f>
        <v>0</v>
      </c>
      <c r="U884" s="6" t="n">
        <f aca="false">IF(A884="","",IF(D884&lt;=Inputs!$B$8,IF(Inputs!$B$22="Premium Offset",MAX(0,Inputs!$B$25-(Q884+T884)),Inputs!$B$25),0))</f>
        <v>0</v>
      </c>
      <c r="V884" s="10" t="n">
        <f aca="false">IF(A884="","",IF(Inputs!$B$22="Cash",Q884,0))</f>
        <v>0</v>
      </c>
      <c r="W884" s="10" t="n">
        <f aca="false">IF(A884="","",IF(Inputs!$B$22="PUA",Q884,0))</f>
        <v>0</v>
      </c>
      <c r="X884" s="12" t="n">
        <f aca="false">IF(A884="","",IFERROR(INDEX(PUA_TABLE!$D$4:$D$105,MATCH(E884,PUA_TABLE!$C$4:$C$105,1)),0))</f>
        <v>0.923717128744377</v>
      </c>
      <c r="Y884" s="10" t="n">
        <f aca="false">IF(A884="","",IF(W884&gt;0,IF(X884&gt;0,W884/X884,0),0))</f>
        <v>0</v>
      </c>
      <c r="Z884" s="10" t="n">
        <f aca="false">IF(A884="","",N884+Y884)</f>
        <v>0</v>
      </c>
      <c r="AA884" s="10" t="n">
        <f aca="false">IF(A884="","",IFERROR(Z884*INDEX(PUA_TABLE!$I$4:$I$105,MATCH(E884,PUA_TABLE!$C$4:$C$105,1))/1000,0))</f>
        <v>0</v>
      </c>
      <c r="AB884" s="10" t="n">
        <f aca="false">IF(A884="","",IFERROR(L884+AA884,0))</f>
        <v>46307.9475335406</v>
      </c>
      <c r="AC884" s="10" t="n">
        <f aca="false">IF(A884="","",IF(Inputs!$B$22="Premium Offset",MIN(Inputs!$B$25,Q884+T884),0))</f>
        <v>0</v>
      </c>
    </row>
    <row r="885" customFormat="false" ht="15" hidden="false" customHeight="false" outlineLevel="0" collapsed="false">
      <c r="A885" s="1" t="n">
        <f aca="false">IF(A884="","",IF(INT((C884+1)/12)+Inputs!$B$7&gt;MAX(MORTALITY!$A:$A),"",Inputs!$B$4))</f>
        <v>34</v>
      </c>
      <c r="B885" s="3" t="n">
        <f aca="false">IF(A885="","",EOMONTH(B884,1))</f>
        <v>48610</v>
      </c>
      <c r="C885" s="1" t="n">
        <f aca="false">IF(A885="","",C884+1)</f>
        <v>883</v>
      </c>
      <c r="D885" s="1" t="n">
        <f aca="false">IF(A885="","",INT(C885/12))</f>
        <v>73</v>
      </c>
      <c r="E885" s="1" t="n">
        <f aca="false">IF(A885="","",D885+Inputs!$B$7)</f>
        <v>89</v>
      </c>
      <c r="F885" s="3" t="n">
        <f aca="false">IF(A885="","",DATE(YEAR(B$2)+D885,MONTH(B$2),DAY(B$2)))</f>
        <v>48370</v>
      </c>
      <c r="G885" s="3" t="n">
        <f aca="false">IF(A885="","",DATE(YEAR(F885)+1,MONTH(F885),DAY(F885)))</f>
        <v>48735</v>
      </c>
      <c r="H885" s="10" t="n">
        <f aca="false">IF(A885="","",IF(G885&gt;F885,(B885-F885)/(G885-F885),0))</f>
        <v>0.657534246575342</v>
      </c>
      <c r="I885" s="10" t="n">
        <f aca="false">IF(A885="","",IFERROR(INDEX(CV_RATES!$I:$I,MATCH(D885,CV_RATES!$C:$C,0)),0))</f>
        <v>923.717128744377</v>
      </c>
      <c r="J885" s="10" t="n">
        <f aca="false">IF(A885="","",IFERROR(IF(E885=MAX(MORTALITY!$A:$A),1000,INDEX(CV_RATES!$J:$J,MATCH(D885,CV_RATES!$C:$C,0))),0))</f>
        <v>927.981554596764</v>
      </c>
      <c r="K885" s="10" t="n">
        <f aca="false">IF(A885="","",IFERROR(I885+H885*(J885-I885),0))</f>
        <v>926.521134784303</v>
      </c>
      <c r="L885" s="10" t="n">
        <f aca="false">IF(A885="","",IFERROR(K885*Inputs!$B$9,0))</f>
        <v>46326.0567392151</v>
      </c>
      <c r="M885" s="10" t="n">
        <f aca="false">IF(A885="","",IFERROR(K885*Inputs!$B$10,0))</f>
        <v>148240.602002084</v>
      </c>
      <c r="N885" s="10" t="n">
        <f aca="false">IF(A885="","",Z884)</f>
        <v>0</v>
      </c>
      <c r="O885" s="6" t="n">
        <f aca="false">IF(A885="","",Inputs!$B$18+N885)</f>
        <v>50000</v>
      </c>
      <c r="P885" s="5" t="n">
        <f aca="false">IF(A885="","",VLOOKUP(D885,DIvidend_Assumption!$A$3:$CX$103,($E$2+2),0)/12)</f>
        <v>0</v>
      </c>
      <c r="Q885" s="10" t="n">
        <f aca="false">IF(A885="","",IFERROR(AB884*P885,""))</f>
        <v>0</v>
      </c>
      <c r="R885" s="10" t="n">
        <f aca="false">IF(A885="","",IFERROR(IF(Inputs!$B$22="Accumulate",T885+Q885,IF(Inputs!$B$22="Premium Offset",MAX(0,T885+Q885-Inputs!$B$25),T885)),""))</f>
        <v>0</v>
      </c>
      <c r="S885" s="10" t="n">
        <f aca="false">IF(A885="","",R884)</f>
        <v>0</v>
      </c>
      <c r="T885" s="10" t="n">
        <f aca="false">IF(A885="","",IFERROR(S885*(1+Inputs!$B$23/12),""))</f>
        <v>0</v>
      </c>
      <c r="U885" s="6" t="n">
        <f aca="false">IF(A885="","",IF(D885&lt;=Inputs!$B$8,IF(Inputs!$B$22="Premium Offset",MAX(0,Inputs!$B$25-(Q885+T885)),Inputs!$B$25),0))</f>
        <v>0</v>
      </c>
      <c r="V885" s="10" t="n">
        <f aca="false">IF(A885="","",IF(Inputs!$B$22="Cash",Q885,0))</f>
        <v>0</v>
      </c>
      <c r="W885" s="10" t="n">
        <f aca="false">IF(A885="","",IF(Inputs!$B$22="PUA",Q885,0))</f>
        <v>0</v>
      </c>
      <c r="X885" s="12" t="n">
        <f aca="false">IF(A885="","",IFERROR(INDEX(PUA_TABLE!$D$4:$D$105,MATCH(E885,PUA_TABLE!$C$4:$C$105,1)),0))</f>
        <v>0.923717128744377</v>
      </c>
      <c r="Y885" s="10" t="n">
        <f aca="false">IF(A885="","",IF(W885&gt;0,IF(X885&gt;0,W885/X885,0),0))</f>
        <v>0</v>
      </c>
      <c r="Z885" s="10" t="n">
        <f aca="false">IF(A885="","",N885+Y885)</f>
        <v>0</v>
      </c>
      <c r="AA885" s="10" t="n">
        <f aca="false">IF(A885="","",IFERROR(Z885*INDEX(PUA_TABLE!$I$4:$I$105,MATCH(E885,PUA_TABLE!$C$4:$C$105,1))/1000,0))</f>
        <v>0</v>
      </c>
      <c r="AB885" s="10" t="n">
        <f aca="false">IF(A885="","",IFERROR(L885+AA885,0))</f>
        <v>46326.0567392151</v>
      </c>
      <c r="AC885" s="10" t="n">
        <f aca="false">IF(A885="","",IF(Inputs!$B$22="Premium Offset",MIN(Inputs!$B$25,Q885+T885),0))</f>
        <v>0</v>
      </c>
    </row>
    <row r="886" customFormat="false" ht="15" hidden="false" customHeight="false" outlineLevel="0" collapsed="false">
      <c r="A886" s="1" t="n">
        <f aca="false">IF(A885="","",IF(INT((C885+1)/12)+Inputs!$B$7&gt;MAX(MORTALITY!$A:$A),"",Inputs!$B$4))</f>
        <v>34</v>
      </c>
      <c r="B886" s="3" t="n">
        <f aca="false">IF(A886="","",EOMONTH(B885,1))</f>
        <v>48638</v>
      </c>
      <c r="C886" s="1" t="n">
        <f aca="false">IF(A886="","",C885+1)</f>
        <v>884</v>
      </c>
      <c r="D886" s="1" t="n">
        <f aca="false">IF(A886="","",INT(C886/12))</f>
        <v>73</v>
      </c>
      <c r="E886" s="1" t="n">
        <f aca="false">IF(A886="","",D886+Inputs!$B$7)</f>
        <v>89</v>
      </c>
      <c r="F886" s="3" t="n">
        <f aca="false">IF(A886="","",DATE(YEAR(B$2)+D886,MONTH(B$2),DAY(B$2)))</f>
        <v>48370</v>
      </c>
      <c r="G886" s="3" t="n">
        <f aca="false">IF(A886="","",DATE(YEAR(F886)+1,MONTH(F886),DAY(F886)))</f>
        <v>48735</v>
      </c>
      <c r="H886" s="10" t="n">
        <f aca="false">IF(A886="","",IF(G886&gt;F886,(B886-F886)/(G886-F886),0))</f>
        <v>0.734246575342466</v>
      </c>
      <c r="I886" s="10" t="n">
        <f aca="false">IF(A886="","",IFERROR(INDEX(CV_RATES!$I:$I,MATCH(D886,CV_RATES!$C:$C,0)),0))</f>
        <v>923.717128744377</v>
      </c>
      <c r="J886" s="10" t="n">
        <f aca="false">IF(A886="","",IFERROR(IF(E886=MAX(MORTALITY!$A:$A),1000,INDEX(CV_RATES!$J:$J,MATCH(D886,CV_RATES!$C:$C,0))),0))</f>
        <v>927.981554596764</v>
      </c>
      <c r="K886" s="10" t="n">
        <f aca="false">IF(A886="","",IFERROR(I886+H886*(J886-I886),0))</f>
        <v>926.848268822294</v>
      </c>
      <c r="L886" s="10" t="n">
        <f aca="false">IF(A886="","",IFERROR(K886*Inputs!$B$9,0))</f>
        <v>46342.4134411147</v>
      </c>
      <c r="M886" s="10" t="n">
        <f aca="false">IF(A886="","",IFERROR(K886*Inputs!$B$10,0))</f>
        <v>148292.942466761</v>
      </c>
      <c r="N886" s="10" t="n">
        <f aca="false">IF(A886="","",Z885)</f>
        <v>0</v>
      </c>
      <c r="O886" s="6" t="n">
        <f aca="false">IF(A886="","",Inputs!$B$18+N886)</f>
        <v>50000</v>
      </c>
      <c r="P886" s="5" t="n">
        <f aca="false">IF(A886="","",VLOOKUP(D886,DIvidend_Assumption!$A$3:$CX$103,($E$2+2),0)/12)</f>
        <v>0</v>
      </c>
      <c r="Q886" s="10" t="n">
        <f aca="false">IF(A886="","",IFERROR(AB885*P886,""))</f>
        <v>0</v>
      </c>
      <c r="R886" s="10" t="n">
        <f aca="false">IF(A886="","",IFERROR(IF(Inputs!$B$22="Accumulate",T886+Q886,IF(Inputs!$B$22="Premium Offset",MAX(0,T886+Q886-Inputs!$B$25),T886)),""))</f>
        <v>0</v>
      </c>
      <c r="S886" s="10" t="n">
        <f aca="false">IF(A886="","",R885)</f>
        <v>0</v>
      </c>
      <c r="T886" s="10" t="n">
        <f aca="false">IF(A886="","",IFERROR(S886*(1+Inputs!$B$23/12),""))</f>
        <v>0</v>
      </c>
      <c r="U886" s="6" t="n">
        <f aca="false">IF(A886="","",IF(D886&lt;=Inputs!$B$8,IF(Inputs!$B$22="Premium Offset",MAX(0,Inputs!$B$25-(Q886+T886)),Inputs!$B$25),0))</f>
        <v>0</v>
      </c>
      <c r="V886" s="10" t="n">
        <f aca="false">IF(A886="","",IF(Inputs!$B$22="Cash",Q886,0))</f>
        <v>0</v>
      </c>
      <c r="W886" s="10" t="n">
        <f aca="false">IF(A886="","",IF(Inputs!$B$22="PUA",Q886,0))</f>
        <v>0</v>
      </c>
      <c r="X886" s="12" t="n">
        <f aca="false">IF(A886="","",IFERROR(INDEX(PUA_TABLE!$D$4:$D$105,MATCH(E886,PUA_TABLE!$C$4:$C$105,1)),0))</f>
        <v>0.923717128744377</v>
      </c>
      <c r="Y886" s="10" t="n">
        <f aca="false">IF(A886="","",IF(W886&gt;0,IF(X886&gt;0,W886/X886,0),0))</f>
        <v>0</v>
      </c>
      <c r="Z886" s="10" t="n">
        <f aca="false">IF(A886="","",N886+Y886)</f>
        <v>0</v>
      </c>
      <c r="AA886" s="10" t="n">
        <f aca="false">IF(A886="","",IFERROR(Z886*INDEX(PUA_TABLE!$I$4:$I$105,MATCH(E886,PUA_TABLE!$C$4:$C$105,1))/1000,0))</f>
        <v>0</v>
      </c>
      <c r="AB886" s="10" t="n">
        <f aca="false">IF(A886="","",IFERROR(L886+AA886,0))</f>
        <v>46342.4134411147</v>
      </c>
      <c r="AC886" s="10" t="n">
        <f aca="false">IF(A886="","",IF(Inputs!$B$22="Premium Offset",MIN(Inputs!$B$25,Q886+T886),0))</f>
        <v>0</v>
      </c>
    </row>
    <row r="887" customFormat="false" ht="15" hidden="false" customHeight="false" outlineLevel="0" collapsed="false">
      <c r="A887" s="1" t="n">
        <f aca="false">IF(A886="","",IF(INT((C886+1)/12)+Inputs!$B$7&gt;MAX(MORTALITY!$A:$A),"",Inputs!$B$4))</f>
        <v>34</v>
      </c>
      <c r="B887" s="3" t="n">
        <f aca="false">IF(A887="","",EOMONTH(B886,1))</f>
        <v>48669</v>
      </c>
      <c r="C887" s="1" t="n">
        <f aca="false">IF(A887="","",C886+1)</f>
        <v>885</v>
      </c>
      <c r="D887" s="1" t="n">
        <f aca="false">IF(A887="","",INT(C887/12))</f>
        <v>73</v>
      </c>
      <c r="E887" s="1" t="n">
        <f aca="false">IF(A887="","",D887+Inputs!$B$7)</f>
        <v>89</v>
      </c>
      <c r="F887" s="3" t="n">
        <f aca="false">IF(A887="","",DATE(YEAR(B$2)+D887,MONTH(B$2),DAY(B$2)))</f>
        <v>48370</v>
      </c>
      <c r="G887" s="3" t="n">
        <f aca="false">IF(A887="","",DATE(YEAR(F887)+1,MONTH(F887),DAY(F887)))</f>
        <v>48735</v>
      </c>
      <c r="H887" s="10" t="n">
        <f aca="false">IF(A887="","",IF(G887&gt;F887,(B887-F887)/(G887-F887),0))</f>
        <v>0.819178082191781</v>
      </c>
      <c r="I887" s="10" t="n">
        <f aca="false">IF(A887="","",IFERROR(INDEX(CV_RATES!$I:$I,MATCH(D887,CV_RATES!$C:$C,0)),0))</f>
        <v>923.717128744377</v>
      </c>
      <c r="J887" s="10" t="n">
        <f aca="false">IF(A887="","",IFERROR(IF(E887=MAX(MORTALITY!$A:$A),1000,INDEX(CV_RATES!$J:$J,MATCH(D887,CV_RATES!$C:$C,0))),0))</f>
        <v>927.981554596764</v>
      </c>
      <c r="K887" s="10" t="n">
        <f aca="false">IF(A887="","",IFERROR(I887+H887*(J887-I887),0))</f>
        <v>927.210452935784</v>
      </c>
      <c r="L887" s="10" t="n">
        <f aca="false">IF(A887="","",IFERROR(K887*Inputs!$B$9,0))</f>
        <v>46360.5226467892</v>
      </c>
      <c r="M887" s="10" t="n">
        <f aca="false">IF(A887="","",IFERROR(K887*Inputs!$B$10,0))</f>
        <v>148350.890838367</v>
      </c>
      <c r="N887" s="10" t="n">
        <f aca="false">IF(A887="","",Z886)</f>
        <v>0</v>
      </c>
      <c r="O887" s="6" t="n">
        <f aca="false">IF(A887="","",Inputs!$B$18+N887)</f>
        <v>50000</v>
      </c>
      <c r="P887" s="5" t="n">
        <f aca="false">IF(A887="","",VLOOKUP(D887,DIvidend_Assumption!$A$3:$CX$103,($E$2+2),0)/12)</f>
        <v>0</v>
      </c>
      <c r="Q887" s="10" t="n">
        <f aca="false">IF(A887="","",IFERROR(AB886*P887,""))</f>
        <v>0</v>
      </c>
      <c r="R887" s="10" t="n">
        <f aca="false">IF(A887="","",IFERROR(IF(Inputs!$B$22="Accumulate",T887+Q887,IF(Inputs!$B$22="Premium Offset",MAX(0,T887+Q887-Inputs!$B$25),T887)),""))</f>
        <v>0</v>
      </c>
      <c r="S887" s="10" t="n">
        <f aca="false">IF(A887="","",R886)</f>
        <v>0</v>
      </c>
      <c r="T887" s="10" t="n">
        <f aca="false">IF(A887="","",IFERROR(S887*(1+Inputs!$B$23/12),""))</f>
        <v>0</v>
      </c>
      <c r="U887" s="6" t="n">
        <f aca="false">IF(A887="","",IF(D887&lt;=Inputs!$B$8,IF(Inputs!$B$22="Premium Offset",MAX(0,Inputs!$B$25-(Q887+T887)),Inputs!$B$25),0))</f>
        <v>0</v>
      </c>
      <c r="V887" s="10" t="n">
        <f aca="false">IF(A887="","",IF(Inputs!$B$22="Cash",Q887,0))</f>
        <v>0</v>
      </c>
      <c r="W887" s="10" t="n">
        <f aca="false">IF(A887="","",IF(Inputs!$B$22="PUA",Q887,0))</f>
        <v>0</v>
      </c>
      <c r="X887" s="12" t="n">
        <f aca="false">IF(A887="","",IFERROR(INDEX(PUA_TABLE!$D$4:$D$105,MATCH(E887,PUA_TABLE!$C$4:$C$105,1)),0))</f>
        <v>0.923717128744377</v>
      </c>
      <c r="Y887" s="10" t="n">
        <f aca="false">IF(A887="","",IF(W887&gt;0,IF(X887&gt;0,W887/X887,0),0))</f>
        <v>0</v>
      </c>
      <c r="Z887" s="10" t="n">
        <f aca="false">IF(A887="","",N887+Y887)</f>
        <v>0</v>
      </c>
      <c r="AA887" s="10" t="n">
        <f aca="false">IF(A887="","",IFERROR(Z887*INDEX(PUA_TABLE!$I$4:$I$105,MATCH(E887,PUA_TABLE!$C$4:$C$105,1))/1000,0))</f>
        <v>0</v>
      </c>
      <c r="AB887" s="10" t="n">
        <f aca="false">IF(A887="","",IFERROR(L887+AA887,0))</f>
        <v>46360.5226467892</v>
      </c>
      <c r="AC887" s="10" t="n">
        <f aca="false">IF(A887="","",IF(Inputs!$B$22="Premium Offset",MIN(Inputs!$B$25,Q887+T887),0))</f>
        <v>0</v>
      </c>
    </row>
    <row r="888" customFormat="false" ht="15" hidden="false" customHeight="false" outlineLevel="0" collapsed="false">
      <c r="A888" s="1" t="n">
        <f aca="false">IF(A887="","",IF(INT((C887+1)/12)+Inputs!$B$7&gt;MAX(MORTALITY!$A:$A),"",Inputs!$B$4))</f>
        <v>34</v>
      </c>
      <c r="B888" s="3" t="n">
        <f aca="false">IF(A888="","",EOMONTH(B887,1))</f>
        <v>48699</v>
      </c>
      <c r="C888" s="1" t="n">
        <f aca="false">IF(A888="","",C887+1)</f>
        <v>886</v>
      </c>
      <c r="D888" s="1" t="n">
        <f aca="false">IF(A888="","",INT(C888/12))</f>
        <v>73</v>
      </c>
      <c r="E888" s="1" t="n">
        <f aca="false">IF(A888="","",D888+Inputs!$B$7)</f>
        <v>89</v>
      </c>
      <c r="F888" s="3" t="n">
        <f aca="false">IF(A888="","",DATE(YEAR(B$2)+D888,MONTH(B$2),DAY(B$2)))</f>
        <v>48370</v>
      </c>
      <c r="G888" s="3" t="n">
        <f aca="false">IF(A888="","",DATE(YEAR(F888)+1,MONTH(F888),DAY(F888)))</f>
        <v>48735</v>
      </c>
      <c r="H888" s="10" t="n">
        <f aca="false">IF(A888="","",IF(G888&gt;F888,(B888-F888)/(G888-F888),0))</f>
        <v>0.901369863013699</v>
      </c>
      <c r="I888" s="10" t="n">
        <f aca="false">IF(A888="","",IFERROR(INDEX(CV_RATES!$I:$I,MATCH(D888,CV_RATES!$C:$C,0)),0))</f>
        <v>923.717128744377</v>
      </c>
      <c r="J888" s="10" t="n">
        <f aca="false">IF(A888="","",IFERROR(IF(E888=MAX(MORTALITY!$A:$A),1000,INDEX(CV_RATES!$J:$J,MATCH(D888,CV_RATES!$C:$C,0))),0))</f>
        <v>927.981554596764</v>
      </c>
      <c r="K888" s="10" t="n">
        <f aca="false">IF(A888="","",IFERROR(I888+H888*(J888-I888),0))</f>
        <v>927.560953690775</v>
      </c>
      <c r="L888" s="10" t="n">
        <f aca="false">IF(A888="","",IFERROR(K888*Inputs!$B$9,0))</f>
        <v>46378.0476845388</v>
      </c>
      <c r="M888" s="10" t="n">
        <f aca="false">IF(A888="","",IFERROR(K888*Inputs!$B$10,0))</f>
        <v>148406.969907663</v>
      </c>
      <c r="N888" s="10" t="n">
        <f aca="false">IF(A888="","",Z887)</f>
        <v>0</v>
      </c>
      <c r="O888" s="6" t="n">
        <f aca="false">IF(A888="","",Inputs!$B$18+N888)</f>
        <v>50000</v>
      </c>
      <c r="P888" s="5" t="n">
        <f aca="false">IF(A888="","",VLOOKUP(D888,DIvidend_Assumption!$A$3:$CX$103,($E$2+2),0)/12)</f>
        <v>0</v>
      </c>
      <c r="Q888" s="10" t="n">
        <f aca="false">IF(A888="","",IFERROR(AB887*P888,""))</f>
        <v>0</v>
      </c>
      <c r="R888" s="10" t="n">
        <f aca="false">IF(A888="","",IFERROR(IF(Inputs!$B$22="Accumulate",T888+Q888,IF(Inputs!$B$22="Premium Offset",MAX(0,T888+Q888-Inputs!$B$25),T888)),""))</f>
        <v>0</v>
      </c>
      <c r="S888" s="10" t="n">
        <f aca="false">IF(A888="","",R887)</f>
        <v>0</v>
      </c>
      <c r="T888" s="10" t="n">
        <f aca="false">IF(A888="","",IFERROR(S888*(1+Inputs!$B$23/12),""))</f>
        <v>0</v>
      </c>
      <c r="U888" s="6" t="n">
        <f aca="false">IF(A888="","",IF(D888&lt;=Inputs!$B$8,IF(Inputs!$B$22="Premium Offset",MAX(0,Inputs!$B$25-(Q888+T888)),Inputs!$B$25),0))</f>
        <v>0</v>
      </c>
      <c r="V888" s="10" t="n">
        <f aca="false">IF(A888="","",IF(Inputs!$B$22="Cash",Q888,0))</f>
        <v>0</v>
      </c>
      <c r="W888" s="10" t="n">
        <f aca="false">IF(A888="","",IF(Inputs!$B$22="PUA",Q888,0))</f>
        <v>0</v>
      </c>
      <c r="X888" s="12" t="n">
        <f aca="false">IF(A888="","",IFERROR(INDEX(PUA_TABLE!$D$4:$D$105,MATCH(E888,PUA_TABLE!$C$4:$C$105,1)),0))</f>
        <v>0.923717128744377</v>
      </c>
      <c r="Y888" s="10" t="n">
        <f aca="false">IF(A888="","",IF(W888&gt;0,IF(X888&gt;0,W888/X888,0),0))</f>
        <v>0</v>
      </c>
      <c r="Z888" s="10" t="n">
        <f aca="false">IF(A888="","",N888+Y888)</f>
        <v>0</v>
      </c>
      <c r="AA888" s="10" t="n">
        <f aca="false">IF(A888="","",IFERROR(Z888*INDEX(PUA_TABLE!$I$4:$I$105,MATCH(E888,PUA_TABLE!$C$4:$C$105,1))/1000,0))</f>
        <v>0</v>
      </c>
      <c r="AB888" s="10" t="n">
        <f aca="false">IF(A888="","",IFERROR(L888+AA888,0))</f>
        <v>46378.0476845388</v>
      </c>
      <c r="AC888" s="10" t="n">
        <f aca="false">IF(A888="","",IF(Inputs!$B$22="Premium Offset",MIN(Inputs!$B$25,Q888+T888),0))</f>
        <v>0</v>
      </c>
    </row>
    <row r="889" customFormat="false" ht="15" hidden="false" customHeight="false" outlineLevel="0" collapsed="false">
      <c r="A889" s="1" t="n">
        <f aca="false">IF(A888="","",IF(INT((C888+1)/12)+Inputs!$B$7&gt;MAX(MORTALITY!$A:$A),"",Inputs!$B$4))</f>
        <v>34</v>
      </c>
      <c r="B889" s="3" t="n">
        <f aca="false">IF(A889="","",EOMONTH(B888,1))</f>
        <v>48730</v>
      </c>
      <c r="C889" s="1" t="n">
        <f aca="false">IF(A889="","",C888+1)</f>
        <v>887</v>
      </c>
      <c r="D889" s="1" t="n">
        <f aca="false">IF(A889="","",INT(C889/12))</f>
        <v>73</v>
      </c>
      <c r="E889" s="1" t="n">
        <f aca="false">IF(A889="","",D889+Inputs!$B$7)</f>
        <v>89</v>
      </c>
      <c r="F889" s="3" t="n">
        <f aca="false">IF(A889="","",DATE(YEAR(B$2)+D889,MONTH(B$2),DAY(B$2)))</f>
        <v>48370</v>
      </c>
      <c r="G889" s="3" t="n">
        <f aca="false">IF(A889="","",DATE(YEAR(F889)+1,MONTH(F889),DAY(F889)))</f>
        <v>48735</v>
      </c>
      <c r="H889" s="10" t="n">
        <f aca="false">IF(A889="","",IF(G889&gt;F889,(B889-F889)/(G889-F889),0))</f>
        <v>0.986301369863014</v>
      </c>
      <c r="I889" s="10" t="n">
        <f aca="false">IF(A889="","",IFERROR(INDEX(CV_RATES!$I:$I,MATCH(D889,CV_RATES!$C:$C,0)),0))</f>
        <v>923.717128744377</v>
      </c>
      <c r="J889" s="10" t="n">
        <f aca="false">IF(A889="","",IFERROR(IF(E889=MAX(MORTALITY!$A:$A),1000,INDEX(CV_RATES!$J:$J,MATCH(D889,CV_RATES!$C:$C,0))),0))</f>
        <v>927.981554596764</v>
      </c>
      <c r="K889" s="10" t="n">
        <f aca="false">IF(A889="","",IFERROR(I889+H889*(J889-I889),0))</f>
        <v>927.923137804266</v>
      </c>
      <c r="L889" s="10" t="n">
        <f aca="false">IF(A889="","",IFERROR(K889*Inputs!$B$9,0))</f>
        <v>46396.1568902133</v>
      </c>
      <c r="M889" s="10" t="n">
        <f aca="false">IF(A889="","",IFERROR(K889*Inputs!$B$10,0))</f>
        <v>148464.918279269</v>
      </c>
      <c r="N889" s="10" t="n">
        <f aca="false">IF(A889="","",Z888)</f>
        <v>0</v>
      </c>
      <c r="O889" s="6" t="n">
        <f aca="false">IF(A889="","",Inputs!$B$18+N889)</f>
        <v>50000</v>
      </c>
      <c r="P889" s="5" t="n">
        <f aca="false">IF(A889="","",VLOOKUP(D889,DIvidend_Assumption!$A$3:$CX$103,($E$2+2),0)/12)</f>
        <v>0</v>
      </c>
      <c r="Q889" s="10" t="n">
        <f aca="false">IF(A889="","",IFERROR(AB888*P889,""))</f>
        <v>0</v>
      </c>
      <c r="R889" s="10" t="n">
        <f aca="false">IF(A889="","",IFERROR(IF(Inputs!$B$22="Accumulate",T889+Q889,IF(Inputs!$B$22="Premium Offset",MAX(0,T889+Q889-Inputs!$B$25),T889)),""))</f>
        <v>0</v>
      </c>
      <c r="S889" s="10" t="n">
        <f aca="false">IF(A889="","",R888)</f>
        <v>0</v>
      </c>
      <c r="T889" s="10" t="n">
        <f aca="false">IF(A889="","",IFERROR(S889*(1+Inputs!$B$23/12),""))</f>
        <v>0</v>
      </c>
      <c r="U889" s="6" t="n">
        <f aca="false">IF(A889="","",IF(D889&lt;=Inputs!$B$8,IF(Inputs!$B$22="Premium Offset",MAX(0,Inputs!$B$25-(Q889+T889)),Inputs!$B$25),0))</f>
        <v>0</v>
      </c>
      <c r="V889" s="10" t="n">
        <f aca="false">IF(A889="","",IF(Inputs!$B$22="Cash",Q889,0))</f>
        <v>0</v>
      </c>
      <c r="W889" s="10" t="n">
        <f aca="false">IF(A889="","",IF(Inputs!$B$22="PUA",Q889,0))</f>
        <v>0</v>
      </c>
      <c r="X889" s="12" t="n">
        <f aca="false">IF(A889="","",IFERROR(INDEX(PUA_TABLE!$D$4:$D$105,MATCH(E889,PUA_TABLE!$C$4:$C$105,1)),0))</f>
        <v>0.923717128744377</v>
      </c>
      <c r="Y889" s="10" t="n">
        <f aca="false">IF(A889="","",IF(W889&gt;0,IF(X889&gt;0,W889/X889,0),0))</f>
        <v>0</v>
      </c>
      <c r="Z889" s="10" t="n">
        <f aca="false">IF(A889="","",N889+Y889)</f>
        <v>0</v>
      </c>
      <c r="AA889" s="10" t="n">
        <f aca="false">IF(A889="","",IFERROR(Z889*INDEX(PUA_TABLE!$I$4:$I$105,MATCH(E889,PUA_TABLE!$C$4:$C$105,1))/1000,0))</f>
        <v>0</v>
      </c>
      <c r="AB889" s="10" t="n">
        <f aca="false">IF(A889="","",IFERROR(L889+AA889,0))</f>
        <v>46396.1568902133</v>
      </c>
      <c r="AC889" s="10" t="n">
        <f aca="false">IF(A889="","",IF(Inputs!$B$22="Premium Offset",MIN(Inputs!$B$25,Q889+T889),0))</f>
        <v>0</v>
      </c>
    </row>
    <row r="890" customFormat="false" ht="15" hidden="false" customHeight="false" outlineLevel="0" collapsed="false">
      <c r="A890" s="1" t="n">
        <f aca="false">IF(A889="","",IF(INT((C889+1)/12)+Inputs!$B$7&gt;MAX(MORTALITY!$A:$A),"",Inputs!$B$4))</f>
        <v>34</v>
      </c>
      <c r="B890" s="3" t="n">
        <f aca="false">IF(A890="","",EOMONTH(B889,1))</f>
        <v>48760</v>
      </c>
      <c r="C890" s="1" t="n">
        <f aca="false">IF(A890="","",C889+1)</f>
        <v>888</v>
      </c>
      <c r="D890" s="1" t="n">
        <f aca="false">IF(A890="","",INT(C890/12))</f>
        <v>74</v>
      </c>
      <c r="E890" s="1" t="n">
        <f aca="false">IF(A890="","",D890+Inputs!$B$7)</f>
        <v>90</v>
      </c>
      <c r="F890" s="3" t="n">
        <f aca="false">IF(A890="","",DATE(YEAR(B$2)+D890,MONTH(B$2),DAY(B$2)))</f>
        <v>48735</v>
      </c>
      <c r="G890" s="3" t="n">
        <f aca="false">IF(A890="","",DATE(YEAR(F890)+1,MONTH(F890),DAY(F890)))</f>
        <v>49100</v>
      </c>
      <c r="H890" s="10" t="n">
        <f aca="false">IF(A890="","",IF(G890&gt;F890,(B890-F890)/(G890-F890),0))</f>
        <v>0.0684931506849315</v>
      </c>
      <c r="I890" s="10" t="n">
        <f aca="false">IF(A890="","",IFERROR(INDEX(CV_RATES!$I:$I,MATCH(D890,CV_RATES!$C:$C,0)),0))</f>
        <v>927.981554596764</v>
      </c>
      <c r="J890" s="10" t="n">
        <f aca="false">IF(A890="","",IFERROR(IF(E890=MAX(MORTALITY!$A:$A),1000,INDEX(CV_RATES!$J:$J,MATCH(D890,CV_RATES!$C:$C,0))),0))</f>
        <v>932.102604222032</v>
      </c>
      <c r="K890" s="10" t="n">
        <f aca="false">IF(A890="","",IFERROR(I890+H890*(J890-I890),0))</f>
        <v>928.263818269728</v>
      </c>
      <c r="L890" s="10" t="n">
        <f aca="false">IF(A890="","",IFERROR(K890*Inputs!$B$9,0))</f>
        <v>46413.1909134864</v>
      </c>
      <c r="M890" s="10" t="n">
        <f aca="false">IF(A890="","",IFERROR(K890*Inputs!$B$10,0))</f>
        <v>148519.426131702</v>
      </c>
      <c r="N890" s="10" t="n">
        <f aca="false">IF(A890="","",Z889)</f>
        <v>0</v>
      </c>
      <c r="O890" s="6" t="n">
        <f aca="false">IF(A890="","",Inputs!$B$18+N890)</f>
        <v>50000</v>
      </c>
      <c r="P890" s="5" t="n">
        <f aca="false">IF(A890="","",VLOOKUP(D890,DIvidend_Assumption!$A$3:$CX$103,($E$2+2),0)/12)</f>
        <v>0</v>
      </c>
      <c r="Q890" s="10" t="n">
        <f aca="false">IF(A890="","",IFERROR(AB889*P890,""))</f>
        <v>0</v>
      </c>
      <c r="R890" s="10" t="n">
        <f aca="false">IF(A890="","",IFERROR(IF(Inputs!$B$22="Accumulate",T890+Q890,IF(Inputs!$B$22="Premium Offset",MAX(0,T890+Q890-Inputs!$B$25),T890)),""))</f>
        <v>0</v>
      </c>
      <c r="S890" s="10" t="n">
        <f aca="false">IF(A890="","",R889)</f>
        <v>0</v>
      </c>
      <c r="T890" s="10" t="n">
        <f aca="false">IF(A890="","",IFERROR(S890*(1+Inputs!$B$23/12),""))</f>
        <v>0</v>
      </c>
      <c r="U890" s="6" t="n">
        <f aca="false">IF(A890="","",IF(D890&lt;=Inputs!$B$8,IF(Inputs!$B$22="Premium Offset",MAX(0,Inputs!$B$25-(Q890+T890)),Inputs!$B$25),0))</f>
        <v>0</v>
      </c>
      <c r="V890" s="10" t="n">
        <f aca="false">IF(A890="","",IF(Inputs!$B$22="Cash",Q890,0))</f>
        <v>0</v>
      </c>
      <c r="W890" s="10" t="n">
        <f aca="false">IF(A890="","",IF(Inputs!$B$22="PUA",Q890,0))</f>
        <v>0</v>
      </c>
      <c r="X890" s="12" t="n">
        <f aca="false">IF(A890="","",IFERROR(INDEX(PUA_TABLE!$D$4:$D$105,MATCH(E890,PUA_TABLE!$C$4:$C$105,1)),0))</f>
        <v>0.927981554596764</v>
      </c>
      <c r="Y890" s="10" t="n">
        <f aca="false">IF(A890="","",IF(W890&gt;0,IF(X890&gt;0,W890/X890,0),0))</f>
        <v>0</v>
      </c>
      <c r="Z890" s="10" t="n">
        <f aca="false">IF(A890="","",N890+Y890)</f>
        <v>0</v>
      </c>
      <c r="AA890" s="10" t="n">
        <f aca="false">IF(A890="","",IFERROR(Z890*INDEX(PUA_TABLE!$I$4:$I$105,MATCH(E890,PUA_TABLE!$C$4:$C$105,1))/1000,0))</f>
        <v>0</v>
      </c>
      <c r="AB890" s="10" t="n">
        <f aca="false">IF(A890="","",IFERROR(L890+AA890,0))</f>
        <v>46413.1909134864</v>
      </c>
      <c r="AC890" s="10" t="n">
        <f aca="false">IF(A890="","",IF(Inputs!$B$22="Premium Offset",MIN(Inputs!$B$25,Q890+T890),0))</f>
        <v>0</v>
      </c>
    </row>
    <row r="891" customFormat="false" ht="15" hidden="false" customHeight="false" outlineLevel="0" collapsed="false">
      <c r="A891" s="1" t="n">
        <f aca="false">IF(A890="","",IF(INT((C890+1)/12)+Inputs!$B$7&gt;MAX(MORTALITY!$A:$A),"",Inputs!$B$4))</f>
        <v>34</v>
      </c>
      <c r="B891" s="3" t="n">
        <f aca="false">IF(A891="","",EOMONTH(B890,1))</f>
        <v>48791</v>
      </c>
      <c r="C891" s="1" t="n">
        <f aca="false">IF(A891="","",C890+1)</f>
        <v>889</v>
      </c>
      <c r="D891" s="1" t="n">
        <f aca="false">IF(A891="","",INT(C891/12))</f>
        <v>74</v>
      </c>
      <c r="E891" s="1" t="n">
        <f aca="false">IF(A891="","",D891+Inputs!$B$7)</f>
        <v>90</v>
      </c>
      <c r="F891" s="3" t="n">
        <f aca="false">IF(A891="","",DATE(YEAR(B$2)+D891,MONTH(B$2),DAY(B$2)))</f>
        <v>48735</v>
      </c>
      <c r="G891" s="3" t="n">
        <f aca="false">IF(A891="","",DATE(YEAR(F891)+1,MONTH(F891),DAY(F891)))</f>
        <v>49100</v>
      </c>
      <c r="H891" s="10" t="n">
        <f aca="false">IF(A891="","",IF(G891&gt;F891,(B891-F891)/(G891-F891),0))</f>
        <v>0.153424657534247</v>
      </c>
      <c r="I891" s="10" t="n">
        <f aca="false">IF(A891="","",IFERROR(INDEX(CV_RATES!$I:$I,MATCH(D891,CV_RATES!$C:$C,0)),0))</f>
        <v>927.981554596764</v>
      </c>
      <c r="J891" s="10" t="n">
        <f aca="false">IF(A891="","",IFERROR(IF(E891=MAX(MORTALITY!$A:$A),1000,INDEX(CV_RATES!$J:$J,MATCH(D891,CV_RATES!$C:$C,0))),0))</f>
        <v>932.102604222032</v>
      </c>
      <c r="K891" s="10" t="n">
        <f aca="false">IF(A891="","",IFERROR(I891+H891*(J891-I891),0))</f>
        <v>928.613825224202</v>
      </c>
      <c r="L891" s="10" t="n">
        <f aca="false">IF(A891="","",IFERROR(K891*Inputs!$B$9,0))</f>
        <v>46430.6912612101</v>
      </c>
      <c r="M891" s="10" t="n">
        <f aca="false">IF(A891="","",IFERROR(K891*Inputs!$B$10,0))</f>
        <v>148575.426194397</v>
      </c>
      <c r="N891" s="10" t="n">
        <f aca="false">IF(A891="","",Z890)</f>
        <v>0</v>
      </c>
      <c r="O891" s="6" t="n">
        <f aca="false">IF(A891="","",Inputs!$B$18+N891)</f>
        <v>50000</v>
      </c>
      <c r="P891" s="5" t="n">
        <f aca="false">IF(A891="","",VLOOKUP(D891,DIvidend_Assumption!$A$3:$CX$103,($E$2+2),0)/12)</f>
        <v>0</v>
      </c>
      <c r="Q891" s="10" t="n">
        <f aca="false">IF(A891="","",IFERROR(AB890*P891,""))</f>
        <v>0</v>
      </c>
      <c r="R891" s="10" t="n">
        <f aca="false">IF(A891="","",IFERROR(IF(Inputs!$B$22="Accumulate",T891+Q891,IF(Inputs!$B$22="Premium Offset",MAX(0,T891+Q891-Inputs!$B$25),T891)),""))</f>
        <v>0</v>
      </c>
      <c r="S891" s="10" t="n">
        <f aca="false">IF(A891="","",R890)</f>
        <v>0</v>
      </c>
      <c r="T891" s="10" t="n">
        <f aca="false">IF(A891="","",IFERROR(S891*(1+Inputs!$B$23/12),""))</f>
        <v>0</v>
      </c>
      <c r="U891" s="6" t="n">
        <f aca="false">IF(A891="","",IF(D891&lt;=Inputs!$B$8,IF(Inputs!$B$22="Premium Offset",MAX(0,Inputs!$B$25-(Q891+T891)),Inputs!$B$25),0))</f>
        <v>0</v>
      </c>
      <c r="V891" s="10" t="n">
        <f aca="false">IF(A891="","",IF(Inputs!$B$22="Cash",Q891,0))</f>
        <v>0</v>
      </c>
      <c r="W891" s="10" t="n">
        <f aca="false">IF(A891="","",IF(Inputs!$B$22="PUA",Q891,0))</f>
        <v>0</v>
      </c>
      <c r="X891" s="12" t="n">
        <f aca="false">IF(A891="","",IFERROR(INDEX(PUA_TABLE!$D$4:$D$105,MATCH(E891,PUA_TABLE!$C$4:$C$105,1)),0))</f>
        <v>0.927981554596764</v>
      </c>
      <c r="Y891" s="10" t="n">
        <f aca="false">IF(A891="","",IF(W891&gt;0,IF(X891&gt;0,W891/X891,0),0))</f>
        <v>0</v>
      </c>
      <c r="Z891" s="10" t="n">
        <f aca="false">IF(A891="","",N891+Y891)</f>
        <v>0</v>
      </c>
      <c r="AA891" s="10" t="n">
        <f aca="false">IF(A891="","",IFERROR(Z891*INDEX(PUA_TABLE!$I$4:$I$105,MATCH(E891,PUA_TABLE!$C$4:$C$105,1))/1000,0))</f>
        <v>0</v>
      </c>
      <c r="AB891" s="10" t="n">
        <f aca="false">IF(A891="","",IFERROR(L891+AA891,0))</f>
        <v>46430.6912612101</v>
      </c>
      <c r="AC891" s="10" t="n">
        <f aca="false">IF(A891="","",IF(Inputs!$B$22="Premium Offset",MIN(Inputs!$B$25,Q891+T891),0))</f>
        <v>0</v>
      </c>
    </row>
    <row r="892" customFormat="false" ht="15" hidden="false" customHeight="false" outlineLevel="0" collapsed="false">
      <c r="A892" s="1" t="n">
        <f aca="false">IF(A891="","",IF(INT((C891+1)/12)+Inputs!$B$7&gt;MAX(MORTALITY!$A:$A),"",Inputs!$B$4))</f>
        <v>34</v>
      </c>
      <c r="B892" s="3" t="n">
        <f aca="false">IF(A892="","",EOMONTH(B891,1))</f>
        <v>48822</v>
      </c>
      <c r="C892" s="1" t="n">
        <f aca="false">IF(A892="","",C891+1)</f>
        <v>890</v>
      </c>
      <c r="D892" s="1" t="n">
        <f aca="false">IF(A892="","",INT(C892/12))</f>
        <v>74</v>
      </c>
      <c r="E892" s="1" t="n">
        <f aca="false">IF(A892="","",D892+Inputs!$B$7)</f>
        <v>90</v>
      </c>
      <c r="F892" s="3" t="n">
        <f aca="false">IF(A892="","",DATE(YEAR(B$2)+D892,MONTH(B$2),DAY(B$2)))</f>
        <v>48735</v>
      </c>
      <c r="G892" s="3" t="n">
        <f aca="false">IF(A892="","",DATE(YEAR(F892)+1,MONTH(F892),DAY(F892)))</f>
        <v>49100</v>
      </c>
      <c r="H892" s="10" t="n">
        <f aca="false">IF(A892="","",IF(G892&gt;F892,(B892-F892)/(G892-F892),0))</f>
        <v>0.238356164383562</v>
      </c>
      <c r="I892" s="10" t="n">
        <f aca="false">IF(A892="","",IFERROR(INDEX(CV_RATES!$I:$I,MATCH(D892,CV_RATES!$C:$C,0)),0))</f>
        <v>927.981554596764</v>
      </c>
      <c r="J892" s="10" t="n">
        <f aca="false">IF(A892="","",IFERROR(IF(E892=MAX(MORTALITY!$A:$A),1000,INDEX(CV_RATES!$J:$J,MATCH(D892,CV_RATES!$C:$C,0))),0))</f>
        <v>932.102604222032</v>
      </c>
      <c r="K892" s="10" t="n">
        <f aca="false">IF(A892="","",IFERROR(I892+H892*(J892-I892),0))</f>
        <v>928.963832178677</v>
      </c>
      <c r="L892" s="10" t="n">
        <f aca="false">IF(A892="","",IFERROR(K892*Inputs!$B$9,0))</f>
        <v>46448.1916089339</v>
      </c>
      <c r="M892" s="10" t="n">
        <f aca="false">IF(A892="","",IFERROR(K892*Inputs!$B$10,0))</f>
        <v>148631.426257092</v>
      </c>
      <c r="N892" s="10" t="n">
        <f aca="false">IF(A892="","",Z891)</f>
        <v>0</v>
      </c>
      <c r="O892" s="6" t="n">
        <f aca="false">IF(A892="","",Inputs!$B$18+N892)</f>
        <v>50000</v>
      </c>
      <c r="P892" s="5" t="n">
        <f aca="false">IF(A892="","",VLOOKUP(D892,DIvidend_Assumption!$A$3:$CX$103,($E$2+2),0)/12)</f>
        <v>0</v>
      </c>
      <c r="Q892" s="10" t="n">
        <f aca="false">IF(A892="","",IFERROR(AB891*P892,""))</f>
        <v>0</v>
      </c>
      <c r="R892" s="10" t="n">
        <f aca="false">IF(A892="","",IFERROR(IF(Inputs!$B$22="Accumulate",T892+Q892,IF(Inputs!$B$22="Premium Offset",MAX(0,T892+Q892-Inputs!$B$25),T892)),""))</f>
        <v>0</v>
      </c>
      <c r="S892" s="10" t="n">
        <f aca="false">IF(A892="","",R891)</f>
        <v>0</v>
      </c>
      <c r="T892" s="10" t="n">
        <f aca="false">IF(A892="","",IFERROR(S892*(1+Inputs!$B$23/12),""))</f>
        <v>0</v>
      </c>
      <c r="U892" s="6" t="n">
        <f aca="false">IF(A892="","",IF(D892&lt;=Inputs!$B$8,IF(Inputs!$B$22="Premium Offset",MAX(0,Inputs!$B$25-(Q892+T892)),Inputs!$B$25),0))</f>
        <v>0</v>
      </c>
      <c r="V892" s="10" t="n">
        <f aca="false">IF(A892="","",IF(Inputs!$B$22="Cash",Q892,0))</f>
        <v>0</v>
      </c>
      <c r="W892" s="10" t="n">
        <f aca="false">IF(A892="","",IF(Inputs!$B$22="PUA",Q892,0))</f>
        <v>0</v>
      </c>
      <c r="X892" s="12" t="n">
        <f aca="false">IF(A892="","",IFERROR(INDEX(PUA_TABLE!$D$4:$D$105,MATCH(E892,PUA_TABLE!$C$4:$C$105,1)),0))</f>
        <v>0.927981554596764</v>
      </c>
      <c r="Y892" s="10" t="n">
        <f aca="false">IF(A892="","",IF(W892&gt;0,IF(X892&gt;0,W892/X892,0),0))</f>
        <v>0</v>
      </c>
      <c r="Z892" s="10" t="n">
        <f aca="false">IF(A892="","",N892+Y892)</f>
        <v>0</v>
      </c>
      <c r="AA892" s="10" t="n">
        <f aca="false">IF(A892="","",IFERROR(Z892*INDEX(PUA_TABLE!$I$4:$I$105,MATCH(E892,PUA_TABLE!$C$4:$C$105,1))/1000,0))</f>
        <v>0</v>
      </c>
      <c r="AB892" s="10" t="n">
        <f aca="false">IF(A892="","",IFERROR(L892+AA892,0))</f>
        <v>46448.1916089339</v>
      </c>
      <c r="AC892" s="10" t="n">
        <f aca="false">IF(A892="","",IF(Inputs!$B$22="Premium Offset",MIN(Inputs!$B$25,Q892+T892),0))</f>
        <v>0</v>
      </c>
    </row>
    <row r="893" customFormat="false" ht="15" hidden="false" customHeight="false" outlineLevel="0" collapsed="false">
      <c r="A893" s="1" t="n">
        <f aca="false">IF(A892="","",IF(INT((C892+1)/12)+Inputs!$B$7&gt;MAX(MORTALITY!$A:$A),"",Inputs!$B$4))</f>
        <v>34</v>
      </c>
      <c r="B893" s="3" t="n">
        <f aca="false">IF(A893="","",EOMONTH(B892,1))</f>
        <v>48852</v>
      </c>
      <c r="C893" s="1" t="n">
        <f aca="false">IF(A893="","",C892+1)</f>
        <v>891</v>
      </c>
      <c r="D893" s="1" t="n">
        <f aca="false">IF(A893="","",INT(C893/12))</f>
        <v>74</v>
      </c>
      <c r="E893" s="1" t="n">
        <f aca="false">IF(A893="","",D893+Inputs!$B$7)</f>
        <v>90</v>
      </c>
      <c r="F893" s="3" t="n">
        <f aca="false">IF(A893="","",DATE(YEAR(B$2)+D893,MONTH(B$2),DAY(B$2)))</f>
        <v>48735</v>
      </c>
      <c r="G893" s="3" t="n">
        <f aca="false">IF(A893="","",DATE(YEAR(F893)+1,MONTH(F893),DAY(F893)))</f>
        <v>49100</v>
      </c>
      <c r="H893" s="10" t="n">
        <f aca="false">IF(A893="","",IF(G893&gt;F893,(B893-F893)/(G893-F893),0))</f>
        <v>0.320547945205479</v>
      </c>
      <c r="I893" s="10" t="n">
        <f aca="false">IF(A893="","",IFERROR(INDEX(CV_RATES!$I:$I,MATCH(D893,CV_RATES!$C:$C,0)),0))</f>
        <v>927.981554596764</v>
      </c>
      <c r="J893" s="10" t="n">
        <f aca="false">IF(A893="","",IFERROR(IF(E893=MAX(MORTALITY!$A:$A),1000,INDEX(CV_RATES!$J:$J,MATCH(D893,CV_RATES!$C:$C,0))),0))</f>
        <v>932.102604222032</v>
      </c>
      <c r="K893" s="10" t="n">
        <f aca="false">IF(A893="","",IFERROR(I893+H893*(J893-I893),0))</f>
        <v>929.302548586234</v>
      </c>
      <c r="L893" s="10" t="n">
        <f aca="false">IF(A893="","",IFERROR(K893*Inputs!$B$9,0))</f>
        <v>46465.1274293117</v>
      </c>
      <c r="M893" s="10" t="n">
        <f aca="false">IF(A893="","",IFERROR(K893*Inputs!$B$10,0))</f>
        <v>148685.619866152</v>
      </c>
      <c r="N893" s="10" t="n">
        <f aca="false">IF(A893="","",Z892)</f>
        <v>0</v>
      </c>
      <c r="O893" s="6" t="n">
        <f aca="false">IF(A893="","",Inputs!$B$18+N893)</f>
        <v>50000</v>
      </c>
      <c r="P893" s="5" t="n">
        <f aca="false">IF(A893="","",VLOOKUP(D893,DIvidend_Assumption!$A$3:$CX$103,($E$2+2),0)/12)</f>
        <v>0</v>
      </c>
      <c r="Q893" s="10" t="n">
        <f aca="false">IF(A893="","",IFERROR(AB892*P893,""))</f>
        <v>0</v>
      </c>
      <c r="R893" s="10" t="n">
        <f aca="false">IF(A893="","",IFERROR(IF(Inputs!$B$22="Accumulate",T893+Q893,IF(Inputs!$B$22="Premium Offset",MAX(0,T893+Q893-Inputs!$B$25),T893)),""))</f>
        <v>0</v>
      </c>
      <c r="S893" s="10" t="n">
        <f aca="false">IF(A893="","",R892)</f>
        <v>0</v>
      </c>
      <c r="T893" s="10" t="n">
        <f aca="false">IF(A893="","",IFERROR(S893*(1+Inputs!$B$23/12),""))</f>
        <v>0</v>
      </c>
      <c r="U893" s="6" t="n">
        <f aca="false">IF(A893="","",IF(D893&lt;=Inputs!$B$8,IF(Inputs!$B$22="Premium Offset",MAX(0,Inputs!$B$25-(Q893+T893)),Inputs!$B$25),0))</f>
        <v>0</v>
      </c>
      <c r="V893" s="10" t="n">
        <f aca="false">IF(A893="","",IF(Inputs!$B$22="Cash",Q893,0))</f>
        <v>0</v>
      </c>
      <c r="W893" s="10" t="n">
        <f aca="false">IF(A893="","",IF(Inputs!$B$22="PUA",Q893,0))</f>
        <v>0</v>
      </c>
      <c r="X893" s="12" t="n">
        <f aca="false">IF(A893="","",IFERROR(INDEX(PUA_TABLE!$D$4:$D$105,MATCH(E893,PUA_TABLE!$C$4:$C$105,1)),0))</f>
        <v>0.927981554596764</v>
      </c>
      <c r="Y893" s="10" t="n">
        <f aca="false">IF(A893="","",IF(W893&gt;0,IF(X893&gt;0,W893/X893,0),0))</f>
        <v>0</v>
      </c>
      <c r="Z893" s="10" t="n">
        <f aca="false">IF(A893="","",N893+Y893)</f>
        <v>0</v>
      </c>
      <c r="AA893" s="10" t="n">
        <f aca="false">IF(A893="","",IFERROR(Z893*INDEX(PUA_TABLE!$I$4:$I$105,MATCH(E893,PUA_TABLE!$C$4:$C$105,1))/1000,0))</f>
        <v>0</v>
      </c>
      <c r="AB893" s="10" t="n">
        <f aca="false">IF(A893="","",IFERROR(L893+AA893,0))</f>
        <v>46465.1274293117</v>
      </c>
      <c r="AC893" s="10" t="n">
        <f aca="false">IF(A893="","",IF(Inputs!$B$22="Premium Offset",MIN(Inputs!$B$25,Q893+T893),0))</f>
        <v>0</v>
      </c>
    </row>
    <row r="894" customFormat="false" ht="15" hidden="false" customHeight="false" outlineLevel="0" collapsed="false">
      <c r="A894" s="1" t="n">
        <f aca="false">IF(A893="","",IF(INT((C893+1)/12)+Inputs!$B$7&gt;MAX(MORTALITY!$A:$A),"",Inputs!$B$4))</f>
        <v>34</v>
      </c>
      <c r="B894" s="3" t="n">
        <f aca="false">IF(A894="","",EOMONTH(B893,1))</f>
        <v>48883</v>
      </c>
      <c r="C894" s="1" t="n">
        <f aca="false">IF(A894="","",C893+1)</f>
        <v>892</v>
      </c>
      <c r="D894" s="1" t="n">
        <f aca="false">IF(A894="","",INT(C894/12))</f>
        <v>74</v>
      </c>
      <c r="E894" s="1" t="n">
        <f aca="false">IF(A894="","",D894+Inputs!$B$7)</f>
        <v>90</v>
      </c>
      <c r="F894" s="3" t="n">
        <f aca="false">IF(A894="","",DATE(YEAR(B$2)+D894,MONTH(B$2),DAY(B$2)))</f>
        <v>48735</v>
      </c>
      <c r="G894" s="3" t="n">
        <f aca="false">IF(A894="","",DATE(YEAR(F894)+1,MONTH(F894),DAY(F894)))</f>
        <v>49100</v>
      </c>
      <c r="H894" s="10" t="n">
        <f aca="false">IF(A894="","",IF(G894&gt;F894,(B894-F894)/(G894-F894),0))</f>
        <v>0.405479452054795</v>
      </c>
      <c r="I894" s="10" t="n">
        <f aca="false">IF(A894="","",IFERROR(INDEX(CV_RATES!$I:$I,MATCH(D894,CV_RATES!$C:$C,0)),0))</f>
        <v>927.981554596764</v>
      </c>
      <c r="J894" s="10" t="n">
        <f aca="false">IF(A894="","",IFERROR(IF(E894=MAX(MORTALITY!$A:$A),1000,INDEX(CV_RATES!$J:$J,MATCH(D894,CV_RATES!$C:$C,0))),0))</f>
        <v>932.102604222032</v>
      </c>
      <c r="K894" s="10" t="n">
        <f aca="false">IF(A894="","",IFERROR(I894+H894*(J894-I894),0))</f>
        <v>929.652555540708</v>
      </c>
      <c r="L894" s="10" t="n">
        <f aca="false">IF(A894="","",IFERROR(K894*Inputs!$B$9,0))</f>
        <v>46482.6277770354</v>
      </c>
      <c r="M894" s="10" t="n">
        <f aca="false">IF(A894="","",IFERROR(K894*Inputs!$B$10,0))</f>
        <v>148741.619928847</v>
      </c>
      <c r="N894" s="10" t="n">
        <f aca="false">IF(A894="","",Z893)</f>
        <v>0</v>
      </c>
      <c r="O894" s="6" t="n">
        <f aca="false">IF(A894="","",Inputs!$B$18+N894)</f>
        <v>50000</v>
      </c>
      <c r="P894" s="5" t="n">
        <f aca="false">IF(A894="","",VLOOKUP(D894,DIvidend_Assumption!$A$3:$CX$103,($E$2+2),0)/12)</f>
        <v>0</v>
      </c>
      <c r="Q894" s="10" t="n">
        <f aca="false">IF(A894="","",IFERROR(AB893*P894,""))</f>
        <v>0</v>
      </c>
      <c r="R894" s="10" t="n">
        <f aca="false">IF(A894="","",IFERROR(IF(Inputs!$B$22="Accumulate",T894+Q894,IF(Inputs!$B$22="Premium Offset",MAX(0,T894+Q894-Inputs!$B$25),T894)),""))</f>
        <v>0</v>
      </c>
      <c r="S894" s="10" t="n">
        <f aca="false">IF(A894="","",R893)</f>
        <v>0</v>
      </c>
      <c r="T894" s="10" t="n">
        <f aca="false">IF(A894="","",IFERROR(S894*(1+Inputs!$B$23/12),""))</f>
        <v>0</v>
      </c>
      <c r="U894" s="6" t="n">
        <f aca="false">IF(A894="","",IF(D894&lt;=Inputs!$B$8,IF(Inputs!$B$22="Premium Offset",MAX(0,Inputs!$B$25-(Q894+T894)),Inputs!$B$25),0))</f>
        <v>0</v>
      </c>
      <c r="V894" s="10" t="n">
        <f aca="false">IF(A894="","",IF(Inputs!$B$22="Cash",Q894,0))</f>
        <v>0</v>
      </c>
      <c r="W894" s="10" t="n">
        <f aca="false">IF(A894="","",IF(Inputs!$B$22="PUA",Q894,0))</f>
        <v>0</v>
      </c>
      <c r="X894" s="12" t="n">
        <f aca="false">IF(A894="","",IFERROR(INDEX(PUA_TABLE!$D$4:$D$105,MATCH(E894,PUA_TABLE!$C$4:$C$105,1)),0))</f>
        <v>0.927981554596764</v>
      </c>
      <c r="Y894" s="10" t="n">
        <f aca="false">IF(A894="","",IF(W894&gt;0,IF(X894&gt;0,W894/X894,0),0))</f>
        <v>0</v>
      </c>
      <c r="Z894" s="10" t="n">
        <f aca="false">IF(A894="","",N894+Y894)</f>
        <v>0</v>
      </c>
      <c r="AA894" s="10" t="n">
        <f aca="false">IF(A894="","",IFERROR(Z894*INDEX(PUA_TABLE!$I$4:$I$105,MATCH(E894,PUA_TABLE!$C$4:$C$105,1))/1000,0))</f>
        <v>0</v>
      </c>
      <c r="AB894" s="10" t="n">
        <f aca="false">IF(A894="","",IFERROR(L894+AA894,0))</f>
        <v>46482.6277770354</v>
      </c>
      <c r="AC894" s="10" t="n">
        <f aca="false">IF(A894="","",IF(Inputs!$B$22="Premium Offset",MIN(Inputs!$B$25,Q894+T894),0))</f>
        <v>0</v>
      </c>
    </row>
    <row r="895" customFormat="false" ht="15" hidden="false" customHeight="false" outlineLevel="0" collapsed="false">
      <c r="A895" s="1" t="n">
        <f aca="false">IF(A894="","",IF(INT((C894+1)/12)+Inputs!$B$7&gt;MAX(MORTALITY!$A:$A),"",Inputs!$B$4))</f>
        <v>34</v>
      </c>
      <c r="B895" s="3" t="n">
        <f aca="false">IF(A895="","",EOMONTH(B894,1))</f>
        <v>48913</v>
      </c>
      <c r="C895" s="1" t="n">
        <f aca="false">IF(A895="","",C894+1)</f>
        <v>893</v>
      </c>
      <c r="D895" s="1" t="n">
        <f aca="false">IF(A895="","",INT(C895/12))</f>
        <v>74</v>
      </c>
      <c r="E895" s="1" t="n">
        <f aca="false">IF(A895="","",D895+Inputs!$B$7)</f>
        <v>90</v>
      </c>
      <c r="F895" s="3" t="n">
        <f aca="false">IF(A895="","",DATE(YEAR(B$2)+D895,MONTH(B$2),DAY(B$2)))</f>
        <v>48735</v>
      </c>
      <c r="G895" s="3" t="n">
        <f aca="false">IF(A895="","",DATE(YEAR(F895)+1,MONTH(F895),DAY(F895)))</f>
        <v>49100</v>
      </c>
      <c r="H895" s="10" t="n">
        <f aca="false">IF(A895="","",IF(G895&gt;F895,(B895-F895)/(G895-F895),0))</f>
        <v>0.487671232876712</v>
      </c>
      <c r="I895" s="10" t="n">
        <f aca="false">IF(A895="","",IFERROR(INDEX(CV_RATES!$I:$I,MATCH(D895,CV_RATES!$C:$C,0)),0))</f>
        <v>927.981554596764</v>
      </c>
      <c r="J895" s="10" t="n">
        <f aca="false">IF(A895="","",IFERROR(IF(E895=MAX(MORTALITY!$A:$A),1000,INDEX(CV_RATES!$J:$J,MATCH(D895,CV_RATES!$C:$C,0))),0))</f>
        <v>932.102604222032</v>
      </c>
      <c r="K895" s="10" t="n">
        <f aca="false">IF(A895="","",IFERROR(I895+H895*(J895-I895),0))</f>
        <v>929.991271948265</v>
      </c>
      <c r="L895" s="10" t="n">
        <f aca="false">IF(A895="","",IFERROR(K895*Inputs!$B$9,0))</f>
        <v>46499.5635974132</v>
      </c>
      <c r="M895" s="10" t="n">
        <f aca="false">IF(A895="","",IFERROR(K895*Inputs!$B$10,0))</f>
        <v>148795.813537907</v>
      </c>
      <c r="N895" s="10" t="n">
        <f aca="false">IF(A895="","",Z894)</f>
        <v>0</v>
      </c>
      <c r="O895" s="6" t="n">
        <f aca="false">IF(A895="","",Inputs!$B$18+N895)</f>
        <v>50000</v>
      </c>
      <c r="P895" s="5" t="n">
        <f aca="false">IF(A895="","",VLOOKUP(D895,DIvidend_Assumption!$A$3:$CX$103,($E$2+2),0)/12)</f>
        <v>0</v>
      </c>
      <c r="Q895" s="10" t="n">
        <f aca="false">IF(A895="","",IFERROR(AB894*P895,""))</f>
        <v>0</v>
      </c>
      <c r="R895" s="10" t="n">
        <f aca="false">IF(A895="","",IFERROR(IF(Inputs!$B$22="Accumulate",T895+Q895,IF(Inputs!$B$22="Premium Offset",MAX(0,T895+Q895-Inputs!$B$25),T895)),""))</f>
        <v>0</v>
      </c>
      <c r="S895" s="10" t="n">
        <f aca="false">IF(A895="","",R894)</f>
        <v>0</v>
      </c>
      <c r="T895" s="10" t="n">
        <f aca="false">IF(A895="","",IFERROR(S895*(1+Inputs!$B$23/12),""))</f>
        <v>0</v>
      </c>
      <c r="U895" s="6" t="n">
        <f aca="false">IF(A895="","",IF(D895&lt;=Inputs!$B$8,IF(Inputs!$B$22="Premium Offset",MAX(0,Inputs!$B$25-(Q895+T895)),Inputs!$B$25),0))</f>
        <v>0</v>
      </c>
      <c r="V895" s="10" t="n">
        <f aca="false">IF(A895="","",IF(Inputs!$B$22="Cash",Q895,0))</f>
        <v>0</v>
      </c>
      <c r="W895" s="10" t="n">
        <f aca="false">IF(A895="","",IF(Inputs!$B$22="PUA",Q895,0))</f>
        <v>0</v>
      </c>
      <c r="X895" s="12" t="n">
        <f aca="false">IF(A895="","",IFERROR(INDEX(PUA_TABLE!$D$4:$D$105,MATCH(E895,PUA_TABLE!$C$4:$C$105,1)),0))</f>
        <v>0.927981554596764</v>
      </c>
      <c r="Y895" s="10" t="n">
        <f aca="false">IF(A895="","",IF(W895&gt;0,IF(X895&gt;0,W895/X895,0),0))</f>
        <v>0</v>
      </c>
      <c r="Z895" s="10" t="n">
        <f aca="false">IF(A895="","",N895+Y895)</f>
        <v>0</v>
      </c>
      <c r="AA895" s="10" t="n">
        <f aca="false">IF(A895="","",IFERROR(Z895*INDEX(PUA_TABLE!$I$4:$I$105,MATCH(E895,PUA_TABLE!$C$4:$C$105,1))/1000,0))</f>
        <v>0</v>
      </c>
      <c r="AB895" s="10" t="n">
        <f aca="false">IF(A895="","",IFERROR(L895+AA895,0))</f>
        <v>46499.5635974132</v>
      </c>
      <c r="AC895" s="10" t="n">
        <f aca="false">IF(A895="","",IF(Inputs!$B$22="Premium Offset",MIN(Inputs!$B$25,Q895+T895),0))</f>
        <v>0</v>
      </c>
    </row>
    <row r="896" customFormat="false" ht="15" hidden="false" customHeight="false" outlineLevel="0" collapsed="false">
      <c r="A896" s="1" t="n">
        <f aca="false">IF(A895="","",IF(INT((C895+1)/12)+Inputs!$B$7&gt;MAX(MORTALITY!$A:$A),"",Inputs!$B$4))</f>
        <v>34</v>
      </c>
      <c r="B896" s="3" t="n">
        <f aca="false">IF(A896="","",EOMONTH(B895,1))</f>
        <v>48944</v>
      </c>
      <c r="C896" s="1" t="n">
        <f aca="false">IF(A896="","",C895+1)</f>
        <v>894</v>
      </c>
      <c r="D896" s="1" t="n">
        <f aca="false">IF(A896="","",INT(C896/12))</f>
        <v>74</v>
      </c>
      <c r="E896" s="1" t="n">
        <f aca="false">IF(A896="","",D896+Inputs!$B$7)</f>
        <v>90</v>
      </c>
      <c r="F896" s="3" t="n">
        <f aca="false">IF(A896="","",DATE(YEAR(B$2)+D896,MONTH(B$2),DAY(B$2)))</f>
        <v>48735</v>
      </c>
      <c r="G896" s="3" t="n">
        <f aca="false">IF(A896="","",DATE(YEAR(F896)+1,MONTH(F896),DAY(F896)))</f>
        <v>49100</v>
      </c>
      <c r="H896" s="10" t="n">
        <f aca="false">IF(A896="","",IF(G896&gt;F896,(B896-F896)/(G896-F896),0))</f>
        <v>0.572602739726027</v>
      </c>
      <c r="I896" s="10" t="n">
        <f aca="false">IF(A896="","",IFERROR(INDEX(CV_RATES!$I:$I,MATCH(D896,CV_RATES!$C:$C,0)),0))</f>
        <v>927.981554596764</v>
      </c>
      <c r="J896" s="10" t="n">
        <f aca="false">IF(A896="","",IFERROR(IF(E896=MAX(MORTALITY!$A:$A),1000,INDEX(CV_RATES!$J:$J,MATCH(D896,CV_RATES!$C:$C,0))),0))</f>
        <v>932.102604222032</v>
      </c>
      <c r="K896" s="10" t="n">
        <f aca="false">IF(A896="","",IFERROR(I896+H896*(J896-I896),0))</f>
        <v>930.341278902739</v>
      </c>
      <c r="L896" s="10" t="n">
        <f aca="false">IF(A896="","",IFERROR(K896*Inputs!$B$9,0))</f>
        <v>46517.063945137</v>
      </c>
      <c r="M896" s="10" t="n">
        <f aca="false">IF(A896="","",IFERROR(K896*Inputs!$B$10,0))</f>
        <v>148851.813600602</v>
      </c>
      <c r="N896" s="10" t="n">
        <f aca="false">IF(A896="","",Z895)</f>
        <v>0</v>
      </c>
      <c r="O896" s="6" t="n">
        <f aca="false">IF(A896="","",Inputs!$B$18+N896)</f>
        <v>50000</v>
      </c>
      <c r="P896" s="5" t="n">
        <f aca="false">IF(A896="","",VLOOKUP(D896,DIvidend_Assumption!$A$3:$CX$103,($E$2+2),0)/12)</f>
        <v>0</v>
      </c>
      <c r="Q896" s="10" t="n">
        <f aca="false">IF(A896="","",IFERROR(AB895*P896,""))</f>
        <v>0</v>
      </c>
      <c r="R896" s="10" t="n">
        <f aca="false">IF(A896="","",IFERROR(IF(Inputs!$B$22="Accumulate",T896+Q896,IF(Inputs!$B$22="Premium Offset",MAX(0,T896+Q896-Inputs!$B$25),T896)),""))</f>
        <v>0</v>
      </c>
      <c r="S896" s="10" t="n">
        <f aca="false">IF(A896="","",R895)</f>
        <v>0</v>
      </c>
      <c r="T896" s="10" t="n">
        <f aca="false">IF(A896="","",IFERROR(S896*(1+Inputs!$B$23/12),""))</f>
        <v>0</v>
      </c>
      <c r="U896" s="6" t="n">
        <f aca="false">IF(A896="","",IF(D896&lt;=Inputs!$B$8,IF(Inputs!$B$22="Premium Offset",MAX(0,Inputs!$B$25-(Q896+T896)),Inputs!$B$25),0))</f>
        <v>0</v>
      </c>
      <c r="V896" s="10" t="n">
        <f aca="false">IF(A896="","",IF(Inputs!$B$22="Cash",Q896,0))</f>
        <v>0</v>
      </c>
      <c r="W896" s="10" t="n">
        <f aca="false">IF(A896="","",IF(Inputs!$B$22="PUA",Q896,0))</f>
        <v>0</v>
      </c>
      <c r="X896" s="12" t="n">
        <f aca="false">IF(A896="","",IFERROR(INDEX(PUA_TABLE!$D$4:$D$105,MATCH(E896,PUA_TABLE!$C$4:$C$105,1)),0))</f>
        <v>0.927981554596764</v>
      </c>
      <c r="Y896" s="10" t="n">
        <f aca="false">IF(A896="","",IF(W896&gt;0,IF(X896&gt;0,W896/X896,0),0))</f>
        <v>0</v>
      </c>
      <c r="Z896" s="10" t="n">
        <f aca="false">IF(A896="","",N896+Y896)</f>
        <v>0</v>
      </c>
      <c r="AA896" s="10" t="n">
        <f aca="false">IF(A896="","",IFERROR(Z896*INDEX(PUA_TABLE!$I$4:$I$105,MATCH(E896,PUA_TABLE!$C$4:$C$105,1))/1000,0))</f>
        <v>0</v>
      </c>
      <c r="AB896" s="10" t="n">
        <f aca="false">IF(A896="","",IFERROR(L896+AA896,0))</f>
        <v>46517.063945137</v>
      </c>
      <c r="AC896" s="10" t="n">
        <f aca="false">IF(A896="","",IF(Inputs!$B$22="Premium Offset",MIN(Inputs!$B$25,Q896+T896),0))</f>
        <v>0</v>
      </c>
    </row>
    <row r="897" customFormat="false" ht="15" hidden="false" customHeight="false" outlineLevel="0" collapsed="false">
      <c r="A897" s="1" t="n">
        <f aca="false">IF(A896="","",IF(INT((C896+1)/12)+Inputs!$B$7&gt;MAX(MORTALITY!$A:$A),"",Inputs!$B$4))</f>
        <v>34</v>
      </c>
      <c r="B897" s="3" t="n">
        <f aca="false">IF(A897="","",EOMONTH(B896,1))</f>
        <v>48975</v>
      </c>
      <c r="C897" s="1" t="n">
        <f aca="false">IF(A897="","",C896+1)</f>
        <v>895</v>
      </c>
      <c r="D897" s="1" t="n">
        <f aca="false">IF(A897="","",INT(C897/12))</f>
        <v>74</v>
      </c>
      <c r="E897" s="1" t="n">
        <f aca="false">IF(A897="","",D897+Inputs!$B$7)</f>
        <v>90</v>
      </c>
      <c r="F897" s="3" t="n">
        <f aca="false">IF(A897="","",DATE(YEAR(B$2)+D897,MONTH(B$2),DAY(B$2)))</f>
        <v>48735</v>
      </c>
      <c r="G897" s="3" t="n">
        <f aca="false">IF(A897="","",DATE(YEAR(F897)+1,MONTH(F897),DAY(F897)))</f>
        <v>49100</v>
      </c>
      <c r="H897" s="10" t="n">
        <f aca="false">IF(A897="","",IF(G897&gt;F897,(B897-F897)/(G897-F897),0))</f>
        <v>0.657534246575342</v>
      </c>
      <c r="I897" s="10" t="n">
        <f aca="false">IF(A897="","",IFERROR(INDEX(CV_RATES!$I:$I,MATCH(D897,CV_RATES!$C:$C,0)),0))</f>
        <v>927.981554596764</v>
      </c>
      <c r="J897" s="10" t="n">
        <f aca="false">IF(A897="","",IFERROR(IF(E897=MAX(MORTALITY!$A:$A),1000,INDEX(CV_RATES!$J:$J,MATCH(D897,CV_RATES!$C:$C,0))),0))</f>
        <v>932.102604222032</v>
      </c>
      <c r="K897" s="10" t="n">
        <f aca="false">IF(A897="","",IFERROR(I897+H897*(J897-I897),0))</f>
        <v>930.691285857214</v>
      </c>
      <c r="L897" s="10" t="n">
        <f aca="false">IF(A897="","",IFERROR(K897*Inputs!$B$9,0))</f>
        <v>46534.5642928607</v>
      </c>
      <c r="M897" s="10" t="n">
        <f aca="false">IF(A897="","",IFERROR(K897*Inputs!$B$10,0))</f>
        <v>148907.813663297</v>
      </c>
      <c r="N897" s="10" t="n">
        <f aca="false">IF(A897="","",Z896)</f>
        <v>0</v>
      </c>
      <c r="O897" s="6" t="n">
        <f aca="false">IF(A897="","",Inputs!$B$18+N897)</f>
        <v>50000</v>
      </c>
      <c r="P897" s="5" t="n">
        <f aca="false">IF(A897="","",VLOOKUP(D897,DIvidend_Assumption!$A$3:$CX$103,($E$2+2),0)/12)</f>
        <v>0</v>
      </c>
      <c r="Q897" s="10" t="n">
        <f aca="false">IF(A897="","",IFERROR(AB896*P897,""))</f>
        <v>0</v>
      </c>
      <c r="R897" s="10" t="n">
        <f aca="false">IF(A897="","",IFERROR(IF(Inputs!$B$22="Accumulate",T897+Q897,IF(Inputs!$B$22="Premium Offset",MAX(0,T897+Q897-Inputs!$B$25),T897)),""))</f>
        <v>0</v>
      </c>
      <c r="S897" s="10" t="n">
        <f aca="false">IF(A897="","",R896)</f>
        <v>0</v>
      </c>
      <c r="T897" s="10" t="n">
        <f aca="false">IF(A897="","",IFERROR(S897*(1+Inputs!$B$23/12),""))</f>
        <v>0</v>
      </c>
      <c r="U897" s="6" t="n">
        <f aca="false">IF(A897="","",IF(D897&lt;=Inputs!$B$8,IF(Inputs!$B$22="Premium Offset",MAX(0,Inputs!$B$25-(Q897+T897)),Inputs!$B$25),0))</f>
        <v>0</v>
      </c>
      <c r="V897" s="10" t="n">
        <f aca="false">IF(A897="","",IF(Inputs!$B$22="Cash",Q897,0))</f>
        <v>0</v>
      </c>
      <c r="W897" s="10" t="n">
        <f aca="false">IF(A897="","",IF(Inputs!$B$22="PUA",Q897,0))</f>
        <v>0</v>
      </c>
      <c r="X897" s="12" t="n">
        <f aca="false">IF(A897="","",IFERROR(INDEX(PUA_TABLE!$D$4:$D$105,MATCH(E897,PUA_TABLE!$C$4:$C$105,1)),0))</f>
        <v>0.927981554596764</v>
      </c>
      <c r="Y897" s="10" t="n">
        <f aca="false">IF(A897="","",IF(W897&gt;0,IF(X897&gt;0,W897/X897,0),0))</f>
        <v>0</v>
      </c>
      <c r="Z897" s="10" t="n">
        <f aca="false">IF(A897="","",N897+Y897)</f>
        <v>0</v>
      </c>
      <c r="AA897" s="10" t="n">
        <f aca="false">IF(A897="","",IFERROR(Z897*INDEX(PUA_TABLE!$I$4:$I$105,MATCH(E897,PUA_TABLE!$C$4:$C$105,1))/1000,0))</f>
        <v>0</v>
      </c>
      <c r="AB897" s="10" t="n">
        <f aca="false">IF(A897="","",IFERROR(L897+AA897,0))</f>
        <v>46534.5642928607</v>
      </c>
      <c r="AC897" s="10" t="n">
        <f aca="false">IF(A897="","",IF(Inputs!$B$22="Premium Offset",MIN(Inputs!$B$25,Q897+T897),0))</f>
        <v>0</v>
      </c>
    </row>
    <row r="898" customFormat="false" ht="15" hidden="false" customHeight="false" outlineLevel="0" collapsed="false">
      <c r="A898" s="1" t="n">
        <f aca="false">IF(A897="","",IF(INT((C897+1)/12)+Inputs!$B$7&gt;MAX(MORTALITY!$A:$A),"",Inputs!$B$4))</f>
        <v>34</v>
      </c>
      <c r="B898" s="3" t="n">
        <f aca="false">IF(A898="","",EOMONTH(B897,1))</f>
        <v>49003</v>
      </c>
      <c r="C898" s="1" t="n">
        <f aca="false">IF(A898="","",C897+1)</f>
        <v>896</v>
      </c>
      <c r="D898" s="1" t="n">
        <f aca="false">IF(A898="","",INT(C898/12))</f>
        <v>74</v>
      </c>
      <c r="E898" s="1" t="n">
        <f aca="false">IF(A898="","",D898+Inputs!$B$7)</f>
        <v>90</v>
      </c>
      <c r="F898" s="3" t="n">
        <f aca="false">IF(A898="","",DATE(YEAR(B$2)+D898,MONTH(B$2),DAY(B$2)))</f>
        <v>48735</v>
      </c>
      <c r="G898" s="3" t="n">
        <f aca="false">IF(A898="","",DATE(YEAR(F898)+1,MONTH(F898),DAY(F898)))</f>
        <v>49100</v>
      </c>
      <c r="H898" s="10" t="n">
        <f aca="false">IF(A898="","",IF(G898&gt;F898,(B898-F898)/(G898-F898),0))</f>
        <v>0.734246575342466</v>
      </c>
      <c r="I898" s="10" t="n">
        <f aca="false">IF(A898="","",IFERROR(INDEX(CV_RATES!$I:$I,MATCH(D898,CV_RATES!$C:$C,0)),0))</f>
        <v>927.981554596764</v>
      </c>
      <c r="J898" s="10" t="n">
        <f aca="false">IF(A898="","",IFERROR(IF(E898=MAX(MORTALITY!$A:$A),1000,INDEX(CV_RATES!$J:$J,MATCH(D898,CV_RATES!$C:$C,0))),0))</f>
        <v>932.102604222032</v>
      </c>
      <c r="K898" s="10" t="n">
        <f aca="false">IF(A898="","",IFERROR(I898+H898*(J898-I898),0))</f>
        <v>931.007421170933</v>
      </c>
      <c r="L898" s="10" t="n">
        <f aca="false">IF(A898="","",IFERROR(K898*Inputs!$B$9,0))</f>
        <v>46550.3710585467</v>
      </c>
      <c r="M898" s="10" t="n">
        <f aca="false">IF(A898="","",IFERROR(K898*Inputs!$B$10,0))</f>
        <v>148958.394365086</v>
      </c>
      <c r="N898" s="10" t="n">
        <f aca="false">IF(A898="","",Z897)</f>
        <v>0</v>
      </c>
      <c r="O898" s="6" t="n">
        <f aca="false">IF(A898="","",Inputs!$B$18+N898)</f>
        <v>50000</v>
      </c>
      <c r="P898" s="5" t="n">
        <f aca="false">IF(A898="","",VLOOKUP(D898,DIvidend_Assumption!$A$3:$CX$103,($E$2+2),0)/12)</f>
        <v>0</v>
      </c>
      <c r="Q898" s="10" t="n">
        <f aca="false">IF(A898="","",IFERROR(AB897*P898,""))</f>
        <v>0</v>
      </c>
      <c r="R898" s="10" t="n">
        <f aca="false">IF(A898="","",IFERROR(IF(Inputs!$B$22="Accumulate",T898+Q898,IF(Inputs!$B$22="Premium Offset",MAX(0,T898+Q898-Inputs!$B$25),T898)),""))</f>
        <v>0</v>
      </c>
      <c r="S898" s="10" t="n">
        <f aca="false">IF(A898="","",R897)</f>
        <v>0</v>
      </c>
      <c r="T898" s="10" t="n">
        <f aca="false">IF(A898="","",IFERROR(S898*(1+Inputs!$B$23/12),""))</f>
        <v>0</v>
      </c>
      <c r="U898" s="6" t="n">
        <f aca="false">IF(A898="","",IF(D898&lt;=Inputs!$B$8,IF(Inputs!$B$22="Premium Offset",MAX(0,Inputs!$B$25-(Q898+T898)),Inputs!$B$25),0))</f>
        <v>0</v>
      </c>
      <c r="V898" s="10" t="n">
        <f aca="false">IF(A898="","",IF(Inputs!$B$22="Cash",Q898,0))</f>
        <v>0</v>
      </c>
      <c r="W898" s="10" t="n">
        <f aca="false">IF(A898="","",IF(Inputs!$B$22="PUA",Q898,0))</f>
        <v>0</v>
      </c>
      <c r="X898" s="12" t="n">
        <f aca="false">IF(A898="","",IFERROR(INDEX(PUA_TABLE!$D$4:$D$105,MATCH(E898,PUA_TABLE!$C$4:$C$105,1)),0))</f>
        <v>0.927981554596764</v>
      </c>
      <c r="Y898" s="10" t="n">
        <f aca="false">IF(A898="","",IF(W898&gt;0,IF(X898&gt;0,W898/X898,0),0))</f>
        <v>0</v>
      </c>
      <c r="Z898" s="10" t="n">
        <f aca="false">IF(A898="","",N898+Y898)</f>
        <v>0</v>
      </c>
      <c r="AA898" s="10" t="n">
        <f aca="false">IF(A898="","",IFERROR(Z898*INDEX(PUA_TABLE!$I$4:$I$105,MATCH(E898,PUA_TABLE!$C$4:$C$105,1))/1000,0))</f>
        <v>0</v>
      </c>
      <c r="AB898" s="10" t="n">
        <f aca="false">IF(A898="","",IFERROR(L898+AA898,0))</f>
        <v>46550.3710585467</v>
      </c>
      <c r="AC898" s="10" t="n">
        <f aca="false">IF(A898="","",IF(Inputs!$B$22="Premium Offset",MIN(Inputs!$B$25,Q898+T898),0))</f>
        <v>0</v>
      </c>
    </row>
    <row r="899" customFormat="false" ht="15" hidden="false" customHeight="false" outlineLevel="0" collapsed="false">
      <c r="A899" s="1" t="n">
        <f aca="false">IF(A898="","",IF(INT((C898+1)/12)+Inputs!$B$7&gt;MAX(MORTALITY!$A:$A),"",Inputs!$B$4))</f>
        <v>34</v>
      </c>
      <c r="B899" s="3" t="n">
        <f aca="false">IF(A899="","",EOMONTH(B898,1))</f>
        <v>49034</v>
      </c>
      <c r="C899" s="1" t="n">
        <f aca="false">IF(A899="","",C898+1)</f>
        <v>897</v>
      </c>
      <c r="D899" s="1" t="n">
        <f aca="false">IF(A899="","",INT(C899/12))</f>
        <v>74</v>
      </c>
      <c r="E899" s="1" t="n">
        <f aca="false">IF(A899="","",D899+Inputs!$B$7)</f>
        <v>90</v>
      </c>
      <c r="F899" s="3" t="n">
        <f aca="false">IF(A899="","",DATE(YEAR(B$2)+D899,MONTH(B$2),DAY(B$2)))</f>
        <v>48735</v>
      </c>
      <c r="G899" s="3" t="n">
        <f aca="false">IF(A899="","",DATE(YEAR(F899)+1,MONTH(F899),DAY(F899)))</f>
        <v>49100</v>
      </c>
      <c r="H899" s="10" t="n">
        <f aca="false">IF(A899="","",IF(G899&gt;F899,(B899-F899)/(G899-F899),0))</f>
        <v>0.819178082191781</v>
      </c>
      <c r="I899" s="10" t="n">
        <f aca="false">IF(A899="","",IFERROR(INDEX(CV_RATES!$I:$I,MATCH(D899,CV_RATES!$C:$C,0)),0))</f>
        <v>927.981554596764</v>
      </c>
      <c r="J899" s="10" t="n">
        <f aca="false">IF(A899="","",IFERROR(IF(E899=MAX(MORTALITY!$A:$A),1000,INDEX(CV_RATES!$J:$J,MATCH(D899,CV_RATES!$C:$C,0))),0))</f>
        <v>932.102604222032</v>
      </c>
      <c r="K899" s="10" t="n">
        <f aca="false">IF(A899="","",IFERROR(I899+H899*(J899-I899),0))</f>
        <v>931.357428125408</v>
      </c>
      <c r="L899" s="10" t="n">
        <f aca="false">IF(A899="","",IFERROR(K899*Inputs!$B$9,0))</f>
        <v>46567.8714062704</v>
      </c>
      <c r="M899" s="10" t="n">
        <f aca="false">IF(A899="","",IFERROR(K899*Inputs!$B$10,0))</f>
        <v>149014.394427781</v>
      </c>
      <c r="N899" s="10" t="n">
        <f aca="false">IF(A899="","",Z898)</f>
        <v>0</v>
      </c>
      <c r="O899" s="6" t="n">
        <f aca="false">IF(A899="","",Inputs!$B$18+N899)</f>
        <v>50000</v>
      </c>
      <c r="P899" s="5" t="n">
        <f aca="false">IF(A899="","",VLOOKUP(D899,DIvidend_Assumption!$A$3:$CX$103,($E$2+2),0)/12)</f>
        <v>0</v>
      </c>
      <c r="Q899" s="10" t="n">
        <f aca="false">IF(A899="","",IFERROR(AB898*P899,""))</f>
        <v>0</v>
      </c>
      <c r="R899" s="10" t="n">
        <f aca="false">IF(A899="","",IFERROR(IF(Inputs!$B$22="Accumulate",T899+Q899,IF(Inputs!$B$22="Premium Offset",MAX(0,T899+Q899-Inputs!$B$25),T899)),""))</f>
        <v>0</v>
      </c>
      <c r="S899" s="10" t="n">
        <f aca="false">IF(A899="","",R898)</f>
        <v>0</v>
      </c>
      <c r="T899" s="10" t="n">
        <f aca="false">IF(A899="","",IFERROR(S899*(1+Inputs!$B$23/12),""))</f>
        <v>0</v>
      </c>
      <c r="U899" s="6" t="n">
        <f aca="false">IF(A899="","",IF(D899&lt;=Inputs!$B$8,IF(Inputs!$B$22="Premium Offset",MAX(0,Inputs!$B$25-(Q899+T899)),Inputs!$B$25),0))</f>
        <v>0</v>
      </c>
      <c r="V899" s="10" t="n">
        <f aca="false">IF(A899="","",IF(Inputs!$B$22="Cash",Q899,0))</f>
        <v>0</v>
      </c>
      <c r="W899" s="10" t="n">
        <f aca="false">IF(A899="","",IF(Inputs!$B$22="PUA",Q899,0))</f>
        <v>0</v>
      </c>
      <c r="X899" s="12" t="n">
        <f aca="false">IF(A899="","",IFERROR(INDEX(PUA_TABLE!$D$4:$D$105,MATCH(E899,PUA_TABLE!$C$4:$C$105,1)),0))</f>
        <v>0.927981554596764</v>
      </c>
      <c r="Y899" s="10" t="n">
        <f aca="false">IF(A899="","",IF(W899&gt;0,IF(X899&gt;0,W899/X899,0),0))</f>
        <v>0</v>
      </c>
      <c r="Z899" s="10" t="n">
        <f aca="false">IF(A899="","",N899+Y899)</f>
        <v>0</v>
      </c>
      <c r="AA899" s="10" t="n">
        <f aca="false">IF(A899="","",IFERROR(Z899*INDEX(PUA_TABLE!$I$4:$I$105,MATCH(E899,PUA_TABLE!$C$4:$C$105,1))/1000,0))</f>
        <v>0</v>
      </c>
      <c r="AB899" s="10" t="n">
        <f aca="false">IF(A899="","",IFERROR(L899+AA899,0))</f>
        <v>46567.8714062704</v>
      </c>
      <c r="AC899" s="10" t="n">
        <f aca="false">IF(A899="","",IF(Inputs!$B$22="Premium Offset",MIN(Inputs!$B$25,Q899+T899),0))</f>
        <v>0</v>
      </c>
    </row>
    <row r="900" customFormat="false" ht="15" hidden="false" customHeight="false" outlineLevel="0" collapsed="false">
      <c r="A900" s="1" t="n">
        <f aca="false">IF(A899="","",IF(INT((C899+1)/12)+Inputs!$B$7&gt;MAX(MORTALITY!$A:$A),"",Inputs!$B$4))</f>
        <v>34</v>
      </c>
      <c r="B900" s="3" t="n">
        <f aca="false">IF(A900="","",EOMONTH(B899,1))</f>
        <v>49064</v>
      </c>
      <c r="C900" s="1" t="n">
        <f aca="false">IF(A900="","",C899+1)</f>
        <v>898</v>
      </c>
      <c r="D900" s="1" t="n">
        <f aca="false">IF(A900="","",INT(C900/12))</f>
        <v>74</v>
      </c>
      <c r="E900" s="1" t="n">
        <f aca="false">IF(A900="","",D900+Inputs!$B$7)</f>
        <v>90</v>
      </c>
      <c r="F900" s="3" t="n">
        <f aca="false">IF(A900="","",DATE(YEAR(B$2)+D900,MONTH(B$2),DAY(B$2)))</f>
        <v>48735</v>
      </c>
      <c r="G900" s="3" t="n">
        <f aca="false">IF(A900="","",DATE(YEAR(F900)+1,MONTH(F900),DAY(F900)))</f>
        <v>49100</v>
      </c>
      <c r="H900" s="10" t="n">
        <f aca="false">IF(A900="","",IF(G900&gt;F900,(B900-F900)/(G900-F900),0))</f>
        <v>0.901369863013699</v>
      </c>
      <c r="I900" s="10" t="n">
        <f aca="false">IF(A900="","",IFERROR(INDEX(CV_RATES!$I:$I,MATCH(D900,CV_RATES!$C:$C,0)),0))</f>
        <v>927.981554596764</v>
      </c>
      <c r="J900" s="10" t="n">
        <f aca="false">IF(A900="","",IFERROR(IF(E900=MAX(MORTALITY!$A:$A),1000,INDEX(CV_RATES!$J:$J,MATCH(D900,CV_RATES!$C:$C,0))),0))</f>
        <v>932.102604222032</v>
      </c>
      <c r="K900" s="10" t="n">
        <f aca="false">IF(A900="","",IFERROR(I900+H900*(J900-I900),0))</f>
        <v>931.696144532965</v>
      </c>
      <c r="L900" s="10" t="n">
        <f aca="false">IF(A900="","",IFERROR(K900*Inputs!$B$9,0))</f>
        <v>46584.8072266482</v>
      </c>
      <c r="M900" s="10" t="n">
        <f aca="false">IF(A900="","",IFERROR(K900*Inputs!$B$10,0))</f>
        <v>149068.588036841</v>
      </c>
      <c r="N900" s="10" t="n">
        <f aca="false">IF(A900="","",Z899)</f>
        <v>0</v>
      </c>
      <c r="O900" s="6" t="n">
        <f aca="false">IF(A900="","",Inputs!$B$18+N900)</f>
        <v>50000</v>
      </c>
      <c r="P900" s="5" t="n">
        <f aca="false">IF(A900="","",VLOOKUP(D900,DIvidend_Assumption!$A$3:$CX$103,($E$2+2),0)/12)</f>
        <v>0</v>
      </c>
      <c r="Q900" s="10" t="n">
        <f aca="false">IF(A900="","",IFERROR(AB899*P900,""))</f>
        <v>0</v>
      </c>
      <c r="R900" s="10" t="n">
        <f aca="false">IF(A900="","",IFERROR(IF(Inputs!$B$22="Accumulate",T900+Q900,IF(Inputs!$B$22="Premium Offset",MAX(0,T900+Q900-Inputs!$B$25),T900)),""))</f>
        <v>0</v>
      </c>
      <c r="S900" s="10" t="n">
        <f aca="false">IF(A900="","",R899)</f>
        <v>0</v>
      </c>
      <c r="T900" s="10" t="n">
        <f aca="false">IF(A900="","",IFERROR(S900*(1+Inputs!$B$23/12),""))</f>
        <v>0</v>
      </c>
      <c r="U900" s="6" t="n">
        <f aca="false">IF(A900="","",IF(D900&lt;=Inputs!$B$8,IF(Inputs!$B$22="Premium Offset",MAX(0,Inputs!$B$25-(Q900+T900)),Inputs!$B$25),0))</f>
        <v>0</v>
      </c>
      <c r="V900" s="10" t="n">
        <f aca="false">IF(A900="","",IF(Inputs!$B$22="Cash",Q900,0))</f>
        <v>0</v>
      </c>
      <c r="W900" s="10" t="n">
        <f aca="false">IF(A900="","",IF(Inputs!$B$22="PUA",Q900,0))</f>
        <v>0</v>
      </c>
      <c r="X900" s="12" t="n">
        <f aca="false">IF(A900="","",IFERROR(INDEX(PUA_TABLE!$D$4:$D$105,MATCH(E900,PUA_TABLE!$C$4:$C$105,1)),0))</f>
        <v>0.927981554596764</v>
      </c>
      <c r="Y900" s="10" t="n">
        <f aca="false">IF(A900="","",IF(W900&gt;0,IF(X900&gt;0,W900/X900,0),0))</f>
        <v>0</v>
      </c>
      <c r="Z900" s="10" t="n">
        <f aca="false">IF(A900="","",N900+Y900)</f>
        <v>0</v>
      </c>
      <c r="AA900" s="10" t="n">
        <f aca="false">IF(A900="","",IFERROR(Z900*INDEX(PUA_TABLE!$I$4:$I$105,MATCH(E900,PUA_TABLE!$C$4:$C$105,1))/1000,0))</f>
        <v>0</v>
      </c>
      <c r="AB900" s="10" t="n">
        <f aca="false">IF(A900="","",IFERROR(L900+AA900,0))</f>
        <v>46584.8072266482</v>
      </c>
      <c r="AC900" s="10" t="n">
        <f aca="false">IF(A900="","",IF(Inputs!$B$22="Premium Offset",MIN(Inputs!$B$25,Q900+T900),0))</f>
        <v>0</v>
      </c>
    </row>
    <row r="901" customFormat="false" ht="15" hidden="false" customHeight="false" outlineLevel="0" collapsed="false">
      <c r="A901" s="1" t="n">
        <f aca="false">IF(A900="","",IF(INT((C900+1)/12)+Inputs!$B$7&gt;MAX(MORTALITY!$A:$A),"",Inputs!$B$4))</f>
        <v>34</v>
      </c>
      <c r="B901" s="3" t="n">
        <f aca="false">IF(A901="","",EOMONTH(B900,1))</f>
        <v>49095</v>
      </c>
      <c r="C901" s="1" t="n">
        <f aca="false">IF(A901="","",C900+1)</f>
        <v>899</v>
      </c>
      <c r="D901" s="1" t="n">
        <f aca="false">IF(A901="","",INT(C901/12))</f>
        <v>74</v>
      </c>
      <c r="E901" s="1" t="n">
        <f aca="false">IF(A901="","",D901+Inputs!$B$7)</f>
        <v>90</v>
      </c>
      <c r="F901" s="3" t="n">
        <f aca="false">IF(A901="","",DATE(YEAR(B$2)+D901,MONTH(B$2),DAY(B$2)))</f>
        <v>48735</v>
      </c>
      <c r="G901" s="3" t="n">
        <f aca="false">IF(A901="","",DATE(YEAR(F901)+1,MONTH(F901),DAY(F901)))</f>
        <v>49100</v>
      </c>
      <c r="H901" s="10" t="n">
        <f aca="false">IF(A901="","",IF(G901&gt;F901,(B901-F901)/(G901-F901),0))</f>
        <v>0.986301369863014</v>
      </c>
      <c r="I901" s="10" t="n">
        <f aca="false">IF(A901="","",IFERROR(INDEX(CV_RATES!$I:$I,MATCH(D901,CV_RATES!$C:$C,0)),0))</f>
        <v>927.981554596764</v>
      </c>
      <c r="J901" s="10" t="n">
        <f aca="false">IF(A901="","",IFERROR(IF(E901=MAX(MORTALITY!$A:$A),1000,INDEX(CV_RATES!$J:$J,MATCH(D901,CV_RATES!$C:$C,0))),0))</f>
        <v>932.102604222032</v>
      </c>
      <c r="K901" s="10" t="n">
        <f aca="false">IF(A901="","",IFERROR(I901+H901*(J901-I901),0))</f>
        <v>932.046151487439</v>
      </c>
      <c r="L901" s="10" t="n">
        <f aca="false">IF(A901="","",IFERROR(K901*Inputs!$B$9,0))</f>
        <v>46602.307574372</v>
      </c>
      <c r="M901" s="10" t="n">
        <f aca="false">IF(A901="","",IFERROR(K901*Inputs!$B$10,0))</f>
        <v>149124.588099536</v>
      </c>
      <c r="N901" s="10" t="n">
        <f aca="false">IF(A901="","",Z900)</f>
        <v>0</v>
      </c>
      <c r="O901" s="6" t="n">
        <f aca="false">IF(A901="","",Inputs!$B$18+N901)</f>
        <v>50000</v>
      </c>
      <c r="P901" s="5" t="n">
        <f aca="false">IF(A901="","",VLOOKUP(D901,DIvidend_Assumption!$A$3:$CX$103,($E$2+2),0)/12)</f>
        <v>0</v>
      </c>
      <c r="Q901" s="10" t="n">
        <f aca="false">IF(A901="","",IFERROR(AB900*P901,""))</f>
        <v>0</v>
      </c>
      <c r="R901" s="10" t="n">
        <f aca="false">IF(A901="","",IFERROR(IF(Inputs!$B$22="Accumulate",T901+Q901,IF(Inputs!$B$22="Premium Offset",MAX(0,T901+Q901-Inputs!$B$25),T901)),""))</f>
        <v>0</v>
      </c>
      <c r="S901" s="10" t="n">
        <f aca="false">IF(A901="","",R900)</f>
        <v>0</v>
      </c>
      <c r="T901" s="10" t="n">
        <f aca="false">IF(A901="","",IFERROR(S901*(1+Inputs!$B$23/12),""))</f>
        <v>0</v>
      </c>
      <c r="U901" s="6" t="n">
        <f aca="false">IF(A901="","",IF(D901&lt;=Inputs!$B$8,IF(Inputs!$B$22="Premium Offset",MAX(0,Inputs!$B$25-(Q901+T901)),Inputs!$B$25),0))</f>
        <v>0</v>
      </c>
      <c r="V901" s="10" t="n">
        <f aca="false">IF(A901="","",IF(Inputs!$B$22="Cash",Q901,0))</f>
        <v>0</v>
      </c>
      <c r="W901" s="10" t="n">
        <f aca="false">IF(A901="","",IF(Inputs!$B$22="PUA",Q901,0))</f>
        <v>0</v>
      </c>
      <c r="X901" s="12" t="n">
        <f aca="false">IF(A901="","",IFERROR(INDEX(PUA_TABLE!$D$4:$D$105,MATCH(E901,PUA_TABLE!$C$4:$C$105,1)),0))</f>
        <v>0.927981554596764</v>
      </c>
      <c r="Y901" s="10" t="n">
        <f aca="false">IF(A901="","",IF(W901&gt;0,IF(X901&gt;0,W901/X901,0),0))</f>
        <v>0</v>
      </c>
      <c r="Z901" s="10" t="n">
        <f aca="false">IF(A901="","",N901+Y901)</f>
        <v>0</v>
      </c>
      <c r="AA901" s="10" t="n">
        <f aca="false">IF(A901="","",IFERROR(Z901*INDEX(PUA_TABLE!$I$4:$I$105,MATCH(E901,PUA_TABLE!$C$4:$C$105,1))/1000,0))</f>
        <v>0</v>
      </c>
      <c r="AB901" s="10" t="n">
        <f aca="false">IF(A901="","",IFERROR(L901+AA901,0))</f>
        <v>46602.307574372</v>
      </c>
      <c r="AC901" s="10" t="n">
        <f aca="false">IF(A901="","",IF(Inputs!$B$22="Premium Offset",MIN(Inputs!$B$25,Q901+T901),0))</f>
        <v>0</v>
      </c>
    </row>
    <row r="902" customFormat="false" ht="15" hidden="false" customHeight="false" outlineLevel="0" collapsed="false">
      <c r="A902" s="1" t="n">
        <f aca="false">IF(A901="","",IF(INT((C901+1)/12)+Inputs!$B$7&gt;MAX(MORTALITY!$A:$A),"",Inputs!$B$4))</f>
        <v>34</v>
      </c>
      <c r="B902" s="3" t="n">
        <f aca="false">IF(A902="","",EOMONTH(B901,1))</f>
        <v>49125</v>
      </c>
      <c r="C902" s="1" t="n">
        <f aca="false">IF(A902="","",C901+1)</f>
        <v>900</v>
      </c>
      <c r="D902" s="1" t="n">
        <f aca="false">IF(A902="","",INT(C902/12))</f>
        <v>75</v>
      </c>
      <c r="E902" s="1" t="n">
        <f aca="false">IF(A902="","",D902+Inputs!$B$7)</f>
        <v>91</v>
      </c>
      <c r="F902" s="3" t="n">
        <f aca="false">IF(A902="","",DATE(YEAR(B$2)+D902,MONTH(B$2),DAY(B$2)))</f>
        <v>49100</v>
      </c>
      <c r="G902" s="3" t="n">
        <f aca="false">IF(A902="","",DATE(YEAR(F902)+1,MONTH(F902),DAY(F902)))</f>
        <v>49465</v>
      </c>
      <c r="H902" s="10" t="n">
        <f aca="false">IF(A902="","",IF(G902&gt;F902,(B902-F902)/(G902-F902),0))</f>
        <v>0.0684931506849315</v>
      </c>
      <c r="I902" s="10" t="n">
        <f aca="false">IF(A902="","",IFERROR(INDEX(CV_RATES!$I:$I,MATCH(D902,CV_RATES!$C:$C,0)),0))</f>
        <v>932.102604222032</v>
      </c>
      <c r="J902" s="10" t="n">
        <f aca="false">IF(A902="","",IFERROR(IF(E902=MAX(MORTALITY!$A:$A),1000,INDEX(CV_RATES!$J:$J,MATCH(D902,CV_RATES!$C:$C,0))),0))</f>
        <v>936.135261900959</v>
      </c>
      <c r="K902" s="10" t="n">
        <f aca="false">IF(A902="","",IFERROR(I902+H902*(J902-I902),0))</f>
        <v>932.378813652096</v>
      </c>
      <c r="L902" s="10" t="n">
        <f aca="false">IF(A902="","",IFERROR(K902*Inputs!$B$9,0))</f>
        <v>46618.9406826048</v>
      </c>
      <c r="M902" s="10" t="n">
        <f aca="false">IF(A902="","",IFERROR(K902*Inputs!$B$10,0))</f>
        <v>149177.813047894</v>
      </c>
      <c r="N902" s="10" t="n">
        <f aca="false">IF(A902="","",Z901)</f>
        <v>0</v>
      </c>
      <c r="O902" s="6" t="n">
        <f aca="false">IF(A902="","",Inputs!$B$18+N902)</f>
        <v>50000</v>
      </c>
      <c r="P902" s="5" t="n">
        <f aca="false">IF(A902="","",VLOOKUP(D902,DIvidend_Assumption!$A$3:$CX$103,($E$2+2),0)/12)</f>
        <v>0</v>
      </c>
      <c r="Q902" s="10" t="n">
        <f aca="false">IF(A902="","",IFERROR(AB901*P902,""))</f>
        <v>0</v>
      </c>
      <c r="R902" s="10" t="n">
        <f aca="false">IF(A902="","",IFERROR(IF(Inputs!$B$22="Accumulate",T902+Q902,IF(Inputs!$B$22="Premium Offset",MAX(0,T902+Q902-Inputs!$B$25),T902)),""))</f>
        <v>0</v>
      </c>
      <c r="S902" s="10" t="n">
        <f aca="false">IF(A902="","",R901)</f>
        <v>0</v>
      </c>
      <c r="T902" s="10" t="n">
        <f aca="false">IF(A902="","",IFERROR(S902*(1+Inputs!$B$23/12),""))</f>
        <v>0</v>
      </c>
      <c r="U902" s="6" t="n">
        <f aca="false">IF(A902="","",IF(D902&lt;=Inputs!$B$8,IF(Inputs!$B$22="Premium Offset",MAX(0,Inputs!$B$25-(Q902+T902)),Inputs!$B$25),0))</f>
        <v>0</v>
      </c>
      <c r="V902" s="10" t="n">
        <f aca="false">IF(A902="","",IF(Inputs!$B$22="Cash",Q902,0))</f>
        <v>0</v>
      </c>
      <c r="W902" s="10" t="n">
        <f aca="false">IF(A902="","",IF(Inputs!$B$22="PUA",Q902,0))</f>
        <v>0</v>
      </c>
      <c r="X902" s="12" t="n">
        <f aca="false">IF(A902="","",IFERROR(INDEX(PUA_TABLE!$D$4:$D$105,MATCH(E902,PUA_TABLE!$C$4:$C$105,1)),0))</f>
        <v>0.932102604222032</v>
      </c>
      <c r="Y902" s="10" t="n">
        <f aca="false">IF(A902="","",IF(W902&gt;0,IF(X902&gt;0,W902/X902,0),0))</f>
        <v>0</v>
      </c>
      <c r="Z902" s="10" t="n">
        <f aca="false">IF(A902="","",N902+Y902)</f>
        <v>0</v>
      </c>
      <c r="AA902" s="10" t="n">
        <f aca="false">IF(A902="","",IFERROR(Z902*INDEX(PUA_TABLE!$I$4:$I$105,MATCH(E902,PUA_TABLE!$C$4:$C$105,1))/1000,0))</f>
        <v>0</v>
      </c>
      <c r="AB902" s="10" t="n">
        <f aca="false">IF(A902="","",IFERROR(L902+AA902,0))</f>
        <v>46618.9406826048</v>
      </c>
      <c r="AC902" s="10" t="n">
        <f aca="false">IF(A902="","",IF(Inputs!$B$22="Premium Offset",MIN(Inputs!$B$25,Q902+T902),0))</f>
        <v>0</v>
      </c>
    </row>
    <row r="903" customFormat="false" ht="15" hidden="false" customHeight="false" outlineLevel="0" collapsed="false">
      <c r="A903" s="1" t="n">
        <f aca="false">IF(A902="","",IF(INT((C902+1)/12)+Inputs!$B$7&gt;MAX(MORTALITY!$A:$A),"",Inputs!$B$4))</f>
        <v>34</v>
      </c>
      <c r="B903" s="3" t="n">
        <f aca="false">IF(A903="","",EOMONTH(B902,1))</f>
        <v>49156</v>
      </c>
      <c r="C903" s="1" t="n">
        <f aca="false">IF(A903="","",C902+1)</f>
        <v>901</v>
      </c>
      <c r="D903" s="1" t="n">
        <f aca="false">IF(A903="","",INT(C903/12))</f>
        <v>75</v>
      </c>
      <c r="E903" s="1" t="n">
        <f aca="false">IF(A903="","",D903+Inputs!$B$7)</f>
        <v>91</v>
      </c>
      <c r="F903" s="3" t="n">
        <f aca="false">IF(A903="","",DATE(YEAR(B$2)+D903,MONTH(B$2),DAY(B$2)))</f>
        <v>49100</v>
      </c>
      <c r="G903" s="3" t="n">
        <f aca="false">IF(A903="","",DATE(YEAR(F903)+1,MONTH(F903),DAY(F903)))</f>
        <v>49465</v>
      </c>
      <c r="H903" s="10" t="n">
        <f aca="false">IF(A903="","",IF(G903&gt;F903,(B903-F903)/(G903-F903),0))</f>
        <v>0.153424657534247</v>
      </c>
      <c r="I903" s="10" t="n">
        <f aca="false">IF(A903="","",IFERROR(INDEX(CV_RATES!$I:$I,MATCH(D903,CV_RATES!$C:$C,0)),0))</f>
        <v>932.102604222032</v>
      </c>
      <c r="J903" s="10" t="n">
        <f aca="false">IF(A903="","",IFERROR(IF(E903=MAX(MORTALITY!$A:$A),1000,INDEX(CV_RATES!$J:$J,MATCH(D903,CV_RATES!$C:$C,0))),0))</f>
        <v>936.135261900959</v>
      </c>
      <c r="K903" s="10" t="n">
        <f aca="false">IF(A903="","",IFERROR(I903+H903*(J903-I903),0))</f>
        <v>932.721313345374</v>
      </c>
      <c r="L903" s="10" t="n">
        <f aca="false">IF(A903="","",IFERROR(K903*Inputs!$B$9,0))</f>
        <v>46636.0656672687</v>
      </c>
      <c r="M903" s="10" t="n">
        <f aca="false">IF(A903="","",IFERROR(K903*Inputs!$B$10,0))</f>
        <v>149232.61197132</v>
      </c>
      <c r="N903" s="10" t="n">
        <f aca="false">IF(A903="","",Z902)</f>
        <v>0</v>
      </c>
      <c r="O903" s="6" t="n">
        <f aca="false">IF(A903="","",Inputs!$B$18+N903)</f>
        <v>50000</v>
      </c>
      <c r="P903" s="5" t="n">
        <f aca="false">IF(A903="","",VLOOKUP(D903,DIvidend_Assumption!$A$3:$CX$103,($E$2+2),0)/12)</f>
        <v>0</v>
      </c>
      <c r="Q903" s="10" t="n">
        <f aca="false">IF(A903="","",IFERROR(AB902*P903,""))</f>
        <v>0</v>
      </c>
      <c r="R903" s="10" t="n">
        <f aca="false">IF(A903="","",IFERROR(IF(Inputs!$B$22="Accumulate",T903+Q903,IF(Inputs!$B$22="Premium Offset",MAX(0,T903+Q903-Inputs!$B$25),T903)),""))</f>
        <v>0</v>
      </c>
      <c r="S903" s="10" t="n">
        <f aca="false">IF(A903="","",R902)</f>
        <v>0</v>
      </c>
      <c r="T903" s="10" t="n">
        <f aca="false">IF(A903="","",IFERROR(S903*(1+Inputs!$B$23/12),""))</f>
        <v>0</v>
      </c>
      <c r="U903" s="6" t="n">
        <f aca="false">IF(A903="","",IF(D903&lt;=Inputs!$B$8,IF(Inputs!$B$22="Premium Offset",MAX(0,Inputs!$B$25-(Q903+T903)),Inputs!$B$25),0))</f>
        <v>0</v>
      </c>
      <c r="V903" s="10" t="n">
        <f aca="false">IF(A903="","",IF(Inputs!$B$22="Cash",Q903,0))</f>
        <v>0</v>
      </c>
      <c r="W903" s="10" t="n">
        <f aca="false">IF(A903="","",IF(Inputs!$B$22="PUA",Q903,0))</f>
        <v>0</v>
      </c>
      <c r="X903" s="12" t="n">
        <f aca="false">IF(A903="","",IFERROR(INDEX(PUA_TABLE!$D$4:$D$105,MATCH(E903,PUA_TABLE!$C$4:$C$105,1)),0))</f>
        <v>0.932102604222032</v>
      </c>
      <c r="Y903" s="10" t="n">
        <f aca="false">IF(A903="","",IF(W903&gt;0,IF(X903&gt;0,W903/X903,0),0))</f>
        <v>0</v>
      </c>
      <c r="Z903" s="10" t="n">
        <f aca="false">IF(A903="","",N903+Y903)</f>
        <v>0</v>
      </c>
      <c r="AA903" s="10" t="n">
        <f aca="false">IF(A903="","",IFERROR(Z903*INDEX(PUA_TABLE!$I$4:$I$105,MATCH(E903,PUA_TABLE!$C$4:$C$105,1))/1000,0))</f>
        <v>0</v>
      </c>
      <c r="AB903" s="10" t="n">
        <f aca="false">IF(A903="","",IFERROR(L903+AA903,0))</f>
        <v>46636.0656672687</v>
      </c>
      <c r="AC903" s="10" t="n">
        <f aca="false">IF(A903="","",IF(Inputs!$B$22="Premium Offset",MIN(Inputs!$B$25,Q903+T903),0))</f>
        <v>0</v>
      </c>
    </row>
    <row r="904" customFormat="false" ht="15" hidden="false" customHeight="false" outlineLevel="0" collapsed="false">
      <c r="A904" s="1" t="n">
        <f aca="false">IF(A903="","",IF(INT((C903+1)/12)+Inputs!$B$7&gt;MAX(MORTALITY!$A:$A),"",Inputs!$B$4))</f>
        <v>34</v>
      </c>
      <c r="B904" s="3" t="n">
        <f aca="false">IF(A904="","",EOMONTH(B903,1))</f>
        <v>49187</v>
      </c>
      <c r="C904" s="1" t="n">
        <f aca="false">IF(A904="","",C903+1)</f>
        <v>902</v>
      </c>
      <c r="D904" s="1" t="n">
        <f aca="false">IF(A904="","",INT(C904/12))</f>
        <v>75</v>
      </c>
      <c r="E904" s="1" t="n">
        <f aca="false">IF(A904="","",D904+Inputs!$B$7)</f>
        <v>91</v>
      </c>
      <c r="F904" s="3" t="n">
        <f aca="false">IF(A904="","",DATE(YEAR(B$2)+D904,MONTH(B$2),DAY(B$2)))</f>
        <v>49100</v>
      </c>
      <c r="G904" s="3" t="n">
        <f aca="false">IF(A904="","",DATE(YEAR(F904)+1,MONTH(F904),DAY(F904)))</f>
        <v>49465</v>
      </c>
      <c r="H904" s="10" t="n">
        <f aca="false">IF(A904="","",IF(G904&gt;F904,(B904-F904)/(G904-F904),0))</f>
        <v>0.238356164383562</v>
      </c>
      <c r="I904" s="10" t="n">
        <f aca="false">IF(A904="","",IFERROR(INDEX(CV_RATES!$I:$I,MATCH(D904,CV_RATES!$C:$C,0)),0))</f>
        <v>932.102604222032</v>
      </c>
      <c r="J904" s="10" t="n">
        <f aca="false">IF(A904="","",IFERROR(IF(E904=MAX(MORTALITY!$A:$A),1000,INDEX(CV_RATES!$J:$J,MATCH(D904,CV_RATES!$C:$C,0))),0))</f>
        <v>936.135261900959</v>
      </c>
      <c r="K904" s="10" t="n">
        <f aca="false">IF(A904="","",IFERROR(I904+H904*(J904-I904),0))</f>
        <v>933.063813038653</v>
      </c>
      <c r="L904" s="10" t="n">
        <f aca="false">IF(A904="","",IFERROR(K904*Inputs!$B$9,0))</f>
        <v>46653.1906519327</v>
      </c>
      <c r="M904" s="10" t="n">
        <f aca="false">IF(A904="","",IFERROR(K904*Inputs!$B$10,0))</f>
        <v>149287.410894745</v>
      </c>
      <c r="N904" s="10" t="n">
        <f aca="false">IF(A904="","",Z903)</f>
        <v>0</v>
      </c>
      <c r="O904" s="6" t="n">
        <f aca="false">IF(A904="","",Inputs!$B$18+N904)</f>
        <v>50000</v>
      </c>
      <c r="P904" s="5" t="n">
        <f aca="false">IF(A904="","",VLOOKUP(D904,DIvidend_Assumption!$A$3:$CX$103,($E$2+2),0)/12)</f>
        <v>0</v>
      </c>
      <c r="Q904" s="10" t="n">
        <f aca="false">IF(A904="","",IFERROR(AB903*P904,""))</f>
        <v>0</v>
      </c>
      <c r="R904" s="10" t="n">
        <f aca="false">IF(A904="","",IFERROR(IF(Inputs!$B$22="Accumulate",T904+Q904,IF(Inputs!$B$22="Premium Offset",MAX(0,T904+Q904-Inputs!$B$25),T904)),""))</f>
        <v>0</v>
      </c>
      <c r="S904" s="10" t="n">
        <f aca="false">IF(A904="","",R903)</f>
        <v>0</v>
      </c>
      <c r="T904" s="10" t="n">
        <f aca="false">IF(A904="","",IFERROR(S904*(1+Inputs!$B$23/12),""))</f>
        <v>0</v>
      </c>
      <c r="U904" s="6" t="n">
        <f aca="false">IF(A904="","",IF(D904&lt;=Inputs!$B$8,IF(Inputs!$B$22="Premium Offset",MAX(0,Inputs!$B$25-(Q904+T904)),Inputs!$B$25),0))</f>
        <v>0</v>
      </c>
      <c r="V904" s="10" t="n">
        <f aca="false">IF(A904="","",IF(Inputs!$B$22="Cash",Q904,0))</f>
        <v>0</v>
      </c>
      <c r="W904" s="10" t="n">
        <f aca="false">IF(A904="","",IF(Inputs!$B$22="PUA",Q904,0))</f>
        <v>0</v>
      </c>
      <c r="X904" s="12" t="n">
        <f aca="false">IF(A904="","",IFERROR(INDEX(PUA_TABLE!$D$4:$D$105,MATCH(E904,PUA_TABLE!$C$4:$C$105,1)),0))</f>
        <v>0.932102604222032</v>
      </c>
      <c r="Y904" s="10" t="n">
        <f aca="false">IF(A904="","",IF(W904&gt;0,IF(X904&gt;0,W904/X904,0),0))</f>
        <v>0</v>
      </c>
      <c r="Z904" s="10" t="n">
        <f aca="false">IF(A904="","",N904+Y904)</f>
        <v>0</v>
      </c>
      <c r="AA904" s="10" t="n">
        <f aca="false">IF(A904="","",IFERROR(Z904*INDEX(PUA_TABLE!$I$4:$I$105,MATCH(E904,PUA_TABLE!$C$4:$C$105,1))/1000,0))</f>
        <v>0</v>
      </c>
      <c r="AB904" s="10" t="n">
        <f aca="false">IF(A904="","",IFERROR(L904+AA904,0))</f>
        <v>46653.1906519327</v>
      </c>
      <c r="AC904" s="10" t="n">
        <f aca="false">IF(A904="","",IF(Inputs!$B$22="Premium Offset",MIN(Inputs!$B$25,Q904+T904),0))</f>
        <v>0</v>
      </c>
    </row>
    <row r="905" customFormat="false" ht="15" hidden="false" customHeight="false" outlineLevel="0" collapsed="false">
      <c r="A905" s="1" t="n">
        <f aca="false">IF(A904="","",IF(INT((C904+1)/12)+Inputs!$B$7&gt;MAX(MORTALITY!$A:$A),"",Inputs!$B$4))</f>
        <v>34</v>
      </c>
      <c r="B905" s="3" t="n">
        <f aca="false">IF(A905="","",EOMONTH(B904,1))</f>
        <v>49217</v>
      </c>
      <c r="C905" s="1" t="n">
        <f aca="false">IF(A905="","",C904+1)</f>
        <v>903</v>
      </c>
      <c r="D905" s="1" t="n">
        <f aca="false">IF(A905="","",INT(C905/12))</f>
        <v>75</v>
      </c>
      <c r="E905" s="1" t="n">
        <f aca="false">IF(A905="","",D905+Inputs!$B$7)</f>
        <v>91</v>
      </c>
      <c r="F905" s="3" t="n">
        <f aca="false">IF(A905="","",DATE(YEAR(B$2)+D905,MONTH(B$2),DAY(B$2)))</f>
        <v>49100</v>
      </c>
      <c r="G905" s="3" t="n">
        <f aca="false">IF(A905="","",DATE(YEAR(F905)+1,MONTH(F905),DAY(F905)))</f>
        <v>49465</v>
      </c>
      <c r="H905" s="10" t="n">
        <f aca="false">IF(A905="","",IF(G905&gt;F905,(B905-F905)/(G905-F905),0))</f>
        <v>0.320547945205479</v>
      </c>
      <c r="I905" s="10" t="n">
        <f aca="false">IF(A905="","",IFERROR(INDEX(CV_RATES!$I:$I,MATCH(D905,CV_RATES!$C:$C,0)),0))</f>
        <v>932.102604222032</v>
      </c>
      <c r="J905" s="10" t="n">
        <f aca="false">IF(A905="","",IFERROR(IF(E905=MAX(MORTALITY!$A:$A),1000,INDEX(CV_RATES!$J:$J,MATCH(D905,CV_RATES!$C:$C,0))),0))</f>
        <v>936.135261900959</v>
      </c>
      <c r="K905" s="10" t="n">
        <f aca="false">IF(A905="","",IFERROR(I905+H905*(J905-I905),0))</f>
        <v>933.395264354729</v>
      </c>
      <c r="L905" s="10" t="n">
        <f aca="false">IF(A905="","",IFERROR(K905*Inputs!$B$9,0))</f>
        <v>46669.7632177365</v>
      </c>
      <c r="M905" s="10" t="n">
        <f aca="false">IF(A905="","",IFERROR(K905*Inputs!$B$10,0))</f>
        <v>149340.442110964</v>
      </c>
      <c r="N905" s="10" t="n">
        <f aca="false">IF(A905="","",Z904)</f>
        <v>0</v>
      </c>
      <c r="O905" s="6" t="n">
        <f aca="false">IF(A905="","",Inputs!$B$18+N905)</f>
        <v>50000</v>
      </c>
      <c r="P905" s="5" t="n">
        <f aca="false">IF(A905="","",VLOOKUP(D905,DIvidend_Assumption!$A$3:$CX$103,($E$2+2),0)/12)</f>
        <v>0</v>
      </c>
      <c r="Q905" s="10" t="n">
        <f aca="false">IF(A905="","",IFERROR(AB904*P905,""))</f>
        <v>0</v>
      </c>
      <c r="R905" s="10" t="n">
        <f aca="false">IF(A905="","",IFERROR(IF(Inputs!$B$22="Accumulate",T905+Q905,IF(Inputs!$B$22="Premium Offset",MAX(0,T905+Q905-Inputs!$B$25),T905)),""))</f>
        <v>0</v>
      </c>
      <c r="S905" s="10" t="n">
        <f aca="false">IF(A905="","",R904)</f>
        <v>0</v>
      </c>
      <c r="T905" s="10" t="n">
        <f aca="false">IF(A905="","",IFERROR(S905*(1+Inputs!$B$23/12),""))</f>
        <v>0</v>
      </c>
      <c r="U905" s="6" t="n">
        <f aca="false">IF(A905="","",IF(D905&lt;=Inputs!$B$8,IF(Inputs!$B$22="Premium Offset",MAX(0,Inputs!$B$25-(Q905+T905)),Inputs!$B$25),0))</f>
        <v>0</v>
      </c>
      <c r="V905" s="10" t="n">
        <f aca="false">IF(A905="","",IF(Inputs!$B$22="Cash",Q905,0))</f>
        <v>0</v>
      </c>
      <c r="W905" s="10" t="n">
        <f aca="false">IF(A905="","",IF(Inputs!$B$22="PUA",Q905,0))</f>
        <v>0</v>
      </c>
      <c r="X905" s="12" t="n">
        <f aca="false">IF(A905="","",IFERROR(INDEX(PUA_TABLE!$D$4:$D$105,MATCH(E905,PUA_TABLE!$C$4:$C$105,1)),0))</f>
        <v>0.932102604222032</v>
      </c>
      <c r="Y905" s="10" t="n">
        <f aca="false">IF(A905="","",IF(W905&gt;0,IF(X905&gt;0,W905/X905,0),0))</f>
        <v>0</v>
      </c>
      <c r="Z905" s="10" t="n">
        <f aca="false">IF(A905="","",N905+Y905)</f>
        <v>0</v>
      </c>
      <c r="AA905" s="10" t="n">
        <f aca="false">IF(A905="","",IFERROR(Z905*INDEX(PUA_TABLE!$I$4:$I$105,MATCH(E905,PUA_TABLE!$C$4:$C$105,1))/1000,0))</f>
        <v>0</v>
      </c>
      <c r="AB905" s="10" t="n">
        <f aca="false">IF(A905="","",IFERROR(L905+AA905,0))</f>
        <v>46669.7632177365</v>
      </c>
      <c r="AC905" s="10" t="n">
        <f aca="false">IF(A905="","",IF(Inputs!$B$22="Premium Offset",MIN(Inputs!$B$25,Q905+T905),0))</f>
        <v>0</v>
      </c>
    </row>
    <row r="906" customFormat="false" ht="15" hidden="false" customHeight="false" outlineLevel="0" collapsed="false">
      <c r="A906" s="1" t="n">
        <f aca="false">IF(A905="","",IF(INT((C905+1)/12)+Inputs!$B$7&gt;MAX(MORTALITY!$A:$A),"",Inputs!$B$4))</f>
        <v>34</v>
      </c>
      <c r="B906" s="3" t="n">
        <f aca="false">IF(A906="","",EOMONTH(B905,1))</f>
        <v>49248</v>
      </c>
      <c r="C906" s="1" t="n">
        <f aca="false">IF(A906="","",C905+1)</f>
        <v>904</v>
      </c>
      <c r="D906" s="1" t="n">
        <f aca="false">IF(A906="","",INT(C906/12))</f>
        <v>75</v>
      </c>
      <c r="E906" s="1" t="n">
        <f aca="false">IF(A906="","",D906+Inputs!$B$7)</f>
        <v>91</v>
      </c>
      <c r="F906" s="3" t="n">
        <f aca="false">IF(A906="","",DATE(YEAR(B$2)+D906,MONTH(B$2),DAY(B$2)))</f>
        <v>49100</v>
      </c>
      <c r="G906" s="3" t="n">
        <f aca="false">IF(A906="","",DATE(YEAR(F906)+1,MONTH(F906),DAY(F906)))</f>
        <v>49465</v>
      </c>
      <c r="H906" s="10" t="n">
        <f aca="false">IF(A906="","",IF(G906&gt;F906,(B906-F906)/(G906-F906),0))</f>
        <v>0.405479452054795</v>
      </c>
      <c r="I906" s="10" t="n">
        <f aca="false">IF(A906="","",IFERROR(INDEX(CV_RATES!$I:$I,MATCH(D906,CV_RATES!$C:$C,0)),0))</f>
        <v>932.102604222032</v>
      </c>
      <c r="J906" s="10" t="n">
        <f aca="false">IF(A906="","",IFERROR(IF(E906=MAX(MORTALITY!$A:$A),1000,INDEX(CV_RATES!$J:$J,MATCH(D906,CV_RATES!$C:$C,0))),0))</f>
        <v>936.135261900959</v>
      </c>
      <c r="K906" s="10" t="n">
        <f aca="false">IF(A906="","",IFERROR(I906+H906*(J906-I906),0))</f>
        <v>933.737764048008</v>
      </c>
      <c r="L906" s="10" t="n">
        <f aca="false">IF(A906="","",IFERROR(K906*Inputs!$B$9,0))</f>
        <v>46686.8882024004</v>
      </c>
      <c r="M906" s="10" t="n">
        <f aca="false">IF(A906="","",IFERROR(K906*Inputs!$B$10,0))</f>
        <v>149395.241034389</v>
      </c>
      <c r="N906" s="10" t="n">
        <f aca="false">IF(A906="","",Z905)</f>
        <v>0</v>
      </c>
      <c r="O906" s="6" t="n">
        <f aca="false">IF(A906="","",Inputs!$B$18+N906)</f>
        <v>50000</v>
      </c>
      <c r="P906" s="5" t="n">
        <f aca="false">IF(A906="","",VLOOKUP(D906,DIvidend_Assumption!$A$3:$CX$103,($E$2+2),0)/12)</f>
        <v>0</v>
      </c>
      <c r="Q906" s="10" t="n">
        <f aca="false">IF(A906="","",IFERROR(AB905*P906,""))</f>
        <v>0</v>
      </c>
      <c r="R906" s="10" t="n">
        <f aca="false">IF(A906="","",IFERROR(IF(Inputs!$B$22="Accumulate",T906+Q906,IF(Inputs!$B$22="Premium Offset",MAX(0,T906+Q906-Inputs!$B$25),T906)),""))</f>
        <v>0</v>
      </c>
      <c r="S906" s="10" t="n">
        <f aca="false">IF(A906="","",R905)</f>
        <v>0</v>
      </c>
      <c r="T906" s="10" t="n">
        <f aca="false">IF(A906="","",IFERROR(S906*(1+Inputs!$B$23/12),""))</f>
        <v>0</v>
      </c>
      <c r="U906" s="6" t="n">
        <f aca="false">IF(A906="","",IF(D906&lt;=Inputs!$B$8,IF(Inputs!$B$22="Premium Offset",MAX(0,Inputs!$B$25-(Q906+T906)),Inputs!$B$25),0))</f>
        <v>0</v>
      </c>
      <c r="V906" s="10" t="n">
        <f aca="false">IF(A906="","",IF(Inputs!$B$22="Cash",Q906,0))</f>
        <v>0</v>
      </c>
      <c r="W906" s="10" t="n">
        <f aca="false">IF(A906="","",IF(Inputs!$B$22="PUA",Q906,0))</f>
        <v>0</v>
      </c>
      <c r="X906" s="12" t="n">
        <f aca="false">IF(A906="","",IFERROR(INDEX(PUA_TABLE!$D$4:$D$105,MATCH(E906,PUA_TABLE!$C$4:$C$105,1)),0))</f>
        <v>0.932102604222032</v>
      </c>
      <c r="Y906" s="10" t="n">
        <f aca="false">IF(A906="","",IF(W906&gt;0,IF(X906&gt;0,W906/X906,0),0))</f>
        <v>0</v>
      </c>
      <c r="Z906" s="10" t="n">
        <f aca="false">IF(A906="","",N906+Y906)</f>
        <v>0</v>
      </c>
      <c r="AA906" s="10" t="n">
        <f aca="false">IF(A906="","",IFERROR(Z906*INDEX(PUA_TABLE!$I$4:$I$105,MATCH(E906,PUA_TABLE!$C$4:$C$105,1))/1000,0))</f>
        <v>0</v>
      </c>
      <c r="AB906" s="10" t="n">
        <f aca="false">IF(A906="","",IFERROR(L906+AA906,0))</f>
        <v>46686.8882024004</v>
      </c>
      <c r="AC906" s="10" t="n">
        <f aca="false">IF(A906="","",IF(Inputs!$B$22="Premium Offset",MIN(Inputs!$B$25,Q906+T906),0))</f>
        <v>0</v>
      </c>
    </row>
    <row r="907" customFormat="false" ht="15" hidden="false" customHeight="false" outlineLevel="0" collapsed="false">
      <c r="A907" s="1" t="n">
        <f aca="false">IF(A906="","",IF(INT((C906+1)/12)+Inputs!$B$7&gt;MAX(MORTALITY!$A:$A),"",Inputs!$B$4))</f>
        <v>34</v>
      </c>
      <c r="B907" s="3" t="n">
        <f aca="false">IF(A907="","",EOMONTH(B906,1))</f>
        <v>49278</v>
      </c>
      <c r="C907" s="1" t="n">
        <f aca="false">IF(A907="","",C906+1)</f>
        <v>905</v>
      </c>
      <c r="D907" s="1" t="n">
        <f aca="false">IF(A907="","",INT(C907/12))</f>
        <v>75</v>
      </c>
      <c r="E907" s="1" t="n">
        <f aca="false">IF(A907="","",D907+Inputs!$B$7)</f>
        <v>91</v>
      </c>
      <c r="F907" s="3" t="n">
        <f aca="false">IF(A907="","",DATE(YEAR(B$2)+D907,MONTH(B$2),DAY(B$2)))</f>
        <v>49100</v>
      </c>
      <c r="G907" s="3" t="n">
        <f aca="false">IF(A907="","",DATE(YEAR(F907)+1,MONTH(F907),DAY(F907)))</f>
        <v>49465</v>
      </c>
      <c r="H907" s="10" t="n">
        <f aca="false">IF(A907="","",IF(G907&gt;F907,(B907-F907)/(G907-F907),0))</f>
        <v>0.487671232876712</v>
      </c>
      <c r="I907" s="10" t="n">
        <f aca="false">IF(A907="","",IFERROR(INDEX(CV_RATES!$I:$I,MATCH(D907,CV_RATES!$C:$C,0)),0))</f>
        <v>932.102604222032</v>
      </c>
      <c r="J907" s="10" t="n">
        <f aca="false">IF(A907="","",IFERROR(IF(E907=MAX(MORTALITY!$A:$A),1000,INDEX(CV_RATES!$J:$J,MATCH(D907,CV_RATES!$C:$C,0))),0))</f>
        <v>936.135261900959</v>
      </c>
      <c r="K907" s="10" t="n">
        <f aca="false">IF(A907="","",IFERROR(I907+H907*(J907-I907),0))</f>
        <v>934.069215364084</v>
      </c>
      <c r="L907" s="10" t="n">
        <f aca="false">IF(A907="","",IFERROR(K907*Inputs!$B$9,0))</f>
        <v>46703.4607682042</v>
      </c>
      <c r="M907" s="10" t="n">
        <f aca="false">IF(A907="","",IFERROR(K907*Inputs!$B$10,0))</f>
        <v>149448.272250607</v>
      </c>
      <c r="N907" s="10" t="n">
        <f aca="false">IF(A907="","",Z906)</f>
        <v>0</v>
      </c>
      <c r="O907" s="6" t="n">
        <f aca="false">IF(A907="","",Inputs!$B$18+N907)</f>
        <v>50000</v>
      </c>
      <c r="P907" s="5" t="n">
        <f aca="false">IF(A907="","",VLOOKUP(D907,DIvidend_Assumption!$A$3:$CX$103,($E$2+2),0)/12)</f>
        <v>0</v>
      </c>
      <c r="Q907" s="10" t="n">
        <f aca="false">IF(A907="","",IFERROR(AB906*P907,""))</f>
        <v>0</v>
      </c>
      <c r="R907" s="10" t="n">
        <f aca="false">IF(A907="","",IFERROR(IF(Inputs!$B$22="Accumulate",T907+Q907,IF(Inputs!$B$22="Premium Offset",MAX(0,T907+Q907-Inputs!$B$25),T907)),""))</f>
        <v>0</v>
      </c>
      <c r="S907" s="10" t="n">
        <f aca="false">IF(A907="","",R906)</f>
        <v>0</v>
      </c>
      <c r="T907" s="10" t="n">
        <f aca="false">IF(A907="","",IFERROR(S907*(1+Inputs!$B$23/12),""))</f>
        <v>0</v>
      </c>
      <c r="U907" s="6" t="n">
        <f aca="false">IF(A907="","",IF(D907&lt;=Inputs!$B$8,IF(Inputs!$B$22="Premium Offset",MAX(0,Inputs!$B$25-(Q907+T907)),Inputs!$B$25),0))</f>
        <v>0</v>
      </c>
      <c r="V907" s="10" t="n">
        <f aca="false">IF(A907="","",IF(Inputs!$B$22="Cash",Q907,0))</f>
        <v>0</v>
      </c>
      <c r="W907" s="10" t="n">
        <f aca="false">IF(A907="","",IF(Inputs!$B$22="PUA",Q907,0))</f>
        <v>0</v>
      </c>
      <c r="X907" s="12" t="n">
        <f aca="false">IF(A907="","",IFERROR(INDEX(PUA_TABLE!$D$4:$D$105,MATCH(E907,PUA_TABLE!$C$4:$C$105,1)),0))</f>
        <v>0.932102604222032</v>
      </c>
      <c r="Y907" s="10" t="n">
        <f aca="false">IF(A907="","",IF(W907&gt;0,IF(X907&gt;0,W907/X907,0),0))</f>
        <v>0</v>
      </c>
      <c r="Z907" s="10" t="n">
        <f aca="false">IF(A907="","",N907+Y907)</f>
        <v>0</v>
      </c>
      <c r="AA907" s="10" t="n">
        <f aca="false">IF(A907="","",IFERROR(Z907*INDEX(PUA_TABLE!$I$4:$I$105,MATCH(E907,PUA_TABLE!$C$4:$C$105,1))/1000,0))</f>
        <v>0</v>
      </c>
      <c r="AB907" s="10" t="n">
        <f aca="false">IF(A907="","",IFERROR(L907+AA907,0))</f>
        <v>46703.4607682042</v>
      </c>
      <c r="AC907" s="10" t="n">
        <f aca="false">IF(A907="","",IF(Inputs!$B$22="Premium Offset",MIN(Inputs!$B$25,Q907+T907),0))</f>
        <v>0</v>
      </c>
    </row>
    <row r="908" customFormat="false" ht="15" hidden="false" customHeight="false" outlineLevel="0" collapsed="false">
      <c r="A908" s="1" t="n">
        <f aca="false">IF(A907="","",IF(INT((C907+1)/12)+Inputs!$B$7&gt;MAX(MORTALITY!$A:$A),"",Inputs!$B$4))</f>
        <v>34</v>
      </c>
      <c r="B908" s="3" t="n">
        <f aca="false">IF(A908="","",EOMONTH(B907,1))</f>
        <v>49309</v>
      </c>
      <c r="C908" s="1" t="n">
        <f aca="false">IF(A908="","",C907+1)</f>
        <v>906</v>
      </c>
      <c r="D908" s="1" t="n">
        <f aca="false">IF(A908="","",INT(C908/12))</f>
        <v>75</v>
      </c>
      <c r="E908" s="1" t="n">
        <f aca="false">IF(A908="","",D908+Inputs!$B$7)</f>
        <v>91</v>
      </c>
      <c r="F908" s="3" t="n">
        <f aca="false">IF(A908="","",DATE(YEAR(B$2)+D908,MONTH(B$2),DAY(B$2)))</f>
        <v>49100</v>
      </c>
      <c r="G908" s="3" t="n">
        <f aca="false">IF(A908="","",DATE(YEAR(F908)+1,MONTH(F908),DAY(F908)))</f>
        <v>49465</v>
      </c>
      <c r="H908" s="10" t="n">
        <f aca="false">IF(A908="","",IF(G908&gt;F908,(B908-F908)/(G908-F908),0))</f>
        <v>0.572602739726027</v>
      </c>
      <c r="I908" s="10" t="n">
        <f aca="false">IF(A908="","",IFERROR(INDEX(CV_RATES!$I:$I,MATCH(D908,CV_RATES!$C:$C,0)),0))</f>
        <v>932.102604222032</v>
      </c>
      <c r="J908" s="10" t="n">
        <f aca="false">IF(A908="","",IFERROR(IF(E908=MAX(MORTALITY!$A:$A),1000,INDEX(CV_RATES!$J:$J,MATCH(D908,CV_RATES!$C:$C,0))),0))</f>
        <v>936.135261900959</v>
      </c>
      <c r="K908" s="10" t="n">
        <f aca="false">IF(A908="","",IFERROR(I908+H908*(J908-I908),0))</f>
        <v>934.411715057363</v>
      </c>
      <c r="L908" s="10" t="n">
        <f aca="false">IF(A908="","",IFERROR(K908*Inputs!$B$9,0))</f>
        <v>46720.5857528682</v>
      </c>
      <c r="M908" s="10" t="n">
        <f aca="false">IF(A908="","",IFERROR(K908*Inputs!$B$10,0))</f>
        <v>149503.071174033</v>
      </c>
      <c r="N908" s="10" t="n">
        <f aca="false">IF(A908="","",Z907)</f>
        <v>0</v>
      </c>
      <c r="O908" s="6" t="n">
        <f aca="false">IF(A908="","",Inputs!$B$18+N908)</f>
        <v>50000</v>
      </c>
      <c r="P908" s="5" t="n">
        <f aca="false">IF(A908="","",VLOOKUP(D908,DIvidend_Assumption!$A$3:$CX$103,($E$2+2),0)/12)</f>
        <v>0</v>
      </c>
      <c r="Q908" s="10" t="n">
        <f aca="false">IF(A908="","",IFERROR(AB907*P908,""))</f>
        <v>0</v>
      </c>
      <c r="R908" s="10" t="n">
        <f aca="false">IF(A908="","",IFERROR(IF(Inputs!$B$22="Accumulate",T908+Q908,IF(Inputs!$B$22="Premium Offset",MAX(0,T908+Q908-Inputs!$B$25),T908)),""))</f>
        <v>0</v>
      </c>
      <c r="S908" s="10" t="n">
        <f aca="false">IF(A908="","",R907)</f>
        <v>0</v>
      </c>
      <c r="T908" s="10" t="n">
        <f aca="false">IF(A908="","",IFERROR(S908*(1+Inputs!$B$23/12),""))</f>
        <v>0</v>
      </c>
      <c r="U908" s="6" t="n">
        <f aca="false">IF(A908="","",IF(D908&lt;=Inputs!$B$8,IF(Inputs!$B$22="Premium Offset",MAX(0,Inputs!$B$25-(Q908+T908)),Inputs!$B$25),0))</f>
        <v>0</v>
      </c>
      <c r="V908" s="10" t="n">
        <f aca="false">IF(A908="","",IF(Inputs!$B$22="Cash",Q908,0))</f>
        <v>0</v>
      </c>
      <c r="W908" s="10" t="n">
        <f aca="false">IF(A908="","",IF(Inputs!$B$22="PUA",Q908,0))</f>
        <v>0</v>
      </c>
      <c r="X908" s="12" t="n">
        <f aca="false">IF(A908="","",IFERROR(INDEX(PUA_TABLE!$D$4:$D$105,MATCH(E908,PUA_TABLE!$C$4:$C$105,1)),0))</f>
        <v>0.932102604222032</v>
      </c>
      <c r="Y908" s="10" t="n">
        <f aca="false">IF(A908="","",IF(W908&gt;0,IF(X908&gt;0,W908/X908,0),0))</f>
        <v>0</v>
      </c>
      <c r="Z908" s="10" t="n">
        <f aca="false">IF(A908="","",N908+Y908)</f>
        <v>0</v>
      </c>
      <c r="AA908" s="10" t="n">
        <f aca="false">IF(A908="","",IFERROR(Z908*INDEX(PUA_TABLE!$I$4:$I$105,MATCH(E908,PUA_TABLE!$C$4:$C$105,1))/1000,0))</f>
        <v>0</v>
      </c>
      <c r="AB908" s="10" t="n">
        <f aca="false">IF(A908="","",IFERROR(L908+AA908,0))</f>
        <v>46720.5857528682</v>
      </c>
      <c r="AC908" s="10" t="n">
        <f aca="false">IF(A908="","",IF(Inputs!$B$22="Premium Offset",MIN(Inputs!$B$25,Q908+T908),0))</f>
        <v>0</v>
      </c>
    </row>
    <row r="909" customFormat="false" ht="15" hidden="false" customHeight="false" outlineLevel="0" collapsed="false">
      <c r="A909" s="1" t="n">
        <f aca="false">IF(A908="","",IF(INT((C908+1)/12)+Inputs!$B$7&gt;MAX(MORTALITY!$A:$A),"",Inputs!$B$4))</f>
        <v>34</v>
      </c>
      <c r="B909" s="3" t="n">
        <f aca="false">IF(A909="","",EOMONTH(B908,1))</f>
        <v>49340</v>
      </c>
      <c r="C909" s="1" t="n">
        <f aca="false">IF(A909="","",C908+1)</f>
        <v>907</v>
      </c>
      <c r="D909" s="1" t="n">
        <f aca="false">IF(A909="","",INT(C909/12))</f>
        <v>75</v>
      </c>
      <c r="E909" s="1" t="n">
        <f aca="false">IF(A909="","",D909+Inputs!$B$7)</f>
        <v>91</v>
      </c>
      <c r="F909" s="3" t="n">
        <f aca="false">IF(A909="","",DATE(YEAR(B$2)+D909,MONTH(B$2),DAY(B$2)))</f>
        <v>49100</v>
      </c>
      <c r="G909" s="3" t="n">
        <f aca="false">IF(A909="","",DATE(YEAR(F909)+1,MONTH(F909),DAY(F909)))</f>
        <v>49465</v>
      </c>
      <c r="H909" s="10" t="n">
        <f aca="false">IF(A909="","",IF(G909&gt;F909,(B909-F909)/(G909-F909),0))</f>
        <v>0.657534246575342</v>
      </c>
      <c r="I909" s="10" t="n">
        <f aca="false">IF(A909="","",IFERROR(INDEX(CV_RATES!$I:$I,MATCH(D909,CV_RATES!$C:$C,0)),0))</f>
        <v>932.102604222032</v>
      </c>
      <c r="J909" s="10" t="n">
        <f aca="false">IF(A909="","",IFERROR(IF(E909=MAX(MORTALITY!$A:$A),1000,INDEX(CV_RATES!$J:$J,MATCH(D909,CV_RATES!$C:$C,0))),0))</f>
        <v>936.135261900959</v>
      </c>
      <c r="K909" s="10" t="n">
        <f aca="false">IF(A909="","",IFERROR(I909+H909*(J909-I909),0))</f>
        <v>934.754214750642</v>
      </c>
      <c r="L909" s="10" t="n">
        <f aca="false">IF(A909="","",IFERROR(K909*Inputs!$B$9,0))</f>
        <v>46737.7107375321</v>
      </c>
      <c r="M909" s="10" t="n">
        <f aca="false">IF(A909="","",IFERROR(K909*Inputs!$B$10,0))</f>
        <v>149557.870097458</v>
      </c>
      <c r="N909" s="10" t="n">
        <f aca="false">IF(A909="","",Z908)</f>
        <v>0</v>
      </c>
      <c r="O909" s="6" t="n">
        <f aca="false">IF(A909="","",Inputs!$B$18+N909)</f>
        <v>50000</v>
      </c>
      <c r="P909" s="5" t="n">
        <f aca="false">IF(A909="","",VLOOKUP(D909,DIvidend_Assumption!$A$3:$CX$103,($E$2+2),0)/12)</f>
        <v>0</v>
      </c>
      <c r="Q909" s="10" t="n">
        <f aca="false">IF(A909="","",IFERROR(AB908*P909,""))</f>
        <v>0</v>
      </c>
      <c r="R909" s="10" t="n">
        <f aca="false">IF(A909="","",IFERROR(IF(Inputs!$B$22="Accumulate",T909+Q909,IF(Inputs!$B$22="Premium Offset",MAX(0,T909+Q909-Inputs!$B$25),T909)),""))</f>
        <v>0</v>
      </c>
      <c r="S909" s="10" t="n">
        <f aca="false">IF(A909="","",R908)</f>
        <v>0</v>
      </c>
      <c r="T909" s="10" t="n">
        <f aca="false">IF(A909="","",IFERROR(S909*(1+Inputs!$B$23/12),""))</f>
        <v>0</v>
      </c>
      <c r="U909" s="6" t="n">
        <f aca="false">IF(A909="","",IF(D909&lt;=Inputs!$B$8,IF(Inputs!$B$22="Premium Offset",MAX(0,Inputs!$B$25-(Q909+T909)),Inputs!$B$25),0))</f>
        <v>0</v>
      </c>
      <c r="V909" s="10" t="n">
        <f aca="false">IF(A909="","",IF(Inputs!$B$22="Cash",Q909,0))</f>
        <v>0</v>
      </c>
      <c r="W909" s="10" t="n">
        <f aca="false">IF(A909="","",IF(Inputs!$B$22="PUA",Q909,0))</f>
        <v>0</v>
      </c>
      <c r="X909" s="12" t="n">
        <f aca="false">IF(A909="","",IFERROR(INDEX(PUA_TABLE!$D$4:$D$105,MATCH(E909,PUA_TABLE!$C$4:$C$105,1)),0))</f>
        <v>0.932102604222032</v>
      </c>
      <c r="Y909" s="10" t="n">
        <f aca="false">IF(A909="","",IF(W909&gt;0,IF(X909&gt;0,W909/X909,0),0))</f>
        <v>0</v>
      </c>
      <c r="Z909" s="10" t="n">
        <f aca="false">IF(A909="","",N909+Y909)</f>
        <v>0</v>
      </c>
      <c r="AA909" s="10" t="n">
        <f aca="false">IF(A909="","",IFERROR(Z909*INDEX(PUA_TABLE!$I$4:$I$105,MATCH(E909,PUA_TABLE!$C$4:$C$105,1))/1000,0))</f>
        <v>0</v>
      </c>
      <c r="AB909" s="10" t="n">
        <f aca="false">IF(A909="","",IFERROR(L909+AA909,0))</f>
        <v>46737.7107375321</v>
      </c>
      <c r="AC909" s="10" t="n">
        <f aca="false">IF(A909="","",IF(Inputs!$B$22="Premium Offset",MIN(Inputs!$B$25,Q909+T909),0))</f>
        <v>0</v>
      </c>
    </row>
    <row r="910" customFormat="false" ht="15" hidden="false" customHeight="false" outlineLevel="0" collapsed="false">
      <c r="A910" s="1" t="n">
        <f aca="false">IF(A909="","",IF(INT((C909+1)/12)+Inputs!$B$7&gt;MAX(MORTALITY!$A:$A),"",Inputs!$B$4))</f>
        <v>34</v>
      </c>
      <c r="B910" s="3" t="n">
        <f aca="false">IF(A910="","",EOMONTH(B909,1))</f>
        <v>49368</v>
      </c>
      <c r="C910" s="1" t="n">
        <f aca="false">IF(A910="","",C909+1)</f>
        <v>908</v>
      </c>
      <c r="D910" s="1" t="n">
        <f aca="false">IF(A910="","",INT(C910/12))</f>
        <v>75</v>
      </c>
      <c r="E910" s="1" t="n">
        <f aca="false">IF(A910="","",D910+Inputs!$B$7)</f>
        <v>91</v>
      </c>
      <c r="F910" s="3" t="n">
        <f aca="false">IF(A910="","",DATE(YEAR(B$2)+D910,MONTH(B$2),DAY(B$2)))</f>
        <v>49100</v>
      </c>
      <c r="G910" s="3" t="n">
        <f aca="false">IF(A910="","",DATE(YEAR(F910)+1,MONTH(F910),DAY(F910)))</f>
        <v>49465</v>
      </c>
      <c r="H910" s="10" t="n">
        <f aca="false">IF(A910="","",IF(G910&gt;F910,(B910-F910)/(G910-F910),0))</f>
        <v>0.734246575342466</v>
      </c>
      <c r="I910" s="10" t="n">
        <f aca="false">IF(A910="","",IFERROR(INDEX(CV_RATES!$I:$I,MATCH(D910,CV_RATES!$C:$C,0)),0))</f>
        <v>932.102604222032</v>
      </c>
      <c r="J910" s="10" t="n">
        <f aca="false">IF(A910="","",IFERROR(IF(E910=MAX(MORTALITY!$A:$A),1000,INDEX(CV_RATES!$J:$J,MATCH(D910,CV_RATES!$C:$C,0))),0))</f>
        <v>936.135261900959</v>
      </c>
      <c r="K910" s="10" t="n">
        <f aca="false">IF(A910="","",IFERROR(I910+H910*(J910-I910),0))</f>
        <v>935.063569312313</v>
      </c>
      <c r="L910" s="10" t="n">
        <f aca="false">IF(A910="","",IFERROR(K910*Inputs!$B$9,0))</f>
        <v>46753.1784656157</v>
      </c>
      <c r="M910" s="10" t="n">
        <f aca="false">IF(A910="","",IFERROR(K910*Inputs!$B$10,0))</f>
        <v>149607.365899262</v>
      </c>
      <c r="N910" s="10" t="n">
        <f aca="false">IF(A910="","",Z909)</f>
        <v>0</v>
      </c>
      <c r="O910" s="6" t="n">
        <f aca="false">IF(A910="","",Inputs!$B$18+N910)</f>
        <v>50000</v>
      </c>
      <c r="P910" s="5" t="n">
        <f aca="false">IF(A910="","",VLOOKUP(D910,DIvidend_Assumption!$A$3:$CX$103,($E$2+2),0)/12)</f>
        <v>0</v>
      </c>
      <c r="Q910" s="10" t="n">
        <f aca="false">IF(A910="","",IFERROR(AB909*P910,""))</f>
        <v>0</v>
      </c>
      <c r="R910" s="10" t="n">
        <f aca="false">IF(A910="","",IFERROR(IF(Inputs!$B$22="Accumulate",T910+Q910,IF(Inputs!$B$22="Premium Offset",MAX(0,T910+Q910-Inputs!$B$25),T910)),""))</f>
        <v>0</v>
      </c>
      <c r="S910" s="10" t="n">
        <f aca="false">IF(A910="","",R909)</f>
        <v>0</v>
      </c>
      <c r="T910" s="10" t="n">
        <f aca="false">IF(A910="","",IFERROR(S910*(1+Inputs!$B$23/12),""))</f>
        <v>0</v>
      </c>
      <c r="U910" s="6" t="n">
        <f aca="false">IF(A910="","",IF(D910&lt;=Inputs!$B$8,IF(Inputs!$B$22="Premium Offset",MAX(0,Inputs!$B$25-(Q910+T910)),Inputs!$B$25),0))</f>
        <v>0</v>
      </c>
      <c r="V910" s="10" t="n">
        <f aca="false">IF(A910="","",IF(Inputs!$B$22="Cash",Q910,0))</f>
        <v>0</v>
      </c>
      <c r="W910" s="10" t="n">
        <f aca="false">IF(A910="","",IF(Inputs!$B$22="PUA",Q910,0))</f>
        <v>0</v>
      </c>
      <c r="X910" s="12" t="n">
        <f aca="false">IF(A910="","",IFERROR(INDEX(PUA_TABLE!$D$4:$D$105,MATCH(E910,PUA_TABLE!$C$4:$C$105,1)),0))</f>
        <v>0.932102604222032</v>
      </c>
      <c r="Y910" s="10" t="n">
        <f aca="false">IF(A910="","",IF(W910&gt;0,IF(X910&gt;0,W910/X910,0),0))</f>
        <v>0</v>
      </c>
      <c r="Z910" s="10" t="n">
        <f aca="false">IF(A910="","",N910+Y910)</f>
        <v>0</v>
      </c>
      <c r="AA910" s="10" t="n">
        <f aca="false">IF(A910="","",IFERROR(Z910*INDEX(PUA_TABLE!$I$4:$I$105,MATCH(E910,PUA_TABLE!$C$4:$C$105,1))/1000,0))</f>
        <v>0</v>
      </c>
      <c r="AB910" s="10" t="n">
        <f aca="false">IF(A910="","",IFERROR(L910+AA910,0))</f>
        <v>46753.1784656157</v>
      </c>
      <c r="AC910" s="10" t="n">
        <f aca="false">IF(A910="","",IF(Inputs!$B$22="Premium Offset",MIN(Inputs!$B$25,Q910+T910),0))</f>
        <v>0</v>
      </c>
    </row>
    <row r="911" customFormat="false" ht="15" hidden="false" customHeight="false" outlineLevel="0" collapsed="false">
      <c r="A911" s="1" t="n">
        <f aca="false">IF(A910="","",IF(INT((C910+1)/12)+Inputs!$B$7&gt;MAX(MORTALITY!$A:$A),"",Inputs!$B$4))</f>
        <v>34</v>
      </c>
      <c r="B911" s="3" t="n">
        <f aca="false">IF(A911="","",EOMONTH(B910,1))</f>
        <v>49399</v>
      </c>
      <c r="C911" s="1" t="n">
        <f aca="false">IF(A911="","",C910+1)</f>
        <v>909</v>
      </c>
      <c r="D911" s="1" t="n">
        <f aca="false">IF(A911="","",INT(C911/12))</f>
        <v>75</v>
      </c>
      <c r="E911" s="1" t="n">
        <f aca="false">IF(A911="","",D911+Inputs!$B$7)</f>
        <v>91</v>
      </c>
      <c r="F911" s="3" t="n">
        <f aca="false">IF(A911="","",DATE(YEAR(B$2)+D911,MONTH(B$2),DAY(B$2)))</f>
        <v>49100</v>
      </c>
      <c r="G911" s="3" t="n">
        <f aca="false">IF(A911="","",DATE(YEAR(F911)+1,MONTH(F911),DAY(F911)))</f>
        <v>49465</v>
      </c>
      <c r="H911" s="10" t="n">
        <f aca="false">IF(A911="","",IF(G911&gt;F911,(B911-F911)/(G911-F911),0))</f>
        <v>0.819178082191781</v>
      </c>
      <c r="I911" s="10" t="n">
        <f aca="false">IF(A911="","",IFERROR(INDEX(CV_RATES!$I:$I,MATCH(D911,CV_RATES!$C:$C,0)),0))</f>
        <v>932.102604222032</v>
      </c>
      <c r="J911" s="10" t="n">
        <f aca="false">IF(A911="","",IFERROR(IF(E911=MAX(MORTALITY!$A:$A),1000,INDEX(CV_RATES!$J:$J,MATCH(D911,CV_RATES!$C:$C,0))),0))</f>
        <v>936.135261900959</v>
      </c>
      <c r="K911" s="10" t="n">
        <f aca="false">IF(A911="","",IFERROR(I911+H911*(J911-I911),0))</f>
        <v>935.406069005592</v>
      </c>
      <c r="L911" s="10" t="n">
        <f aca="false">IF(A911="","",IFERROR(K911*Inputs!$B$9,0))</f>
        <v>46770.3034502796</v>
      </c>
      <c r="M911" s="10" t="n">
        <f aca="false">IF(A911="","",IFERROR(K911*Inputs!$B$10,0))</f>
        <v>149662.164822688</v>
      </c>
      <c r="N911" s="10" t="n">
        <f aca="false">IF(A911="","",Z910)</f>
        <v>0</v>
      </c>
      <c r="O911" s="6" t="n">
        <f aca="false">IF(A911="","",Inputs!$B$18+N911)</f>
        <v>50000</v>
      </c>
      <c r="P911" s="5" t="n">
        <f aca="false">IF(A911="","",VLOOKUP(D911,DIvidend_Assumption!$A$3:$CX$103,($E$2+2),0)/12)</f>
        <v>0</v>
      </c>
      <c r="Q911" s="10" t="n">
        <f aca="false">IF(A911="","",IFERROR(AB910*P911,""))</f>
        <v>0</v>
      </c>
      <c r="R911" s="10" t="n">
        <f aca="false">IF(A911="","",IFERROR(IF(Inputs!$B$22="Accumulate",T911+Q911,IF(Inputs!$B$22="Premium Offset",MAX(0,T911+Q911-Inputs!$B$25),T911)),""))</f>
        <v>0</v>
      </c>
      <c r="S911" s="10" t="n">
        <f aca="false">IF(A911="","",R910)</f>
        <v>0</v>
      </c>
      <c r="T911" s="10" t="n">
        <f aca="false">IF(A911="","",IFERROR(S911*(1+Inputs!$B$23/12),""))</f>
        <v>0</v>
      </c>
      <c r="U911" s="6" t="n">
        <f aca="false">IF(A911="","",IF(D911&lt;=Inputs!$B$8,IF(Inputs!$B$22="Premium Offset",MAX(0,Inputs!$B$25-(Q911+T911)),Inputs!$B$25),0))</f>
        <v>0</v>
      </c>
      <c r="V911" s="10" t="n">
        <f aca="false">IF(A911="","",IF(Inputs!$B$22="Cash",Q911,0))</f>
        <v>0</v>
      </c>
      <c r="W911" s="10" t="n">
        <f aca="false">IF(A911="","",IF(Inputs!$B$22="PUA",Q911,0))</f>
        <v>0</v>
      </c>
      <c r="X911" s="12" t="n">
        <f aca="false">IF(A911="","",IFERROR(INDEX(PUA_TABLE!$D$4:$D$105,MATCH(E911,PUA_TABLE!$C$4:$C$105,1)),0))</f>
        <v>0.932102604222032</v>
      </c>
      <c r="Y911" s="10" t="n">
        <f aca="false">IF(A911="","",IF(W911&gt;0,IF(X911&gt;0,W911/X911,0),0))</f>
        <v>0</v>
      </c>
      <c r="Z911" s="10" t="n">
        <f aca="false">IF(A911="","",N911+Y911)</f>
        <v>0</v>
      </c>
      <c r="AA911" s="10" t="n">
        <f aca="false">IF(A911="","",IFERROR(Z911*INDEX(PUA_TABLE!$I$4:$I$105,MATCH(E911,PUA_TABLE!$C$4:$C$105,1))/1000,0))</f>
        <v>0</v>
      </c>
      <c r="AB911" s="10" t="n">
        <f aca="false">IF(A911="","",IFERROR(L911+AA911,0))</f>
        <v>46770.3034502796</v>
      </c>
      <c r="AC911" s="10" t="n">
        <f aca="false">IF(A911="","",IF(Inputs!$B$22="Premium Offset",MIN(Inputs!$B$25,Q911+T911),0))</f>
        <v>0</v>
      </c>
    </row>
    <row r="912" customFormat="false" ht="15" hidden="false" customHeight="false" outlineLevel="0" collapsed="false">
      <c r="A912" s="1" t="n">
        <f aca="false">IF(A911="","",IF(INT((C911+1)/12)+Inputs!$B$7&gt;MAX(MORTALITY!$A:$A),"",Inputs!$B$4))</f>
        <v>34</v>
      </c>
      <c r="B912" s="3" t="n">
        <f aca="false">IF(A912="","",EOMONTH(B911,1))</f>
        <v>49429</v>
      </c>
      <c r="C912" s="1" t="n">
        <f aca="false">IF(A912="","",C911+1)</f>
        <v>910</v>
      </c>
      <c r="D912" s="1" t="n">
        <f aca="false">IF(A912="","",INT(C912/12))</f>
        <v>75</v>
      </c>
      <c r="E912" s="1" t="n">
        <f aca="false">IF(A912="","",D912+Inputs!$B$7)</f>
        <v>91</v>
      </c>
      <c r="F912" s="3" t="n">
        <f aca="false">IF(A912="","",DATE(YEAR(B$2)+D912,MONTH(B$2),DAY(B$2)))</f>
        <v>49100</v>
      </c>
      <c r="G912" s="3" t="n">
        <f aca="false">IF(A912="","",DATE(YEAR(F912)+1,MONTH(F912),DAY(F912)))</f>
        <v>49465</v>
      </c>
      <c r="H912" s="10" t="n">
        <f aca="false">IF(A912="","",IF(G912&gt;F912,(B912-F912)/(G912-F912),0))</f>
        <v>0.901369863013699</v>
      </c>
      <c r="I912" s="10" t="n">
        <f aca="false">IF(A912="","",IFERROR(INDEX(CV_RATES!$I:$I,MATCH(D912,CV_RATES!$C:$C,0)),0))</f>
        <v>932.102604222032</v>
      </c>
      <c r="J912" s="10" t="n">
        <f aca="false">IF(A912="","",IFERROR(IF(E912=MAX(MORTALITY!$A:$A),1000,INDEX(CV_RATES!$J:$J,MATCH(D912,CV_RATES!$C:$C,0))),0))</f>
        <v>936.135261900959</v>
      </c>
      <c r="K912" s="10" t="n">
        <f aca="false">IF(A912="","",IFERROR(I912+H912*(J912-I912),0))</f>
        <v>935.737520321668</v>
      </c>
      <c r="L912" s="10" t="n">
        <f aca="false">IF(A912="","",IFERROR(K912*Inputs!$B$9,0))</f>
        <v>46786.8760160834</v>
      </c>
      <c r="M912" s="10" t="n">
        <f aca="false">IF(A912="","",IFERROR(K912*Inputs!$B$10,0))</f>
        <v>149715.196038906</v>
      </c>
      <c r="N912" s="10" t="n">
        <f aca="false">IF(A912="","",Z911)</f>
        <v>0</v>
      </c>
      <c r="O912" s="6" t="n">
        <f aca="false">IF(A912="","",Inputs!$B$18+N912)</f>
        <v>50000</v>
      </c>
      <c r="P912" s="5" t="n">
        <f aca="false">IF(A912="","",VLOOKUP(D912,DIvidend_Assumption!$A$3:$CX$103,($E$2+2),0)/12)</f>
        <v>0</v>
      </c>
      <c r="Q912" s="10" t="n">
        <f aca="false">IF(A912="","",IFERROR(AB911*P912,""))</f>
        <v>0</v>
      </c>
      <c r="R912" s="10" t="n">
        <f aca="false">IF(A912="","",IFERROR(IF(Inputs!$B$22="Accumulate",T912+Q912,IF(Inputs!$B$22="Premium Offset",MAX(0,T912+Q912-Inputs!$B$25),T912)),""))</f>
        <v>0</v>
      </c>
      <c r="S912" s="10" t="n">
        <f aca="false">IF(A912="","",R911)</f>
        <v>0</v>
      </c>
      <c r="T912" s="10" t="n">
        <f aca="false">IF(A912="","",IFERROR(S912*(1+Inputs!$B$23/12),""))</f>
        <v>0</v>
      </c>
      <c r="U912" s="6" t="n">
        <f aca="false">IF(A912="","",IF(D912&lt;=Inputs!$B$8,IF(Inputs!$B$22="Premium Offset",MAX(0,Inputs!$B$25-(Q912+T912)),Inputs!$B$25),0))</f>
        <v>0</v>
      </c>
      <c r="V912" s="10" t="n">
        <f aca="false">IF(A912="","",IF(Inputs!$B$22="Cash",Q912,0))</f>
        <v>0</v>
      </c>
      <c r="W912" s="10" t="n">
        <f aca="false">IF(A912="","",IF(Inputs!$B$22="PUA",Q912,0))</f>
        <v>0</v>
      </c>
      <c r="X912" s="12" t="n">
        <f aca="false">IF(A912="","",IFERROR(INDEX(PUA_TABLE!$D$4:$D$105,MATCH(E912,PUA_TABLE!$C$4:$C$105,1)),0))</f>
        <v>0.932102604222032</v>
      </c>
      <c r="Y912" s="10" t="n">
        <f aca="false">IF(A912="","",IF(W912&gt;0,IF(X912&gt;0,W912/X912,0),0))</f>
        <v>0</v>
      </c>
      <c r="Z912" s="10" t="n">
        <f aca="false">IF(A912="","",N912+Y912)</f>
        <v>0</v>
      </c>
      <c r="AA912" s="10" t="n">
        <f aca="false">IF(A912="","",IFERROR(Z912*INDEX(PUA_TABLE!$I$4:$I$105,MATCH(E912,PUA_TABLE!$C$4:$C$105,1))/1000,0))</f>
        <v>0</v>
      </c>
      <c r="AB912" s="10" t="n">
        <f aca="false">IF(A912="","",IFERROR(L912+AA912,0))</f>
        <v>46786.8760160834</v>
      </c>
      <c r="AC912" s="10" t="n">
        <f aca="false">IF(A912="","",IF(Inputs!$B$22="Premium Offset",MIN(Inputs!$B$25,Q912+T912),0))</f>
        <v>0</v>
      </c>
    </row>
    <row r="913" customFormat="false" ht="15" hidden="false" customHeight="false" outlineLevel="0" collapsed="false">
      <c r="A913" s="1" t="n">
        <f aca="false">IF(A912="","",IF(INT((C912+1)/12)+Inputs!$B$7&gt;MAX(MORTALITY!$A:$A),"",Inputs!$B$4))</f>
        <v>34</v>
      </c>
      <c r="B913" s="3" t="n">
        <f aca="false">IF(A913="","",EOMONTH(B912,1))</f>
        <v>49460</v>
      </c>
      <c r="C913" s="1" t="n">
        <f aca="false">IF(A913="","",C912+1)</f>
        <v>911</v>
      </c>
      <c r="D913" s="1" t="n">
        <f aca="false">IF(A913="","",INT(C913/12))</f>
        <v>75</v>
      </c>
      <c r="E913" s="1" t="n">
        <f aca="false">IF(A913="","",D913+Inputs!$B$7)</f>
        <v>91</v>
      </c>
      <c r="F913" s="3" t="n">
        <f aca="false">IF(A913="","",DATE(YEAR(B$2)+D913,MONTH(B$2),DAY(B$2)))</f>
        <v>49100</v>
      </c>
      <c r="G913" s="3" t="n">
        <f aca="false">IF(A913="","",DATE(YEAR(F913)+1,MONTH(F913),DAY(F913)))</f>
        <v>49465</v>
      </c>
      <c r="H913" s="10" t="n">
        <f aca="false">IF(A913="","",IF(G913&gt;F913,(B913-F913)/(G913-F913),0))</f>
        <v>0.986301369863014</v>
      </c>
      <c r="I913" s="10" t="n">
        <f aca="false">IF(A913="","",IFERROR(INDEX(CV_RATES!$I:$I,MATCH(D913,CV_RATES!$C:$C,0)),0))</f>
        <v>932.102604222032</v>
      </c>
      <c r="J913" s="10" t="n">
        <f aca="false">IF(A913="","",IFERROR(IF(E913=MAX(MORTALITY!$A:$A),1000,INDEX(CV_RATES!$J:$J,MATCH(D913,CV_RATES!$C:$C,0))),0))</f>
        <v>936.135261900959</v>
      </c>
      <c r="K913" s="10" t="n">
        <f aca="false">IF(A913="","",IFERROR(I913+H913*(J913-I913),0))</f>
        <v>936.080020014947</v>
      </c>
      <c r="L913" s="10" t="n">
        <f aca="false">IF(A913="","",IFERROR(K913*Inputs!$B$9,0))</f>
        <v>46804.0010007473</v>
      </c>
      <c r="M913" s="10" t="n">
        <f aca="false">IF(A913="","",IFERROR(K913*Inputs!$B$10,0))</f>
        <v>149769.994962331</v>
      </c>
      <c r="N913" s="10" t="n">
        <f aca="false">IF(A913="","",Z912)</f>
        <v>0</v>
      </c>
      <c r="O913" s="6" t="n">
        <f aca="false">IF(A913="","",Inputs!$B$18+N913)</f>
        <v>50000</v>
      </c>
      <c r="P913" s="5" t="n">
        <f aca="false">IF(A913="","",VLOOKUP(D913,DIvidend_Assumption!$A$3:$CX$103,($E$2+2),0)/12)</f>
        <v>0</v>
      </c>
      <c r="Q913" s="10" t="n">
        <f aca="false">IF(A913="","",IFERROR(AB912*P913,""))</f>
        <v>0</v>
      </c>
      <c r="R913" s="10" t="n">
        <f aca="false">IF(A913="","",IFERROR(IF(Inputs!$B$22="Accumulate",T913+Q913,IF(Inputs!$B$22="Premium Offset",MAX(0,T913+Q913-Inputs!$B$25),T913)),""))</f>
        <v>0</v>
      </c>
      <c r="S913" s="10" t="n">
        <f aca="false">IF(A913="","",R912)</f>
        <v>0</v>
      </c>
      <c r="T913" s="10" t="n">
        <f aca="false">IF(A913="","",IFERROR(S913*(1+Inputs!$B$23/12),""))</f>
        <v>0</v>
      </c>
      <c r="U913" s="6" t="n">
        <f aca="false">IF(A913="","",IF(D913&lt;=Inputs!$B$8,IF(Inputs!$B$22="Premium Offset",MAX(0,Inputs!$B$25-(Q913+T913)),Inputs!$B$25),0))</f>
        <v>0</v>
      </c>
      <c r="V913" s="10" t="n">
        <f aca="false">IF(A913="","",IF(Inputs!$B$22="Cash",Q913,0))</f>
        <v>0</v>
      </c>
      <c r="W913" s="10" t="n">
        <f aca="false">IF(A913="","",IF(Inputs!$B$22="PUA",Q913,0))</f>
        <v>0</v>
      </c>
      <c r="X913" s="12" t="n">
        <f aca="false">IF(A913="","",IFERROR(INDEX(PUA_TABLE!$D$4:$D$105,MATCH(E913,PUA_TABLE!$C$4:$C$105,1)),0))</f>
        <v>0.932102604222032</v>
      </c>
      <c r="Y913" s="10" t="n">
        <f aca="false">IF(A913="","",IF(W913&gt;0,IF(X913&gt;0,W913/X913,0),0))</f>
        <v>0</v>
      </c>
      <c r="Z913" s="10" t="n">
        <f aca="false">IF(A913="","",N913+Y913)</f>
        <v>0</v>
      </c>
      <c r="AA913" s="10" t="n">
        <f aca="false">IF(A913="","",IFERROR(Z913*INDEX(PUA_TABLE!$I$4:$I$105,MATCH(E913,PUA_TABLE!$C$4:$C$105,1))/1000,0))</f>
        <v>0</v>
      </c>
      <c r="AB913" s="10" t="n">
        <f aca="false">IF(A913="","",IFERROR(L913+AA913,0))</f>
        <v>46804.0010007473</v>
      </c>
      <c r="AC913" s="10" t="n">
        <f aca="false">IF(A913="","",IF(Inputs!$B$22="Premium Offset",MIN(Inputs!$B$25,Q913+T913),0))</f>
        <v>0</v>
      </c>
    </row>
    <row r="914" customFormat="false" ht="15" hidden="false" customHeight="false" outlineLevel="0" collapsed="false">
      <c r="A914" s="1" t="n">
        <f aca="false">IF(A913="","",IF(INT((C913+1)/12)+Inputs!$B$7&gt;MAX(MORTALITY!$A:$A),"",Inputs!$B$4))</f>
        <v>34</v>
      </c>
      <c r="B914" s="3" t="n">
        <f aca="false">IF(A914="","",EOMONTH(B913,1))</f>
        <v>49490</v>
      </c>
      <c r="C914" s="1" t="n">
        <f aca="false">IF(A914="","",C913+1)</f>
        <v>912</v>
      </c>
      <c r="D914" s="1" t="n">
        <f aca="false">IF(A914="","",INT(C914/12))</f>
        <v>76</v>
      </c>
      <c r="E914" s="1" t="n">
        <f aca="false">IF(A914="","",D914+Inputs!$B$7)</f>
        <v>92</v>
      </c>
      <c r="F914" s="3" t="n">
        <f aca="false">IF(A914="","",DATE(YEAR(B$2)+D914,MONTH(B$2),DAY(B$2)))</f>
        <v>49465</v>
      </c>
      <c r="G914" s="3" t="n">
        <f aca="false">IF(A914="","",DATE(YEAR(F914)+1,MONTH(F914),DAY(F914)))</f>
        <v>49831</v>
      </c>
      <c r="H914" s="10" t="n">
        <f aca="false">IF(A914="","",IF(G914&gt;F914,(B914-F914)/(G914-F914),0))</f>
        <v>0.0683060109289618</v>
      </c>
      <c r="I914" s="10" t="n">
        <f aca="false">IF(A914="","",IFERROR(INDEX(CV_RATES!$I:$I,MATCH(D914,CV_RATES!$C:$C,0)),0))</f>
        <v>936.135261900959</v>
      </c>
      <c r="J914" s="10" t="n">
        <f aca="false">IF(A914="","",IFERROR(IF(E914=MAX(MORTALITY!$A:$A),1000,INDEX(CV_RATES!$J:$J,MATCH(D914,CV_RATES!$C:$C,0))),0))</f>
        <v>940.17778024792</v>
      </c>
      <c r="K914" s="10" t="n">
        <f aca="false">IF(A914="","",IFERROR(I914+H914*(J914-I914),0))</f>
        <v>936.411390203347</v>
      </c>
      <c r="L914" s="10" t="n">
        <f aca="false">IF(A914="","",IFERROR(K914*Inputs!$B$9,0))</f>
        <v>46820.5695101674</v>
      </c>
      <c r="M914" s="10" t="n">
        <f aca="false">IF(A914="","",IFERROR(K914*Inputs!$B$10,0))</f>
        <v>149823.013198365</v>
      </c>
      <c r="N914" s="10" t="n">
        <f aca="false">IF(A914="","",Z913)</f>
        <v>0</v>
      </c>
      <c r="O914" s="6" t="n">
        <f aca="false">IF(A914="","",Inputs!$B$18+N914)</f>
        <v>50000</v>
      </c>
      <c r="P914" s="5" t="n">
        <f aca="false">IF(A914="","",VLOOKUP(D914,DIvidend_Assumption!$A$3:$CX$103,($E$2+2),0)/12)</f>
        <v>0</v>
      </c>
      <c r="Q914" s="10" t="n">
        <f aca="false">IF(A914="","",IFERROR(AB913*P914,""))</f>
        <v>0</v>
      </c>
      <c r="R914" s="10" t="n">
        <f aca="false">IF(A914="","",IFERROR(IF(Inputs!$B$22="Accumulate",T914+Q914,IF(Inputs!$B$22="Premium Offset",MAX(0,T914+Q914-Inputs!$B$25),T914)),""))</f>
        <v>0</v>
      </c>
      <c r="S914" s="10" t="n">
        <f aca="false">IF(A914="","",R913)</f>
        <v>0</v>
      </c>
      <c r="T914" s="10" t="n">
        <f aca="false">IF(A914="","",IFERROR(S914*(1+Inputs!$B$23/12),""))</f>
        <v>0</v>
      </c>
      <c r="U914" s="6" t="n">
        <f aca="false">IF(A914="","",IF(D914&lt;=Inputs!$B$8,IF(Inputs!$B$22="Premium Offset",MAX(0,Inputs!$B$25-(Q914+T914)),Inputs!$B$25),0))</f>
        <v>0</v>
      </c>
      <c r="V914" s="10" t="n">
        <f aca="false">IF(A914="","",IF(Inputs!$B$22="Cash",Q914,0))</f>
        <v>0</v>
      </c>
      <c r="W914" s="10" t="n">
        <f aca="false">IF(A914="","",IF(Inputs!$B$22="PUA",Q914,0))</f>
        <v>0</v>
      </c>
      <c r="X914" s="12" t="n">
        <f aca="false">IF(A914="","",IFERROR(INDEX(PUA_TABLE!$D$4:$D$105,MATCH(E914,PUA_TABLE!$C$4:$C$105,1)),0))</f>
        <v>0.936135261900959</v>
      </c>
      <c r="Y914" s="10" t="n">
        <f aca="false">IF(A914="","",IF(W914&gt;0,IF(X914&gt;0,W914/X914,0),0))</f>
        <v>0</v>
      </c>
      <c r="Z914" s="10" t="n">
        <f aca="false">IF(A914="","",N914+Y914)</f>
        <v>0</v>
      </c>
      <c r="AA914" s="10" t="n">
        <f aca="false">IF(A914="","",IFERROR(Z914*INDEX(PUA_TABLE!$I$4:$I$105,MATCH(E914,PUA_TABLE!$C$4:$C$105,1))/1000,0))</f>
        <v>0</v>
      </c>
      <c r="AB914" s="10" t="n">
        <f aca="false">IF(A914="","",IFERROR(L914+AA914,0))</f>
        <v>46820.5695101674</v>
      </c>
      <c r="AC914" s="10" t="n">
        <f aca="false">IF(A914="","",IF(Inputs!$B$22="Premium Offset",MIN(Inputs!$B$25,Q914+T914),0))</f>
        <v>0</v>
      </c>
    </row>
    <row r="915" customFormat="false" ht="15" hidden="false" customHeight="false" outlineLevel="0" collapsed="false">
      <c r="A915" s="1" t="n">
        <f aca="false">IF(A914="","",IF(INT((C914+1)/12)+Inputs!$B$7&gt;MAX(MORTALITY!$A:$A),"",Inputs!$B$4))</f>
        <v>34</v>
      </c>
      <c r="B915" s="3" t="n">
        <f aca="false">IF(A915="","",EOMONTH(B914,1))</f>
        <v>49521</v>
      </c>
      <c r="C915" s="1" t="n">
        <f aca="false">IF(A915="","",C914+1)</f>
        <v>913</v>
      </c>
      <c r="D915" s="1" t="n">
        <f aca="false">IF(A915="","",INT(C915/12))</f>
        <v>76</v>
      </c>
      <c r="E915" s="1" t="n">
        <f aca="false">IF(A915="","",D915+Inputs!$B$7)</f>
        <v>92</v>
      </c>
      <c r="F915" s="3" t="n">
        <f aca="false">IF(A915="","",DATE(YEAR(B$2)+D915,MONTH(B$2),DAY(B$2)))</f>
        <v>49465</v>
      </c>
      <c r="G915" s="3" t="n">
        <f aca="false">IF(A915="","",DATE(YEAR(F915)+1,MONTH(F915),DAY(F915)))</f>
        <v>49831</v>
      </c>
      <c r="H915" s="10" t="n">
        <f aca="false">IF(A915="","",IF(G915&gt;F915,(B915-F915)/(G915-F915),0))</f>
        <v>0.153005464480874</v>
      </c>
      <c r="I915" s="10" t="n">
        <f aca="false">IF(A915="","",IFERROR(INDEX(CV_RATES!$I:$I,MATCH(D915,CV_RATES!$C:$C,0)),0))</f>
        <v>936.135261900959</v>
      </c>
      <c r="J915" s="10" t="n">
        <f aca="false">IF(A915="","",IFERROR(IF(E915=MAX(MORTALITY!$A:$A),1000,INDEX(CV_RATES!$J:$J,MATCH(D915,CV_RATES!$C:$C,0))),0))</f>
        <v>940.17778024792</v>
      </c>
      <c r="K915" s="10" t="n">
        <f aca="false">IF(A915="","",IFERROR(I915+H915*(J915-I915),0))</f>
        <v>936.753789298309</v>
      </c>
      <c r="L915" s="10" t="n">
        <f aca="false">IF(A915="","",IFERROR(K915*Inputs!$B$9,0))</f>
        <v>46837.6894649154</v>
      </c>
      <c r="M915" s="10" t="n">
        <f aca="false">IF(A915="","",IFERROR(K915*Inputs!$B$10,0))</f>
        <v>149877.796026362</v>
      </c>
      <c r="N915" s="10" t="n">
        <f aca="false">IF(A915="","",Z914)</f>
        <v>0</v>
      </c>
      <c r="O915" s="6" t="n">
        <f aca="false">IF(A915="","",Inputs!$B$18+N915)</f>
        <v>50000</v>
      </c>
      <c r="P915" s="5" t="n">
        <f aca="false">IF(A915="","",VLOOKUP(D915,DIvidend_Assumption!$A$3:$CX$103,($E$2+2),0)/12)</f>
        <v>0</v>
      </c>
      <c r="Q915" s="10" t="n">
        <f aca="false">IF(A915="","",IFERROR(AB914*P915,""))</f>
        <v>0</v>
      </c>
      <c r="R915" s="10" t="n">
        <f aca="false">IF(A915="","",IFERROR(IF(Inputs!$B$22="Accumulate",T915+Q915,IF(Inputs!$B$22="Premium Offset",MAX(0,T915+Q915-Inputs!$B$25),T915)),""))</f>
        <v>0</v>
      </c>
      <c r="S915" s="10" t="n">
        <f aca="false">IF(A915="","",R914)</f>
        <v>0</v>
      </c>
      <c r="T915" s="10" t="n">
        <f aca="false">IF(A915="","",IFERROR(S915*(1+Inputs!$B$23/12),""))</f>
        <v>0</v>
      </c>
      <c r="U915" s="6" t="n">
        <f aca="false">IF(A915="","",IF(D915&lt;=Inputs!$B$8,IF(Inputs!$B$22="Premium Offset",MAX(0,Inputs!$B$25-(Q915+T915)),Inputs!$B$25),0))</f>
        <v>0</v>
      </c>
      <c r="V915" s="10" t="n">
        <f aca="false">IF(A915="","",IF(Inputs!$B$22="Cash",Q915,0))</f>
        <v>0</v>
      </c>
      <c r="W915" s="10" t="n">
        <f aca="false">IF(A915="","",IF(Inputs!$B$22="PUA",Q915,0))</f>
        <v>0</v>
      </c>
      <c r="X915" s="12" t="n">
        <f aca="false">IF(A915="","",IFERROR(INDEX(PUA_TABLE!$D$4:$D$105,MATCH(E915,PUA_TABLE!$C$4:$C$105,1)),0))</f>
        <v>0.936135261900959</v>
      </c>
      <c r="Y915" s="10" t="n">
        <f aca="false">IF(A915="","",IF(W915&gt;0,IF(X915&gt;0,W915/X915,0),0))</f>
        <v>0</v>
      </c>
      <c r="Z915" s="10" t="n">
        <f aca="false">IF(A915="","",N915+Y915)</f>
        <v>0</v>
      </c>
      <c r="AA915" s="10" t="n">
        <f aca="false">IF(A915="","",IFERROR(Z915*INDEX(PUA_TABLE!$I$4:$I$105,MATCH(E915,PUA_TABLE!$C$4:$C$105,1))/1000,0))</f>
        <v>0</v>
      </c>
      <c r="AB915" s="10" t="n">
        <f aca="false">IF(A915="","",IFERROR(L915+AA915,0))</f>
        <v>46837.6894649154</v>
      </c>
      <c r="AC915" s="10" t="n">
        <f aca="false">IF(A915="","",IF(Inputs!$B$22="Premium Offset",MIN(Inputs!$B$25,Q915+T915),0))</f>
        <v>0</v>
      </c>
    </row>
    <row r="916" customFormat="false" ht="15" hidden="false" customHeight="false" outlineLevel="0" collapsed="false">
      <c r="A916" s="1" t="n">
        <f aca="false">IF(A915="","",IF(INT((C915+1)/12)+Inputs!$B$7&gt;MAX(MORTALITY!$A:$A),"",Inputs!$B$4))</f>
        <v>34</v>
      </c>
      <c r="B916" s="3" t="n">
        <f aca="false">IF(A916="","",EOMONTH(B915,1))</f>
        <v>49552</v>
      </c>
      <c r="C916" s="1" t="n">
        <f aca="false">IF(A916="","",C915+1)</f>
        <v>914</v>
      </c>
      <c r="D916" s="1" t="n">
        <f aca="false">IF(A916="","",INT(C916/12))</f>
        <v>76</v>
      </c>
      <c r="E916" s="1" t="n">
        <f aca="false">IF(A916="","",D916+Inputs!$B$7)</f>
        <v>92</v>
      </c>
      <c r="F916" s="3" t="n">
        <f aca="false">IF(A916="","",DATE(YEAR(B$2)+D916,MONTH(B$2),DAY(B$2)))</f>
        <v>49465</v>
      </c>
      <c r="G916" s="3" t="n">
        <f aca="false">IF(A916="","",DATE(YEAR(F916)+1,MONTH(F916),DAY(F916)))</f>
        <v>49831</v>
      </c>
      <c r="H916" s="10" t="n">
        <f aca="false">IF(A916="","",IF(G916&gt;F916,(B916-F916)/(G916-F916),0))</f>
        <v>0.237704918032787</v>
      </c>
      <c r="I916" s="10" t="n">
        <f aca="false">IF(A916="","",IFERROR(INDEX(CV_RATES!$I:$I,MATCH(D916,CV_RATES!$C:$C,0)),0))</f>
        <v>936.135261900959</v>
      </c>
      <c r="J916" s="10" t="n">
        <f aca="false">IF(A916="","",IFERROR(IF(E916=MAX(MORTALITY!$A:$A),1000,INDEX(CV_RATES!$J:$J,MATCH(D916,CV_RATES!$C:$C,0))),0))</f>
        <v>940.17778024792</v>
      </c>
      <c r="K916" s="10" t="n">
        <f aca="false">IF(A916="","",IFERROR(I916+H916*(J916-I916),0))</f>
        <v>937.09618839327</v>
      </c>
      <c r="L916" s="10" t="n">
        <f aca="false">IF(A916="","",IFERROR(K916*Inputs!$B$9,0))</f>
        <v>46854.8094196635</v>
      </c>
      <c r="M916" s="10" t="n">
        <f aca="false">IF(A916="","",IFERROR(K916*Inputs!$B$10,0))</f>
        <v>149932.578854358</v>
      </c>
      <c r="N916" s="10" t="n">
        <f aca="false">IF(A916="","",Z915)</f>
        <v>0</v>
      </c>
      <c r="O916" s="6" t="n">
        <f aca="false">IF(A916="","",Inputs!$B$18+N916)</f>
        <v>50000</v>
      </c>
      <c r="P916" s="5" t="n">
        <f aca="false">IF(A916="","",VLOOKUP(D916,DIvidend_Assumption!$A$3:$CX$103,($E$2+2),0)/12)</f>
        <v>0</v>
      </c>
      <c r="Q916" s="10" t="n">
        <f aca="false">IF(A916="","",IFERROR(AB915*P916,""))</f>
        <v>0</v>
      </c>
      <c r="R916" s="10" t="n">
        <f aca="false">IF(A916="","",IFERROR(IF(Inputs!$B$22="Accumulate",T916+Q916,IF(Inputs!$B$22="Premium Offset",MAX(0,T916+Q916-Inputs!$B$25),T916)),""))</f>
        <v>0</v>
      </c>
      <c r="S916" s="10" t="n">
        <f aca="false">IF(A916="","",R915)</f>
        <v>0</v>
      </c>
      <c r="T916" s="10" t="n">
        <f aca="false">IF(A916="","",IFERROR(S916*(1+Inputs!$B$23/12),""))</f>
        <v>0</v>
      </c>
      <c r="U916" s="6" t="n">
        <f aca="false">IF(A916="","",IF(D916&lt;=Inputs!$B$8,IF(Inputs!$B$22="Premium Offset",MAX(0,Inputs!$B$25-(Q916+T916)),Inputs!$B$25),0))</f>
        <v>0</v>
      </c>
      <c r="V916" s="10" t="n">
        <f aca="false">IF(A916="","",IF(Inputs!$B$22="Cash",Q916,0))</f>
        <v>0</v>
      </c>
      <c r="W916" s="10" t="n">
        <f aca="false">IF(A916="","",IF(Inputs!$B$22="PUA",Q916,0))</f>
        <v>0</v>
      </c>
      <c r="X916" s="12" t="n">
        <f aca="false">IF(A916="","",IFERROR(INDEX(PUA_TABLE!$D$4:$D$105,MATCH(E916,PUA_TABLE!$C$4:$C$105,1)),0))</f>
        <v>0.936135261900959</v>
      </c>
      <c r="Y916" s="10" t="n">
        <f aca="false">IF(A916="","",IF(W916&gt;0,IF(X916&gt;0,W916/X916,0),0))</f>
        <v>0</v>
      </c>
      <c r="Z916" s="10" t="n">
        <f aca="false">IF(A916="","",N916+Y916)</f>
        <v>0</v>
      </c>
      <c r="AA916" s="10" t="n">
        <f aca="false">IF(A916="","",IFERROR(Z916*INDEX(PUA_TABLE!$I$4:$I$105,MATCH(E916,PUA_TABLE!$C$4:$C$105,1))/1000,0))</f>
        <v>0</v>
      </c>
      <c r="AB916" s="10" t="n">
        <f aca="false">IF(A916="","",IFERROR(L916+AA916,0))</f>
        <v>46854.8094196635</v>
      </c>
      <c r="AC916" s="10" t="n">
        <f aca="false">IF(A916="","",IF(Inputs!$B$22="Premium Offset",MIN(Inputs!$B$25,Q916+T916),0))</f>
        <v>0</v>
      </c>
    </row>
    <row r="917" customFormat="false" ht="15" hidden="false" customHeight="false" outlineLevel="0" collapsed="false">
      <c r="A917" s="1" t="n">
        <f aca="false">IF(A916="","",IF(INT((C916+1)/12)+Inputs!$B$7&gt;MAX(MORTALITY!$A:$A),"",Inputs!$B$4))</f>
        <v>34</v>
      </c>
      <c r="B917" s="3" t="n">
        <f aca="false">IF(A917="","",EOMONTH(B916,1))</f>
        <v>49582</v>
      </c>
      <c r="C917" s="1" t="n">
        <f aca="false">IF(A917="","",C916+1)</f>
        <v>915</v>
      </c>
      <c r="D917" s="1" t="n">
        <f aca="false">IF(A917="","",INT(C917/12))</f>
        <v>76</v>
      </c>
      <c r="E917" s="1" t="n">
        <f aca="false">IF(A917="","",D917+Inputs!$B$7)</f>
        <v>92</v>
      </c>
      <c r="F917" s="3" t="n">
        <f aca="false">IF(A917="","",DATE(YEAR(B$2)+D917,MONTH(B$2),DAY(B$2)))</f>
        <v>49465</v>
      </c>
      <c r="G917" s="3" t="n">
        <f aca="false">IF(A917="","",DATE(YEAR(F917)+1,MONTH(F917),DAY(F917)))</f>
        <v>49831</v>
      </c>
      <c r="H917" s="10" t="n">
        <f aca="false">IF(A917="","",IF(G917&gt;F917,(B917-F917)/(G917-F917),0))</f>
        <v>0.319672131147541</v>
      </c>
      <c r="I917" s="10" t="n">
        <f aca="false">IF(A917="","",IFERROR(INDEX(CV_RATES!$I:$I,MATCH(D917,CV_RATES!$C:$C,0)),0))</f>
        <v>936.135261900959</v>
      </c>
      <c r="J917" s="10" t="n">
        <f aca="false">IF(A917="","",IFERROR(IF(E917=MAX(MORTALITY!$A:$A),1000,INDEX(CV_RATES!$J:$J,MATCH(D917,CV_RATES!$C:$C,0))),0))</f>
        <v>940.17778024792</v>
      </c>
      <c r="K917" s="10" t="n">
        <f aca="false">IF(A917="","",IFERROR(I917+H917*(J917-I917),0))</f>
        <v>937.427542356135</v>
      </c>
      <c r="L917" s="10" t="n">
        <f aca="false">IF(A917="","",IFERROR(K917*Inputs!$B$9,0))</f>
        <v>46871.3771178068</v>
      </c>
      <c r="M917" s="10" t="n">
        <f aca="false">IF(A917="","",IFERROR(K917*Inputs!$B$10,0))</f>
        <v>149985.594494355</v>
      </c>
      <c r="N917" s="10" t="n">
        <f aca="false">IF(A917="","",Z916)</f>
        <v>0</v>
      </c>
      <c r="O917" s="6" t="n">
        <f aca="false">IF(A917="","",Inputs!$B$18+N917)</f>
        <v>50000</v>
      </c>
      <c r="P917" s="5" t="n">
        <f aca="false">IF(A917="","",VLOOKUP(D917,DIvidend_Assumption!$A$3:$CX$103,($E$2+2),0)/12)</f>
        <v>0</v>
      </c>
      <c r="Q917" s="10" t="n">
        <f aca="false">IF(A917="","",IFERROR(AB916*P917,""))</f>
        <v>0</v>
      </c>
      <c r="R917" s="10" t="n">
        <f aca="false">IF(A917="","",IFERROR(IF(Inputs!$B$22="Accumulate",T917+Q917,IF(Inputs!$B$22="Premium Offset",MAX(0,T917+Q917-Inputs!$B$25),T917)),""))</f>
        <v>0</v>
      </c>
      <c r="S917" s="10" t="n">
        <f aca="false">IF(A917="","",R916)</f>
        <v>0</v>
      </c>
      <c r="T917" s="10" t="n">
        <f aca="false">IF(A917="","",IFERROR(S917*(1+Inputs!$B$23/12),""))</f>
        <v>0</v>
      </c>
      <c r="U917" s="6" t="n">
        <f aca="false">IF(A917="","",IF(D917&lt;=Inputs!$B$8,IF(Inputs!$B$22="Premium Offset",MAX(0,Inputs!$B$25-(Q917+T917)),Inputs!$B$25),0))</f>
        <v>0</v>
      </c>
      <c r="V917" s="10" t="n">
        <f aca="false">IF(A917="","",IF(Inputs!$B$22="Cash",Q917,0))</f>
        <v>0</v>
      </c>
      <c r="W917" s="10" t="n">
        <f aca="false">IF(A917="","",IF(Inputs!$B$22="PUA",Q917,0))</f>
        <v>0</v>
      </c>
      <c r="X917" s="12" t="n">
        <f aca="false">IF(A917="","",IFERROR(INDEX(PUA_TABLE!$D$4:$D$105,MATCH(E917,PUA_TABLE!$C$4:$C$105,1)),0))</f>
        <v>0.936135261900959</v>
      </c>
      <c r="Y917" s="10" t="n">
        <f aca="false">IF(A917="","",IF(W917&gt;0,IF(X917&gt;0,W917/X917,0),0))</f>
        <v>0</v>
      </c>
      <c r="Z917" s="10" t="n">
        <f aca="false">IF(A917="","",N917+Y917)</f>
        <v>0</v>
      </c>
      <c r="AA917" s="10" t="n">
        <f aca="false">IF(A917="","",IFERROR(Z917*INDEX(PUA_TABLE!$I$4:$I$105,MATCH(E917,PUA_TABLE!$C$4:$C$105,1))/1000,0))</f>
        <v>0</v>
      </c>
      <c r="AB917" s="10" t="n">
        <f aca="false">IF(A917="","",IFERROR(L917+AA917,0))</f>
        <v>46871.3771178068</v>
      </c>
      <c r="AC917" s="10" t="n">
        <f aca="false">IF(A917="","",IF(Inputs!$B$22="Premium Offset",MIN(Inputs!$B$25,Q917+T917),0))</f>
        <v>0</v>
      </c>
    </row>
    <row r="918" customFormat="false" ht="15" hidden="false" customHeight="false" outlineLevel="0" collapsed="false">
      <c r="A918" s="1" t="n">
        <f aca="false">IF(A917="","",IF(INT((C917+1)/12)+Inputs!$B$7&gt;MAX(MORTALITY!$A:$A),"",Inputs!$B$4))</f>
        <v>34</v>
      </c>
      <c r="B918" s="3" t="n">
        <f aca="false">IF(A918="","",EOMONTH(B917,1))</f>
        <v>49613</v>
      </c>
      <c r="C918" s="1" t="n">
        <f aca="false">IF(A918="","",C917+1)</f>
        <v>916</v>
      </c>
      <c r="D918" s="1" t="n">
        <f aca="false">IF(A918="","",INT(C918/12))</f>
        <v>76</v>
      </c>
      <c r="E918" s="1" t="n">
        <f aca="false">IF(A918="","",D918+Inputs!$B$7)</f>
        <v>92</v>
      </c>
      <c r="F918" s="3" t="n">
        <f aca="false">IF(A918="","",DATE(YEAR(B$2)+D918,MONTH(B$2),DAY(B$2)))</f>
        <v>49465</v>
      </c>
      <c r="G918" s="3" t="n">
        <f aca="false">IF(A918="","",DATE(YEAR(F918)+1,MONTH(F918),DAY(F918)))</f>
        <v>49831</v>
      </c>
      <c r="H918" s="10" t="n">
        <f aca="false">IF(A918="","",IF(G918&gt;F918,(B918-F918)/(G918-F918),0))</f>
        <v>0.404371584699454</v>
      </c>
      <c r="I918" s="10" t="n">
        <f aca="false">IF(A918="","",IFERROR(INDEX(CV_RATES!$I:$I,MATCH(D918,CV_RATES!$C:$C,0)),0))</f>
        <v>936.135261900959</v>
      </c>
      <c r="J918" s="10" t="n">
        <f aca="false">IF(A918="","",IFERROR(IF(E918=MAX(MORTALITY!$A:$A),1000,INDEX(CV_RATES!$J:$J,MATCH(D918,CV_RATES!$C:$C,0))),0))</f>
        <v>940.17778024792</v>
      </c>
      <c r="K918" s="10" t="n">
        <f aca="false">IF(A918="","",IFERROR(I918+H918*(J918-I918),0))</f>
        <v>937.769941451096</v>
      </c>
      <c r="L918" s="10" t="n">
        <f aca="false">IF(A918="","",IFERROR(K918*Inputs!$B$9,0))</f>
        <v>46888.4970725548</v>
      </c>
      <c r="M918" s="10" t="n">
        <f aca="false">IF(A918="","",IFERROR(K918*Inputs!$B$10,0))</f>
        <v>150040.377322351</v>
      </c>
      <c r="N918" s="10" t="n">
        <f aca="false">IF(A918="","",Z917)</f>
        <v>0</v>
      </c>
      <c r="O918" s="6" t="n">
        <f aca="false">IF(A918="","",Inputs!$B$18+N918)</f>
        <v>50000</v>
      </c>
      <c r="P918" s="5" t="n">
        <f aca="false">IF(A918="","",VLOOKUP(D918,DIvidend_Assumption!$A$3:$CX$103,($E$2+2),0)/12)</f>
        <v>0</v>
      </c>
      <c r="Q918" s="10" t="n">
        <f aca="false">IF(A918="","",IFERROR(AB917*P918,""))</f>
        <v>0</v>
      </c>
      <c r="R918" s="10" t="n">
        <f aca="false">IF(A918="","",IFERROR(IF(Inputs!$B$22="Accumulate",T918+Q918,IF(Inputs!$B$22="Premium Offset",MAX(0,T918+Q918-Inputs!$B$25),T918)),""))</f>
        <v>0</v>
      </c>
      <c r="S918" s="10" t="n">
        <f aca="false">IF(A918="","",R917)</f>
        <v>0</v>
      </c>
      <c r="T918" s="10" t="n">
        <f aca="false">IF(A918="","",IFERROR(S918*(1+Inputs!$B$23/12),""))</f>
        <v>0</v>
      </c>
      <c r="U918" s="6" t="n">
        <f aca="false">IF(A918="","",IF(D918&lt;=Inputs!$B$8,IF(Inputs!$B$22="Premium Offset",MAX(0,Inputs!$B$25-(Q918+T918)),Inputs!$B$25),0))</f>
        <v>0</v>
      </c>
      <c r="V918" s="10" t="n">
        <f aca="false">IF(A918="","",IF(Inputs!$B$22="Cash",Q918,0))</f>
        <v>0</v>
      </c>
      <c r="W918" s="10" t="n">
        <f aca="false">IF(A918="","",IF(Inputs!$B$22="PUA",Q918,0))</f>
        <v>0</v>
      </c>
      <c r="X918" s="12" t="n">
        <f aca="false">IF(A918="","",IFERROR(INDEX(PUA_TABLE!$D$4:$D$105,MATCH(E918,PUA_TABLE!$C$4:$C$105,1)),0))</f>
        <v>0.936135261900959</v>
      </c>
      <c r="Y918" s="10" t="n">
        <f aca="false">IF(A918="","",IF(W918&gt;0,IF(X918&gt;0,W918/X918,0),0))</f>
        <v>0</v>
      </c>
      <c r="Z918" s="10" t="n">
        <f aca="false">IF(A918="","",N918+Y918)</f>
        <v>0</v>
      </c>
      <c r="AA918" s="10" t="n">
        <f aca="false">IF(A918="","",IFERROR(Z918*INDEX(PUA_TABLE!$I$4:$I$105,MATCH(E918,PUA_TABLE!$C$4:$C$105,1))/1000,0))</f>
        <v>0</v>
      </c>
      <c r="AB918" s="10" t="n">
        <f aca="false">IF(A918="","",IFERROR(L918+AA918,0))</f>
        <v>46888.4970725548</v>
      </c>
      <c r="AC918" s="10" t="n">
        <f aca="false">IF(A918="","",IF(Inputs!$B$22="Premium Offset",MIN(Inputs!$B$25,Q918+T918),0))</f>
        <v>0</v>
      </c>
    </row>
    <row r="919" customFormat="false" ht="15" hidden="false" customHeight="false" outlineLevel="0" collapsed="false">
      <c r="A919" s="1" t="n">
        <f aca="false">IF(A918="","",IF(INT((C918+1)/12)+Inputs!$B$7&gt;MAX(MORTALITY!$A:$A),"",Inputs!$B$4))</f>
        <v>34</v>
      </c>
      <c r="B919" s="3" t="n">
        <f aca="false">IF(A919="","",EOMONTH(B918,1))</f>
        <v>49643</v>
      </c>
      <c r="C919" s="1" t="n">
        <f aca="false">IF(A919="","",C918+1)</f>
        <v>917</v>
      </c>
      <c r="D919" s="1" t="n">
        <f aca="false">IF(A919="","",INT(C919/12))</f>
        <v>76</v>
      </c>
      <c r="E919" s="1" t="n">
        <f aca="false">IF(A919="","",D919+Inputs!$B$7)</f>
        <v>92</v>
      </c>
      <c r="F919" s="3" t="n">
        <f aca="false">IF(A919="","",DATE(YEAR(B$2)+D919,MONTH(B$2),DAY(B$2)))</f>
        <v>49465</v>
      </c>
      <c r="G919" s="3" t="n">
        <f aca="false">IF(A919="","",DATE(YEAR(F919)+1,MONTH(F919),DAY(F919)))</f>
        <v>49831</v>
      </c>
      <c r="H919" s="10" t="n">
        <f aca="false">IF(A919="","",IF(G919&gt;F919,(B919-F919)/(G919-F919),0))</f>
        <v>0.486338797814208</v>
      </c>
      <c r="I919" s="10" t="n">
        <f aca="false">IF(A919="","",IFERROR(INDEX(CV_RATES!$I:$I,MATCH(D919,CV_RATES!$C:$C,0)),0))</f>
        <v>936.135261900959</v>
      </c>
      <c r="J919" s="10" t="n">
        <f aca="false">IF(A919="","",IFERROR(IF(E919=MAX(MORTALITY!$A:$A),1000,INDEX(CV_RATES!$J:$J,MATCH(D919,CV_RATES!$C:$C,0))),0))</f>
        <v>940.17778024792</v>
      </c>
      <c r="K919" s="10" t="n">
        <f aca="false">IF(A919="","",IFERROR(I919+H919*(J919-I919),0))</f>
        <v>938.101295413962</v>
      </c>
      <c r="L919" s="10" t="n">
        <f aca="false">IF(A919="","",IFERROR(K919*Inputs!$B$9,0))</f>
        <v>46905.0647706981</v>
      </c>
      <c r="M919" s="10" t="n">
        <f aca="false">IF(A919="","",IFERROR(K919*Inputs!$B$10,0))</f>
        <v>150093.392962348</v>
      </c>
      <c r="N919" s="10" t="n">
        <f aca="false">IF(A919="","",Z918)</f>
        <v>0</v>
      </c>
      <c r="O919" s="6" t="n">
        <f aca="false">IF(A919="","",Inputs!$B$18+N919)</f>
        <v>50000</v>
      </c>
      <c r="P919" s="5" t="n">
        <f aca="false">IF(A919="","",VLOOKUP(D919,DIvidend_Assumption!$A$3:$CX$103,($E$2+2),0)/12)</f>
        <v>0</v>
      </c>
      <c r="Q919" s="10" t="n">
        <f aca="false">IF(A919="","",IFERROR(AB918*P919,""))</f>
        <v>0</v>
      </c>
      <c r="R919" s="10" t="n">
        <f aca="false">IF(A919="","",IFERROR(IF(Inputs!$B$22="Accumulate",T919+Q919,IF(Inputs!$B$22="Premium Offset",MAX(0,T919+Q919-Inputs!$B$25),T919)),""))</f>
        <v>0</v>
      </c>
      <c r="S919" s="10" t="n">
        <f aca="false">IF(A919="","",R918)</f>
        <v>0</v>
      </c>
      <c r="T919" s="10" t="n">
        <f aca="false">IF(A919="","",IFERROR(S919*(1+Inputs!$B$23/12),""))</f>
        <v>0</v>
      </c>
      <c r="U919" s="6" t="n">
        <f aca="false">IF(A919="","",IF(D919&lt;=Inputs!$B$8,IF(Inputs!$B$22="Premium Offset",MAX(0,Inputs!$B$25-(Q919+T919)),Inputs!$B$25),0))</f>
        <v>0</v>
      </c>
      <c r="V919" s="10" t="n">
        <f aca="false">IF(A919="","",IF(Inputs!$B$22="Cash",Q919,0))</f>
        <v>0</v>
      </c>
      <c r="W919" s="10" t="n">
        <f aca="false">IF(A919="","",IF(Inputs!$B$22="PUA",Q919,0))</f>
        <v>0</v>
      </c>
      <c r="X919" s="12" t="n">
        <f aca="false">IF(A919="","",IFERROR(INDEX(PUA_TABLE!$D$4:$D$105,MATCH(E919,PUA_TABLE!$C$4:$C$105,1)),0))</f>
        <v>0.936135261900959</v>
      </c>
      <c r="Y919" s="10" t="n">
        <f aca="false">IF(A919="","",IF(W919&gt;0,IF(X919&gt;0,W919/X919,0),0))</f>
        <v>0</v>
      </c>
      <c r="Z919" s="10" t="n">
        <f aca="false">IF(A919="","",N919+Y919)</f>
        <v>0</v>
      </c>
      <c r="AA919" s="10" t="n">
        <f aca="false">IF(A919="","",IFERROR(Z919*INDEX(PUA_TABLE!$I$4:$I$105,MATCH(E919,PUA_TABLE!$C$4:$C$105,1))/1000,0))</f>
        <v>0</v>
      </c>
      <c r="AB919" s="10" t="n">
        <f aca="false">IF(A919="","",IFERROR(L919+AA919,0))</f>
        <v>46905.0647706981</v>
      </c>
      <c r="AC919" s="10" t="n">
        <f aca="false">IF(A919="","",IF(Inputs!$B$22="Premium Offset",MIN(Inputs!$B$25,Q919+T919),0))</f>
        <v>0</v>
      </c>
    </row>
    <row r="920" customFormat="false" ht="15" hidden="false" customHeight="false" outlineLevel="0" collapsed="false">
      <c r="A920" s="1" t="n">
        <f aca="false">IF(A919="","",IF(INT((C919+1)/12)+Inputs!$B$7&gt;MAX(MORTALITY!$A:$A),"",Inputs!$B$4))</f>
        <v>34</v>
      </c>
      <c r="B920" s="3" t="n">
        <f aca="false">IF(A920="","",EOMONTH(B919,1))</f>
        <v>49674</v>
      </c>
      <c r="C920" s="1" t="n">
        <f aca="false">IF(A920="","",C919+1)</f>
        <v>918</v>
      </c>
      <c r="D920" s="1" t="n">
        <f aca="false">IF(A920="","",INT(C920/12))</f>
        <v>76</v>
      </c>
      <c r="E920" s="1" t="n">
        <f aca="false">IF(A920="","",D920+Inputs!$B$7)</f>
        <v>92</v>
      </c>
      <c r="F920" s="3" t="n">
        <f aca="false">IF(A920="","",DATE(YEAR(B$2)+D920,MONTH(B$2),DAY(B$2)))</f>
        <v>49465</v>
      </c>
      <c r="G920" s="3" t="n">
        <f aca="false">IF(A920="","",DATE(YEAR(F920)+1,MONTH(F920),DAY(F920)))</f>
        <v>49831</v>
      </c>
      <c r="H920" s="10" t="n">
        <f aca="false">IF(A920="","",IF(G920&gt;F920,(B920-F920)/(G920-F920),0))</f>
        <v>0.57103825136612</v>
      </c>
      <c r="I920" s="10" t="n">
        <f aca="false">IF(A920="","",IFERROR(INDEX(CV_RATES!$I:$I,MATCH(D920,CV_RATES!$C:$C,0)),0))</f>
        <v>936.135261900959</v>
      </c>
      <c r="J920" s="10" t="n">
        <f aca="false">IF(A920="","",IFERROR(IF(E920=MAX(MORTALITY!$A:$A),1000,INDEX(CV_RATES!$J:$J,MATCH(D920,CV_RATES!$C:$C,0))),0))</f>
        <v>940.17778024792</v>
      </c>
      <c r="K920" s="10" t="n">
        <f aca="false">IF(A920="","",IFERROR(I920+H920*(J920-I920),0))</f>
        <v>938.443694508923</v>
      </c>
      <c r="L920" s="10" t="n">
        <f aca="false">IF(A920="","",IFERROR(K920*Inputs!$B$9,0))</f>
        <v>46922.1847254462</v>
      </c>
      <c r="M920" s="10" t="n">
        <f aca="false">IF(A920="","",IFERROR(K920*Inputs!$B$10,0))</f>
        <v>150148.175790344</v>
      </c>
      <c r="N920" s="10" t="n">
        <f aca="false">IF(A920="","",Z919)</f>
        <v>0</v>
      </c>
      <c r="O920" s="6" t="n">
        <f aca="false">IF(A920="","",Inputs!$B$18+N920)</f>
        <v>50000</v>
      </c>
      <c r="P920" s="5" t="n">
        <f aca="false">IF(A920="","",VLOOKUP(D920,DIvidend_Assumption!$A$3:$CX$103,($E$2+2),0)/12)</f>
        <v>0</v>
      </c>
      <c r="Q920" s="10" t="n">
        <f aca="false">IF(A920="","",IFERROR(AB919*P920,""))</f>
        <v>0</v>
      </c>
      <c r="R920" s="10" t="n">
        <f aca="false">IF(A920="","",IFERROR(IF(Inputs!$B$22="Accumulate",T920+Q920,IF(Inputs!$B$22="Premium Offset",MAX(0,T920+Q920-Inputs!$B$25),T920)),""))</f>
        <v>0</v>
      </c>
      <c r="S920" s="10" t="n">
        <f aca="false">IF(A920="","",R919)</f>
        <v>0</v>
      </c>
      <c r="T920" s="10" t="n">
        <f aca="false">IF(A920="","",IFERROR(S920*(1+Inputs!$B$23/12),""))</f>
        <v>0</v>
      </c>
      <c r="U920" s="6" t="n">
        <f aca="false">IF(A920="","",IF(D920&lt;=Inputs!$B$8,IF(Inputs!$B$22="Premium Offset",MAX(0,Inputs!$B$25-(Q920+T920)),Inputs!$B$25),0))</f>
        <v>0</v>
      </c>
      <c r="V920" s="10" t="n">
        <f aca="false">IF(A920="","",IF(Inputs!$B$22="Cash",Q920,0))</f>
        <v>0</v>
      </c>
      <c r="W920" s="10" t="n">
        <f aca="false">IF(A920="","",IF(Inputs!$B$22="PUA",Q920,0))</f>
        <v>0</v>
      </c>
      <c r="X920" s="12" t="n">
        <f aca="false">IF(A920="","",IFERROR(INDEX(PUA_TABLE!$D$4:$D$105,MATCH(E920,PUA_TABLE!$C$4:$C$105,1)),0))</f>
        <v>0.936135261900959</v>
      </c>
      <c r="Y920" s="10" t="n">
        <f aca="false">IF(A920="","",IF(W920&gt;0,IF(X920&gt;0,W920/X920,0),0))</f>
        <v>0</v>
      </c>
      <c r="Z920" s="10" t="n">
        <f aca="false">IF(A920="","",N920+Y920)</f>
        <v>0</v>
      </c>
      <c r="AA920" s="10" t="n">
        <f aca="false">IF(A920="","",IFERROR(Z920*INDEX(PUA_TABLE!$I$4:$I$105,MATCH(E920,PUA_TABLE!$C$4:$C$105,1))/1000,0))</f>
        <v>0</v>
      </c>
      <c r="AB920" s="10" t="n">
        <f aca="false">IF(A920="","",IFERROR(L920+AA920,0))</f>
        <v>46922.1847254462</v>
      </c>
      <c r="AC920" s="10" t="n">
        <f aca="false">IF(A920="","",IF(Inputs!$B$22="Premium Offset",MIN(Inputs!$B$25,Q920+T920),0))</f>
        <v>0</v>
      </c>
    </row>
    <row r="921" customFormat="false" ht="15" hidden="false" customHeight="false" outlineLevel="0" collapsed="false">
      <c r="A921" s="1" t="n">
        <f aca="false">IF(A920="","",IF(INT((C920+1)/12)+Inputs!$B$7&gt;MAX(MORTALITY!$A:$A),"",Inputs!$B$4))</f>
        <v>34</v>
      </c>
      <c r="B921" s="3" t="n">
        <f aca="false">IF(A921="","",EOMONTH(B920,1))</f>
        <v>49705</v>
      </c>
      <c r="C921" s="1" t="n">
        <f aca="false">IF(A921="","",C920+1)</f>
        <v>919</v>
      </c>
      <c r="D921" s="1" t="n">
        <f aca="false">IF(A921="","",INT(C921/12))</f>
        <v>76</v>
      </c>
      <c r="E921" s="1" t="n">
        <f aca="false">IF(A921="","",D921+Inputs!$B$7)</f>
        <v>92</v>
      </c>
      <c r="F921" s="3" t="n">
        <f aca="false">IF(A921="","",DATE(YEAR(B$2)+D921,MONTH(B$2),DAY(B$2)))</f>
        <v>49465</v>
      </c>
      <c r="G921" s="3" t="n">
        <f aca="false">IF(A921="","",DATE(YEAR(F921)+1,MONTH(F921),DAY(F921)))</f>
        <v>49831</v>
      </c>
      <c r="H921" s="10" t="n">
        <f aca="false">IF(A921="","",IF(G921&gt;F921,(B921-F921)/(G921-F921),0))</f>
        <v>0.655737704918033</v>
      </c>
      <c r="I921" s="10" t="n">
        <f aca="false">IF(A921="","",IFERROR(INDEX(CV_RATES!$I:$I,MATCH(D921,CV_RATES!$C:$C,0)),0))</f>
        <v>936.135261900959</v>
      </c>
      <c r="J921" s="10" t="n">
        <f aca="false">IF(A921="","",IFERROR(IF(E921=MAX(MORTALITY!$A:$A),1000,INDEX(CV_RATES!$J:$J,MATCH(D921,CV_RATES!$C:$C,0))),0))</f>
        <v>940.17778024792</v>
      </c>
      <c r="K921" s="10" t="n">
        <f aca="false">IF(A921="","",IFERROR(I921+H921*(J921-I921),0))</f>
        <v>938.786093603884</v>
      </c>
      <c r="L921" s="10" t="n">
        <f aca="false">IF(A921="","",IFERROR(K921*Inputs!$B$9,0))</f>
        <v>46939.3046801942</v>
      </c>
      <c r="M921" s="10" t="n">
        <f aca="false">IF(A921="","",IFERROR(K921*Inputs!$B$10,0))</f>
        <v>150202.958618341</v>
      </c>
      <c r="N921" s="10" t="n">
        <f aca="false">IF(A921="","",Z920)</f>
        <v>0</v>
      </c>
      <c r="O921" s="6" t="n">
        <f aca="false">IF(A921="","",Inputs!$B$18+N921)</f>
        <v>50000</v>
      </c>
      <c r="P921" s="5" t="n">
        <f aca="false">IF(A921="","",VLOOKUP(D921,DIvidend_Assumption!$A$3:$CX$103,($E$2+2),0)/12)</f>
        <v>0</v>
      </c>
      <c r="Q921" s="10" t="n">
        <f aca="false">IF(A921="","",IFERROR(AB920*P921,""))</f>
        <v>0</v>
      </c>
      <c r="R921" s="10" t="n">
        <f aca="false">IF(A921="","",IFERROR(IF(Inputs!$B$22="Accumulate",T921+Q921,IF(Inputs!$B$22="Premium Offset",MAX(0,T921+Q921-Inputs!$B$25),T921)),""))</f>
        <v>0</v>
      </c>
      <c r="S921" s="10" t="n">
        <f aca="false">IF(A921="","",R920)</f>
        <v>0</v>
      </c>
      <c r="T921" s="10" t="n">
        <f aca="false">IF(A921="","",IFERROR(S921*(1+Inputs!$B$23/12),""))</f>
        <v>0</v>
      </c>
      <c r="U921" s="6" t="n">
        <f aca="false">IF(A921="","",IF(D921&lt;=Inputs!$B$8,IF(Inputs!$B$22="Premium Offset",MAX(0,Inputs!$B$25-(Q921+T921)),Inputs!$B$25),0))</f>
        <v>0</v>
      </c>
      <c r="V921" s="10" t="n">
        <f aca="false">IF(A921="","",IF(Inputs!$B$22="Cash",Q921,0))</f>
        <v>0</v>
      </c>
      <c r="W921" s="10" t="n">
        <f aca="false">IF(A921="","",IF(Inputs!$B$22="PUA",Q921,0))</f>
        <v>0</v>
      </c>
      <c r="X921" s="12" t="n">
        <f aca="false">IF(A921="","",IFERROR(INDEX(PUA_TABLE!$D$4:$D$105,MATCH(E921,PUA_TABLE!$C$4:$C$105,1)),0))</f>
        <v>0.936135261900959</v>
      </c>
      <c r="Y921" s="10" t="n">
        <f aca="false">IF(A921="","",IF(W921&gt;0,IF(X921&gt;0,W921/X921,0),0))</f>
        <v>0</v>
      </c>
      <c r="Z921" s="10" t="n">
        <f aca="false">IF(A921="","",N921+Y921)</f>
        <v>0</v>
      </c>
      <c r="AA921" s="10" t="n">
        <f aca="false">IF(A921="","",IFERROR(Z921*INDEX(PUA_TABLE!$I$4:$I$105,MATCH(E921,PUA_TABLE!$C$4:$C$105,1))/1000,0))</f>
        <v>0</v>
      </c>
      <c r="AB921" s="10" t="n">
        <f aca="false">IF(A921="","",IFERROR(L921+AA921,0))</f>
        <v>46939.3046801942</v>
      </c>
      <c r="AC921" s="10" t="n">
        <f aca="false">IF(A921="","",IF(Inputs!$B$22="Premium Offset",MIN(Inputs!$B$25,Q921+T921),0))</f>
        <v>0</v>
      </c>
    </row>
    <row r="922" customFormat="false" ht="15" hidden="false" customHeight="false" outlineLevel="0" collapsed="false">
      <c r="A922" s="1" t="n">
        <f aca="false">IF(A921="","",IF(INT((C921+1)/12)+Inputs!$B$7&gt;MAX(MORTALITY!$A:$A),"",Inputs!$B$4))</f>
        <v>34</v>
      </c>
      <c r="B922" s="3" t="n">
        <f aca="false">IF(A922="","",EOMONTH(B921,1))</f>
        <v>49734</v>
      </c>
      <c r="C922" s="1" t="n">
        <f aca="false">IF(A922="","",C921+1)</f>
        <v>920</v>
      </c>
      <c r="D922" s="1" t="n">
        <f aca="false">IF(A922="","",INT(C922/12))</f>
        <v>76</v>
      </c>
      <c r="E922" s="1" t="n">
        <f aca="false">IF(A922="","",D922+Inputs!$B$7)</f>
        <v>92</v>
      </c>
      <c r="F922" s="3" t="n">
        <f aca="false">IF(A922="","",DATE(YEAR(B$2)+D922,MONTH(B$2),DAY(B$2)))</f>
        <v>49465</v>
      </c>
      <c r="G922" s="3" t="n">
        <f aca="false">IF(A922="","",DATE(YEAR(F922)+1,MONTH(F922),DAY(F922)))</f>
        <v>49831</v>
      </c>
      <c r="H922" s="10" t="n">
        <f aca="false">IF(A922="","",IF(G922&gt;F922,(B922-F922)/(G922-F922),0))</f>
        <v>0.734972677595629</v>
      </c>
      <c r="I922" s="10" t="n">
        <f aca="false">IF(A922="","",IFERROR(INDEX(CV_RATES!$I:$I,MATCH(D922,CV_RATES!$C:$C,0)),0))</f>
        <v>936.135261900959</v>
      </c>
      <c r="J922" s="10" t="n">
        <f aca="false">IF(A922="","",IFERROR(IF(E922=MAX(MORTALITY!$A:$A),1000,INDEX(CV_RATES!$J:$J,MATCH(D922,CV_RATES!$C:$C,0))),0))</f>
        <v>940.17778024792</v>
      </c>
      <c r="K922" s="10" t="n">
        <f aca="false">IF(A922="","",IFERROR(I922+H922*(J922-I922),0))</f>
        <v>939.106402434654</v>
      </c>
      <c r="L922" s="10" t="n">
        <f aca="false">IF(A922="","",IFERROR(K922*Inputs!$B$9,0))</f>
        <v>46955.3201217327</v>
      </c>
      <c r="M922" s="10" t="n">
        <f aca="false">IF(A922="","",IFERROR(K922*Inputs!$B$10,0))</f>
        <v>150254.207070337</v>
      </c>
      <c r="N922" s="10" t="n">
        <f aca="false">IF(A922="","",Z921)</f>
        <v>0</v>
      </c>
      <c r="O922" s="6" t="n">
        <f aca="false">IF(A922="","",Inputs!$B$18+N922)</f>
        <v>50000</v>
      </c>
      <c r="P922" s="5" t="n">
        <f aca="false">IF(A922="","",VLOOKUP(D922,DIvidend_Assumption!$A$3:$CX$103,($E$2+2),0)/12)</f>
        <v>0</v>
      </c>
      <c r="Q922" s="10" t="n">
        <f aca="false">IF(A922="","",IFERROR(AB921*P922,""))</f>
        <v>0</v>
      </c>
      <c r="R922" s="10" t="n">
        <f aca="false">IF(A922="","",IFERROR(IF(Inputs!$B$22="Accumulate",T922+Q922,IF(Inputs!$B$22="Premium Offset",MAX(0,T922+Q922-Inputs!$B$25),T922)),""))</f>
        <v>0</v>
      </c>
      <c r="S922" s="10" t="n">
        <f aca="false">IF(A922="","",R921)</f>
        <v>0</v>
      </c>
      <c r="T922" s="10" t="n">
        <f aca="false">IF(A922="","",IFERROR(S922*(1+Inputs!$B$23/12),""))</f>
        <v>0</v>
      </c>
      <c r="U922" s="6" t="n">
        <f aca="false">IF(A922="","",IF(D922&lt;=Inputs!$B$8,IF(Inputs!$B$22="Premium Offset",MAX(0,Inputs!$B$25-(Q922+T922)),Inputs!$B$25),0))</f>
        <v>0</v>
      </c>
      <c r="V922" s="10" t="n">
        <f aca="false">IF(A922="","",IF(Inputs!$B$22="Cash",Q922,0))</f>
        <v>0</v>
      </c>
      <c r="W922" s="10" t="n">
        <f aca="false">IF(A922="","",IF(Inputs!$B$22="PUA",Q922,0))</f>
        <v>0</v>
      </c>
      <c r="X922" s="12" t="n">
        <f aca="false">IF(A922="","",IFERROR(INDEX(PUA_TABLE!$D$4:$D$105,MATCH(E922,PUA_TABLE!$C$4:$C$105,1)),0))</f>
        <v>0.936135261900959</v>
      </c>
      <c r="Y922" s="10" t="n">
        <f aca="false">IF(A922="","",IF(W922&gt;0,IF(X922&gt;0,W922/X922,0),0))</f>
        <v>0</v>
      </c>
      <c r="Z922" s="10" t="n">
        <f aca="false">IF(A922="","",N922+Y922)</f>
        <v>0</v>
      </c>
      <c r="AA922" s="10" t="n">
        <f aca="false">IF(A922="","",IFERROR(Z922*INDEX(PUA_TABLE!$I$4:$I$105,MATCH(E922,PUA_TABLE!$C$4:$C$105,1))/1000,0))</f>
        <v>0</v>
      </c>
      <c r="AB922" s="10" t="n">
        <f aca="false">IF(A922="","",IFERROR(L922+AA922,0))</f>
        <v>46955.3201217327</v>
      </c>
      <c r="AC922" s="10" t="n">
        <f aca="false">IF(A922="","",IF(Inputs!$B$22="Premium Offset",MIN(Inputs!$B$25,Q922+T922),0))</f>
        <v>0</v>
      </c>
    </row>
    <row r="923" customFormat="false" ht="15" hidden="false" customHeight="false" outlineLevel="0" collapsed="false">
      <c r="A923" s="1" t="n">
        <f aca="false">IF(A922="","",IF(INT((C922+1)/12)+Inputs!$B$7&gt;MAX(MORTALITY!$A:$A),"",Inputs!$B$4))</f>
        <v>34</v>
      </c>
      <c r="B923" s="3" t="n">
        <f aca="false">IF(A923="","",EOMONTH(B922,1))</f>
        <v>49765</v>
      </c>
      <c r="C923" s="1" t="n">
        <f aca="false">IF(A923="","",C922+1)</f>
        <v>921</v>
      </c>
      <c r="D923" s="1" t="n">
        <f aca="false">IF(A923="","",INT(C923/12))</f>
        <v>76</v>
      </c>
      <c r="E923" s="1" t="n">
        <f aca="false">IF(A923="","",D923+Inputs!$B$7)</f>
        <v>92</v>
      </c>
      <c r="F923" s="3" t="n">
        <f aca="false">IF(A923="","",DATE(YEAR(B$2)+D923,MONTH(B$2),DAY(B$2)))</f>
        <v>49465</v>
      </c>
      <c r="G923" s="3" t="n">
        <f aca="false">IF(A923="","",DATE(YEAR(F923)+1,MONTH(F923),DAY(F923)))</f>
        <v>49831</v>
      </c>
      <c r="H923" s="10" t="n">
        <f aca="false">IF(A923="","",IF(G923&gt;F923,(B923-F923)/(G923-F923),0))</f>
        <v>0.819672131147541</v>
      </c>
      <c r="I923" s="10" t="n">
        <f aca="false">IF(A923="","",IFERROR(INDEX(CV_RATES!$I:$I,MATCH(D923,CV_RATES!$C:$C,0)),0))</f>
        <v>936.135261900959</v>
      </c>
      <c r="J923" s="10" t="n">
        <f aca="false">IF(A923="","",IFERROR(IF(E923=MAX(MORTALITY!$A:$A),1000,INDEX(CV_RATES!$J:$J,MATCH(D923,CV_RATES!$C:$C,0))),0))</f>
        <v>940.17778024792</v>
      </c>
      <c r="K923" s="10" t="n">
        <f aca="false">IF(A923="","",IFERROR(I923+H923*(J923-I923),0))</f>
        <v>939.448801529616</v>
      </c>
      <c r="L923" s="10" t="n">
        <f aca="false">IF(A923="","",IFERROR(K923*Inputs!$B$9,0))</f>
        <v>46972.4400764808</v>
      </c>
      <c r="M923" s="10" t="n">
        <f aca="false">IF(A923="","",IFERROR(K923*Inputs!$B$10,0))</f>
        <v>150308.989898334</v>
      </c>
      <c r="N923" s="10" t="n">
        <f aca="false">IF(A923="","",Z922)</f>
        <v>0</v>
      </c>
      <c r="O923" s="6" t="n">
        <f aca="false">IF(A923="","",Inputs!$B$18+N923)</f>
        <v>50000</v>
      </c>
      <c r="P923" s="5" t="n">
        <f aca="false">IF(A923="","",VLOOKUP(D923,DIvidend_Assumption!$A$3:$CX$103,($E$2+2),0)/12)</f>
        <v>0</v>
      </c>
      <c r="Q923" s="10" t="n">
        <f aca="false">IF(A923="","",IFERROR(AB922*P923,""))</f>
        <v>0</v>
      </c>
      <c r="R923" s="10" t="n">
        <f aca="false">IF(A923="","",IFERROR(IF(Inputs!$B$22="Accumulate",T923+Q923,IF(Inputs!$B$22="Premium Offset",MAX(0,T923+Q923-Inputs!$B$25),T923)),""))</f>
        <v>0</v>
      </c>
      <c r="S923" s="10" t="n">
        <f aca="false">IF(A923="","",R922)</f>
        <v>0</v>
      </c>
      <c r="T923" s="10" t="n">
        <f aca="false">IF(A923="","",IFERROR(S923*(1+Inputs!$B$23/12),""))</f>
        <v>0</v>
      </c>
      <c r="U923" s="6" t="n">
        <f aca="false">IF(A923="","",IF(D923&lt;=Inputs!$B$8,IF(Inputs!$B$22="Premium Offset",MAX(0,Inputs!$B$25-(Q923+T923)),Inputs!$B$25),0))</f>
        <v>0</v>
      </c>
      <c r="V923" s="10" t="n">
        <f aca="false">IF(A923="","",IF(Inputs!$B$22="Cash",Q923,0))</f>
        <v>0</v>
      </c>
      <c r="W923" s="10" t="n">
        <f aca="false">IF(A923="","",IF(Inputs!$B$22="PUA",Q923,0))</f>
        <v>0</v>
      </c>
      <c r="X923" s="12" t="n">
        <f aca="false">IF(A923="","",IFERROR(INDEX(PUA_TABLE!$D$4:$D$105,MATCH(E923,PUA_TABLE!$C$4:$C$105,1)),0))</f>
        <v>0.936135261900959</v>
      </c>
      <c r="Y923" s="10" t="n">
        <f aca="false">IF(A923="","",IF(W923&gt;0,IF(X923&gt;0,W923/X923,0),0))</f>
        <v>0</v>
      </c>
      <c r="Z923" s="10" t="n">
        <f aca="false">IF(A923="","",N923+Y923)</f>
        <v>0</v>
      </c>
      <c r="AA923" s="10" t="n">
        <f aca="false">IF(A923="","",IFERROR(Z923*INDEX(PUA_TABLE!$I$4:$I$105,MATCH(E923,PUA_TABLE!$C$4:$C$105,1))/1000,0))</f>
        <v>0</v>
      </c>
      <c r="AB923" s="10" t="n">
        <f aca="false">IF(A923="","",IFERROR(L923+AA923,0))</f>
        <v>46972.4400764808</v>
      </c>
      <c r="AC923" s="10" t="n">
        <f aca="false">IF(A923="","",IF(Inputs!$B$22="Premium Offset",MIN(Inputs!$B$25,Q923+T923),0))</f>
        <v>0</v>
      </c>
    </row>
    <row r="924" customFormat="false" ht="15" hidden="false" customHeight="false" outlineLevel="0" collapsed="false">
      <c r="A924" s="1" t="n">
        <f aca="false">IF(A923="","",IF(INT((C923+1)/12)+Inputs!$B$7&gt;MAX(MORTALITY!$A:$A),"",Inputs!$B$4))</f>
        <v>34</v>
      </c>
      <c r="B924" s="3" t="n">
        <f aca="false">IF(A924="","",EOMONTH(B923,1))</f>
        <v>49795</v>
      </c>
      <c r="C924" s="1" t="n">
        <f aca="false">IF(A924="","",C923+1)</f>
        <v>922</v>
      </c>
      <c r="D924" s="1" t="n">
        <f aca="false">IF(A924="","",INT(C924/12))</f>
        <v>76</v>
      </c>
      <c r="E924" s="1" t="n">
        <f aca="false">IF(A924="","",D924+Inputs!$B$7)</f>
        <v>92</v>
      </c>
      <c r="F924" s="3" t="n">
        <f aca="false">IF(A924="","",DATE(YEAR(B$2)+D924,MONTH(B$2),DAY(B$2)))</f>
        <v>49465</v>
      </c>
      <c r="G924" s="3" t="n">
        <f aca="false">IF(A924="","",DATE(YEAR(F924)+1,MONTH(F924),DAY(F924)))</f>
        <v>49831</v>
      </c>
      <c r="H924" s="10" t="n">
        <f aca="false">IF(A924="","",IF(G924&gt;F924,(B924-F924)/(G924-F924),0))</f>
        <v>0.901639344262295</v>
      </c>
      <c r="I924" s="10" t="n">
        <f aca="false">IF(A924="","",IFERROR(INDEX(CV_RATES!$I:$I,MATCH(D924,CV_RATES!$C:$C,0)),0))</f>
        <v>936.135261900959</v>
      </c>
      <c r="J924" s="10" t="n">
        <f aca="false">IF(A924="","",IFERROR(IF(E924=MAX(MORTALITY!$A:$A),1000,INDEX(CV_RATES!$J:$J,MATCH(D924,CV_RATES!$C:$C,0))),0))</f>
        <v>940.17778024792</v>
      </c>
      <c r="K924" s="10" t="n">
        <f aca="false">IF(A924="","",IFERROR(I924+H924*(J924-I924),0))</f>
        <v>939.780155492481</v>
      </c>
      <c r="L924" s="10" t="n">
        <f aca="false">IF(A924="","",IFERROR(K924*Inputs!$B$9,0))</f>
        <v>46989.0077746241</v>
      </c>
      <c r="M924" s="10" t="n">
        <f aca="false">IF(A924="","",IFERROR(K924*Inputs!$B$10,0))</f>
        <v>150362.005538331</v>
      </c>
      <c r="N924" s="10" t="n">
        <f aca="false">IF(A924="","",Z923)</f>
        <v>0</v>
      </c>
      <c r="O924" s="6" t="n">
        <f aca="false">IF(A924="","",Inputs!$B$18+N924)</f>
        <v>50000</v>
      </c>
      <c r="P924" s="5" t="n">
        <f aca="false">IF(A924="","",VLOOKUP(D924,DIvidend_Assumption!$A$3:$CX$103,($E$2+2),0)/12)</f>
        <v>0</v>
      </c>
      <c r="Q924" s="10" t="n">
        <f aca="false">IF(A924="","",IFERROR(AB923*P924,""))</f>
        <v>0</v>
      </c>
      <c r="R924" s="10" t="n">
        <f aca="false">IF(A924="","",IFERROR(IF(Inputs!$B$22="Accumulate",T924+Q924,IF(Inputs!$B$22="Premium Offset",MAX(0,T924+Q924-Inputs!$B$25),T924)),""))</f>
        <v>0</v>
      </c>
      <c r="S924" s="10" t="n">
        <f aca="false">IF(A924="","",R923)</f>
        <v>0</v>
      </c>
      <c r="T924" s="10" t="n">
        <f aca="false">IF(A924="","",IFERROR(S924*(1+Inputs!$B$23/12),""))</f>
        <v>0</v>
      </c>
      <c r="U924" s="6" t="n">
        <f aca="false">IF(A924="","",IF(D924&lt;=Inputs!$B$8,IF(Inputs!$B$22="Premium Offset",MAX(0,Inputs!$B$25-(Q924+T924)),Inputs!$B$25),0))</f>
        <v>0</v>
      </c>
      <c r="V924" s="10" t="n">
        <f aca="false">IF(A924="","",IF(Inputs!$B$22="Cash",Q924,0))</f>
        <v>0</v>
      </c>
      <c r="W924" s="10" t="n">
        <f aca="false">IF(A924="","",IF(Inputs!$B$22="PUA",Q924,0))</f>
        <v>0</v>
      </c>
      <c r="X924" s="12" t="n">
        <f aca="false">IF(A924="","",IFERROR(INDEX(PUA_TABLE!$D$4:$D$105,MATCH(E924,PUA_TABLE!$C$4:$C$105,1)),0))</f>
        <v>0.936135261900959</v>
      </c>
      <c r="Y924" s="10" t="n">
        <f aca="false">IF(A924="","",IF(W924&gt;0,IF(X924&gt;0,W924/X924,0),0))</f>
        <v>0</v>
      </c>
      <c r="Z924" s="10" t="n">
        <f aca="false">IF(A924="","",N924+Y924)</f>
        <v>0</v>
      </c>
      <c r="AA924" s="10" t="n">
        <f aca="false">IF(A924="","",IFERROR(Z924*INDEX(PUA_TABLE!$I$4:$I$105,MATCH(E924,PUA_TABLE!$C$4:$C$105,1))/1000,0))</f>
        <v>0</v>
      </c>
      <c r="AB924" s="10" t="n">
        <f aca="false">IF(A924="","",IFERROR(L924+AA924,0))</f>
        <v>46989.0077746241</v>
      </c>
      <c r="AC924" s="10" t="n">
        <f aca="false">IF(A924="","",IF(Inputs!$B$22="Premium Offset",MIN(Inputs!$B$25,Q924+T924),0))</f>
        <v>0</v>
      </c>
    </row>
    <row r="925" customFormat="false" ht="15" hidden="false" customHeight="false" outlineLevel="0" collapsed="false">
      <c r="A925" s="1" t="n">
        <f aca="false">IF(A924="","",IF(INT((C924+1)/12)+Inputs!$B$7&gt;MAX(MORTALITY!$A:$A),"",Inputs!$B$4))</f>
        <v>34</v>
      </c>
      <c r="B925" s="3" t="n">
        <f aca="false">IF(A925="","",EOMONTH(B924,1))</f>
        <v>49826</v>
      </c>
      <c r="C925" s="1" t="n">
        <f aca="false">IF(A925="","",C924+1)</f>
        <v>923</v>
      </c>
      <c r="D925" s="1" t="n">
        <f aca="false">IF(A925="","",INT(C925/12))</f>
        <v>76</v>
      </c>
      <c r="E925" s="1" t="n">
        <f aca="false">IF(A925="","",D925+Inputs!$B$7)</f>
        <v>92</v>
      </c>
      <c r="F925" s="3" t="n">
        <f aca="false">IF(A925="","",DATE(YEAR(B$2)+D925,MONTH(B$2),DAY(B$2)))</f>
        <v>49465</v>
      </c>
      <c r="G925" s="3" t="n">
        <f aca="false">IF(A925="","",DATE(YEAR(F925)+1,MONTH(F925),DAY(F925)))</f>
        <v>49831</v>
      </c>
      <c r="H925" s="10" t="n">
        <f aca="false">IF(A925="","",IF(G925&gt;F925,(B925-F925)/(G925-F925),0))</f>
        <v>0.986338797814208</v>
      </c>
      <c r="I925" s="10" t="n">
        <f aca="false">IF(A925="","",IFERROR(INDEX(CV_RATES!$I:$I,MATCH(D925,CV_RATES!$C:$C,0)),0))</f>
        <v>936.135261900959</v>
      </c>
      <c r="J925" s="10" t="n">
        <f aca="false">IF(A925="","",IFERROR(IF(E925=MAX(MORTALITY!$A:$A),1000,INDEX(CV_RATES!$J:$J,MATCH(D925,CV_RATES!$C:$C,0))),0))</f>
        <v>940.17778024792</v>
      </c>
      <c r="K925" s="10" t="n">
        <f aca="false">IF(A925="","",IFERROR(I925+H925*(J925-I925),0))</f>
        <v>940.122554587442</v>
      </c>
      <c r="L925" s="10" t="n">
        <f aca="false">IF(A925="","",IFERROR(K925*Inputs!$B$9,0))</f>
        <v>47006.1277293721</v>
      </c>
      <c r="M925" s="10" t="n">
        <f aca="false">IF(A925="","",IFERROR(K925*Inputs!$B$10,0))</f>
        <v>150416.788366327</v>
      </c>
      <c r="N925" s="10" t="n">
        <f aca="false">IF(A925="","",Z924)</f>
        <v>0</v>
      </c>
      <c r="O925" s="6" t="n">
        <f aca="false">IF(A925="","",Inputs!$B$18+N925)</f>
        <v>50000</v>
      </c>
      <c r="P925" s="5" t="n">
        <f aca="false">IF(A925="","",VLOOKUP(D925,DIvidend_Assumption!$A$3:$CX$103,($E$2+2),0)/12)</f>
        <v>0</v>
      </c>
      <c r="Q925" s="10" t="n">
        <f aca="false">IF(A925="","",IFERROR(AB924*P925,""))</f>
        <v>0</v>
      </c>
      <c r="R925" s="10" t="n">
        <f aca="false">IF(A925="","",IFERROR(IF(Inputs!$B$22="Accumulate",T925+Q925,IF(Inputs!$B$22="Premium Offset",MAX(0,T925+Q925-Inputs!$B$25),T925)),""))</f>
        <v>0</v>
      </c>
      <c r="S925" s="10" t="n">
        <f aca="false">IF(A925="","",R924)</f>
        <v>0</v>
      </c>
      <c r="T925" s="10" t="n">
        <f aca="false">IF(A925="","",IFERROR(S925*(1+Inputs!$B$23/12),""))</f>
        <v>0</v>
      </c>
      <c r="U925" s="6" t="n">
        <f aca="false">IF(A925="","",IF(D925&lt;=Inputs!$B$8,IF(Inputs!$B$22="Premium Offset",MAX(0,Inputs!$B$25-(Q925+T925)),Inputs!$B$25),0))</f>
        <v>0</v>
      </c>
      <c r="V925" s="10" t="n">
        <f aca="false">IF(A925="","",IF(Inputs!$B$22="Cash",Q925,0))</f>
        <v>0</v>
      </c>
      <c r="W925" s="10" t="n">
        <f aca="false">IF(A925="","",IF(Inputs!$B$22="PUA",Q925,0))</f>
        <v>0</v>
      </c>
      <c r="X925" s="12" t="n">
        <f aca="false">IF(A925="","",IFERROR(INDEX(PUA_TABLE!$D$4:$D$105,MATCH(E925,PUA_TABLE!$C$4:$C$105,1)),0))</f>
        <v>0.936135261900959</v>
      </c>
      <c r="Y925" s="10" t="n">
        <f aca="false">IF(A925="","",IF(W925&gt;0,IF(X925&gt;0,W925/X925,0),0))</f>
        <v>0</v>
      </c>
      <c r="Z925" s="10" t="n">
        <f aca="false">IF(A925="","",N925+Y925)</f>
        <v>0</v>
      </c>
      <c r="AA925" s="10" t="n">
        <f aca="false">IF(A925="","",IFERROR(Z925*INDEX(PUA_TABLE!$I$4:$I$105,MATCH(E925,PUA_TABLE!$C$4:$C$105,1))/1000,0))</f>
        <v>0</v>
      </c>
      <c r="AB925" s="10" t="n">
        <f aca="false">IF(A925="","",IFERROR(L925+AA925,0))</f>
        <v>47006.1277293721</v>
      </c>
      <c r="AC925" s="10" t="n">
        <f aca="false">IF(A925="","",IF(Inputs!$B$22="Premium Offset",MIN(Inputs!$B$25,Q925+T925),0))</f>
        <v>0</v>
      </c>
    </row>
    <row r="926" customFormat="false" ht="15" hidden="false" customHeight="false" outlineLevel="0" collapsed="false">
      <c r="A926" s="1" t="n">
        <f aca="false">IF(A925="","",IF(INT((C925+1)/12)+Inputs!$B$7&gt;MAX(MORTALITY!$A:$A),"",Inputs!$B$4))</f>
        <v>34</v>
      </c>
      <c r="B926" s="3" t="n">
        <f aca="false">IF(A926="","",EOMONTH(B925,1))</f>
        <v>49856</v>
      </c>
      <c r="C926" s="1" t="n">
        <f aca="false">IF(A926="","",C925+1)</f>
        <v>924</v>
      </c>
      <c r="D926" s="1" t="n">
        <f aca="false">IF(A926="","",INT(C926/12))</f>
        <v>77</v>
      </c>
      <c r="E926" s="1" t="n">
        <f aca="false">IF(A926="","",D926+Inputs!$B$7)</f>
        <v>93</v>
      </c>
      <c r="F926" s="3" t="n">
        <f aca="false">IF(A926="","",DATE(YEAR(B$2)+D926,MONTH(B$2),DAY(B$2)))</f>
        <v>49831</v>
      </c>
      <c r="G926" s="3" t="n">
        <f aca="false">IF(A926="","",DATE(YEAR(F926)+1,MONTH(F926),DAY(F926)))</f>
        <v>50196</v>
      </c>
      <c r="H926" s="10" t="n">
        <f aca="false">IF(A926="","",IF(G926&gt;F926,(B926-F926)/(G926-F926),0))</f>
        <v>0.0684931506849315</v>
      </c>
      <c r="I926" s="10" t="n">
        <f aca="false">IF(A926="","",IFERROR(INDEX(CV_RATES!$I:$I,MATCH(D926,CV_RATES!$C:$C,0)),0))</f>
        <v>940.17778024792</v>
      </c>
      <c r="J926" s="10" t="n">
        <f aca="false">IF(A926="","",IFERROR(IF(E926=MAX(MORTALITY!$A:$A),1000,INDEX(CV_RATES!$J:$J,MATCH(D926,CV_RATES!$C:$C,0))),0))</f>
        <v>944.412135724305</v>
      </c>
      <c r="K926" s="10" t="n">
        <f aca="false">IF(A926="","",IFERROR(I926+H926*(J926-I926),0))</f>
        <v>940.467804595618</v>
      </c>
      <c r="L926" s="10" t="n">
        <f aca="false">IF(A926="","",IFERROR(K926*Inputs!$B$9,0))</f>
        <v>47023.3902297809</v>
      </c>
      <c r="M926" s="10" t="n">
        <f aca="false">IF(A926="","",IFERROR(K926*Inputs!$B$10,0))</f>
        <v>150472.027331885</v>
      </c>
      <c r="N926" s="10" t="n">
        <f aca="false">IF(A926="","",Z925)</f>
        <v>0</v>
      </c>
      <c r="O926" s="6" t="n">
        <f aca="false">IF(A926="","",Inputs!$B$18+N926)</f>
        <v>50000</v>
      </c>
      <c r="P926" s="5" t="n">
        <f aca="false">IF(A926="","",VLOOKUP(D926,DIvidend_Assumption!$A$3:$CX$103,($E$2+2),0)/12)</f>
        <v>0</v>
      </c>
      <c r="Q926" s="10" t="n">
        <f aca="false">IF(A926="","",IFERROR(AB925*P926,""))</f>
        <v>0</v>
      </c>
      <c r="R926" s="10" t="n">
        <f aca="false">IF(A926="","",IFERROR(IF(Inputs!$B$22="Accumulate",T926+Q926,IF(Inputs!$B$22="Premium Offset",MAX(0,T926+Q926-Inputs!$B$25),T926)),""))</f>
        <v>0</v>
      </c>
      <c r="S926" s="10" t="n">
        <f aca="false">IF(A926="","",R925)</f>
        <v>0</v>
      </c>
      <c r="T926" s="10" t="n">
        <f aca="false">IF(A926="","",IFERROR(S926*(1+Inputs!$B$23/12),""))</f>
        <v>0</v>
      </c>
      <c r="U926" s="6" t="n">
        <f aca="false">IF(A926="","",IF(D926&lt;=Inputs!$B$8,IF(Inputs!$B$22="Premium Offset",MAX(0,Inputs!$B$25-(Q926+T926)),Inputs!$B$25),0))</f>
        <v>0</v>
      </c>
      <c r="V926" s="10" t="n">
        <f aca="false">IF(A926="","",IF(Inputs!$B$22="Cash",Q926,0))</f>
        <v>0</v>
      </c>
      <c r="W926" s="10" t="n">
        <f aca="false">IF(A926="","",IF(Inputs!$B$22="PUA",Q926,0))</f>
        <v>0</v>
      </c>
      <c r="X926" s="12" t="n">
        <f aca="false">IF(A926="","",IFERROR(INDEX(PUA_TABLE!$D$4:$D$105,MATCH(E926,PUA_TABLE!$C$4:$C$105,1)),0))</f>
        <v>0.94017778024792</v>
      </c>
      <c r="Y926" s="10" t="n">
        <f aca="false">IF(A926="","",IF(W926&gt;0,IF(X926&gt;0,W926/X926,0),0))</f>
        <v>0</v>
      </c>
      <c r="Z926" s="10" t="n">
        <f aca="false">IF(A926="","",N926+Y926)</f>
        <v>0</v>
      </c>
      <c r="AA926" s="10" t="n">
        <f aca="false">IF(A926="","",IFERROR(Z926*INDEX(PUA_TABLE!$I$4:$I$105,MATCH(E926,PUA_TABLE!$C$4:$C$105,1))/1000,0))</f>
        <v>0</v>
      </c>
      <c r="AB926" s="10" t="n">
        <f aca="false">IF(A926="","",IFERROR(L926+AA926,0))</f>
        <v>47023.3902297809</v>
      </c>
      <c r="AC926" s="10" t="n">
        <f aca="false">IF(A926="","",IF(Inputs!$B$22="Premium Offset",MIN(Inputs!$B$25,Q926+T926),0))</f>
        <v>0</v>
      </c>
    </row>
    <row r="927" customFormat="false" ht="15" hidden="false" customHeight="false" outlineLevel="0" collapsed="false">
      <c r="A927" s="1" t="n">
        <f aca="false">IF(A926="","",IF(INT((C926+1)/12)+Inputs!$B$7&gt;MAX(MORTALITY!$A:$A),"",Inputs!$B$4))</f>
        <v>34</v>
      </c>
      <c r="B927" s="3" t="n">
        <f aca="false">IF(A927="","",EOMONTH(B926,1))</f>
        <v>49887</v>
      </c>
      <c r="C927" s="1" t="n">
        <f aca="false">IF(A927="","",C926+1)</f>
        <v>925</v>
      </c>
      <c r="D927" s="1" t="n">
        <f aca="false">IF(A927="","",INT(C927/12))</f>
        <v>77</v>
      </c>
      <c r="E927" s="1" t="n">
        <f aca="false">IF(A927="","",D927+Inputs!$B$7)</f>
        <v>93</v>
      </c>
      <c r="F927" s="3" t="n">
        <f aca="false">IF(A927="","",DATE(YEAR(B$2)+D927,MONTH(B$2),DAY(B$2)))</f>
        <v>49831</v>
      </c>
      <c r="G927" s="3" t="n">
        <f aca="false">IF(A927="","",DATE(YEAR(F927)+1,MONTH(F927),DAY(F927)))</f>
        <v>50196</v>
      </c>
      <c r="H927" s="10" t="n">
        <f aca="false">IF(A927="","",IF(G927&gt;F927,(B927-F927)/(G927-F927),0))</f>
        <v>0.153424657534247</v>
      </c>
      <c r="I927" s="10" t="n">
        <f aca="false">IF(A927="","",IFERROR(INDEX(CV_RATES!$I:$I,MATCH(D927,CV_RATES!$C:$C,0)),0))</f>
        <v>940.17778024792</v>
      </c>
      <c r="J927" s="10" t="n">
        <f aca="false">IF(A927="","",IFERROR(IF(E927=MAX(MORTALITY!$A:$A),1000,INDEX(CV_RATES!$J:$J,MATCH(D927,CV_RATES!$C:$C,0))),0))</f>
        <v>944.412135724305</v>
      </c>
      <c r="K927" s="10" t="n">
        <f aca="false">IF(A927="","",IFERROR(I927+H927*(J927-I927),0))</f>
        <v>940.827434786763</v>
      </c>
      <c r="L927" s="10" t="n">
        <f aca="false">IF(A927="","",IFERROR(K927*Inputs!$B$9,0))</f>
        <v>47041.3717393381</v>
      </c>
      <c r="M927" s="10" t="n">
        <f aca="false">IF(A927="","",IFERROR(K927*Inputs!$B$10,0))</f>
        <v>150529.567083578</v>
      </c>
      <c r="N927" s="10" t="n">
        <f aca="false">IF(A927="","",Z926)</f>
        <v>0</v>
      </c>
      <c r="O927" s="6" t="n">
        <f aca="false">IF(A927="","",Inputs!$B$18+N927)</f>
        <v>50000</v>
      </c>
      <c r="P927" s="5" t="n">
        <f aca="false">IF(A927="","",VLOOKUP(D927,DIvidend_Assumption!$A$3:$CX$103,($E$2+2),0)/12)</f>
        <v>0</v>
      </c>
      <c r="Q927" s="10" t="n">
        <f aca="false">IF(A927="","",IFERROR(AB926*P927,""))</f>
        <v>0</v>
      </c>
      <c r="R927" s="10" t="n">
        <f aca="false">IF(A927="","",IFERROR(IF(Inputs!$B$22="Accumulate",T927+Q927,IF(Inputs!$B$22="Premium Offset",MAX(0,T927+Q927-Inputs!$B$25),T927)),""))</f>
        <v>0</v>
      </c>
      <c r="S927" s="10" t="n">
        <f aca="false">IF(A927="","",R926)</f>
        <v>0</v>
      </c>
      <c r="T927" s="10" t="n">
        <f aca="false">IF(A927="","",IFERROR(S927*(1+Inputs!$B$23/12),""))</f>
        <v>0</v>
      </c>
      <c r="U927" s="6" t="n">
        <f aca="false">IF(A927="","",IF(D927&lt;=Inputs!$B$8,IF(Inputs!$B$22="Premium Offset",MAX(0,Inputs!$B$25-(Q927+T927)),Inputs!$B$25),0))</f>
        <v>0</v>
      </c>
      <c r="V927" s="10" t="n">
        <f aca="false">IF(A927="","",IF(Inputs!$B$22="Cash",Q927,0))</f>
        <v>0</v>
      </c>
      <c r="W927" s="10" t="n">
        <f aca="false">IF(A927="","",IF(Inputs!$B$22="PUA",Q927,0))</f>
        <v>0</v>
      </c>
      <c r="X927" s="12" t="n">
        <f aca="false">IF(A927="","",IFERROR(INDEX(PUA_TABLE!$D$4:$D$105,MATCH(E927,PUA_TABLE!$C$4:$C$105,1)),0))</f>
        <v>0.94017778024792</v>
      </c>
      <c r="Y927" s="10" t="n">
        <f aca="false">IF(A927="","",IF(W927&gt;0,IF(X927&gt;0,W927/X927,0),0))</f>
        <v>0</v>
      </c>
      <c r="Z927" s="10" t="n">
        <f aca="false">IF(A927="","",N927+Y927)</f>
        <v>0</v>
      </c>
      <c r="AA927" s="10" t="n">
        <f aca="false">IF(A927="","",IFERROR(Z927*INDEX(PUA_TABLE!$I$4:$I$105,MATCH(E927,PUA_TABLE!$C$4:$C$105,1))/1000,0))</f>
        <v>0</v>
      </c>
      <c r="AB927" s="10" t="n">
        <f aca="false">IF(A927="","",IFERROR(L927+AA927,0))</f>
        <v>47041.3717393381</v>
      </c>
      <c r="AC927" s="10" t="n">
        <f aca="false">IF(A927="","",IF(Inputs!$B$22="Premium Offset",MIN(Inputs!$B$25,Q927+T927),0))</f>
        <v>0</v>
      </c>
    </row>
    <row r="928" customFormat="false" ht="15" hidden="false" customHeight="false" outlineLevel="0" collapsed="false">
      <c r="A928" s="1" t="n">
        <f aca="false">IF(A927="","",IF(INT((C927+1)/12)+Inputs!$B$7&gt;MAX(MORTALITY!$A:$A),"",Inputs!$B$4))</f>
        <v>34</v>
      </c>
      <c r="B928" s="3" t="n">
        <f aca="false">IF(A928="","",EOMONTH(B927,1))</f>
        <v>49918</v>
      </c>
      <c r="C928" s="1" t="n">
        <f aca="false">IF(A928="","",C927+1)</f>
        <v>926</v>
      </c>
      <c r="D928" s="1" t="n">
        <f aca="false">IF(A928="","",INT(C928/12))</f>
        <v>77</v>
      </c>
      <c r="E928" s="1" t="n">
        <f aca="false">IF(A928="","",D928+Inputs!$B$7)</f>
        <v>93</v>
      </c>
      <c r="F928" s="3" t="n">
        <f aca="false">IF(A928="","",DATE(YEAR(B$2)+D928,MONTH(B$2),DAY(B$2)))</f>
        <v>49831</v>
      </c>
      <c r="G928" s="3" t="n">
        <f aca="false">IF(A928="","",DATE(YEAR(F928)+1,MONTH(F928),DAY(F928)))</f>
        <v>50196</v>
      </c>
      <c r="H928" s="10" t="n">
        <f aca="false">IF(A928="","",IF(G928&gt;F928,(B928-F928)/(G928-F928),0))</f>
        <v>0.238356164383562</v>
      </c>
      <c r="I928" s="10" t="n">
        <f aca="false">IF(A928="","",IFERROR(INDEX(CV_RATES!$I:$I,MATCH(D928,CV_RATES!$C:$C,0)),0))</f>
        <v>940.17778024792</v>
      </c>
      <c r="J928" s="10" t="n">
        <f aca="false">IF(A928="","",IFERROR(IF(E928=MAX(MORTALITY!$A:$A),1000,INDEX(CV_RATES!$J:$J,MATCH(D928,CV_RATES!$C:$C,0))),0))</f>
        <v>944.412135724305</v>
      </c>
      <c r="K928" s="10" t="n">
        <f aca="false">IF(A928="","",IFERROR(I928+H928*(J928-I928),0))</f>
        <v>941.187064977908</v>
      </c>
      <c r="L928" s="10" t="n">
        <f aca="false">IF(A928="","",IFERROR(K928*Inputs!$B$9,0))</f>
        <v>47059.3532488954</v>
      </c>
      <c r="M928" s="10" t="n">
        <f aca="false">IF(A928="","",IFERROR(K928*Inputs!$B$10,0))</f>
        <v>150587.10683527</v>
      </c>
      <c r="N928" s="10" t="n">
        <f aca="false">IF(A928="","",Z927)</f>
        <v>0</v>
      </c>
      <c r="O928" s="6" t="n">
        <f aca="false">IF(A928="","",Inputs!$B$18+N928)</f>
        <v>50000</v>
      </c>
      <c r="P928" s="5" t="n">
        <f aca="false">IF(A928="","",VLOOKUP(D928,DIvidend_Assumption!$A$3:$CX$103,($E$2+2),0)/12)</f>
        <v>0</v>
      </c>
      <c r="Q928" s="10" t="n">
        <f aca="false">IF(A928="","",IFERROR(AB927*P928,""))</f>
        <v>0</v>
      </c>
      <c r="R928" s="10" t="n">
        <f aca="false">IF(A928="","",IFERROR(IF(Inputs!$B$22="Accumulate",T928+Q928,IF(Inputs!$B$22="Premium Offset",MAX(0,T928+Q928-Inputs!$B$25),T928)),""))</f>
        <v>0</v>
      </c>
      <c r="S928" s="10" t="n">
        <f aca="false">IF(A928="","",R927)</f>
        <v>0</v>
      </c>
      <c r="T928" s="10" t="n">
        <f aca="false">IF(A928="","",IFERROR(S928*(1+Inputs!$B$23/12),""))</f>
        <v>0</v>
      </c>
      <c r="U928" s="6" t="n">
        <f aca="false">IF(A928="","",IF(D928&lt;=Inputs!$B$8,IF(Inputs!$B$22="Premium Offset",MAX(0,Inputs!$B$25-(Q928+T928)),Inputs!$B$25),0))</f>
        <v>0</v>
      </c>
      <c r="V928" s="10" t="n">
        <f aca="false">IF(A928="","",IF(Inputs!$B$22="Cash",Q928,0))</f>
        <v>0</v>
      </c>
      <c r="W928" s="10" t="n">
        <f aca="false">IF(A928="","",IF(Inputs!$B$22="PUA",Q928,0))</f>
        <v>0</v>
      </c>
      <c r="X928" s="12" t="n">
        <f aca="false">IF(A928="","",IFERROR(INDEX(PUA_TABLE!$D$4:$D$105,MATCH(E928,PUA_TABLE!$C$4:$C$105,1)),0))</f>
        <v>0.94017778024792</v>
      </c>
      <c r="Y928" s="10" t="n">
        <f aca="false">IF(A928="","",IF(W928&gt;0,IF(X928&gt;0,W928/X928,0),0))</f>
        <v>0</v>
      </c>
      <c r="Z928" s="10" t="n">
        <f aca="false">IF(A928="","",N928+Y928)</f>
        <v>0</v>
      </c>
      <c r="AA928" s="10" t="n">
        <f aca="false">IF(A928="","",IFERROR(Z928*INDEX(PUA_TABLE!$I$4:$I$105,MATCH(E928,PUA_TABLE!$C$4:$C$105,1))/1000,0))</f>
        <v>0</v>
      </c>
      <c r="AB928" s="10" t="n">
        <f aca="false">IF(A928="","",IFERROR(L928+AA928,0))</f>
        <v>47059.3532488954</v>
      </c>
      <c r="AC928" s="10" t="n">
        <f aca="false">IF(A928="","",IF(Inputs!$B$22="Premium Offset",MIN(Inputs!$B$25,Q928+T928),0))</f>
        <v>0</v>
      </c>
    </row>
    <row r="929" customFormat="false" ht="15" hidden="false" customHeight="false" outlineLevel="0" collapsed="false">
      <c r="A929" s="1" t="n">
        <f aca="false">IF(A928="","",IF(INT((C928+1)/12)+Inputs!$B$7&gt;MAX(MORTALITY!$A:$A),"",Inputs!$B$4))</f>
        <v>34</v>
      </c>
      <c r="B929" s="3" t="n">
        <f aca="false">IF(A929="","",EOMONTH(B928,1))</f>
        <v>49948</v>
      </c>
      <c r="C929" s="1" t="n">
        <f aca="false">IF(A929="","",C928+1)</f>
        <v>927</v>
      </c>
      <c r="D929" s="1" t="n">
        <f aca="false">IF(A929="","",INT(C929/12))</f>
        <v>77</v>
      </c>
      <c r="E929" s="1" t="n">
        <f aca="false">IF(A929="","",D929+Inputs!$B$7)</f>
        <v>93</v>
      </c>
      <c r="F929" s="3" t="n">
        <f aca="false">IF(A929="","",DATE(YEAR(B$2)+D929,MONTH(B$2),DAY(B$2)))</f>
        <v>49831</v>
      </c>
      <c r="G929" s="3" t="n">
        <f aca="false">IF(A929="","",DATE(YEAR(F929)+1,MONTH(F929),DAY(F929)))</f>
        <v>50196</v>
      </c>
      <c r="H929" s="10" t="n">
        <f aca="false">IF(A929="","",IF(G929&gt;F929,(B929-F929)/(G929-F929),0))</f>
        <v>0.320547945205479</v>
      </c>
      <c r="I929" s="10" t="n">
        <f aca="false">IF(A929="","",IFERROR(INDEX(CV_RATES!$I:$I,MATCH(D929,CV_RATES!$C:$C,0)),0))</f>
        <v>940.17778024792</v>
      </c>
      <c r="J929" s="10" t="n">
        <f aca="false">IF(A929="","",IFERROR(IF(E929=MAX(MORTALITY!$A:$A),1000,INDEX(CV_RATES!$J:$J,MATCH(D929,CV_RATES!$C:$C,0))),0))</f>
        <v>944.412135724305</v>
      </c>
      <c r="K929" s="10" t="n">
        <f aca="false">IF(A929="","",IFERROR(I929+H929*(J929-I929),0))</f>
        <v>941.535094195145</v>
      </c>
      <c r="L929" s="10" t="n">
        <f aca="false">IF(A929="","",IFERROR(K929*Inputs!$B$9,0))</f>
        <v>47076.7547097572</v>
      </c>
      <c r="M929" s="10" t="n">
        <f aca="false">IF(A929="","",IFERROR(K929*Inputs!$B$10,0))</f>
        <v>150642.790465941</v>
      </c>
      <c r="N929" s="10" t="n">
        <f aca="false">IF(A929="","",Z928)</f>
        <v>0</v>
      </c>
      <c r="O929" s="6" t="n">
        <f aca="false">IF(A929="","",Inputs!$B$18+N929)</f>
        <v>50000</v>
      </c>
      <c r="P929" s="5" t="n">
        <f aca="false">IF(A929="","",VLOOKUP(D929,DIvidend_Assumption!$A$3:$CX$103,($E$2+2),0)/12)</f>
        <v>0</v>
      </c>
      <c r="Q929" s="10" t="n">
        <f aca="false">IF(A929="","",IFERROR(AB928*P929,""))</f>
        <v>0</v>
      </c>
      <c r="R929" s="10" t="n">
        <f aca="false">IF(A929="","",IFERROR(IF(Inputs!$B$22="Accumulate",T929+Q929,IF(Inputs!$B$22="Premium Offset",MAX(0,T929+Q929-Inputs!$B$25),T929)),""))</f>
        <v>0</v>
      </c>
      <c r="S929" s="10" t="n">
        <f aca="false">IF(A929="","",R928)</f>
        <v>0</v>
      </c>
      <c r="T929" s="10" t="n">
        <f aca="false">IF(A929="","",IFERROR(S929*(1+Inputs!$B$23/12),""))</f>
        <v>0</v>
      </c>
      <c r="U929" s="6" t="n">
        <f aca="false">IF(A929="","",IF(D929&lt;=Inputs!$B$8,IF(Inputs!$B$22="Premium Offset",MAX(0,Inputs!$B$25-(Q929+T929)),Inputs!$B$25),0))</f>
        <v>0</v>
      </c>
      <c r="V929" s="10" t="n">
        <f aca="false">IF(A929="","",IF(Inputs!$B$22="Cash",Q929,0))</f>
        <v>0</v>
      </c>
      <c r="W929" s="10" t="n">
        <f aca="false">IF(A929="","",IF(Inputs!$B$22="PUA",Q929,0))</f>
        <v>0</v>
      </c>
      <c r="X929" s="12" t="n">
        <f aca="false">IF(A929="","",IFERROR(INDEX(PUA_TABLE!$D$4:$D$105,MATCH(E929,PUA_TABLE!$C$4:$C$105,1)),0))</f>
        <v>0.94017778024792</v>
      </c>
      <c r="Y929" s="10" t="n">
        <f aca="false">IF(A929="","",IF(W929&gt;0,IF(X929&gt;0,W929/X929,0),0))</f>
        <v>0</v>
      </c>
      <c r="Z929" s="10" t="n">
        <f aca="false">IF(A929="","",N929+Y929)</f>
        <v>0</v>
      </c>
      <c r="AA929" s="10" t="n">
        <f aca="false">IF(A929="","",IFERROR(Z929*INDEX(PUA_TABLE!$I$4:$I$105,MATCH(E929,PUA_TABLE!$C$4:$C$105,1))/1000,0))</f>
        <v>0</v>
      </c>
      <c r="AB929" s="10" t="n">
        <f aca="false">IF(A929="","",IFERROR(L929+AA929,0))</f>
        <v>47076.7547097572</v>
      </c>
      <c r="AC929" s="10" t="n">
        <f aca="false">IF(A929="","",IF(Inputs!$B$22="Premium Offset",MIN(Inputs!$B$25,Q929+T929),0))</f>
        <v>0</v>
      </c>
    </row>
    <row r="930" customFormat="false" ht="15" hidden="false" customHeight="false" outlineLevel="0" collapsed="false">
      <c r="A930" s="1" t="n">
        <f aca="false">IF(A929="","",IF(INT((C929+1)/12)+Inputs!$B$7&gt;MAX(MORTALITY!$A:$A),"",Inputs!$B$4))</f>
        <v>34</v>
      </c>
      <c r="B930" s="3" t="n">
        <f aca="false">IF(A930="","",EOMONTH(B929,1))</f>
        <v>49979</v>
      </c>
      <c r="C930" s="1" t="n">
        <f aca="false">IF(A930="","",C929+1)</f>
        <v>928</v>
      </c>
      <c r="D930" s="1" t="n">
        <f aca="false">IF(A930="","",INT(C930/12))</f>
        <v>77</v>
      </c>
      <c r="E930" s="1" t="n">
        <f aca="false">IF(A930="","",D930+Inputs!$B$7)</f>
        <v>93</v>
      </c>
      <c r="F930" s="3" t="n">
        <f aca="false">IF(A930="","",DATE(YEAR(B$2)+D930,MONTH(B$2),DAY(B$2)))</f>
        <v>49831</v>
      </c>
      <c r="G930" s="3" t="n">
        <f aca="false">IF(A930="","",DATE(YEAR(F930)+1,MONTH(F930),DAY(F930)))</f>
        <v>50196</v>
      </c>
      <c r="H930" s="10" t="n">
        <f aca="false">IF(A930="","",IF(G930&gt;F930,(B930-F930)/(G930-F930),0))</f>
        <v>0.405479452054795</v>
      </c>
      <c r="I930" s="10" t="n">
        <f aca="false">IF(A930="","",IFERROR(INDEX(CV_RATES!$I:$I,MATCH(D930,CV_RATES!$C:$C,0)),0))</f>
        <v>940.17778024792</v>
      </c>
      <c r="J930" s="10" t="n">
        <f aca="false">IF(A930="","",IFERROR(IF(E930=MAX(MORTALITY!$A:$A),1000,INDEX(CV_RATES!$J:$J,MATCH(D930,CV_RATES!$C:$C,0))),0))</f>
        <v>944.412135724305</v>
      </c>
      <c r="K930" s="10" t="n">
        <f aca="false">IF(A930="","",IFERROR(I930+H930*(J930-I930),0))</f>
        <v>941.89472438629</v>
      </c>
      <c r="L930" s="10" t="n">
        <f aca="false">IF(A930="","",IFERROR(K930*Inputs!$B$9,0))</f>
        <v>47094.7362193145</v>
      </c>
      <c r="M930" s="10" t="n">
        <f aca="false">IF(A930="","",IFERROR(K930*Inputs!$B$10,0))</f>
        <v>150700.330217633</v>
      </c>
      <c r="N930" s="10" t="n">
        <f aca="false">IF(A930="","",Z929)</f>
        <v>0</v>
      </c>
      <c r="O930" s="6" t="n">
        <f aca="false">IF(A930="","",Inputs!$B$18+N930)</f>
        <v>50000</v>
      </c>
      <c r="P930" s="5" t="n">
        <f aca="false">IF(A930="","",VLOOKUP(D930,DIvidend_Assumption!$A$3:$CX$103,($E$2+2),0)/12)</f>
        <v>0</v>
      </c>
      <c r="Q930" s="10" t="n">
        <f aca="false">IF(A930="","",IFERROR(AB929*P930,""))</f>
        <v>0</v>
      </c>
      <c r="R930" s="10" t="n">
        <f aca="false">IF(A930="","",IFERROR(IF(Inputs!$B$22="Accumulate",T930+Q930,IF(Inputs!$B$22="Premium Offset",MAX(0,T930+Q930-Inputs!$B$25),T930)),""))</f>
        <v>0</v>
      </c>
      <c r="S930" s="10" t="n">
        <f aca="false">IF(A930="","",R929)</f>
        <v>0</v>
      </c>
      <c r="T930" s="10" t="n">
        <f aca="false">IF(A930="","",IFERROR(S930*(1+Inputs!$B$23/12),""))</f>
        <v>0</v>
      </c>
      <c r="U930" s="6" t="n">
        <f aca="false">IF(A930="","",IF(D930&lt;=Inputs!$B$8,IF(Inputs!$B$22="Premium Offset",MAX(0,Inputs!$B$25-(Q930+T930)),Inputs!$B$25),0))</f>
        <v>0</v>
      </c>
      <c r="V930" s="10" t="n">
        <f aca="false">IF(A930="","",IF(Inputs!$B$22="Cash",Q930,0))</f>
        <v>0</v>
      </c>
      <c r="W930" s="10" t="n">
        <f aca="false">IF(A930="","",IF(Inputs!$B$22="PUA",Q930,0))</f>
        <v>0</v>
      </c>
      <c r="X930" s="12" t="n">
        <f aca="false">IF(A930="","",IFERROR(INDEX(PUA_TABLE!$D$4:$D$105,MATCH(E930,PUA_TABLE!$C$4:$C$105,1)),0))</f>
        <v>0.94017778024792</v>
      </c>
      <c r="Y930" s="10" t="n">
        <f aca="false">IF(A930="","",IF(W930&gt;0,IF(X930&gt;0,W930/X930,0),0))</f>
        <v>0</v>
      </c>
      <c r="Z930" s="10" t="n">
        <f aca="false">IF(A930="","",N930+Y930)</f>
        <v>0</v>
      </c>
      <c r="AA930" s="10" t="n">
        <f aca="false">IF(A930="","",IFERROR(Z930*INDEX(PUA_TABLE!$I$4:$I$105,MATCH(E930,PUA_TABLE!$C$4:$C$105,1))/1000,0))</f>
        <v>0</v>
      </c>
      <c r="AB930" s="10" t="n">
        <f aca="false">IF(A930="","",IFERROR(L930+AA930,0))</f>
        <v>47094.7362193145</v>
      </c>
      <c r="AC930" s="10" t="n">
        <f aca="false">IF(A930="","",IF(Inputs!$B$22="Premium Offset",MIN(Inputs!$B$25,Q930+T930),0))</f>
        <v>0</v>
      </c>
    </row>
    <row r="931" customFormat="false" ht="15" hidden="false" customHeight="false" outlineLevel="0" collapsed="false">
      <c r="A931" s="1" t="n">
        <f aca="false">IF(A930="","",IF(INT((C930+1)/12)+Inputs!$B$7&gt;MAX(MORTALITY!$A:$A),"",Inputs!$B$4))</f>
        <v>34</v>
      </c>
      <c r="B931" s="3" t="n">
        <f aca="false">IF(A931="","",EOMONTH(B930,1))</f>
        <v>50009</v>
      </c>
      <c r="C931" s="1" t="n">
        <f aca="false">IF(A931="","",C930+1)</f>
        <v>929</v>
      </c>
      <c r="D931" s="1" t="n">
        <f aca="false">IF(A931="","",INT(C931/12))</f>
        <v>77</v>
      </c>
      <c r="E931" s="1" t="n">
        <f aca="false">IF(A931="","",D931+Inputs!$B$7)</f>
        <v>93</v>
      </c>
      <c r="F931" s="3" t="n">
        <f aca="false">IF(A931="","",DATE(YEAR(B$2)+D931,MONTH(B$2),DAY(B$2)))</f>
        <v>49831</v>
      </c>
      <c r="G931" s="3" t="n">
        <f aca="false">IF(A931="","",DATE(YEAR(F931)+1,MONTH(F931),DAY(F931)))</f>
        <v>50196</v>
      </c>
      <c r="H931" s="10" t="n">
        <f aca="false">IF(A931="","",IF(G931&gt;F931,(B931-F931)/(G931-F931),0))</f>
        <v>0.487671232876712</v>
      </c>
      <c r="I931" s="10" t="n">
        <f aca="false">IF(A931="","",IFERROR(INDEX(CV_RATES!$I:$I,MATCH(D931,CV_RATES!$C:$C,0)),0))</f>
        <v>940.17778024792</v>
      </c>
      <c r="J931" s="10" t="n">
        <f aca="false">IF(A931="","",IFERROR(IF(E931=MAX(MORTALITY!$A:$A),1000,INDEX(CV_RATES!$J:$J,MATCH(D931,CV_RATES!$C:$C,0))),0))</f>
        <v>944.412135724305</v>
      </c>
      <c r="K931" s="10" t="n">
        <f aca="false">IF(A931="","",IFERROR(I931+H931*(J931-I931),0))</f>
        <v>942.242753603527</v>
      </c>
      <c r="L931" s="10" t="n">
        <f aca="false">IF(A931="","",IFERROR(K931*Inputs!$B$9,0))</f>
        <v>47112.1376801764</v>
      </c>
      <c r="M931" s="10" t="n">
        <f aca="false">IF(A931="","",IFERROR(K931*Inputs!$B$10,0))</f>
        <v>150756.013848304</v>
      </c>
      <c r="N931" s="10" t="n">
        <f aca="false">IF(A931="","",Z930)</f>
        <v>0</v>
      </c>
      <c r="O931" s="6" t="n">
        <f aca="false">IF(A931="","",Inputs!$B$18+N931)</f>
        <v>50000</v>
      </c>
      <c r="P931" s="5" t="n">
        <f aca="false">IF(A931="","",VLOOKUP(D931,DIvidend_Assumption!$A$3:$CX$103,($E$2+2),0)/12)</f>
        <v>0</v>
      </c>
      <c r="Q931" s="10" t="n">
        <f aca="false">IF(A931="","",IFERROR(AB930*P931,""))</f>
        <v>0</v>
      </c>
      <c r="R931" s="10" t="n">
        <f aca="false">IF(A931="","",IFERROR(IF(Inputs!$B$22="Accumulate",T931+Q931,IF(Inputs!$B$22="Premium Offset",MAX(0,T931+Q931-Inputs!$B$25),T931)),""))</f>
        <v>0</v>
      </c>
      <c r="S931" s="10" t="n">
        <f aca="false">IF(A931="","",R930)</f>
        <v>0</v>
      </c>
      <c r="T931" s="10" t="n">
        <f aca="false">IF(A931="","",IFERROR(S931*(1+Inputs!$B$23/12),""))</f>
        <v>0</v>
      </c>
      <c r="U931" s="6" t="n">
        <f aca="false">IF(A931="","",IF(D931&lt;=Inputs!$B$8,IF(Inputs!$B$22="Premium Offset",MAX(0,Inputs!$B$25-(Q931+T931)),Inputs!$B$25),0))</f>
        <v>0</v>
      </c>
      <c r="V931" s="10" t="n">
        <f aca="false">IF(A931="","",IF(Inputs!$B$22="Cash",Q931,0))</f>
        <v>0</v>
      </c>
      <c r="W931" s="10" t="n">
        <f aca="false">IF(A931="","",IF(Inputs!$B$22="PUA",Q931,0))</f>
        <v>0</v>
      </c>
      <c r="X931" s="12" t="n">
        <f aca="false">IF(A931="","",IFERROR(INDEX(PUA_TABLE!$D$4:$D$105,MATCH(E931,PUA_TABLE!$C$4:$C$105,1)),0))</f>
        <v>0.94017778024792</v>
      </c>
      <c r="Y931" s="10" t="n">
        <f aca="false">IF(A931="","",IF(W931&gt;0,IF(X931&gt;0,W931/X931,0),0))</f>
        <v>0</v>
      </c>
      <c r="Z931" s="10" t="n">
        <f aca="false">IF(A931="","",N931+Y931)</f>
        <v>0</v>
      </c>
      <c r="AA931" s="10" t="n">
        <f aca="false">IF(A931="","",IFERROR(Z931*INDEX(PUA_TABLE!$I$4:$I$105,MATCH(E931,PUA_TABLE!$C$4:$C$105,1))/1000,0))</f>
        <v>0</v>
      </c>
      <c r="AB931" s="10" t="n">
        <f aca="false">IF(A931="","",IFERROR(L931+AA931,0))</f>
        <v>47112.1376801764</v>
      </c>
      <c r="AC931" s="10" t="n">
        <f aca="false">IF(A931="","",IF(Inputs!$B$22="Premium Offset",MIN(Inputs!$B$25,Q931+T931),0))</f>
        <v>0</v>
      </c>
    </row>
    <row r="932" customFormat="false" ht="15" hidden="false" customHeight="false" outlineLevel="0" collapsed="false">
      <c r="A932" s="1" t="n">
        <f aca="false">IF(A931="","",IF(INT((C931+1)/12)+Inputs!$B$7&gt;MAX(MORTALITY!$A:$A),"",Inputs!$B$4))</f>
        <v>34</v>
      </c>
      <c r="B932" s="3" t="n">
        <f aca="false">IF(A932="","",EOMONTH(B931,1))</f>
        <v>50040</v>
      </c>
      <c r="C932" s="1" t="n">
        <f aca="false">IF(A932="","",C931+1)</f>
        <v>930</v>
      </c>
      <c r="D932" s="1" t="n">
        <f aca="false">IF(A932="","",INT(C932/12))</f>
        <v>77</v>
      </c>
      <c r="E932" s="1" t="n">
        <f aca="false">IF(A932="","",D932+Inputs!$B$7)</f>
        <v>93</v>
      </c>
      <c r="F932" s="3" t="n">
        <f aca="false">IF(A932="","",DATE(YEAR(B$2)+D932,MONTH(B$2),DAY(B$2)))</f>
        <v>49831</v>
      </c>
      <c r="G932" s="3" t="n">
        <f aca="false">IF(A932="","",DATE(YEAR(F932)+1,MONTH(F932),DAY(F932)))</f>
        <v>50196</v>
      </c>
      <c r="H932" s="10" t="n">
        <f aca="false">IF(A932="","",IF(G932&gt;F932,(B932-F932)/(G932-F932),0))</f>
        <v>0.572602739726027</v>
      </c>
      <c r="I932" s="10" t="n">
        <f aca="false">IF(A932="","",IFERROR(INDEX(CV_RATES!$I:$I,MATCH(D932,CV_RATES!$C:$C,0)),0))</f>
        <v>940.17778024792</v>
      </c>
      <c r="J932" s="10" t="n">
        <f aca="false">IF(A932="","",IFERROR(IF(E932=MAX(MORTALITY!$A:$A),1000,INDEX(CV_RATES!$J:$J,MATCH(D932,CV_RATES!$C:$C,0))),0))</f>
        <v>944.412135724305</v>
      </c>
      <c r="K932" s="10" t="n">
        <f aca="false">IF(A932="","",IFERROR(I932+H932*(J932-I932),0))</f>
        <v>942.602383794672</v>
      </c>
      <c r="L932" s="10" t="n">
        <f aca="false">IF(A932="","",IFERROR(K932*Inputs!$B$9,0))</f>
        <v>47130.1191897336</v>
      </c>
      <c r="M932" s="10" t="n">
        <f aca="false">IF(A932="","",IFERROR(K932*Inputs!$B$10,0))</f>
        <v>150813.553599996</v>
      </c>
      <c r="N932" s="10" t="n">
        <f aca="false">IF(A932="","",Z931)</f>
        <v>0</v>
      </c>
      <c r="O932" s="6" t="n">
        <f aca="false">IF(A932="","",Inputs!$B$18+N932)</f>
        <v>50000</v>
      </c>
      <c r="P932" s="5" t="n">
        <f aca="false">IF(A932="","",VLOOKUP(D932,DIvidend_Assumption!$A$3:$CX$103,($E$2+2),0)/12)</f>
        <v>0</v>
      </c>
      <c r="Q932" s="10" t="n">
        <f aca="false">IF(A932="","",IFERROR(AB931*P932,""))</f>
        <v>0</v>
      </c>
      <c r="R932" s="10" t="n">
        <f aca="false">IF(A932="","",IFERROR(IF(Inputs!$B$22="Accumulate",T932+Q932,IF(Inputs!$B$22="Premium Offset",MAX(0,T932+Q932-Inputs!$B$25),T932)),""))</f>
        <v>0</v>
      </c>
      <c r="S932" s="10" t="n">
        <f aca="false">IF(A932="","",R931)</f>
        <v>0</v>
      </c>
      <c r="T932" s="10" t="n">
        <f aca="false">IF(A932="","",IFERROR(S932*(1+Inputs!$B$23/12),""))</f>
        <v>0</v>
      </c>
      <c r="U932" s="6" t="n">
        <f aca="false">IF(A932="","",IF(D932&lt;=Inputs!$B$8,IF(Inputs!$B$22="Premium Offset",MAX(0,Inputs!$B$25-(Q932+T932)),Inputs!$B$25),0))</f>
        <v>0</v>
      </c>
      <c r="V932" s="10" t="n">
        <f aca="false">IF(A932="","",IF(Inputs!$B$22="Cash",Q932,0))</f>
        <v>0</v>
      </c>
      <c r="W932" s="10" t="n">
        <f aca="false">IF(A932="","",IF(Inputs!$B$22="PUA",Q932,0))</f>
        <v>0</v>
      </c>
      <c r="X932" s="12" t="n">
        <f aca="false">IF(A932="","",IFERROR(INDEX(PUA_TABLE!$D$4:$D$105,MATCH(E932,PUA_TABLE!$C$4:$C$105,1)),0))</f>
        <v>0.94017778024792</v>
      </c>
      <c r="Y932" s="10" t="n">
        <f aca="false">IF(A932="","",IF(W932&gt;0,IF(X932&gt;0,W932/X932,0),0))</f>
        <v>0</v>
      </c>
      <c r="Z932" s="10" t="n">
        <f aca="false">IF(A932="","",N932+Y932)</f>
        <v>0</v>
      </c>
      <c r="AA932" s="10" t="n">
        <f aca="false">IF(A932="","",IFERROR(Z932*INDEX(PUA_TABLE!$I$4:$I$105,MATCH(E932,PUA_TABLE!$C$4:$C$105,1))/1000,0))</f>
        <v>0</v>
      </c>
      <c r="AB932" s="10" t="n">
        <f aca="false">IF(A932="","",IFERROR(L932+AA932,0))</f>
        <v>47130.1191897336</v>
      </c>
      <c r="AC932" s="10" t="n">
        <f aca="false">IF(A932="","",IF(Inputs!$B$22="Premium Offset",MIN(Inputs!$B$25,Q932+T932),0))</f>
        <v>0</v>
      </c>
    </row>
    <row r="933" customFormat="false" ht="15" hidden="false" customHeight="false" outlineLevel="0" collapsed="false">
      <c r="A933" s="1" t="n">
        <f aca="false">IF(A932="","",IF(INT((C932+1)/12)+Inputs!$B$7&gt;MAX(MORTALITY!$A:$A),"",Inputs!$B$4))</f>
        <v>34</v>
      </c>
      <c r="B933" s="3" t="n">
        <f aca="false">IF(A933="","",EOMONTH(B932,1))</f>
        <v>50071</v>
      </c>
      <c r="C933" s="1" t="n">
        <f aca="false">IF(A933="","",C932+1)</f>
        <v>931</v>
      </c>
      <c r="D933" s="1" t="n">
        <f aca="false">IF(A933="","",INT(C933/12))</f>
        <v>77</v>
      </c>
      <c r="E933" s="1" t="n">
        <f aca="false">IF(A933="","",D933+Inputs!$B$7)</f>
        <v>93</v>
      </c>
      <c r="F933" s="3" t="n">
        <f aca="false">IF(A933="","",DATE(YEAR(B$2)+D933,MONTH(B$2),DAY(B$2)))</f>
        <v>49831</v>
      </c>
      <c r="G933" s="3" t="n">
        <f aca="false">IF(A933="","",DATE(YEAR(F933)+1,MONTH(F933),DAY(F933)))</f>
        <v>50196</v>
      </c>
      <c r="H933" s="10" t="n">
        <f aca="false">IF(A933="","",IF(G933&gt;F933,(B933-F933)/(G933-F933),0))</f>
        <v>0.657534246575342</v>
      </c>
      <c r="I933" s="10" t="n">
        <f aca="false">IF(A933="","",IFERROR(INDEX(CV_RATES!$I:$I,MATCH(D933,CV_RATES!$C:$C,0)),0))</f>
        <v>940.17778024792</v>
      </c>
      <c r="J933" s="10" t="n">
        <f aca="false">IF(A933="","",IFERROR(IF(E933=MAX(MORTALITY!$A:$A),1000,INDEX(CV_RATES!$J:$J,MATCH(D933,CV_RATES!$C:$C,0))),0))</f>
        <v>944.412135724305</v>
      </c>
      <c r="K933" s="10" t="n">
        <f aca="false">IF(A933="","",IFERROR(I933+H933*(J933-I933),0))</f>
        <v>942.962013985817</v>
      </c>
      <c r="L933" s="10" t="n">
        <f aca="false">IF(A933="","",IFERROR(K933*Inputs!$B$9,0))</f>
        <v>47148.1006992909</v>
      </c>
      <c r="M933" s="10" t="n">
        <f aca="false">IF(A933="","",IFERROR(K933*Inputs!$B$10,0))</f>
        <v>150871.093351689</v>
      </c>
      <c r="N933" s="10" t="n">
        <f aca="false">IF(A933="","",Z932)</f>
        <v>0</v>
      </c>
      <c r="O933" s="6" t="n">
        <f aca="false">IF(A933="","",Inputs!$B$18+N933)</f>
        <v>50000</v>
      </c>
      <c r="P933" s="5" t="n">
        <f aca="false">IF(A933="","",VLOOKUP(D933,DIvidend_Assumption!$A$3:$CX$103,($E$2+2),0)/12)</f>
        <v>0</v>
      </c>
      <c r="Q933" s="10" t="n">
        <f aca="false">IF(A933="","",IFERROR(AB932*P933,""))</f>
        <v>0</v>
      </c>
      <c r="R933" s="10" t="n">
        <f aca="false">IF(A933="","",IFERROR(IF(Inputs!$B$22="Accumulate",T933+Q933,IF(Inputs!$B$22="Premium Offset",MAX(0,T933+Q933-Inputs!$B$25),T933)),""))</f>
        <v>0</v>
      </c>
      <c r="S933" s="10" t="n">
        <f aca="false">IF(A933="","",R932)</f>
        <v>0</v>
      </c>
      <c r="T933" s="10" t="n">
        <f aca="false">IF(A933="","",IFERROR(S933*(1+Inputs!$B$23/12),""))</f>
        <v>0</v>
      </c>
      <c r="U933" s="6" t="n">
        <f aca="false">IF(A933="","",IF(D933&lt;=Inputs!$B$8,IF(Inputs!$B$22="Premium Offset",MAX(0,Inputs!$B$25-(Q933+T933)),Inputs!$B$25),0))</f>
        <v>0</v>
      </c>
      <c r="V933" s="10" t="n">
        <f aca="false">IF(A933="","",IF(Inputs!$B$22="Cash",Q933,0))</f>
        <v>0</v>
      </c>
      <c r="W933" s="10" t="n">
        <f aca="false">IF(A933="","",IF(Inputs!$B$22="PUA",Q933,0))</f>
        <v>0</v>
      </c>
      <c r="X933" s="12" t="n">
        <f aca="false">IF(A933="","",IFERROR(INDEX(PUA_TABLE!$D$4:$D$105,MATCH(E933,PUA_TABLE!$C$4:$C$105,1)),0))</f>
        <v>0.94017778024792</v>
      </c>
      <c r="Y933" s="10" t="n">
        <f aca="false">IF(A933="","",IF(W933&gt;0,IF(X933&gt;0,W933/X933,0),0))</f>
        <v>0</v>
      </c>
      <c r="Z933" s="10" t="n">
        <f aca="false">IF(A933="","",N933+Y933)</f>
        <v>0</v>
      </c>
      <c r="AA933" s="10" t="n">
        <f aca="false">IF(A933="","",IFERROR(Z933*INDEX(PUA_TABLE!$I$4:$I$105,MATCH(E933,PUA_TABLE!$C$4:$C$105,1))/1000,0))</f>
        <v>0</v>
      </c>
      <c r="AB933" s="10" t="n">
        <f aca="false">IF(A933="","",IFERROR(L933+AA933,0))</f>
        <v>47148.1006992909</v>
      </c>
      <c r="AC933" s="10" t="n">
        <f aca="false">IF(A933="","",IF(Inputs!$B$22="Premium Offset",MIN(Inputs!$B$25,Q933+T933),0))</f>
        <v>0</v>
      </c>
    </row>
    <row r="934" customFormat="false" ht="15" hidden="false" customHeight="false" outlineLevel="0" collapsed="false">
      <c r="A934" s="1" t="n">
        <f aca="false">IF(A933="","",IF(INT((C933+1)/12)+Inputs!$B$7&gt;MAX(MORTALITY!$A:$A),"",Inputs!$B$4))</f>
        <v>34</v>
      </c>
      <c r="B934" s="3" t="n">
        <f aca="false">IF(A934="","",EOMONTH(B933,1))</f>
        <v>50099</v>
      </c>
      <c r="C934" s="1" t="n">
        <f aca="false">IF(A934="","",C933+1)</f>
        <v>932</v>
      </c>
      <c r="D934" s="1" t="n">
        <f aca="false">IF(A934="","",INT(C934/12))</f>
        <v>77</v>
      </c>
      <c r="E934" s="1" t="n">
        <f aca="false">IF(A934="","",D934+Inputs!$B$7)</f>
        <v>93</v>
      </c>
      <c r="F934" s="3" t="n">
        <f aca="false">IF(A934="","",DATE(YEAR(B$2)+D934,MONTH(B$2),DAY(B$2)))</f>
        <v>49831</v>
      </c>
      <c r="G934" s="3" t="n">
        <f aca="false">IF(A934="","",DATE(YEAR(F934)+1,MONTH(F934),DAY(F934)))</f>
        <v>50196</v>
      </c>
      <c r="H934" s="10" t="n">
        <f aca="false">IF(A934="","",IF(G934&gt;F934,(B934-F934)/(G934-F934),0))</f>
        <v>0.734246575342466</v>
      </c>
      <c r="I934" s="10" t="n">
        <f aca="false">IF(A934="","",IFERROR(INDEX(CV_RATES!$I:$I,MATCH(D934,CV_RATES!$C:$C,0)),0))</f>
        <v>940.17778024792</v>
      </c>
      <c r="J934" s="10" t="n">
        <f aca="false">IF(A934="","",IFERROR(IF(E934=MAX(MORTALITY!$A:$A),1000,INDEX(CV_RATES!$J:$J,MATCH(D934,CV_RATES!$C:$C,0))),0))</f>
        <v>944.412135724305</v>
      </c>
      <c r="K934" s="10" t="n">
        <f aca="false">IF(A934="","",IFERROR(I934+H934*(J934-I934),0))</f>
        <v>943.286841255239</v>
      </c>
      <c r="L934" s="10" t="n">
        <f aca="false">IF(A934="","",IFERROR(K934*Inputs!$B$9,0))</f>
        <v>47164.3420627619</v>
      </c>
      <c r="M934" s="10" t="n">
        <f aca="false">IF(A934="","",IFERROR(K934*Inputs!$B$10,0))</f>
        <v>150923.064740314</v>
      </c>
      <c r="N934" s="10" t="n">
        <f aca="false">IF(A934="","",Z933)</f>
        <v>0</v>
      </c>
      <c r="O934" s="6" t="n">
        <f aca="false">IF(A934="","",Inputs!$B$18+N934)</f>
        <v>50000</v>
      </c>
      <c r="P934" s="5" t="n">
        <f aca="false">IF(A934="","",VLOOKUP(D934,DIvidend_Assumption!$A$3:$CX$103,($E$2+2),0)/12)</f>
        <v>0</v>
      </c>
      <c r="Q934" s="10" t="n">
        <f aca="false">IF(A934="","",IFERROR(AB933*P934,""))</f>
        <v>0</v>
      </c>
      <c r="R934" s="10" t="n">
        <f aca="false">IF(A934="","",IFERROR(IF(Inputs!$B$22="Accumulate",T934+Q934,IF(Inputs!$B$22="Premium Offset",MAX(0,T934+Q934-Inputs!$B$25),T934)),""))</f>
        <v>0</v>
      </c>
      <c r="S934" s="10" t="n">
        <f aca="false">IF(A934="","",R933)</f>
        <v>0</v>
      </c>
      <c r="T934" s="10" t="n">
        <f aca="false">IF(A934="","",IFERROR(S934*(1+Inputs!$B$23/12),""))</f>
        <v>0</v>
      </c>
      <c r="U934" s="6" t="n">
        <f aca="false">IF(A934="","",IF(D934&lt;=Inputs!$B$8,IF(Inputs!$B$22="Premium Offset",MAX(0,Inputs!$B$25-(Q934+T934)),Inputs!$B$25),0))</f>
        <v>0</v>
      </c>
      <c r="V934" s="10" t="n">
        <f aca="false">IF(A934="","",IF(Inputs!$B$22="Cash",Q934,0))</f>
        <v>0</v>
      </c>
      <c r="W934" s="10" t="n">
        <f aca="false">IF(A934="","",IF(Inputs!$B$22="PUA",Q934,0))</f>
        <v>0</v>
      </c>
      <c r="X934" s="12" t="n">
        <f aca="false">IF(A934="","",IFERROR(INDEX(PUA_TABLE!$D$4:$D$105,MATCH(E934,PUA_TABLE!$C$4:$C$105,1)),0))</f>
        <v>0.94017778024792</v>
      </c>
      <c r="Y934" s="10" t="n">
        <f aca="false">IF(A934="","",IF(W934&gt;0,IF(X934&gt;0,W934/X934,0),0))</f>
        <v>0</v>
      </c>
      <c r="Z934" s="10" t="n">
        <f aca="false">IF(A934="","",N934+Y934)</f>
        <v>0</v>
      </c>
      <c r="AA934" s="10" t="n">
        <f aca="false">IF(A934="","",IFERROR(Z934*INDEX(PUA_TABLE!$I$4:$I$105,MATCH(E934,PUA_TABLE!$C$4:$C$105,1))/1000,0))</f>
        <v>0</v>
      </c>
      <c r="AB934" s="10" t="n">
        <f aca="false">IF(A934="","",IFERROR(L934+AA934,0))</f>
        <v>47164.3420627619</v>
      </c>
      <c r="AC934" s="10" t="n">
        <f aca="false">IF(A934="","",IF(Inputs!$B$22="Premium Offset",MIN(Inputs!$B$25,Q934+T934),0))</f>
        <v>0</v>
      </c>
    </row>
    <row r="935" customFormat="false" ht="15" hidden="false" customHeight="false" outlineLevel="0" collapsed="false">
      <c r="A935" s="1" t="n">
        <f aca="false">IF(A934="","",IF(INT((C934+1)/12)+Inputs!$B$7&gt;MAX(MORTALITY!$A:$A),"",Inputs!$B$4))</f>
        <v>34</v>
      </c>
      <c r="B935" s="3" t="n">
        <f aca="false">IF(A935="","",EOMONTH(B934,1))</f>
        <v>50130</v>
      </c>
      <c r="C935" s="1" t="n">
        <f aca="false">IF(A935="","",C934+1)</f>
        <v>933</v>
      </c>
      <c r="D935" s="1" t="n">
        <f aca="false">IF(A935="","",INT(C935/12))</f>
        <v>77</v>
      </c>
      <c r="E935" s="1" t="n">
        <f aca="false">IF(A935="","",D935+Inputs!$B$7)</f>
        <v>93</v>
      </c>
      <c r="F935" s="3" t="n">
        <f aca="false">IF(A935="","",DATE(YEAR(B$2)+D935,MONTH(B$2),DAY(B$2)))</f>
        <v>49831</v>
      </c>
      <c r="G935" s="3" t="n">
        <f aca="false">IF(A935="","",DATE(YEAR(F935)+1,MONTH(F935),DAY(F935)))</f>
        <v>50196</v>
      </c>
      <c r="H935" s="10" t="n">
        <f aca="false">IF(A935="","",IF(G935&gt;F935,(B935-F935)/(G935-F935),0))</f>
        <v>0.819178082191781</v>
      </c>
      <c r="I935" s="10" t="n">
        <f aca="false">IF(A935="","",IFERROR(INDEX(CV_RATES!$I:$I,MATCH(D935,CV_RATES!$C:$C,0)),0))</f>
        <v>940.17778024792</v>
      </c>
      <c r="J935" s="10" t="n">
        <f aca="false">IF(A935="","",IFERROR(IF(E935=MAX(MORTALITY!$A:$A),1000,INDEX(CV_RATES!$J:$J,MATCH(D935,CV_RATES!$C:$C,0))),0))</f>
        <v>944.412135724305</v>
      </c>
      <c r="K935" s="10" t="n">
        <f aca="false">IF(A935="","",IFERROR(I935+H935*(J935-I935),0))</f>
        <v>943.646471446384</v>
      </c>
      <c r="L935" s="10" t="n">
        <f aca="false">IF(A935="","",IFERROR(K935*Inputs!$B$9,0))</f>
        <v>47182.3235723192</v>
      </c>
      <c r="M935" s="10" t="n">
        <f aca="false">IF(A935="","",IFERROR(K935*Inputs!$B$10,0))</f>
        <v>150980.604492007</v>
      </c>
      <c r="N935" s="10" t="n">
        <f aca="false">IF(A935="","",Z934)</f>
        <v>0</v>
      </c>
      <c r="O935" s="6" t="n">
        <f aca="false">IF(A935="","",Inputs!$B$18+N935)</f>
        <v>50000</v>
      </c>
      <c r="P935" s="5" t="n">
        <f aca="false">IF(A935="","",VLOOKUP(D935,DIvidend_Assumption!$A$3:$CX$103,($E$2+2),0)/12)</f>
        <v>0</v>
      </c>
      <c r="Q935" s="10" t="n">
        <f aca="false">IF(A935="","",IFERROR(AB934*P935,""))</f>
        <v>0</v>
      </c>
      <c r="R935" s="10" t="n">
        <f aca="false">IF(A935="","",IFERROR(IF(Inputs!$B$22="Accumulate",T935+Q935,IF(Inputs!$B$22="Premium Offset",MAX(0,T935+Q935-Inputs!$B$25),T935)),""))</f>
        <v>0</v>
      </c>
      <c r="S935" s="10" t="n">
        <f aca="false">IF(A935="","",R934)</f>
        <v>0</v>
      </c>
      <c r="T935" s="10" t="n">
        <f aca="false">IF(A935="","",IFERROR(S935*(1+Inputs!$B$23/12),""))</f>
        <v>0</v>
      </c>
      <c r="U935" s="6" t="n">
        <f aca="false">IF(A935="","",IF(D935&lt;=Inputs!$B$8,IF(Inputs!$B$22="Premium Offset",MAX(0,Inputs!$B$25-(Q935+T935)),Inputs!$B$25),0))</f>
        <v>0</v>
      </c>
      <c r="V935" s="10" t="n">
        <f aca="false">IF(A935="","",IF(Inputs!$B$22="Cash",Q935,0))</f>
        <v>0</v>
      </c>
      <c r="W935" s="10" t="n">
        <f aca="false">IF(A935="","",IF(Inputs!$B$22="PUA",Q935,0))</f>
        <v>0</v>
      </c>
      <c r="X935" s="12" t="n">
        <f aca="false">IF(A935="","",IFERROR(INDEX(PUA_TABLE!$D$4:$D$105,MATCH(E935,PUA_TABLE!$C$4:$C$105,1)),0))</f>
        <v>0.94017778024792</v>
      </c>
      <c r="Y935" s="10" t="n">
        <f aca="false">IF(A935="","",IF(W935&gt;0,IF(X935&gt;0,W935/X935,0),0))</f>
        <v>0</v>
      </c>
      <c r="Z935" s="10" t="n">
        <f aca="false">IF(A935="","",N935+Y935)</f>
        <v>0</v>
      </c>
      <c r="AA935" s="10" t="n">
        <f aca="false">IF(A935="","",IFERROR(Z935*INDEX(PUA_TABLE!$I$4:$I$105,MATCH(E935,PUA_TABLE!$C$4:$C$105,1))/1000,0))</f>
        <v>0</v>
      </c>
      <c r="AB935" s="10" t="n">
        <f aca="false">IF(A935="","",IFERROR(L935+AA935,0))</f>
        <v>47182.3235723192</v>
      </c>
      <c r="AC935" s="10" t="n">
        <f aca="false">IF(A935="","",IF(Inputs!$B$22="Premium Offset",MIN(Inputs!$B$25,Q935+T935),0))</f>
        <v>0</v>
      </c>
    </row>
    <row r="936" customFormat="false" ht="15" hidden="false" customHeight="false" outlineLevel="0" collapsed="false">
      <c r="A936" s="1" t="n">
        <f aca="false">IF(A935="","",IF(INT((C935+1)/12)+Inputs!$B$7&gt;MAX(MORTALITY!$A:$A),"",Inputs!$B$4))</f>
        <v>34</v>
      </c>
      <c r="B936" s="3" t="n">
        <f aca="false">IF(A936="","",EOMONTH(B935,1))</f>
        <v>50160</v>
      </c>
      <c r="C936" s="1" t="n">
        <f aca="false">IF(A936="","",C935+1)</f>
        <v>934</v>
      </c>
      <c r="D936" s="1" t="n">
        <f aca="false">IF(A936="","",INT(C936/12))</f>
        <v>77</v>
      </c>
      <c r="E936" s="1" t="n">
        <f aca="false">IF(A936="","",D936+Inputs!$B$7)</f>
        <v>93</v>
      </c>
      <c r="F936" s="3" t="n">
        <f aca="false">IF(A936="","",DATE(YEAR(B$2)+D936,MONTH(B$2),DAY(B$2)))</f>
        <v>49831</v>
      </c>
      <c r="G936" s="3" t="n">
        <f aca="false">IF(A936="","",DATE(YEAR(F936)+1,MONTH(F936),DAY(F936)))</f>
        <v>50196</v>
      </c>
      <c r="H936" s="10" t="n">
        <f aca="false">IF(A936="","",IF(G936&gt;F936,(B936-F936)/(G936-F936),0))</f>
        <v>0.901369863013699</v>
      </c>
      <c r="I936" s="10" t="n">
        <f aca="false">IF(A936="","",IFERROR(INDEX(CV_RATES!$I:$I,MATCH(D936,CV_RATES!$C:$C,0)),0))</f>
        <v>940.17778024792</v>
      </c>
      <c r="J936" s="10" t="n">
        <f aca="false">IF(A936="","",IFERROR(IF(E936=MAX(MORTALITY!$A:$A),1000,INDEX(CV_RATES!$J:$J,MATCH(D936,CV_RATES!$C:$C,0))),0))</f>
        <v>944.412135724305</v>
      </c>
      <c r="K936" s="10" t="n">
        <f aca="false">IF(A936="","",IFERROR(I936+H936*(J936-I936),0))</f>
        <v>943.994500663621</v>
      </c>
      <c r="L936" s="10" t="n">
        <f aca="false">IF(A936="","",IFERROR(K936*Inputs!$B$9,0))</f>
        <v>47199.725033181</v>
      </c>
      <c r="M936" s="10" t="n">
        <f aca="false">IF(A936="","",IFERROR(K936*Inputs!$B$10,0))</f>
        <v>151036.288122677</v>
      </c>
      <c r="N936" s="10" t="n">
        <f aca="false">IF(A936="","",Z935)</f>
        <v>0</v>
      </c>
      <c r="O936" s="6" t="n">
        <f aca="false">IF(A936="","",Inputs!$B$18+N936)</f>
        <v>50000</v>
      </c>
      <c r="P936" s="5" t="n">
        <f aca="false">IF(A936="","",VLOOKUP(D936,DIvidend_Assumption!$A$3:$CX$103,($E$2+2),0)/12)</f>
        <v>0</v>
      </c>
      <c r="Q936" s="10" t="n">
        <f aca="false">IF(A936="","",IFERROR(AB935*P936,""))</f>
        <v>0</v>
      </c>
      <c r="R936" s="10" t="n">
        <f aca="false">IF(A936="","",IFERROR(IF(Inputs!$B$22="Accumulate",T936+Q936,IF(Inputs!$B$22="Premium Offset",MAX(0,T936+Q936-Inputs!$B$25),T936)),""))</f>
        <v>0</v>
      </c>
      <c r="S936" s="10" t="n">
        <f aca="false">IF(A936="","",R935)</f>
        <v>0</v>
      </c>
      <c r="T936" s="10" t="n">
        <f aca="false">IF(A936="","",IFERROR(S936*(1+Inputs!$B$23/12),""))</f>
        <v>0</v>
      </c>
      <c r="U936" s="6" t="n">
        <f aca="false">IF(A936="","",IF(D936&lt;=Inputs!$B$8,IF(Inputs!$B$22="Premium Offset",MAX(0,Inputs!$B$25-(Q936+T936)),Inputs!$B$25),0))</f>
        <v>0</v>
      </c>
      <c r="V936" s="10" t="n">
        <f aca="false">IF(A936="","",IF(Inputs!$B$22="Cash",Q936,0))</f>
        <v>0</v>
      </c>
      <c r="W936" s="10" t="n">
        <f aca="false">IF(A936="","",IF(Inputs!$B$22="PUA",Q936,0))</f>
        <v>0</v>
      </c>
      <c r="X936" s="12" t="n">
        <f aca="false">IF(A936="","",IFERROR(INDEX(PUA_TABLE!$D$4:$D$105,MATCH(E936,PUA_TABLE!$C$4:$C$105,1)),0))</f>
        <v>0.94017778024792</v>
      </c>
      <c r="Y936" s="10" t="n">
        <f aca="false">IF(A936="","",IF(W936&gt;0,IF(X936&gt;0,W936/X936,0),0))</f>
        <v>0</v>
      </c>
      <c r="Z936" s="10" t="n">
        <f aca="false">IF(A936="","",N936+Y936)</f>
        <v>0</v>
      </c>
      <c r="AA936" s="10" t="n">
        <f aca="false">IF(A936="","",IFERROR(Z936*INDEX(PUA_TABLE!$I$4:$I$105,MATCH(E936,PUA_TABLE!$C$4:$C$105,1))/1000,0))</f>
        <v>0</v>
      </c>
      <c r="AB936" s="10" t="n">
        <f aca="false">IF(A936="","",IFERROR(L936+AA936,0))</f>
        <v>47199.725033181</v>
      </c>
      <c r="AC936" s="10" t="n">
        <f aca="false">IF(A936="","",IF(Inputs!$B$22="Premium Offset",MIN(Inputs!$B$25,Q936+T936),0))</f>
        <v>0</v>
      </c>
    </row>
    <row r="937" customFormat="false" ht="15" hidden="false" customHeight="false" outlineLevel="0" collapsed="false">
      <c r="A937" s="1" t="n">
        <f aca="false">IF(A936="","",IF(INT((C936+1)/12)+Inputs!$B$7&gt;MAX(MORTALITY!$A:$A),"",Inputs!$B$4))</f>
        <v>34</v>
      </c>
      <c r="B937" s="3" t="n">
        <f aca="false">IF(A937="","",EOMONTH(B936,1))</f>
        <v>50191</v>
      </c>
      <c r="C937" s="1" t="n">
        <f aca="false">IF(A937="","",C936+1)</f>
        <v>935</v>
      </c>
      <c r="D937" s="1" t="n">
        <f aca="false">IF(A937="","",INT(C937/12))</f>
        <v>77</v>
      </c>
      <c r="E937" s="1" t="n">
        <f aca="false">IF(A937="","",D937+Inputs!$B$7)</f>
        <v>93</v>
      </c>
      <c r="F937" s="3" t="n">
        <f aca="false">IF(A937="","",DATE(YEAR(B$2)+D937,MONTH(B$2),DAY(B$2)))</f>
        <v>49831</v>
      </c>
      <c r="G937" s="3" t="n">
        <f aca="false">IF(A937="","",DATE(YEAR(F937)+1,MONTH(F937),DAY(F937)))</f>
        <v>50196</v>
      </c>
      <c r="H937" s="10" t="n">
        <f aca="false">IF(A937="","",IF(G937&gt;F937,(B937-F937)/(G937-F937),0))</f>
        <v>0.986301369863014</v>
      </c>
      <c r="I937" s="10" t="n">
        <f aca="false">IF(A937="","",IFERROR(INDEX(CV_RATES!$I:$I,MATCH(D937,CV_RATES!$C:$C,0)),0))</f>
        <v>940.17778024792</v>
      </c>
      <c r="J937" s="10" t="n">
        <f aca="false">IF(A937="","",IFERROR(IF(E937=MAX(MORTALITY!$A:$A),1000,INDEX(CV_RATES!$J:$J,MATCH(D937,CV_RATES!$C:$C,0))),0))</f>
        <v>944.412135724305</v>
      </c>
      <c r="K937" s="10" t="n">
        <f aca="false">IF(A937="","",IFERROR(I937+H937*(J937-I937),0))</f>
        <v>944.354130854766</v>
      </c>
      <c r="L937" s="10" t="n">
        <f aca="false">IF(A937="","",IFERROR(K937*Inputs!$B$9,0))</f>
        <v>47217.7065427383</v>
      </c>
      <c r="M937" s="10" t="n">
        <f aca="false">IF(A937="","",IFERROR(K937*Inputs!$B$10,0))</f>
        <v>151093.82787437</v>
      </c>
      <c r="N937" s="10" t="n">
        <f aca="false">IF(A937="","",Z936)</f>
        <v>0</v>
      </c>
      <c r="O937" s="6" t="n">
        <f aca="false">IF(A937="","",Inputs!$B$18+N937)</f>
        <v>50000</v>
      </c>
      <c r="P937" s="5" t="n">
        <f aca="false">IF(A937="","",VLOOKUP(D937,DIvidend_Assumption!$A$3:$CX$103,($E$2+2),0)/12)</f>
        <v>0</v>
      </c>
      <c r="Q937" s="10" t="n">
        <f aca="false">IF(A937="","",IFERROR(AB936*P937,""))</f>
        <v>0</v>
      </c>
      <c r="R937" s="10" t="n">
        <f aca="false">IF(A937="","",IFERROR(IF(Inputs!$B$22="Accumulate",T937+Q937,IF(Inputs!$B$22="Premium Offset",MAX(0,T937+Q937-Inputs!$B$25),T937)),""))</f>
        <v>0</v>
      </c>
      <c r="S937" s="10" t="n">
        <f aca="false">IF(A937="","",R936)</f>
        <v>0</v>
      </c>
      <c r="T937" s="10" t="n">
        <f aca="false">IF(A937="","",IFERROR(S937*(1+Inputs!$B$23/12),""))</f>
        <v>0</v>
      </c>
      <c r="U937" s="6" t="n">
        <f aca="false">IF(A937="","",IF(D937&lt;=Inputs!$B$8,IF(Inputs!$B$22="Premium Offset",MAX(0,Inputs!$B$25-(Q937+T937)),Inputs!$B$25),0))</f>
        <v>0</v>
      </c>
      <c r="V937" s="10" t="n">
        <f aca="false">IF(A937="","",IF(Inputs!$B$22="Cash",Q937,0))</f>
        <v>0</v>
      </c>
      <c r="W937" s="10" t="n">
        <f aca="false">IF(A937="","",IF(Inputs!$B$22="PUA",Q937,0))</f>
        <v>0</v>
      </c>
      <c r="X937" s="12" t="n">
        <f aca="false">IF(A937="","",IFERROR(INDEX(PUA_TABLE!$D$4:$D$105,MATCH(E937,PUA_TABLE!$C$4:$C$105,1)),0))</f>
        <v>0.94017778024792</v>
      </c>
      <c r="Y937" s="10" t="n">
        <f aca="false">IF(A937="","",IF(W937&gt;0,IF(X937&gt;0,W937/X937,0),0))</f>
        <v>0</v>
      </c>
      <c r="Z937" s="10" t="n">
        <f aca="false">IF(A937="","",N937+Y937)</f>
        <v>0</v>
      </c>
      <c r="AA937" s="10" t="n">
        <f aca="false">IF(A937="","",IFERROR(Z937*INDEX(PUA_TABLE!$I$4:$I$105,MATCH(E937,PUA_TABLE!$C$4:$C$105,1))/1000,0))</f>
        <v>0</v>
      </c>
      <c r="AB937" s="10" t="n">
        <f aca="false">IF(A937="","",IFERROR(L937+AA937,0))</f>
        <v>47217.7065427383</v>
      </c>
      <c r="AC937" s="10" t="n">
        <f aca="false">IF(A937="","",IF(Inputs!$B$22="Premium Offset",MIN(Inputs!$B$25,Q937+T937),0))</f>
        <v>0</v>
      </c>
    </row>
    <row r="938" customFormat="false" ht="15" hidden="false" customHeight="false" outlineLevel="0" collapsed="false">
      <c r="A938" s="1" t="n">
        <f aca="false">IF(A937="","",IF(INT((C937+1)/12)+Inputs!$B$7&gt;MAX(MORTALITY!$A:$A),"",Inputs!$B$4))</f>
        <v>34</v>
      </c>
      <c r="B938" s="3" t="n">
        <f aca="false">IF(A938="","",EOMONTH(B937,1))</f>
        <v>50221</v>
      </c>
      <c r="C938" s="1" t="n">
        <f aca="false">IF(A938="","",C937+1)</f>
        <v>936</v>
      </c>
      <c r="D938" s="1" t="n">
        <f aca="false">IF(A938="","",INT(C938/12))</f>
        <v>78</v>
      </c>
      <c r="E938" s="1" t="n">
        <f aca="false">IF(A938="","",D938+Inputs!$B$7)</f>
        <v>94</v>
      </c>
      <c r="F938" s="3" t="n">
        <f aca="false">IF(A938="","",DATE(YEAR(B$2)+D938,MONTH(B$2),DAY(B$2)))</f>
        <v>50196</v>
      </c>
      <c r="G938" s="3" t="n">
        <f aca="false">IF(A938="","",DATE(YEAR(F938)+1,MONTH(F938),DAY(F938)))</f>
        <v>50561</v>
      </c>
      <c r="H938" s="10" t="n">
        <f aca="false">IF(A938="","",IF(G938&gt;F938,(B938-F938)/(G938-F938),0))</f>
        <v>0.0684931506849315</v>
      </c>
      <c r="I938" s="10" t="n">
        <f aca="false">IF(A938="","",IFERROR(INDEX(CV_RATES!$I:$I,MATCH(D938,CV_RATES!$C:$C,0)),0))</f>
        <v>944.412135724305</v>
      </c>
      <c r="J938" s="10" t="n">
        <f aca="false">IF(A938="","",IFERROR(IF(E938=MAX(MORTALITY!$A:$A),1000,INDEX(CV_RATES!$J:$J,MATCH(D938,CV_RATES!$C:$C,0))),0))</f>
        <v>949.161270456937</v>
      </c>
      <c r="K938" s="10" t="n">
        <f aca="false">IF(A938="","",IFERROR(I938+H938*(J938-I938),0))</f>
        <v>944.737418925171</v>
      </c>
      <c r="L938" s="10" t="n">
        <f aca="false">IF(A938="","",IFERROR(K938*Inputs!$B$9,0))</f>
        <v>47236.8709462585</v>
      </c>
      <c r="M938" s="10" t="n">
        <f aca="false">IF(A938="","",IFERROR(K938*Inputs!$B$10,0))</f>
        <v>151155.152815771</v>
      </c>
      <c r="N938" s="10" t="n">
        <f aca="false">IF(A938="","",Z937)</f>
        <v>0</v>
      </c>
      <c r="O938" s="6" t="n">
        <f aca="false">IF(A938="","",Inputs!$B$18+N938)</f>
        <v>50000</v>
      </c>
      <c r="P938" s="5" t="n">
        <f aca="false">IF(A938="","",VLOOKUP(D938,DIvidend_Assumption!$A$3:$CX$103,($E$2+2),0)/12)</f>
        <v>0</v>
      </c>
      <c r="Q938" s="10" t="n">
        <f aca="false">IF(A938="","",IFERROR(AB937*P938,""))</f>
        <v>0</v>
      </c>
      <c r="R938" s="10" t="n">
        <f aca="false">IF(A938="","",IFERROR(IF(Inputs!$B$22="Accumulate",T938+Q938,IF(Inputs!$B$22="Premium Offset",MAX(0,T938+Q938-Inputs!$B$25),T938)),""))</f>
        <v>0</v>
      </c>
      <c r="S938" s="10" t="n">
        <f aca="false">IF(A938="","",R937)</f>
        <v>0</v>
      </c>
      <c r="T938" s="10" t="n">
        <f aca="false">IF(A938="","",IFERROR(S938*(1+Inputs!$B$23/12),""))</f>
        <v>0</v>
      </c>
      <c r="U938" s="6" t="n">
        <f aca="false">IF(A938="","",IF(D938&lt;=Inputs!$B$8,IF(Inputs!$B$22="Premium Offset",MAX(0,Inputs!$B$25-(Q938+T938)),Inputs!$B$25),0))</f>
        <v>0</v>
      </c>
      <c r="V938" s="10" t="n">
        <f aca="false">IF(A938="","",IF(Inputs!$B$22="Cash",Q938,0))</f>
        <v>0</v>
      </c>
      <c r="W938" s="10" t="n">
        <f aca="false">IF(A938="","",IF(Inputs!$B$22="PUA",Q938,0))</f>
        <v>0</v>
      </c>
      <c r="X938" s="12" t="n">
        <f aca="false">IF(A938="","",IFERROR(INDEX(PUA_TABLE!$D$4:$D$105,MATCH(E938,PUA_TABLE!$C$4:$C$105,1)),0))</f>
        <v>0.944412135724305</v>
      </c>
      <c r="Y938" s="10" t="n">
        <f aca="false">IF(A938="","",IF(W938&gt;0,IF(X938&gt;0,W938/X938,0),0))</f>
        <v>0</v>
      </c>
      <c r="Z938" s="10" t="n">
        <f aca="false">IF(A938="","",N938+Y938)</f>
        <v>0</v>
      </c>
      <c r="AA938" s="10" t="n">
        <f aca="false">IF(A938="","",IFERROR(Z938*INDEX(PUA_TABLE!$I$4:$I$105,MATCH(E938,PUA_TABLE!$C$4:$C$105,1))/1000,0))</f>
        <v>0</v>
      </c>
      <c r="AB938" s="10" t="n">
        <f aca="false">IF(A938="","",IFERROR(L938+AA938,0))</f>
        <v>47236.8709462585</v>
      </c>
      <c r="AC938" s="10" t="n">
        <f aca="false">IF(A938="","",IF(Inputs!$B$22="Premium Offset",MIN(Inputs!$B$25,Q938+T938),0))</f>
        <v>0</v>
      </c>
    </row>
    <row r="939" customFormat="false" ht="15" hidden="false" customHeight="false" outlineLevel="0" collapsed="false">
      <c r="A939" s="1" t="n">
        <f aca="false">IF(A938="","",IF(INT((C938+1)/12)+Inputs!$B$7&gt;MAX(MORTALITY!$A:$A),"",Inputs!$B$4))</f>
        <v>34</v>
      </c>
      <c r="B939" s="3" t="n">
        <f aca="false">IF(A939="","",EOMONTH(B938,1))</f>
        <v>50252</v>
      </c>
      <c r="C939" s="1" t="n">
        <f aca="false">IF(A939="","",C938+1)</f>
        <v>937</v>
      </c>
      <c r="D939" s="1" t="n">
        <f aca="false">IF(A939="","",INT(C939/12))</f>
        <v>78</v>
      </c>
      <c r="E939" s="1" t="n">
        <f aca="false">IF(A939="","",D939+Inputs!$B$7)</f>
        <v>94</v>
      </c>
      <c r="F939" s="3" t="n">
        <f aca="false">IF(A939="","",DATE(YEAR(B$2)+D939,MONTH(B$2),DAY(B$2)))</f>
        <v>50196</v>
      </c>
      <c r="G939" s="3" t="n">
        <f aca="false">IF(A939="","",DATE(YEAR(F939)+1,MONTH(F939),DAY(F939)))</f>
        <v>50561</v>
      </c>
      <c r="H939" s="10" t="n">
        <f aca="false">IF(A939="","",IF(G939&gt;F939,(B939-F939)/(G939-F939),0))</f>
        <v>0.153424657534247</v>
      </c>
      <c r="I939" s="10" t="n">
        <f aca="false">IF(A939="","",IFERROR(INDEX(CV_RATES!$I:$I,MATCH(D939,CV_RATES!$C:$C,0)),0))</f>
        <v>944.412135724305</v>
      </c>
      <c r="J939" s="10" t="n">
        <f aca="false">IF(A939="","",IFERROR(IF(E939=MAX(MORTALITY!$A:$A),1000,INDEX(CV_RATES!$J:$J,MATCH(D939,CV_RATES!$C:$C,0))),0))</f>
        <v>949.161270456937</v>
      </c>
      <c r="K939" s="10" t="n">
        <f aca="false">IF(A939="","",IFERROR(I939+H939*(J939-I939),0))</f>
        <v>945.140770094243</v>
      </c>
      <c r="L939" s="10" t="n">
        <f aca="false">IF(A939="","",IFERROR(K939*Inputs!$B$9,0))</f>
        <v>47257.0385047122</v>
      </c>
      <c r="M939" s="10" t="n">
        <f aca="false">IF(A939="","",IFERROR(K939*Inputs!$B$10,0))</f>
        <v>151219.687792769</v>
      </c>
      <c r="N939" s="10" t="n">
        <f aca="false">IF(A939="","",Z938)</f>
        <v>0</v>
      </c>
      <c r="O939" s="6" t="n">
        <f aca="false">IF(A939="","",Inputs!$B$18+N939)</f>
        <v>50000</v>
      </c>
      <c r="P939" s="5" t="n">
        <f aca="false">IF(A939="","",VLOOKUP(D939,DIvidend_Assumption!$A$3:$CX$103,($E$2+2),0)/12)</f>
        <v>0</v>
      </c>
      <c r="Q939" s="10" t="n">
        <f aca="false">IF(A939="","",IFERROR(AB938*P939,""))</f>
        <v>0</v>
      </c>
      <c r="R939" s="10" t="n">
        <f aca="false">IF(A939="","",IFERROR(IF(Inputs!$B$22="Accumulate",T939+Q939,IF(Inputs!$B$22="Premium Offset",MAX(0,T939+Q939-Inputs!$B$25),T939)),""))</f>
        <v>0</v>
      </c>
      <c r="S939" s="10" t="n">
        <f aca="false">IF(A939="","",R938)</f>
        <v>0</v>
      </c>
      <c r="T939" s="10" t="n">
        <f aca="false">IF(A939="","",IFERROR(S939*(1+Inputs!$B$23/12),""))</f>
        <v>0</v>
      </c>
      <c r="U939" s="6" t="n">
        <f aca="false">IF(A939="","",IF(D939&lt;=Inputs!$B$8,IF(Inputs!$B$22="Premium Offset",MAX(0,Inputs!$B$25-(Q939+T939)),Inputs!$B$25),0))</f>
        <v>0</v>
      </c>
      <c r="V939" s="10" t="n">
        <f aca="false">IF(A939="","",IF(Inputs!$B$22="Cash",Q939,0))</f>
        <v>0</v>
      </c>
      <c r="W939" s="10" t="n">
        <f aca="false">IF(A939="","",IF(Inputs!$B$22="PUA",Q939,0))</f>
        <v>0</v>
      </c>
      <c r="X939" s="12" t="n">
        <f aca="false">IF(A939="","",IFERROR(INDEX(PUA_TABLE!$D$4:$D$105,MATCH(E939,PUA_TABLE!$C$4:$C$105,1)),0))</f>
        <v>0.944412135724305</v>
      </c>
      <c r="Y939" s="10" t="n">
        <f aca="false">IF(A939="","",IF(W939&gt;0,IF(X939&gt;0,W939/X939,0),0))</f>
        <v>0</v>
      </c>
      <c r="Z939" s="10" t="n">
        <f aca="false">IF(A939="","",N939+Y939)</f>
        <v>0</v>
      </c>
      <c r="AA939" s="10" t="n">
        <f aca="false">IF(A939="","",IFERROR(Z939*INDEX(PUA_TABLE!$I$4:$I$105,MATCH(E939,PUA_TABLE!$C$4:$C$105,1))/1000,0))</f>
        <v>0</v>
      </c>
      <c r="AB939" s="10" t="n">
        <f aca="false">IF(A939="","",IFERROR(L939+AA939,0))</f>
        <v>47257.0385047122</v>
      </c>
      <c r="AC939" s="10" t="n">
        <f aca="false">IF(A939="","",IF(Inputs!$B$22="Premium Offset",MIN(Inputs!$B$25,Q939+T939),0))</f>
        <v>0</v>
      </c>
    </row>
    <row r="940" customFormat="false" ht="15" hidden="false" customHeight="false" outlineLevel="0" collapsed="false">
      <c r="A940" s="1" t="n">
        <f aca="false">IF(A939="","",IF(INT((C939+1)/12)+Inputs!$B$7&gt;MAX(MORTALITY!$A:$A),"",Inputs!$B$4))</f>
        <v>34</v>
      </c>
      <c r="B940" s="3" t="n">
        <f aca="false">IF(A940="","",EOMONTH(B939,1))</f>
        <v>50283</v>
      </c>
      <c r="C940" s="1" t="n">
        <f aca="false">IF(A940="","",C939+1)</f>
        <v>938</v>
      </c>
      <c r="D940" s="1" t="n">
        <f aca="false">IF(A940="","",INT(C940/12))</f>
        <v>78</v>
      </c>
      <c r="E940" s="1" t="n">
        <f aca="false">IF(A940="","",D940+Inputs!$B$7)</f>
        <v>94</v>
      </c>
      <c r="F940" s="3" t="n">
        <f aca="false">IF(A940="","",DATE(YEAR(B$2)+D940,MONTH(B$2),DAY(B$2)))</f>
        <v>50196</v>
      </c>
      <c r="G940" s="3" t="n">
        <f aca="false">IF(A940="","",DATE(YEAR(F940)+1,MONTH(F940),DAY(F940)))</f>
        <v>50561</v>
      </c>
      <c r="H940" s="10" t="n">
        <f aca="false">IF(A940="","",IF(G940&gt;F940,(B940-F940)/(G940-F940),0))</f>
        <v>0.238356164383562</v>
      </c>
      <c r="I940" s="10" t="n">
        <f aca="false">IF(A940="","",IFERROR(INDEX(CV_RATES!$I:$I,MATCH(D940,CV_RATES!$C:$C,0)),0))</f>
        <v>944.412135724305</v>
      </c>
      <c r="J940" s="10" t="n">
        <f aca="false">IF(A940="","",IFERROR(IF(E940=MAX(MORTALITY!$A:$A),1000,INDEX(CV_RATES!$J:$J,MATCH(D940,CV_RATES!$C:$C,0))),0))</f>
        <v>949.161270456937</v>
      </c>
      <c r="K940" s="10" t="n">
        <f aca="false">IF(A940="","",IFERROR(I940+H940*(J940-I940),0))</f>
        <v>945.544121263316</v>
      </c>
      <c r="L940" s="10" t="n">
        <f aca="false">IF(A940="","",IFERROR(K940*Inputs!$B$9,0))</f>
        <v>47277.2060631658</v>
      </c>
      <c r="M940" s="10" t="n">
        <f aca="false">IF(A940="","",IFERROR(K940*Inputs!$B$10,0))</f>
        <v>151284.222769767</v>
      </c>
      <c r="N940" s="10" t="n">
        <f aca="false">IF(A940="","",Z939)</f>
        <v>0</v>
      </c>
      <c r="O940" s="6" t="n">
        <f aca="false">IF(A940="","",Inputs!$B$18+N940)</f>
        <v>50000</v>
      </c>
      <c r="P940" s="5" t="n">
        <f aca="false">IF(A940="","",VLOOKUP(D940,DIvidend_Assumption!$A$3:$CX$103,($E$2+2),0)/12)</f>
        <v>0</v>
      </c>
      <c r="Q940" s="10" t="n">
        <f aca="false">IF(A940="","",IFERROR(AB939*P940,""))</f>
        <v>0</v>
      </c>
      <c r="R940" s="10" t="n">
        <f aca="false">IF(A940="","",IFERROR(IF(Inputs!$B$22="Accumulate",T940+Q940,IF(Inputs!$B$22="Premium Offset",MAX(0,T940+Q940-Inputs!$B$25),T940)),""))</f>
        <v>0</v>
      </c>
      <c r="S940" s="10" t="n">
        <f aca="false">IF(A940="","",R939)</f>
        <v>0</v>
      </c>
      <c r="T940" s="10" t="n">
        <f aca="false">IF(A940="","",IFERROR(S940*(1+Inputs!$B$23/12),""))</f>
        <v>0</v>
      </c>
      <c r="U940" s="6" t="n">
        <f aca="false">IF(A940="","",IF(D940&lt;=Inputs!$B$8,IF(Inputs!$B$22="Premium Offset",MAX(0,Inputs!$B$25-(Q940+T940)),Inputs!$B$25),0))</f>
        <v>0</v>
      </c>
      <c r="V940" s="10" t="n">
        <f aca="false">IF(A940="","",IF(Inputs!$B$22="Cash",Q940,0))</f>
        <v>0</v>
      </c>
      <c r="W940" s="10" t="n">
        <f aca="false">IF(A940="","",IF(Inputs!$B$22="PUA",Q940,0))</f>
        <v>0</v>
      </c>
      <c r="X940" s="12" t="n">
        <f aca="false">IF(A940="","",IFERROR(INDEX(PUA_TABLE!$D$4:$D$105,MATCH(E940,PUA_TABLE!$C$4:$C$105,1)),0))</f>
        <v>0.944412135724305</v>
      </c>
      <c r="Y940" s="10" t="n">
        <f aca="false">IF(A940="","",IF(W940&gt;0,IF(X940&gt;0,W940/X940,0),0))</f>
        <v>0</v>
      </c>
      <c r="Z940" s="10" t="n">
        <f aca="false">IF(A940="","",N940+Y940)</f>
        <v>0</v>
      </c>
      <c r="AA940" s="10" t="n">
        <f aca="false">IF(A940="","",IFERROR(Z940*INDEX(PUA_TABLE!$I$4:$I$105,MATCH(E940,PUA_TABLE!$C$4:$C$105,1))/1000,0))</f>
        <v>0</v>
      </c>
      <c r="AB940" s="10" t="n">
        <f aca="false">IF(A940="","",IFERROR(L940+AA940,0))</f>
        <v>47277.2060631658</v>
      </c>
      <c r="AC940" s="10" t="n">
        <f aca="false">IF(A940="","",IF(Inputs!$B$22="Premium Offset",MIN(Inputs!$B$25,Q940+T940),0))</f>
        <v>0</v>
      </c>
    </row>
    <row r="941" customFormat="false" ht="15" hidden="false" customHeight="false" outlineLevel="0" collapsed="false">
      <c r="A941" s="1" t="n">
        <f aca="false">IF(A940="","",IF(INT((C940+1)/12)+Inputs!$B$7&gt;MAX(MORTALITY!$A:$A),"",Inputs!$B$4))</f>
        <v>34</v>
      </c>
      <c r="B941" s="3" t="n">
        <f aca="false">IF(A941="","",EOMONTH(B940,1))</f>
        <v>50313</v>
      </c>
      <c r="C941" s="1" t="n">
        <f aca="false">IF(A941="","",C940+1)</f>
        <v>939</v>
      </c>
      <c r="D941" s="1" t="n">
        <f aca="false">IF(A941="","",INT(C941/12))</f>
        <v>78</v>
      </c>
      <c r="E941" s="1" t="n">
        <f aca="false">IF(A941="","",D941+Inputs!$B$7)</f>
        <v>94</v>
      </c>
      <c r="F941" s="3" t="n">
        <f aca="false">IF(A941="","",DATE(YEAR(B$2)+D941,MONTH(B$2),DAY(B$2)))</f>
        <v>50196</v>
      </c>
      <c r="G941" s="3" t="n">
        <f aca="false">IF(A941="","",DATE(YEAR(F941)+1,MONTH(F941),DAY(F941)))</f>
        <v>50561</v>
      </c>
      <c r="H941" s="10" t="n">
        <f aca="false">IF(A941="","",IF(G941&gt;F941,(B941-F941)/(G941-F941),0))</f>
        <v>0.320547945205479</v>
      </c>
      <c r="I941" s="10" t="n">
        <f aca="false">IF(A941="","",IFERROR(INDEX(CV_RATES!$I:$I,MATCH(D941,CV_RATES!$C:$C,0)),0))</f>
        <v>944.412135724305</v>
      </c>
      <c r="J941" s="10" t="n">
        <f aca="false">IF(A941="","",IFERROR(IF(E941=MAX(MORTALITY!$A:$A),1000,INDEX(CV_RATES!$J:$J,MATCH(D941,CV_RATES!$C:$C,0))),0))</f>
        <v>949.161270456937</v>
      </c>
      <c r="K941" s="10" t="n">
        <f aca="false">IF(A941="","",IFERROR(I941+H941*(J941-I941),0))</f>
        <v>945.934461104354</v>
      </c>
      <c r="L941" s="10" t="n">
        <f aca="false">IF(A941="","",IFERROR(K941*Inputs!$B$9,0))</f>
        <v>47296.7230552177</v>
      </c>
      <c r="M941" s="10" t="n">
        <f aca="false">IF(A941="","",IFERROR(K941*Inputs!$B$10,0))</f>
        <v>151346.675973313</v>
      </c>
      <c r="N941" s="10" t="n">
        <f aca="false">IF(A941="","",Z940)</f>
        <v>0</v>
      </c>
      <c r="O941" s="6" t="n">
        <f aca="false">IF(A941="","",Inputs!$B$18+N941)</f>
        <v>50000</v>
      </c>
      <c r="P941" s="5" t="n">
        <f aca="false">IF(A941="","",VLOOKUP(D941,DIvidend_Assumption!$A$3:$CX$103,($E$2+2),0)/12)</f>
        <v>0</v>
      </c>
      <c r="Q941" s="10" t="n">
        <f aca="false">IF(A941="","",IFERROR(AB940*P941,""))</f>
        <v>0</v>
      </c>
      <c r="R941" s="10" t="n">
        <f aca="false">IF(A941="","",IFERROR(IF(Inputs!$B$22="Accumulate",T941+Q941,IF(Inputs!$B$22="Premium Offset",MAX(0,T941+Q941-Inputs!$B$25),T941)),""))</f>
        <v>0</v>
      </c>
      <c r="S941" s="10" t="n">
        <f aca="false">IF(A941="","",R940)</f>
        <v>0</v>
      </c>
      <c r="T941" s="10" t="n">
        <f aca="false">IF(A941="","",IFERROR(S941*(1+Inputs!$B$23/12),""))</f>
        <v>0</v>
      </c>
      <c r="U941" s="6" t="n">
        <f aca="false">IF(A941="","",IF(D941&lt;=Inputs!$B$8,IF(Inputs!$B$22="Premium Offset",MAX(0,Inputs!$B$25-(Q941+T941)),Inputs!$B$25),0))</f>
        <v>0</v>
      </c>
      <c r="V941" s="10" t="n">
        <f aca="false">IF(A941="","",IF(Inputs!$B$22="Cash",Q941,0))</f>
        <v>0</v>
      </c>
      <c r="W941" s="10" t="n">
        <f aca="false">IF(A941="","",IF(Inputs!$B$22="PUA",Q941,0))</f>
        <v>0</v>
      </c>
      <c r="X941" s="12" t="n">
        <f aca="false">IF(A941="","",IFERROR(INDEX(PUA_TABLE!$D$4:$D$105,MATCH(E941,PUA_TABLE!$C$4:$C$105,1)),0))</f>
        <v>0.944412135724305</v>
      </c>
      <c r="Y941" s="10" t="n">
        <f aca="false">IF(A941="","",IF(W941&gt;0,IF(X941&gt;0,W941/X941,0),0))</f>
        <v>0</v>
      </c>
      <c r="Z941" s="10" t="n">
        <f aca="false">IF(A941="","",N941+Y941)</f>
        <v>0</v>
      </c>
      <c r="AA941" s="10" t="n">
        <f aca="false">IF(A941="","",IFERROR(Z941*INDEX(PUA_TABLE!$I$4:$I$105,MATCH(E941,PUA_TABLE!$C$4:$C$105,1))/1000,0))</f>
        <v>0</v>
      </c>
      <c r="AB941" s="10" t="n">
        <f aca="false">IF(A941="","",IFERROR(L941+AA941,0))</f>
        <v>47296.7230552177</v>
      </c>
      <c r="AC941" s="10" t="n">
        <f aca="false">IF(A941="","",IF(Inputs!$B$22="Premium Offset",MIN(Inputs!$B$25,Q941+T941),0))</f>
        <v>0</v>
      </c>
    </row>
    <row r="942" customFormat="false" ht="15" hidden="false" customHeight="false" outlineLevel="0" collapsed="false">
      <c r="A942" s="1" t="n">
        <f aca="false">IF(A941="","",IF(INT((C941+1)/12)+Inputs!$B$7&gt;MAX(MORTALITY!$A:$A),"",Inputs!$B$4))</f>
        <v>34</v>
      </c>
      <c r="B942" s="3" t="n">
        <f aca="false">IF(A942="","",EOMONTH(B941,1))</f>
        <v>50344</v>
      </c>
      <c r="C942" s="1" t="n">
        <f aca="false">IF(A942="","",C941+1)</f>
        <v>940</v>
      </c>
      <c r="D942" s="1" t="n">
        <f aca="false">IF(A942="","",INT(C942/12))</f>
        <v>78</v>
      </c>
      <c r="E942" s="1" t="n">
        <f aca="false">IF(A942="","",D942+Inputs!$B$7)</f>
        <v>94</v>
      </c>
      <c r="F942" s="3" t="n">
        <f aca="false">IF(A942="","",DATE(YEAR(B$2)+D942,MONTH(B$2),DAY(B$2)))</f>
        <v>50196</v>
      </c>
      <c r="G942" s="3" t="n">
        <f aca="false">IF(A942="","",DATE(YEAR(F942)+1,MONTH(F942),DAY(F942)))</f>
        <v>50561</v>
      </c>
      <c r="H942" s="10" t="n">
        <f aca="false">IF(A942="","",IF(G942&gt;F942,(B942-F942)/(G942-F942),0))</f>
        <v>0.405479452054795</v>
      </c>
      <c r="I942" s="10" t="n">
        <f aca="false">IF(A942="","",IFERROR(INDEX(CV_RATES!$I:$I,MATCH(D942,CV_RATES!$C:$C,0)),0))</f>
        <v>944.412135724305</v>
      </c>
      <c r="J942" s="10" t="n">
        <f aca="false">IF(A942="","",IFERROR(IF(E942=MAX(MORTALITY!$A:$A),1000,INDEX(CV_RATES!$J:$J,MATCH(D942,CV_RATES!$C:$C,0))),0))</f>
        <v>949.161270456937</v>
      </c>
      <c r="K942" s="10" t="n">
        <f aca="false">IF(A942="","",IFERROR(I942+H942*(J942-I942),0))</f>
        <v>946.337812273427</v>
      </c>
      <c r="L942" s="10" t="n">
        <f aca="false">IF(A942="","",IFERROR(K942*Inputs!$B$9,0))</f>
        <v>47316.8906136714</v>
      </c>
      <c r="M942" s="10" t="n">
        <f aca="false">IF(A942="","",IFERROR(K942*Inputs!$B$10,0))</f>
        <v>151411.210950312</v>
      </c>
      <c r="N942" s="10" t="n">
        <f aca="false">IF(A942="","",Z941)</f>
        <v>0</v>
      </c>
      <c r="O942" s="6" t="n">
        <f aca="false">IF(A942="","",Inputs!$B$18+N942)</f>
        <v>50000</v>
      </c>
      <c r="P942" s="5" t="n">
        <f aca="false">IF(A942="","",VLOOKUP(D942,DIvidend_Assumption!$A$3:$CX$103,($E$2+2),0)/12)</f>
        <v>0</v>
      </c>
      <c r="Q942" s="10" t="n">
        <f aca="false">IF(A942="","",IFERROR(AB941*P942,""))</f>
        <v>0</v>
      </c>
      <c r="R942" s="10" t="n">
        <f aca="false">IF(A942="","",IFERROR(IF(Inputs!$B$22="Accumulate",T942+Q942,IF(Inputs!$B$22="Premium Offset",MAX(0,T942+Q942-Inputs!$B$25),T942)),""))</f>
        <v>0</v>
      </c>
      <c r="S942" s="10" t="n">
        <f aca="false">IF(A942="","",R941)</f>
        <v>0</v>
      </c>
      <c r="T942" s="10" t="n">
        <f aca="false">IF(A942="","",IFERROR(S942*(1+Inputs!$B$23/12),""))</f>
        <v>0</v>
      </c>
      <c r="U942" s="6" t="n">
        <f aca="false">IF(A942="","",IF(D942&lt;=Inputs!$B$8,IF(Inputs!$B$22="Premium Offset",MAX(0,Inputs!$B$25-(Q942+T942)),Inputs!$B$25),0))</f>
        <v>0</v>
      </c>
      <c r="V942" s="10" t="n">
        <f aca="false">IF(A942="","",IF(Inputs!$B$22="Cash",Q942,0))</f>
        <v>0</v>
      </c>
      <c r="W942" s="10" t="n">
        <f aca="false">IF(A942="","",IF(Inputs!$B$22="PUA",Q942,0))</f>
        <v>0</v>
      </c>
      <c r="X942" s="12" t="n">
        <f aca="false">IF(A942="","",IFERROR(INDEX(PUA_TABLE!$D$4:$D$105,MATCH(E942,PUA_TABLE!$C$4:$C$105,1)),0))</f>
        <v>0.944412135724305</v>
      </c>
      <c r="Y942" s="10" t="n">
        <f aca="false">IF(A942="","",IF(W942&gt;0,IF(X942&gt;0,W942/X942,0),0))</f>
        <v>0</v>
      </c>
      <c r="Z942" s="10" t="n">
        <f aca="false">IF(A942="","",N942+Y942)</f>
        <v>0</v>
      </c>
      <c r="AA942" s="10" t="n">
        <f aca="false">IF(A942="","",IFERROR(Z942*INDEX(PUA_TABLE!$I$4:$I$105,MATCH(E942,PUA_TABLE!$C$4:$C$105,1))/1000,0))</f>
        <v>0</v>
      </c>
      <c r="AB942" s="10" t="n">
        <f aca="false">IF(A942="","",IFERROR(L942+AA942,0))</f>
        <v>47316.8906136714</v>
      </c>
      <c r="AC942" s="10" t="n">
        <f aca="false">IF(A942="","",IF(Inputs!$B$22="Premium Offset",MIN(Inputs!$B$25,Q942+T942),0))</f>
        <v>0</v>
      </c>
    </row>
    <row r="943" customFormat="false" ht="15" hidden="false" customHeight="false" outlineLevel="0" collapsed="false">
      <c r="A943" s="1" t="n">
        <f aca="false">IF(A942="","",IF(INT((C942+1)/12)+Inputs!$B$7&gt;MAX(MORTALITY!$A:$A),"",Inputs!$B$4))</f>
        <v>34</v>
      </c>
      <c r="B943" s="3" t="n">
        <f aca="false">IF(A943="","",EOMONTH(B942,1))</f>
        <v>50374</v>
      </c>
      <c r="C943" s="1" t="n">
        <f aca="false">IF(A943="","",C942+1)</f>
        <v>941</v>
      </c>
      <c r="D943" s="1" t="n">
        <f aca="false">IF(A943="","",INT(C943/12))</f>
        <v>78</v>
      </c>
      <c r="E943" s="1" t="n">
        <f aca="false">IF(A943="","",D943+Inputs!$B$7)</f>
        <v>94</v>
      </c>
      <c r="F943" s="3" t="n">
        <f aca="false">IF(A943="","",DATE(YEAR(B$2)+D943,MONTH(B$2),DAY(B$2)))</f>
        <v>50196</v>
      </c>
      <c r="G943" s="3" t="n">
        <f aca="false">IF(A943="","",DATE(YEAR(F943)+1,MONTH(F943),DAY(F943)))</f>
        <v>50561</v>
      </c>
      <c r="H943" s="10" t="n">
        <f aca="false">IF(A943="","",IF(G943&gt;F943,(B943-F943)/(G943-F943),0))</f>
        <v>0.487671232876712</v>
      </c>
      <c r="I943" s="10" t="n">
        <f aca="false">IF(A943="","",IFERROR(INDEX(CV_RATES!$I:$I,MATCH(D943,CV_RATES!$C:$C,0)),0))</f>
        <v>944.412135724305</v>
      </c>
      <c r="J943" s="10" t="n">
        <f aca="false">IF(A943="","",IFERROR(IF(E943=MAX(MORTALITY!$A:$A),1000,INDEX(CV_RATES!$J:$J,MATCH(D943,CV_RATES!$C:$C,0))),0))</f>
        <v>949.161270456937</v>
      </c>
      <c r="K943" s="10" t="n">
        <f aca="false">IF(A943="","",IFERROR(I943+H943*(J943-I943),0))</f>
        <v>946.728152114465</v>
      </c>
      <c r="L943" s="10" t="n">
        <f aca="false">IF(A943="","",IFERROR(K943*Inputs!$B$9,0))</f>
        <v>47336.4076057233</v>
      </c>
      <c r="M943" s="10" t="n">
        <f aca="false">IF(A943="","",IFERROR(K943*Inputs!$B$10,0))</f>
        <v>151473.664153858</v>
      </c>
      <c r="N943" s="10" t="n">
        <f aca="false">IF(A943="","",Z942)</f>
        <v>0</v>
      </c>
      <c r="O943" s="6" t="n">
        <f aca="false">IF(A943="","",Inputs!$B$18+N943)</f>
        <v>50000</v>
      </c>
      <c r="P943" s="5" t="n">
        <f aca="false">IF(A943="","",VLOOKUP(D943,DIvidend_Assumption!$A$3:$CX$103,($E$2+2),0)/12)</f>
        <v>0</v>
      </c>
      <c r="Q943" s="10" t="n">
        <f aca="false">IF(A943="","",IFERROR(AB942*P943,""))</f>
        <v>0</v>
      </c>
      <c r="R943" s="10" t="n">
        <f aca="false">IF(A943="","",IFERROR(IF(Inputs!$B$22="Accumulate",T943+Q943,IF(Inputs!$B$22="Premium Offset",MAX(0,T943+Q943-Inputs!$B$25),T943)),""))</f>
        <v>0</v>
      </c>
      <c r="S943" s="10" t="n">
        <f aca="false">IF(A943="","",R942)</f>
        <v>0</v>
      </c>
      <c r="T943" s="10" t="n">
        <f aca="false">IF(A943="","",IFERROR(S943*(1+Inputs!$B$23/12),""))</f>
        <v>0</v>
      </c>
      <c r="U943" s="6" t="n">
        <f aca="false">IF(A943="","",IF(D943&lt;=Inputs!$B$8,IF(Inputs!$B$22="Premium Offset",MAX(0,Inputs!$B$25-(Q943+T943)),Inputs!$B$25),0))</f>
        <v>0</v>
      </c>
      <c r="V943" s="10" t="n">
        <f aca="false">IF(A943="","",IF(Inputs!$B$22="Cash",Q943,0))</f>
        <v>0</v>
      </c>
      <c r="W943" s="10" t="n">
        <f aca="false">IF(A943="","",IF(Inputs!$B$22="PUA",Q943,0))</f>
        <v>0</v>
      </c>
      <c r="X943" s="12" t="n">
        <f aca="false">IF(A943="","",IFERROR(INDEX(PUA_TABLE!$D$4:$D$105,MATCH(E943,PUA_TABLE!$C$4:$C$105,1)),0))</f>
        <v>0.944412135724305</v>
      </c>
      <c r="Y943" s="10" t="n">
        <f aca="false">IF(A943="","",IF(W943&gt;0,IF(X943&gt;0,W943/X943,0),0))</f>
        <v>0</v>
      </c>
      <c r="Z943" s="10" t="n">
        <f aca="false">IF(A943="","",N943+Y943)</f>
        <v>0</v>
      </c>
      <c r="AA943" s="10" t="n">
        <f aca="false">IF(A943="","",IFERROR(Z943*INDEX(PUA_TABLE!$I$4:$I$105,MATCH(E943,PUA_TABLE!$C$4:$C$105,1))/1000,0))</f>
        <v>0</v>
      </c>
      <c r="AB943" s="10" t="n">
        <f aca="false">IF(A943="","",IFERROR(L943+AA943,0))</f>
        <v>47336.4076057233</v>
      </c>
      <c r="AC943" s="10" t="n">
        <f aca="false">IF(A943="","",IF(Inputs!$B$22="Premium Offset",MIN(Inputs!$B$25,Q943+T943),0))</f>
        <v>0</v>
      </c>
    </row>
    <row r="944" customFormat="false" ht="15" hidden="false" customHeight="false" outlineLevel="0" collapsed="false">
      <c r="A944" s="1" t="n">
        <f aca="false">IF(A943="","",IF(INT((C943+1)/12)+Inputs!$B$7&gt;MAX(MORTALITY!$A:$A),"",Inputs!$B$4))</f>
        <v>34</v>
      </c>
      <c r="B944" s="3" t="n">
        <f aca="false">IF(A944="","",EOMONTH(B943,1))</f>
        <v>50405</v>
      </c>
      <c r="C944" s="1" t="n">
        <f aca="false">IF(A944="","",C943+1)</f>
        <v>942</v>
      </c>
      <c r="D944" s="1" t="n">
        <f aca="false">IF(A944="","",INT(C944/12))</f>
        <v>78</v>
      </c>
      <c r="E944" s="1" t="n">
        <f aca="false">IF(A944="","",D944+Inputs!$B$7)</f>
        <v>94</v>
      </c>
      <c r="F944" s="3" t="n">
        <f aca="false">IF(A944="","",DATE(YEAR(B$2)+D944,MONTH(B$2),DAY(B$2)))</f>
        <v>50196</v>
      </c>
      <c r="G944" s="3" t="n">
        <f aca="false">IF(A944="","",DATE(YEAR(F944)+1,MONTH(F944),DAY(F944)))</f>
        <v>50561</v>
      </c>
      <c r="H944" s="10" t="n">
        <f aca="false">IF(A944="","",IF(G944&gt;F944,(B944-F944)/(G944-F944),0))</f>
        <v>0.572602739726027</v>
      </c>
      <c r="I944" s="10" t="n">
        <f aca="false">IF(A944="","",IFERROR(INDEX(CV_RATES!$I:$I,MATCH(D944,CV_RATES!$C:$C,0)),0))</f>
        <v>944.412135724305</v>
      </c>
      <c r="J944" s="10" t="n">
        <f aca="false">IF(A944="","",IFERROR(IF(E944=MAX(MORTALITY!$A:$A),1000,INDEX(CV_RATES!$J:$J,MATCH(D944,CV_RATES!$C:$C,0))),0))</f>
        <v>949.161270456937</v>
      </c>
      <c r="K944" s="10" t="n">
        <f aca="false">IF(A944="","",IFERROR(I944+H944*(J944-I944),0))</f>
        <v>947.131503283538</v>
      </c>
      <c r="L944" s="10" t="n">
        <f aca="false">IF(A944="","",IFERROR(K944*Inputs!$B$9,0))</f>
        <v>47356.5751641769</v>
      </c>
      <c r="M944" s="10" t="n">
        <f aca="false">IF(A944="","",IFERROR(K944*Inputs!$B$10,0))</f>
        <v>151538.199130856</v>
      </c>
      <c r="N944" s="10" t="n">
        <f aca="false">IF(A944="","",Z943)</f>
        <v>0</v>
      </c>
      <c r="O944" s="6" t="n">
        <f aca="false">IF(A944="","",Inputs!$B$18+N944)</f>
        <v>50000</v>
      </c>
      <c r="P944" s="5" t="n">
        <f aca="false">IF(A944="","",VLOOKUP(D944,DIvidend_Assumption!$A$3:$CX$103,($E$2+2),0)/12)</f>
        <v>0</v>
      </c>
      <c r="Q944" s="10" t="n">
        <f aca="false">IF(A944="","",IFERROR(AB943*P944,""))</f>
        <v>0</v>
      </c>
      <c r="R944" s="10" t="n">
        <f aca="false">IF(A944="","",IFERROR(IF(Inputs!$B$22="Accumulate",T944+Q944,IF(Inputs!$B$22="Premium Offset",MAX(0,T944+Q944-Inputs!$B$25),T944)),""))</f>
        <v>0</v>
      </c>
      <c r="S944" s="10" t="n">
        <f aca="false">IF(A944="","",R943)</f>
        <v>0</v>
      </c>
      <c r="T944" s="10" t="n">
        <f aca="false">IF(A944="","",IFERROR(S944*(1+Inputs!$B$23/12),""))</f>
        <v>0</v>
      </c>
      <c r="U944" s="6" t="n">
        <f aca="false">IF(A944="","",IF(D944&lt;=Inputs!$B$8,IF(Inputs!$B$22="Premium Offset",MAX(0,Inputs!$B$25-(Q944+T944)),Inputs!$B$25),0))</f>
        <v>0</v>
      </c>
      <c r="V944" s="10" t="n">
        <f aca="false">IF(A944="","",IF(Inputs!$B$22="Cash",Q944,0))</f>
        <v>0</v>
      </c>
      <c r="W944" s="10" t="n">
        <f aca="false">IF(A944="","",IF(Inputs!$B$22="PUA",Q944,0))</f>
        <v>0</v>
      </c>
      <c r="X944" s="12" t="n">
        <f aca="false">IF(A944="","",IFERROR(INDEX(PUA_TABLE!$D$4:$D$105,MATCH(E944,PUA_TABLE!$C$4:$C$105,1)),0))</f>
        <v>0.944412135724305</v>
      </c>
      <c r="Y944" s="10" t="n">
        <f aca="false">IF(A944="","",IF(W944&gt;0,IF(X944&gt;0,W944/X944,0),0))</f>
        <v>0</v>
      </c>
      <c r="Z944" s="10" t="n">
        <f aca="false">IF(A944="","",N944+Y944)</f>
        <v>0</v>
      </c>
      <c r="AA944" s="10" t="n">
        <f aca="false">IF(A944="","",IFERROR(Z944*INDEX(PUA_TABLE!$I$4:$I$105,MATCH(E944,PUA_TABLE!$C$4:$C$105,1))/1000,0))</f>
        <v>0</v>
      </c>
      <c r="AB944" s="10" t="n">
        <f aca="false">IF(A944="","",IFERROR(L944+AA944,0))</f>
        <v>47356.5751641769</v>
      </c>
      <c r="AC944" s="10" t="n">
        <f aca="false">IF(A944="","",IF(Inputs!$B$22="Premium Offset",MIN(Inputs!$B$25,Q944+T944),0))</f>
        <v>0</v>
      </c>
    </row>
    <row r="945" customFormat="false" ht="15" hidden="false" customHeight="false" outlineLevel="0" collapsed="false">
      <c r="A945" s="1" t="n">
        <f aca="false">IF(A944="","",IF(INT((C944+1)/12)+Inputs!$B$7&gt;MAX(MORTALITY!$A:$A),"",Inputs!$B$4))</f>
        <v>34</v>
      </c>
      <c r="B945" s="3" t="n">
        <f aca="false">IF(A945="","",EOMONTH(B944,1))</f>
        <v>50436</v>
      </c>
      <c r="C945" s="1" t="n">
        <f aca="false">IF(A945="","",C944+1)</f>
        <v>943</v>
      </c>
      <c r="D945" s="1" t="n">
        <f aca="false">IF(A945="","",INT(C945/12))</f>
        <v>78</v>
      </c>
      <c r="E945" s="1" t="n">
        <f aca="false">IF(A945="","",D945+Inputs!$B$7)</f>
        <v>94</v>
      </c>
      <c r="F945" s="3" t="n">
        <f aca="false">IF(A945="","",DATE(YEAR(B$2)+D945,MONTH(B$2),DAY(B$2)))</f>
        <v>50196</v>
      </c>
      <c r="G945" s="3" t="n">
        <f aca="false">IF(A945="","",DATE(YEAR(F945)+1,MONTH(F945),DAY(F945)))</f>
        <v>50561</v>
      </c>
      <c r="H945" s="10" t="n">
        <f aca="false">IF(A945="","",IF(G945&gt;F945,(B945-F945)/(G945-F945),0))</f>
        <v>0.657534246575342</v>
      </c>
      <c r="I945" s="10" t="n">
        <f aca="false">IF(A945="","",IFERROR(INDEX(CV_RATES!$I:$I,MATCH(D945,CV_RATES!$C:$C,0)),0))</f>
        <v>944.412135724305</v>
      </c>
      <c r="J945" s="10" t="n">
        <f aca="false">IF(A945="","",IFERROR(IF(E945=MAX(MORTALITY!$A:$A),1000,INDEX(CV_RATES!$J:$J,MATCH(D945,CV_RATES!$C:$C,0))),0))</f>
        <v>949.161270456937</v>
      </c>
      <c r="K945" s="10" t="n">
        <f aca="false">IF(A945="","",IFERROR(I945+H945*(J945-I945),0))</f>
        <v>947.534854452611</v>
      </c>
      <c r="L945" s="10" t="n">
        <f aca="false">IF(A945="","",IFERROR(K945*Inputs!$B$9,0))</f>
        <v>47376.7427226305</v>
      </c>
      <c r="M945" s="10" t="n">
        <f aca="false">IF(A945="","",IFERROR(K945*Inputs!$B$10,0))</f>
        <v>151602.734107854</v>
      </c>
      <c r="N945" s="10" t="n">
        <f aca="false">IF(A945="","",Z944)</f>
        <v>0</v>
      </c>
      <c r="O945" s="6" t="n">
        <f aca="false">IF(A945="","",Inputs!$B$18+N945)</f>
        <v>50000</v>
      </c>
      <c r="P945" s="5" t="n">
        <f aca="false">IF(A945="","",VLOOKUP(D945,DIvidend_Assumption!$A$3:$CX$103,($E$2+2),0)/12)</f>
        <v>0</v>
      </c>
      <c r="Q945" s="10" t="n">
        <f aca="false">IF(A945="","",IFERROR(AB944*P945,""))</f>
        <v>0</v>
      </c>
      <c r="R945" s="10" t="n">
        <f aca="false">IF(A945="","",IFERROR(IF(Inputs!$B$22="Accumulate",T945+Q945,IF(Inputs!$B$22="Premium Offset",MAX(0,T945+Q945-Inputs!$B$25),T945)),""))</f>
        <v>0</v>
      </c>
      <c r="S945" s="10" t="n">
        <f aca="false">IF(A945="","",R944)</f>
        <v>0</v>
      </c>
      <c r="T945" s="10" t="n">
        <f aca="false">IF(A945="","",IFERROR(S945*(1+Inputs!$B$23/12),""))</f>
        <v>0</v>
      </c>
      <c r="U945" s="6" t="n">
        <f aca="false">IF(A945="","",IF(D945&lt;=Inputs!$B$8,IF(Inputs!$B$22="Premium Offset",MAX(0,Inputs!$B$25-(Q945+T945)),Inputs!$B$25),0))</f>
        <v>0</v>
      </c>
      <c r="V945" s="10" t="n">
        <f aca="false">IF(A945="","",IF(Inputs!$B$22="Cash",Q945,0))</f>
        <v>0</v>
      </c>
      <c r="W945" s="10" t="n">
        <f aca="false">IF(A945="","",IF(Inputs!$B$22="PUA",Q945,0))</f>
        <v>0</v>
      </c>
      <c r="X945" s="12" t="n">
        <f aca="false">IF(A945="","",IFERROR(INDEX(PUA_TABLE!$D$4:$D$105,MATCH(E945,PUA_TABLE!$C$4:$C$105,1)),0))</f>
        <v>0.944412135724305</v>
      </c>
      <c r="Y945" s="10" t="n">
        <f aca="false">IF(A945="","",IF(W945&gt;0,IF(X945&gt;0,W945/X945,0),0))</f>
        <v>0</v>
      </c>
      <c r="Z945" s="10" t="n">
        <f aca="false">IF(A945="","",N945+Y945)</f>
        <v>0</v>
      </c>
      <c r="AA945" s="10" t="n">
        <f aca="false">IF(A945="","",IFERROR(Z945*INDEX(PUA_TABLE!$I$4:$I$105,MATCH(E945,PUA_TABLE!$C$4:$C$105,1))/1000,0))</f>
        <v>0</v>
      </c>
      <c r="AB945" s="10" t="n">
        <f aca="false">IF(A945="","",IFERROR(L945+AA945,0))</f>
        <v>47376.7427226305</v>
      </c>
      <c r="AC945" s="10" t="n">
        <f aca="false">IF(A945="","",IF(Inputs!$B$22="Premium Offset",MIN(Inputs!$B$25,Q945+T945),0))</f>
        <v>0</v>
      </c>
    </row>
    <row r="946" customFormat="false" ht="15" hidden="false" customHeight="false" outlineLevel="0" collapsed="false">
      <c r="A946" s="1" t="n">
        <f aca="false">IF(A945="","",IF(INT((C945+1)/12)+Inputs!$B$7&gt;MAX(MORTALITY!$A:$A),"",Inputs!$B$4))</f>
        <v>34</v>
      </c>
      <c r="B946" s="3" t="n">
        <f aca="false">IF(A946="","",EOMONTH(B945,1))</f>
        <v>50464</v>
      </c>
      <c r="C946" s="1" t="n">
        <f aca="false">IF(A946="","",C945+1)</f>
        <v>944</v>
      </c>
      <c r="D946" s="1" t="n">
        <f aca="false">IF(A946="","",INT(C946/12))</f>
        <v>78</v>
      </c>
      <c r="E946" s="1" t="n">
        <f aca="false">IF(A946="","",D946+Inputs!$B$7)</f>
        <v>94</v>
      </c>
      <c r="F946" s="3" t="n">
        <f aca="false">IF(A946="","",DATE(YEAR(B$2)+D946,MONTH(B$2),DAY(B$2)))</f>
        <v>50196</v>
      </c>
      <c r="G946" s="3" t="n">
        <f aca="false">IF(A946="","",DATE(YEAR(F946)+1,MONTH(F946),DAY(F946)))</f>
        <v>50561</v>
      </c>
      <c r="H946" s="10" t="n">
        <f aca="false">IF(A946="","",IF(G946&gt;F946,(B946-F946)/(G946-F946),0))</f>
        <v>0.734246575342466</v>
      </c>
      <c r="I946" s="10" t="n">
        <f aca="false">IF(A946="","",IFERROR(INDEX(CV_RATES!$I:$I,MATCH(D946,CV_RATES!$C:$C,0)),0))</f>
        <v>944.412135724305</v>
      </c>
      <c r="J946" s="10" t="n">
        <f aca="false">IF(A946="","",IFERROR(IF(E946=MAX(MORTALITY!$A:$A),1000,INDEX(CV_RATES!$J:$J,MATCH(D946,CV_RATES!$C:$C,0))),0))</f>
        <v>949.161270456937</v>
      </c>
      <c r="K946" s="10" t="n">
        <f aca="false">IF(A946="","",IFERROR(I946+H946*(J946-I946),0))</f>
        <v>947.89917163758</v>
      </c>
      <c r="L946" s="10" t="n">
        <f aca="false">IF(A946="","",IFERROR(K946*Inputs!$B$9,0))</f>
        <v>47394.958581879</v>
      </c>
      <c r="M946" s="10" t="n">
        <f aca="false">IF(A946="","",IFERROR(K946*Inputs!$B$10,0))</f>
        <v>151661.023764498</v>
      </c>
      <c r="N946" s="10" t="n">
        <f aca="false">IF(A946="","",Z945)</f>
        <v>0</v>
      </c>
      <c r="O946" s="6" t="n">
        <f aca="false">IF(A946="","",Inputs!$B$18+N946)</f>
        <v>50000</v>
      </c>
      <c r="P946" s="5" t="n">
        <f aca="false">IF(A946="","",VLOOKUP(D946,DIvidend_Assumption!$A$3:$CX$103,($E$2+2),0)/12)</f>
        <v>0</v>
      </c>
      <c r="Q946" s="10" t="n">
        <f aca="false">IF(A946="","",IFERROR(AB945*P946,""))</f>
        <v>0</v>
      </c>
      <c r="R946" s="10" t="n">
        <f aca="false">IF(A946="","",IFERROR(IF(Inputs!$B$22="Accumulate",T946+Q946,IF(Inputs!$B$22="Premium Offset",MAX(0,T946+Q946-Inputs!$B$25),T946)),""))</f>
        <v>0</v>
      </c>
      <c r="S946" s="10" t="n">
        <f aca="false">IF(A946="","",R945)</f>
        <v>0</v>
      </c>
      <c r="T946" s="10" t="n">
        <f aca="false">IF(A946="","",IFERROR(S946*(1+Inputs!$B$23/12),""))</f>
        <v>0</v>
      </c>
      <c r="U946" s="6" t="n">
        <f aca="false">IF(A946="","",IF(D946&lt;=Inputs!$B$8,IF(Inputs!$B$22="Premium Offset",MAX(0,Inputs!$B$25-(Q946+T946)),Inputs!$B$25),0))</f>
        <v>0</v>
      </c>
      <c r="V946" s="10" t="n">
        <f aca="false">IF(A946="","",IF(Inputs!$B$22="Cash",Q946,0))</f>
        <v>0</v>
      </c>
      <c r="W946" s="10" t="n">
        <f aca="false">IF(A946="","",IF(Inputs!$B$22="PUA",Q946,0))</f>
        <v>0</v>
      </c>
      <c r="X946" s="12" t="n">
        <f aca="false">IF(A946="","",IFERROR(INDEX(PUA_TABLE!$D$4:$D$105,MATCH(E946,PUA_TABLE!$C$4:$C$105,1)),0))</f>
        <v>0.944412135724305</v>
      </c>
      <c r="Y946" s="10" t="n">
        <f aca="false">IF(A946="","",IF(W946&gt;0,IF(X946&gt;0,W946/X946,0),0))</f>
        <v>0</v>
      </c>
      <c r="Z946" s="10" t="n">
        <f aca="false">IF(A946="","",N946+Y946)</f>
        <v>0</v>
      </c>
      <c r="AA946" s="10" t="n">
        <f aca="false">IF(A946="","",IFERROR(Z946*INDEX(PUA_TABLE!$I$4:$I$105,MATCH(E946,PUA_TABLE!$C$4:$C$105,1))/1000,0))</f>
        <v>0</v>
      </c>
      <c r="AB946" s="10" t="n">
        <f aca="false">IF(A946="","",IFERROR(L946+AA946,0))</f>
        <v>47394.958581879</v>
      </c>
      <c r="AC946" s="10" t="n">
        <f aca="false">IF(A946="","",IF(Inputs!$B$22="Premium Offset",MIN(Inputs!$B$25,Q946+T946),0))</f>
        <v>0</v>
      </c>
    </row>
    <row r="947" customFormat="false" ht="15" hidden="false" customHeight="false" outlineLevel="0" collapsed="false">
      <c r="A947" s="1" t="n">
        <f aca="false">IF(A946="","",IF(INT((C946+1)/12)+Inputs!$B$7&gt;MAX(MORTALITY!$A:$A),"",Inputs!$B$4))</f>
        <v>34</v>
      </c>
      <c r="B947" s="3" t="n">
        <f aca="false">IF(A947="","",EOMONTH(B946,1))</f>
        <v>50495</v>
      </c>
      <c r="C947" s="1" t="n">
        <f aca="false">IF(A947="","",C946+1)</f>
        <v>945</v>
      </c>
      <c r="D947" s="1" t="n">
        <f aca="false">IF(A947="","",INT(C947/12))</f>
        <v>78</v>
      </c>
      <c r="E947" s="1" t="n">
        <f aca="false">IF(A947="","",D947+Inputs!$B$7)</f>
        <v>94</v>
      </c>
      <c r="F947" s="3" t="n">
        <f aca="false">IF(A947="","",DATE(YEAR(B$2)+D947,MONTH(B$2),DAY(B$2)))</f>
        <v>50196</v>
      </c>
      <c r="G947" s="3" t="n">
        <f aca="false">IF(A947="","",DATE(YEAR(F947)+1,MONTH(F947),DAY(F947)))</f>
        <v>50561</v>
      </c>
      <c r="H947" s="10" t="n">
        <f aca="false">IF(A947="","",IF(G947&gt;F947,(B947-F947)/(G947-F947),0))</f>
        <v>0.819178082191781</v>
      </c>
      <c r="I947" s="10" t="n">
        <f aca="false">IF(A947="","",IFERROR(INDEX(CV_RATES!$I:$I,MATCH(D947,CV_RATES!$C:$C,0)),0))</f>
        <v>944.412135724305</v>
      </c>
      <c r="J947" s="10" t="n">
        <f aca="false">IF(A947="","",IFERROR(IF(E947=MAX(MORTALITY!$A:$A),1000,INDEX(CV_RATES!$J:$J,MATCH(D947,CV_RATES!$C:$C,0))),0))</f>
        <v>949.161270456937</v>
      </c>
      <c r="K947" s="10" t="n">
        <f aca="false">IF(A947="","",IFERROR(I947+H947*(J947-I947),0))</f>
        <v>948.302522806653</v>
      </c>
      <c r="L947" s="10" t="n">
        <f aca="false">IF(A947="","",IFERROR(K947*Inputs!$B$9,0))</f>
        <v>47415.1261403326</v>
      </c>
      <c r="M947" s="10" t="n">
        <f aca="false">IF(A947="","",IFERROR(K947*Inputs!$B$10,0))</f>
        <v>151725.558741496</v>
      </c>
      <c r="N947" s="10" t="n">
        <f aca="false">IF(A947="","",Z946)</f>
        <v>0</v>
      </c>
      <c r="O947" s="6" t="n">
        <f aca="false">IF(A947="","",Inputs!$B$18+N947)</f>
        <v>50000</v>
      </c>
      <c r="P947" s="5" t="n">
        <f aca="false">IF(A947="","",VLOOKUP(D947,DIvidend_Assumption!$A$3:$CX$103,($E$2+2),0)/12)</f>
        <v>0</v>
      </c>
      <c r="Q947" s="10" t="n">
        <f aca="false">IF(A947="","",IFERROR(AB946*P947,""))</f>
        <v>0</v>
      </c>
      <c r="R947" s="10" t="n">
        <f aca="false">IF(A947="","",IFERROR(IF(Inputs!$B$22="Accumulate",T947+Q947,IF(Inputs!$B$22="Premium Offset",MAX(0,T947+Q947-Inputs!$B$25),T947)),""))</f>
        <v>0</v>
      </c>
      <c r="S947" s="10" t="n">
        <f aca="false">IF(A947="","",R946)</f>
        <v>0</v>
      </c>
      <c r="T947" s="10" t="n">
        <f aca="false">IF(A947="","",IFERROR(S947*(1+Inputs!$B$23/12),""))</f>
        <v>0</v>
      </c>
      <c r="U947" s="6" t="n">
        <f aca="false">IF(A947="","",IF(D947&lt;=Inputs!$B$8,IF(Inputs!$B$22="Premium Offset",MAX(0,Inputs!$B$25-(Q947+T947)),Inputs!$B$25),0))</f>
        <v>0</v>
      </c>
      <c r="V947" s="10" t="n">
        <f aca="false">IF(A947="","",IF(Inputs!$B$22="Cash",Q947,0))</f>
        <v>0</v>
      </c>
      <c r="W947" s="10" t="n">
        <f aca="false">IF(A947="","",IF(Inputs!$B$22="PUA",Q947,0))</f>
        <v>0</v>
      </c>
      <c r="X947" s="12" t="n">
        <f aca="false">IF(A947="","",IFERROR(INDEX(PUA_TABLE!$D$4:$D$105,MATCH(E947,PUA_TABLE!$C$4:$C$105,1)),0))</f>
        <v>0.944412135724305</v>
      </c>
      <c r="Y947" s="10" t="n">
        <f aca="false">IF(A947="","",IF(W947&gt;0,IF(X947&gt;0,W947/X947,0),0))</f>
        <v>0</v>
      </c>
      <c r="Z947" s="10" t="n">
        <f aca="false">IF(A947="","",N947+Y947)</f>
        <v>0</v>
      </c>
      <c r="AA947" s="10" t="n">
        <f aca="false">IF(A947="","",IFERROR(Z947*INDEX(PUA_TABLE!$I$4:$I$105,MATCH(E947,PUA_TABLE!$C$4:$C$105,1))/1000,0))</f>
        <v>0</v>
      </c>
      <c r="AB947" s="10" t="n">
        <f aca="false">IF(A947="","",IFERROR(L947+AA947,0))</f>
        <v>47415.1261403326</v>
      </c>
      <c r="AC947" s="10" t="n">
        <f aca="false">IF(A947="","",IF(Inputs!$B$22="Premium Offset",MIN(Inputs!$B$25,Q947+T947),0))</f>
        <v>0</v>
      </c>
    </row>
    <row r="948" customFormat="false" ht="15" hidden="false" customHeight="false" outlineLevel="0" collapsed="false">
      <c r="A948" s="1" t="n">
        <f aca="false">IF(A947="","",IF(INT((C947+1)/12)+Inputs!$B$7&gt;MAX(MORTALITY!$A:$A),"",Inputs!$B$4))</f>
        <v>34</v>
      </c>
      <c r="B948" s="3" t="n">
        <f aca="false">IF(A948="","",EOMONTH(B947,1))</f>
        <v>50525</v>
      </c>
      <c r="C948" s="1" t="n">
        <f aca="false">IF(A948="","",C947+1)</f>
        <v>946</v>
      </c>
      <c r="D948" s="1" t="n">
        <f aca="false">IF(A948="","",INT(C948/12))</f>
        <v>78</v>
      </c>
      <c r="E948" s="1" t="n">
        <f aca="false">IF(A948="","",D948+Inputs!$B$7)</f>
        <v>94</v>
      </c>
      <c r="F948" s="3" t="n">
        <f aca="false">IF(A948="","",DATE(YEAR(B$2)+D948,MONTH(B$2),DAY(B$2)))</f>
        <v>50196</v>
      </c>
      <c r="G948" s="3" t="n">
        <f aca="false">IF(A948="","",DATE(YEAR(F948)+1,MONTH(F948),DAY(F948)))</f>
        <v>50561</v>
      </c>
      <c r="H948" s="10" t="n">
        <f aca="false">IF(A948="","",IF(G948&gt;F948,(B948-F948)/(G948-F948),0))</f>
        <v>0.901369863013699</v>
      </c>
      <c r="I948" s="10" t="n">
        <f aca="false">IF(A948="","",IFERROR(INDEX(CV_RATES!$I:$I,MATCH(D948,CV_RATES!$C:$C,0)),0))</f>
        <v>944.412135724305</v>
      </c>
      <c r="J948" s="10" t="n">
        <f aca="false">IF(A948="","",IFERROR(IF(E948=MAX(MORTALITY!$A:$A),1000,INDEX(CV_RATES!$J:$J,MATCH(D948,CV_RATES!$C:$C,0))),0))</f>
        <v>949.161270456937</v>
      </c>
      <c r="K948" s="10" t="n">
        <f aca="false">IF(A948="","",IFERROR(I948+H948*(J948-I948),0))</f>
        <v>948.692862647691</v>
      </c>
      <c r="L948" s="10" t="n">
        <f aca="false">IF(A948="","",IFERROR(K948*Inputs!$B$9,0))</f>
        <v>47434.6431323845</v>
      </c>
      <c r="M948" s="10" t="n">
        <f aca="false">IF(A948="","",IFERROR(K948*Inputs!$B$10,0))</f>
        <v>151788.011945043</v>
      </c>
      <c r="N948" s="10" t="n">
        <f aca="false">IF(A948="","",Z947)</f>
        <v>0</v>
      </c>
      <c r="O948" s="6" t="n">
        <f aca="false">IF(A948="","",Inputs!$B$18+N948)</f>
        <v>50000</v>
      </c>
      <c r="P948" s="5" t="n">
        <f aca="false">IF(A948="","",VLOOKUP(D948,DIvidend_Assumption!$A$3:$CX$103,($E$2+2),0)/12)</f>
        <v>0</v>
      </c>
      <c r="Q948" s="10" t="n">
        <f aca="false">IF(A948="","",IFERROR(AB947*P948,""))</f>
        <v>0</v>
      </c>
      <c r="R948" s="10" t="n">
        <f aca="false">IF(A948="","",IFERROR(IF(Inputs!$B$22="Accumulate",T948+Q948,IF(Inputs!$B$22="Premium Offset",MAX(0,T948+Q948-Inputs!$B$25),T948)),""))</f>
        <v>0</v>
      </c>
      <c r="S948" s="10" t="n">
        <f aca="false">IF(A948="","",R947)</f>
        <v>0</v>
      </c>
      <c r="T948" s="10" t="n">
        <f aca="false">IF(A948="","",IFERROR(S948*(1+Inputs!$B$23/12),""))</f>
        <v>0</v>
      </c>
      <c r="U948" s="6" t="n">
        <f aca="false">IF(A948="","",IF(D948&lt;=Inputs!$B$8,IF(Inputs!$B$22="Premium Offset",MAX(0,Inputs!$B$25-(Q948+T948)),Inputs!$B$25),0))</f>
        <v>0</v>
      </c>
      <c r="V948" s="10" t="n">
        <f aca="false">IF(A948="","",IF(Inputs!$B$22="Cash",Q948,0))</f>
        <v>0</v>
      </c>
      <c r="W948" s="10" t="n">
        <f aca="false">IF(A948="","",IF(Inputs!$B$22="PUA",Q948,0))</f>
        <v>0</v>
      </c>
      <c r="X948" s="12" t="n">
        <f aca="false">IF(A948="","",IFERROR(INDEX(PUA_TABLE!$D$4:$D$105,MATCH(E948,PUA_TABLE!$C$4:$C$105,1)),0))</f>
        <v>0.944412135724305</v>
      </c>
      <c r="Y948" s="10" t="n">
        <f aca="false">IF(A948="","",IF(W948&gt;0,IF(X948&gt;0,W948/X948,0),0))</f>
        <v>0</v>
      </c>
      <c r="Z948" s="10" t="n">
        <f aca="false">IF(A948="","",N948+Y948)</f>
        <v>0</v>
      </c>
      <c r="AA948" s="10" t="n">
        <f aca="false">IF(A948="","",IFERROR(Z948*INDEX(PUA_TABLE!$I$4:$I$105,MATCH(E948,PUA_TABLE!$C$4:$C$105,1))/1000,0))</f>
        <v>0</v>
      </c>
      <c r="AB948" s="10" t="n">
        <f aca="false">IF(A948="","",IFERROR(L948+AA948,0))</f>
        <v>47434.6431323845</v>
      </c>
      <c r="AC948" s="10" t="n">
        <f aca="false">IF(A948="","",IF(Inputs!$B$22="Premium Offset",MIN(Inputs!$B$25,Q948+T948),0))</f>
        <v>0</v>
      </c>
    </row>
    <row r="949" customFormat="false" ht="15" hidden="false" customHeight="false" outlineLevel="0" collapsed="false">
      <c r="A949" s="1" t="n">
        <f aca="false">IF(A948="","",IF(INT((C948+1)/12)+Inputs!$B$7&gt;MAX(MORTALITY!$A:$A),"",Inputs!$B$4))</f>
        <v>34</v>
      </c>
      <c r="B949" s="3" t="n">
        <f aca="false">IF(A949="","",EOMONTH(B948,1))</f>
        <v>50556</v>
      </c>
      <c r="C949" s="1" t="n">
        <f aca="false">IF(A949="","",C948+1)</f>
        <v>947</v>
      </c>
      <c r="D949" s="1" t="n">
        <f aca="false">IF(A949="","",INT(C949/12))</f>
        <v>78</v>
      </c>
      <c r="E949" s="1" t="n">
        <f aca="false">IF(A949="","",D949+Inputs!$B$7)</f>
        <v>94</v>
      </c>
      <c r="F949" s="3" t="n">
        <f aca="false">IF(A949="","",DATE(YEAR(B$2)+D949,MONTH(B$2),DAY(B$2)))</f>
        <v>50196</v>
      </c>
      <c r="G949" s="3" t="n">
        <f aca="false">IF(A949="","",DATE(YEAR(F949)+1,MONTH(F949),DAY(F949)))</f>
        <v>50561</v>
      </c>
      <c r="H949" s="10" t="n">
        <f aca="false">IF(A949="","",IF(G949&gt;F949,(B949-F949)/(G949-F949),0))</f>
        <v>0.986301369863014</v>
      </c>
      <c r="I949" s="10" t="n">
        <f aca="false">IF(A949="","",IFERROR(INDEX(CV_RATES!$I:$I,MATCH(D949,CV_RATES!$C:$C,0)),0))</f>
        <v>944.412135724305</v>
      </c>
      <c r="J949" s="10" t="n">
        <f aca="false">IF(A949="","",IFERROR(IF(E949=MAX(MORTALITY!$A:$A),1000,INDEX(CV_RATES!$J:$J,MATCH(D949,CV_RATES!$C:$C,0))),0))</f>
        <v>949.161270456937</v>
      </c>
      <c r="K949" s="10" t="n">
        <f aca="false">IF(A949="","",IFERROR(I949+H949*(J949-I949),0))</f>
        <v>949.096213816764</v>
      </c>
      <c r="L949" s="10" t="n">
        <f aca="false">IF(A949="","",IFERROR(K949*Inputs!$B$9,0))</f>
        <v>47454.8106908382</v>
      </c>
      <c r="M949" s="10" t="n">
        <f aca="false">IF(A949="","",IFERROR(K949*Inputs!$B$10,0))</f>
        <v>151852.546922041</v>
      </c>
      <c r="N949" s="10" t="n">
        <f aca="false">IF(A949="","",Z948)</f>
        <v>0</v>
      </c>
      <c r="O949" s="6" t="n">
        <f aca="false">IF(A949="","",Inputs!$B$18+N949)</f>
        <v>50000</v>
      </c>
      <c r="P949" s="5" t="n">
        <f aca="false">IF(A949="","",VLOOKUP(D949,DIvidend_Assumption!$A$3:$CX$103,($E$2+2),0)/12)</f>
        <v>0</v>
      </c>
      <c r="Q949" s="10" t="n">
        <f aca="false">IF(A949="","",IFERROR(AB948*P949,""))</f>
        <v>0</v>
      </c>
      <c r="R949" s="10" t="n">
        <f aca="false">IF(A949="","",IFERROR(IF(Inputs!$B$22="Accumulate",T949+Q949,IF(Inputs!$B$22="Premium Offset",MAX(0,T949+Q949-Inputs!$B$25),T949)),""))</f>
        <v>0</v>
      </c>
      <c r="S949" s="10" t="n">
        <f aca="false">IF(A949="","",R948)</f>
        <v>0</v>
      </c>
      <c r="T949" s="10" t="n">
        <f aca="false">IF(A949="","",IFERROR(S949*(1+Inputs!$B$23/12),""))</f>
        <v>0</v>
      </c>
      <c r="U949" s="6" t="n">
        <f aca="false">IF(A949="","",IF(D949&lt;=Inputs!$B$8,IF(Inputs!$B$22="Premium Offset",MAX(0,Inputs!$B$25-(Q949+T949)),Inputs!$B$25),0))</f>
        <v>0</v>
      </c>
      <c r="V949" s="10" t="n">
        <f aca="false">IF(A949="","",IF(Inputs!$B$22="Cash",Q949,0))</f>
        <v>0</v>
      </c>
      <c r="W949" s="10" t="n">
        <f aca="false">IF(A949="","",IF(Inputs!$B$22="PUA",Q949,0))</f>
        <v>0</v>
      </c>
      <c r="X949" s="12" t="n">
        <f aca="false">IF(A949="","",IFERROR(INDEX(PUA_TABLE!$D$4:$D$105,MATCH(E949,PUA_TABLE!$C$4:$C$105,1)),0))</f>
        <v>0.944412135724305</v>
      </c>
      <c r="Y949" s="10" t="n">
        <f aca="false">IF(A949="","",IF(W949&gt;0,IF(X949&gt;0,W949/X949,0),0))</f>
        <v>0</v>
      </c>
      <c r="Z949" s="10" t="n">
        <f aca="false">IF(A949="","",N949+Y949)</f>
        <v>0</v>
      </c>
      <c r="AA949" s="10" t="n">
        <f aca="false">IF(A949="","",IFERROR(Z949*INDEX(PUA_TABLE!$I$4:$I$105,MATCH(E949,PUA_TABLE!$C$4:$C$105,1))/1000,0))</f>
        <v>0</v>
      </c>
      <c r="AB949" s="10" t="n">
        <f aca="false">IF(A949="","",IFERROR(L949+AA949,0))</f>
        <v>47454.8106908382</v>
      </c>
      <c r="AC949" s="10" t="n">
        <f aca="false">IF(A949="","",IF(Inputs!$B$22="Premium Offset",MIN(Inputs!$B$25,Q949+T949),0))</f>
        <v>0</v>
      </c>
    </row>
    <row r="950" customFormat="false" ht="15" hidden="false" customHeight="false" outlineLevel="0" collapsed="false">
      <c r="A950" s="1" t="n">
        <f aca="false">IF(A949="","",IF(INT((C949+1)/12)+Inputs!$B$7&gt;MAX(MORTALITY!$A:$A),"",Inputs!$B$4))</f>
        <v>34</v>
      </c>
      <c r="B950" s="3" t="n">
        <f aca="false">IF(A950="","",EOMONTH(B949,1))</f>
        <v>50586</v>
      </c>
      <c r="C950" s="1" t="n">
        <f aca="false">IF(A950="","",C949+1)</f>
        <v>948</v>
      </c>
      <c r="D950" s="1" t="n">
        <f aca="false">IF(A950="","",INT(C950/12))</f>
        <v>79</v>
      </c>
      <c r="E950" s="1" t="n">
        <f aca="false">IF(A950="","",D950+Inputs!$B$7)</f>
        <v>95</v>
      </c>
      <c r="F950" s="3" t="n">
        <f aca="false">IF(A950="","",DATE(YEAR(B$2)+D950,MONTH(B$2),DAY(B$2)))</f>
        <v>50561</v>
      </c>
      <c r="G950" s="3" t="n">
        <f aca="false">IF(A950="","",DATE(YEAR(F950)+1,MONTH(F950),DAY(F950)))</f>
        <v>50926</v>
      </c>
      <c r="H950" s="10" t="n">
        <f aca="false">IF(A950="","",IF(G950&gt;F950,(B950-F950)/(G950-F950),0))</f>
        <v>0.0684931506849315</v>
      </c>
      <c r="I950" s="10" t="n">
        <f aca="false">IF(A950="","",IFERROR(INDEX(CV_RATES!$I:$I,MATCH(D950,CV_RATES!$C:$C,0)),0))</f>
        <v>949.161270456937</v>
      </c>
      <c r="J950" s="10" t="n">
        <f aca="false">IF(A950="","",IFERROR(IF(E950=MAX(MORTALITY!$A:$A),1000,INDEX(CV_RATES!$J:$J,MATCH(D950,CV_RATES!$C:$C,0))),0))</f>
        <v>955.1007837466</v>
      </c>
      <c r="K950" s="10" t="n">
        <f aca="false">IF(A950="","",IFERROR(I950+H950*(J950-I950),0))</f>
        <v>949.568086435681</v>
      </c>
      <c r="L950" s="10" t="n">
        <f aca="false">IF(A950="","",IFERROR(K950*Inputs!$B$9,0))</f>
        <v>47478.404321784</v>
      </c>
      <c r="M950" s="10" t="n">
        <f aca="false">IF(A950="","",IFERROR(K950*Inputs!$B$10,0))</f>
        <v>151928.04512545</v>
      </c>
      <c r="N950" s="10" t="n">
        <f aca="false">IF(A950="","",Z949)</f>
        <v>0</v>
      </c>
      <c r="O950" s="6" t="n">
        <f aca="false">IF(A950="","",Inputs!$B$18+N950)</f>
        <v>50000</v>
      </c>
      <c r="P950" s="5" t="n">
        <f aca="false">IF(A950="","",VLOOKUP(D950,DIvidend_Assumption!$A$3:$CX$103,($E$2+2),0)/12)</f>
        <v>0</v>
      </c>
      <c r="Q950" s="10" t="n">
        <f aca="false">IF(A950="","",IFERROR(AB949*P950,""))</f>
        <v>0</v>
      </c>
      <c r="R950" s="10" t="n">
        <f aca="false">IF(A950="","",IFERROR(IF(Inputs!$B$22="Accumulate",T950+Q950,IF(Inputs!$B$22="Premium Offset",MAX(0,T950+Q950-Inputs!$B$25),T950)),""))</f>
        <v>0</v>
      </c>
      <c r="S950" s="10" t="n">
        <f aca="false">IF(A950="","",R949)</f>
        <v>0</v>
      </c>
      <c r="T950" s="10" t="n">
        <f aca="false">IF(A950="","",IFERROR(S950*(1+Inputs!$B$23/12),""))</f>
        <v>0</v>
      </c>
      <c r="U950" s="6" t="n">
        <f aca="false">IF(A950="","",IF(D950&lt;=Inputs!$B$8,IF(Inputs!$B$22="Premium Offset",MAX(0,Inputs!$B$25-(Q950+T950)),Inputs!$B$25),0))</f>
        <v>0</v>
      </c>
      <c r="V950" s="10" t="n">
        <f aca="false">IF(A950="","",IF(Inputs!$B$22="Cash",Q950,0))</f>
        <v>0</v>
      </c>
      <c r="W950" s="10" t="n">
        <f aca="false">IF(A950="","",IF(Inputs!$B$22="PUA",Q950,0))</f>
        <v>0</v>
      </c>
      <c r="X950" s="12" t="n">
        <f aca="false">IF(A950="","",IFERROR(INDEX(PUA_TABLE!$D$4:$D$105,MATCH(E950,PUA_TABLE!$C$4:$C$105,1)),0))</f>
        <v>0.949161270456937</v>
      </c>
      <c r="Y950" s="10" t="n">
        <f aca="false">IF(A950="","",IF(W950&gt;0,IF(X950&gt;0,W950/X950,0),0))</f>
        <v>0</v>
      </c>
      <c r="Z950" s="10" t="n">
        <f aca="false">IF(A950="","",N950+Y950)</f>
        <v>0</v>
      </c>
      <c r="AA950" s="10" t="n">
        <f aca="false">IF(A950="","",IFERROR(Z950*INDEX(PUA_TABLE!$I$4:$I$105,MATCH(E950,PUA_TABLE!$C$4:$C$105,1))/1000,0))</f>
        <v>0</v>
      </c>
      <c r="AB950" s="10" t="n">
        <f aca="false">IF(A950="","",IFERROR(L950+AA950,0))</f>
        <v>47478.404321784</v>
      </c>
      <c r="AC950" s="10" t="n">
        <f aca="false">IF(A950="","",IF(Inputs!$B$22="Premium Offset",MIN(Inputs!$B$25,Q950+T950),0))</f>
        <v>0</v>
      </c>
    </row>
    <row r="951" customFormat="false" ht="15" hidden="false" customHeight="false" outlineLevel="0" collapsed="false">
      <c r="A951" s="1" t="n">
        <f aca="false">IF(A950="","",IF(INT((C950+1)/12)+Inputs!$B$7&gt;MAX(MORTALITY!$A:$A),"",Inputs!$B$4))</f>
        <v>34</v>
      </c>
      <c r="B951" s="3" t="n">
        <f aca="false">IF(A951="","",EOMONTH(B950,1))</f>
        <v>50617</v>
      </c>
      <c r="C951" s="1" t="n">
        <f aca="false">IF(A951="","",C950+1)</f>
        <v>949</v>
      </c>
      <c r="D951" s="1" t="n">
        <f aca="false">IF(A951="","",INT(C951/12))</f>
        <v>79</v>
      </c>
      <c r="E951" s="1" t="n">
        <f aca="false">IF(A951="","",D951+Inputs!$B$7)</f>
        <v>95</v>
      </c>
      <c r="F951" s="3" t="n">
        <f aca="false">IF(A951="","",DATE(YEAR(B$2)+D951,MONTH(B$2),DAY(B$2)))</f>
        <v>50561</v>
      </c>
      <c r="G951" s="3" t="n">
        <f aca="false">IF(A951="","",DATE(YEAR(F951)+1,MONTH(F951),DAY(F951)))</f>
        <v>50926</v>
      </c>
      <c r="H951" s="10" t="n">
        <f aca="false">IF(A951="","",IF(G951&gt;F951,(B951-F951)/(G951-F951),0))</f>
        <v>0.153424657534247</v>
      </c>
      <c r="I951" s="10" t="n">
        <f aca="false">IF(A951="","",IFERROR(INDEX(CV_RATES!$I:$I,MATCH(D951,CV_RATES!$C:$C,0)),0))</f>
        <v>949.161270456937</v>
      </c>
      <c r="J951" s="10" t="n">
        <f aca="false">IF(A951="","",IFERROR(IF(E951=MAX(MORTALITY!$A:$A),1000,INDEX(CV_RATES!$J:$J,MATCH(D951,CV_RATES!$C:$C,0))),0))</f>
        <v>955.1007837466</v>
      </c>
      <c r="K951" s="10" t="n">
        <f aca="false">IF(A951="","",IFERROR(I951+H951*(J951-I951),0))</f>
        <v>950.072538249323</v>
      </c>
      <c r="L951" s="10" t="n">
        <f aca="false">IF(A951="","",IFERROR(K951*Inputs!$B$9,0))</f>
        <v>47503.6269124662</v>
      </c>
      <c r="M951" s="10" t="n">
        <f aca="false">IF(A951="","",IFERROR(K951*Inputs!$B$10,0))</f>
        <v>152008.755902277</v>
      </c>
      <c r="N951" s="10" t="n">
        <f aca="false">IF(A951="","",Z950)</f>
        <v>0</v>
      </c>
      <c r="O951" s="6" t="n">
        <f aca="false">IF(A951="","",Inputs!$B$18+N951)</f>
        <v>50000</v>
      </c>
      <c r="P951" s="5" t="n">
        <f aca="false">IF(A951="","",VLOOKUP(D951,DIvidend_Assumption!$A$3:$CX$103,($E$2+2),0)/12)</f>
        <v>0</v>
      </c>
      <c r="Q951" s="10" t="n">
        <f aca="false">IF(A951="","",IFERROR(AB950*P951,""))</f>
        <v>0</v>
      </c>
      <c r="R951" s="10" t="n">
        <f aca="false">IF(A951="","",IFERROR(IF(Inputs!$B$22="Accumulate",T951+Q951,IF(Inputs!$B$22="Premium Offset",MAX(0,T951+Q951-Inputs!$B$25),T951)),""))</f>
        <v>0</v>
      </c>
      <c r="S951" s="10" t="n">
        <f aca="false">IF(A951="","",R950)</f>
        <v>0</v>
      </c>
      <c r="T951" s="10" t="n">
        <f aca="false">IF(A951="","",IFERROR(S951*(1+Inputs!$B$23/12),""))</f>
        <v>0</v>
      </c>
      <c r="U951" s="6" t="n">
        <f aca="false">IF(A951="","",IF(D951&lt;=Inputs!$B$8,IF(Inputs!$B$22="Premium Offset",MAX(0,Inputs!$B$25-(Q951+T951)),Inputs!$B$25),0))</f>
        <v>0</v>
      </c>
      <c r="V951" s="10" t="n">
        <f aca="false">IF(A951="","",IF(Inputs!$B$22="Cash",Q951,0))</f>
        <v>0</v>
      </c>
      <c r="W951" s="10" t="n">
        <f aca="false">IF(A951="","",IF(Inputs!$B$22="PUA",Q951,0))</f>
        <v>0</v>
      </c>
      <c r="X951" s="12" t="n">
        <f aca="false">IF(A951="","",IFERROR(INDEX(PUA_TABLE!$D$4:$D$105,MATCH(E951,PUA_TABLE!$C$4:$C$105,1)),0))</f>
        <v>0.949161270456937</v>
      </c>
      <c r="Y951" s="10" t="n">
        <f aca="false">IF(A951="","",IF(W951&gt;0,IF(X951&gt;0,W951/X951,0),0))</f>
        <v>0</v>
      </c>
      <c r="Z951" s="10" t="n">
        <f aca="false">IF(A951="","",N951+Y951)</f>
        <v>0</v>
      </c>
      <c r="AA951" s="10" t="n">
        <f aca="false">IF(A951="","",IFERROR(Z951*INDEX(PUA_TABLE!$I$4:$I$105,MATCH(E951,PUA_TABLE!$C$4:$C$105,1))/1000,0))</f>
        <v>0</v>
      </c>
      <c r="AB951" s="10" t="n">
        <f aca="false">IF(A951="","",IFERROR(L951+AA951,0))</f>
        <v>47503.6269124662</v>
      </c>
      <c r="AC951" s="10" t="n">
        <f aca="false">IF(A951="","",IF(Inputs!$B$22="Premium Offset",MIN(Inputs!$B$25,Q951+T951),0))</f>
        <v>0</v>
      </c>
    </row>
    <row r="952" customFormat="false" ht="15" hidden="false" customHeight="false" outlineLevel="0" collapsed="false">
      <c r="A952" s="1" t="n">
        <f aca="false">IF(A951="","",IF(INT((C951+1)/12)+Inputs!$B$7&gt;MAX(MORTALITY!$A:$A),"",Inputs!$B$4))</f>
        <v>34</v>
      </c>
      <c r="B952" s="3" t="n">
        <f aca="false">IF(A952="","",EOMONTH(B951,1))</f>
        <v>50648</v>
      </c>
      <c r="C952" s="1" t="n">
        <f aca="false">IF(A952="","",C951+1)</f>
        <v>950</v>
      </c>
      <c r="D952" s="1" t="n">
        <f aca="false">IF(A952="","",INT(C952/12))</f>
        <v>79</v>
      </c>
      <c r="E952" s="1" t="n">
        <f aca="false">IF(A952="","",D952+Inputs!$B$7)</f>
        <v>95</v>
      </c>
      <c r="F952" s="3" t="n">
        <f aca="false">IF(A952="","",DATE(YEAR(B$2)+D952,MONTH(B$2),DAY(B$2)))</f>
        <v>50561</v>
      </c>
      <c r="G952" s="3" t="n">
        <f aca="false">IF(A952="","",DATE(YEAR(F952)+1,MONTH(F952),DAY(F952)))</f>
        <v>50926</v>
      </c>
      <c r="H952" s="10" t="n">
        <f aca="false">IF(A952="","",IF(G952&gt;F952,(B952-F952)/(G952-F952),0))</f>
        <v>0.238356164383562</v>
      </c>
      <c r="I952" s="10" t="n">
        <f aca="false">IF(A952="","",IFERROR(INDEX(CV_RATES!$I:$I,MATCH(D952,CV_RATES!$C:$C,0)),0))</f>
        <v>949.161270456937</v>
      </c>
      <c r="J952" s="10" t="n">
        <f aca="false">IF(A952="","",IFERROR(IF(E952=MAX(MORTALITY!$A:$A),1000,INDEX(CV_RATES!$J:$J,MATCH(D952,CV_RATES!$C:$C,0))),0))</f>
        <v>955.1007837466</v>
      </c>
      <c r="K952" s="10" t="n">
        <f aca="false">IF(A952="","",IFERROR(I952+H952*(J952-I952),0))</f>
        <v>950.576990062966</v>
      </c>
      <c r="L952" s="10" t="n">
        <f aca="false">IF(A952="","",IFERROR(K952*Inputs!$B$9,0))</f>
        <v>47528.8495031483</v>
      </c>
      <c r="M952" s="10" t="n">
        <f aca="false">IF(A952="","",IFERROR(K952*Inputs!$B$10,0))</f>
        <v>152089.466679104</v>
      </c>
      <c r="N952" s="10" t="n">
        <f aca="false">IF(A952="","",Z951)</f>
        <v>0</v>
      </c>
      <c r="O952" s="6" t="n">
        <f aca="false">IF(A952="","",Inputs!$B$18+N952)</f>
        <v>50000</v>
      </c>
      <c r="P952" s="5" t="n">
        <f aca="false">IF(A952="","",VLOOKUP(D952,DIvidend_Assumption!$A$3:$CX$103,($E$2+2),0)/12)</f>
        <v>0</v>
      </c>
      <c r="Q952" s="10" t="n">
        <f aca="false">IF(A952="","",IFERROR(AB951*P952,""))</f>
        <v>0</v>
      </c>
      <c r="R952" s="10" t="n">
        <f aca="false">IF(A952="","",IFERROR(IF(Inputs!$B$22="Accumulate",T952+Q952,IF(Inputs!$B$22="Premium Offset",MAX(0,T952+Q952-Inputs!$B$25),T952)),""))</f>
        <v>0</v>
      </c>
      <c r="S952" s="10" t="n">
        <f aca="false">IF(A952="","",R951)</f>
        <v>0</v>
      </c>
      <c r="T952" s="10" t="n">
        <f aca="false">IF(A952="","",IFERROR(S952*(1+Inputs!$B$23/12),""))</f>
        <v>0</v>
      </c>
      <c r="U952" s="6" t="n">
        <f aca="false">IF(A952="","",IF(D952&lt;=Inputs!$B$8,IF(Inputs!$B$22="Premium Offset",MAX(0,Inputs!$B$25-(Q952+T952)),Inputs!$B$25),0))</f>
        <v>0</v>
      </c>
      <c r="V952" s="10" t="n">
        <f aca="false">IF(A952="","",IF(Inputs!$B$22="Cash",Q952,0))</f>
        <v>0</v>
      </c>
      <c r="W952" s="10" t="n">
        <f aca="false">IF(A952="","",IF(Inputs!$B$22="PUA",Q952,0))</f>
        <v>0</v>
      </c>
      <c r="X952" s="12" t="n">
        <f aca="false">IF(A952="","",IFERROR(INDEX(PUA_TABLE!$D$4:$D$105,MATCH(E952,PUA_TABLE!$C$4:$C$105,1)),0))</f>
        <v>0.949161270456937</v>
      </c>
      <c r="Y952" s="10" t="n">
        <f aca="false">IF(A952="","",IF(W952&gt;0,IF(X952&gt;0,W952/X952,0),0))</f>
        <v>0</v>
      </c>
      <c r="Z952" s="10" t="n">
        <f aca="false">IF(A952="","",N952+Y952)</f>
        <v>0</v>
      </c>
      <c r="AA952" s="10" t="n">
        <f aca="false">IF(A952="","",IFERROR(Z952*INDEX(PUA_TABLE!$I$4:$I$105,MATCH(E952,PUA_TABLE!$C$4:$C$105,1))/1000,0))</f>
        <v>0</v>
      </c>
      <c r="AB952" s="10" t="n">
        <f aca="false">IF(A952="","",IFERROR(L952+AA952,0))</f>
        <v>47528.8495031483</v>
      </c>
      <c r="AC952" s="10" t="n">
        <f aca="false">IF(A952="","",IF(Inputs!$B$22="Premium Offset",MIN(Inputs!$B$25,Q952+T952),0))</f>
        <v>0</v>
      </c>
    </row>
    <row r="953" customFormat="false" ht="15" hidden="false" customHeight="false" outlineLevel="0" collapsed="false">
      <c r="A953" s="1" t="n">
        <f aca="false">IF(A952="","",IF(INT((C952+1)/12)+Inputs!$B$7&gt;MAX(MORTALITY!$A:$A),"",Inputs!$B$4))</f>
        <v>34</v>
      </c>
      <c r="B953" s="3" t="n">
        <f aca="false">IF(A953="","",EOMONTH(B952,1))</f>
        <v>50678</v>
      </c>
      <c r="C953" s="1" t="n">
        <f aca="false">IF(A953="","",C952+1)</f>
        <v>951</v>
      </c>
      <c r="D953" s="1" t="n">
        <f aca="false">IF(A953="","",INT(C953/12))</f>
        <v>79</v>
      </c>
      <c r="E953" s="1" t="n">
        <f aca="false">IF(A953="","",D953+Inputs!$B$7)</f>
        <v>95</v>
      </c>
      <c r="F953" s="3" t="n">
        <f aca="false">IF(A953="","",DATE(YEAR(B$2)+D953,MONTH(B$2),DAY(B$2)))</f>
        <v>50561</v>
      </c>
      <c r="G953" s="3" t="n">
        <f aca="false">IF(A953="","",DATE(YEAR(F953)+1,MONTH(F953),DAY(F953)))</f>
        <v>50926</v>
      </c>
      <c r="H953" s="10" t="n">
        <f aca="false">IF(A953="","",IF(G953&gt;F953,(B953-F953)/(G953-F953),0))</f>
        <v>0.320547945205479</v>
      </c>
      <c r="I953" s="10" t="n">
        <f aca="false">IF(A953="","",IFERROR(INDEX(CV_RATES!$I:$I,MATCH(D953,CV_RATES!$C:$C,0)),0))</f>
        <v>949.161270456937</v>
      </c>
      <c r="J953" s="10" t="n">
        <f aca="false">IF(A953="","",IFERROR(IF(E953=MAX(MORTALITY!$A:$A),1000,INDEX(CV_RATES!$J:$J,MATCH(D953,CV_RATES!$C:$C,0))),0))</f>
        <v>955.1007837466</v>
      </c>
      <c r="K953" s="10" t="n">
        <f aca="false">IF(A953="","",IFERROR(I953+H953*(J953-I953),0))</f>
        <v>951.065169237459</v>
      </c>
      <c r="L953" s="10" t="n">
        <f aca="false">IF(A953="","",IFERROR(K953*Inputs!$B$9,0))</f>
        <v>47553.2584618729</v>
      </c>
      <c r="M953" s="10" t="n">
        <f aca="false">IF(A953="","",IFERROR(K953*Inputs!$B$10,0))</f>
        <v>152167.573882486</v>
      </c>
      <c r="N953" s="10" t="n">
        <f aca="false">IF(A953="","",Z952)</f>
        <v>0</v>
      </c>
      <c r="O953" s="6" t="n">
        <f aca="false">IF(A953="","",Inputs!$B$18+N953)</f>
        <v>50000</v>
      </c>
      <c r="P953" s="5" t="n">
        <f aca="false">IF(A953="","",VLOOKUP(D953,DIvidend_Assumption!$A$3:$CX$103,($E$2+2),0)/12)</f>
        <v>0</v>
      </c>
      <c r="Q953" s="10" t="n">
        <f aca="false">IF(A953="","",IFERROR(AB952*P953,""))</f>
        <v>0</v>
      </c>
      <c r="R953" s="10" t="n">
        <f aca="false">IF(A953="","",IFERROR(IF(Inputs!$B$22="Accumulate",T953+Q953,IF(Inputs!$B$22="Premium Offset",MAX(0,T953+Q953-Inputs!$B$25),T953)),""))</f>
        <v>0</v>
      </c>
      <c r="S953" s="10" t="n">
        <f aca="false">IF(A953="","",R952)</f>
        <v>0</v>
      </c>
      <c r="T953" s="10" t="n">
        <f aca="false">IF(A953="","",IFERROR(S953*(1+Inputs!$B$23/12),""))</f>
        <v>0</v>
      </c>
      <c r="U953" s="6" t="n">
        <f aca="false">IF(A953="","",IF(D953&lt;=Inputs!$B$8,IF(Inputs!$B$22="Premium Offset",MAX(0,Inputs!$B$25-(Q953+T953)),Inputs!$B$25),0))</f>
        <v>0</v>
      </c>
      <c r="V953" s="10" t="n">
        <f aca="false">IF(A953="","",IF(Inputs!$B$22="Cash",Q953,0))</f>
        <v>0</v>
      </c>
      <c r="W953" s="10" t="n">
        <f aca="false">IF(A953="","",IF(Inputs!$B$22="PUA",Q953,0))</f>
        <v>0</v>
      </c>
      <c r="X953" s="12" t="n">
        <f aca="false">IF(A953="","",IFERROR(INDEX(PUA_TABLE!$D$4:$D$105,MATCH(E953,PUA_TABLE!$C$4:$C$105,1)),0))</f>
        <v>0.949161270456937</v>
      </c>
      <c r="Y953" s="10" t="n">
        <f aca="false">IF(A953="","",IF(W953&gt;0,IF(X953&gt;0,W953/X953,0),0))</f>
        <v>0</v>
      </c>
      <c r="Z953" s="10" t="n">
        <f aca="false">IF(A953="","",N953+Y953)</f>
        <v>0</v>
      </c>
      <c r="AA953" s="10" t="n">
        <f aca="false">IF(A953="","",IFERROR(Z953*INDEX(PUA_TABLE!$I$4:$I$105,MATCH(E953,PUA_TABLE!$C$4:$C$105,1))/1000,0))</f>
        <v>0</v>
      </c>
      <c r="AB953" s="10" t="n">
        <f aca="false">IF(A953="","",IFERROR(L953+AA953,0))</f>
        <v>47553.2584618729</v>
      </c>
      <c r="AC953" s="10" t="n">
        <f aca="false">IF(A953="","",IF(Inputs!$B$22="Premium Offset",MIN(Inputs!$B$25,Q953+T953),0))</f>
        <v>0</v>
      </c>
    </row>
    <row r="954" customFormat="false" ht="15" hidden="false" customHeight="false" outlineLevel="0" collapsed="false">
      <c r="A954" s="1" t="n">
        <f aca="false">IF(A953="","",IF(INT((C953+1)/12)+Inputs!$B$7&gt;MAX(MORTALITY!$A:$A),"",Inputs!$B$4))</f>
        <v>34</v>
      </c>
      <c r="B954" s="3" t="n">
        <f aca="false">IF(A954="","",EOMONTH(B953,1))</f>
        <v>50709</v>
      </c>
      <c r="C954" s="1" t="n">
        <f aca="false">IF(A954="","",C953+1)</f>
        <v>952</v>
      </c>
      <c r="D954" s="1" t="n">
        <f aca="false">IF(A954="","",INT(C954/12))</f>
        <v>79</v>
      </c>
      <c r="E954" s="1" t="n">
        <f aca="false">IF(A954="","",D954+Inputs!$B$7)</f>
        <v>95</v>
      </c>
      <c r="F954" s="3" t="n">
        <f aca="false">IF(A954="","",DATE(YEAR(B$2)+D954,MONTH(B$2),DAY(B$2)))</f>
        <v>50561</v>
      </c>
      <c r="G954" s="3" t="n">
        <f aca="false">IF(A954="","",DATE(YEAR(F954)+1,MONTH(F954),DAY(F954)))</f>
        <v>50926</v>
      </c>
      <c r="H954" s="10" t="n">
        <f aca="false">IF(A954="","",IF(G954&gt;F954,(B954-F954)/(G954-F954),0))</f>
        <v>0.405479452054795</v>
      </c>
      <c r="I954" s="10" t="n">
        <f aca="false">IF(A954="","",IFERROR(INDEX(CV_RATES!$I:$I,MATCH(D954,CV_RATES!$C:$C,0)),0))</f>
        <v>949.161270456937</v>
      </c>
      <c r="J954" s="10" t="n">
        <f aca="false">IF(A954="","",IFERROR(IF(E954=MAX(MORTALITY!$A:$A),1000,INDEX(CV_RATES!$J:$J,MATCH(D954,CV_RATES!$C:$C,0))),0))</f>
        <v>955.1007837466</v>
      </c>
      <c r="K954" s="10" t="n">
        <f aca="false">IF(A954="","",IFERROR(I954+H954*(J954-I954),0))</f>
        <v>951.569621051102</v>
      </c>
      <c r="L954" s="10" t="n">
        <f aca="false">IF(A954="","",IFERROR(K954*Inputs!$B$9,0))</f>
        <v>47578.4810525551</v>
      </c>
      <c r="M954" s="10" t="n">
        <f aca="false">IF(A954="","",IFERROR(K954*Inputs!$B$10,0))</f>
        <v>152248.284659313</v>
      </c>
      <c r="N954" s="10" t="n">
        <f aca="false">IF(A954="","",Z953)</f>
        <v>0</v>
      </c>
      <c r="O954" s="6" t="n">
        <f aca="false">IF(A954="","",Inputs!$B$18+N954)</f>
        <v>50000</v>
      </c>
      <c r="P954" s="5" t="n">
        <f aca="false">IF(A954="","",VLOOKUP(D954,DIvidend_Assumption!$A$3:$CX$103,($E$2+2),0)/12)</f>
        <v>0</v>
      </c>
      <c r="Q954" s="10" t="n">
        <f aca="false">IF(A954="","",IFERROR(AB953*P954,""))</f>
        <v>0</v>
      </c>
      <c r="R954" s="10" t="n">
        <f aca="false">IF(A954="","",IFERROR(IF(Inputs!$B$22="Accumulate",T954+Q954,IF(Inputs!$B$22="Premium Offset",MAX(0,T954+Q954-Inputs!$B$25),T954)),""))</f>
        <v>0</v>
      </c>
      <c r="S954" s="10" t="n">
        <f aca="false">IF(A954="","",R953)</f>
        <v>0</v>
      </c>
      <c r="T954" s="10" t="n">
        <f aca="false">IF(A954="","",IFERROR(S954*(1+Inputs!$B$23/12),""))</f>
        <v>0</v>
      </c>
      <c r="U954" s="6" t="n">
        <f aca="false">IF(A954="","",IF(D954&lt;=Inputs!$B$8,IF(Inputs!$B$22="Premium Offset",MAX(0,Inputs!$B$25-(Q954+T954)),Inputs!$B$25),0))</f>
        <v>0</v>
      </c>
      <c r="V954" s="10" t="n">
        <f aca="false">IF(A954="","",IF(Inputs!$B$22="Cash",Q954,0))</f>
        <v>0</v>
      </c>
      <c r="W954" s="10" t="n">
        <f aca="false">IF(A954="","",IF(Inputs!$B$22="PUA",Q954,0))</f>
        <v>0</v>
      </c>
      <c r="X954" s="12" t="n">
        <f aca="false">IF(A954="","",IFERROR(INDEX(PUA_TABLE!$D$4:$D$105,MATCH(E954,PUA_TABLE!$C$4:$C$105,1)),0))</f>
        <v>0.949161270456937</v>
      </c>
      <c r="Y954" s="10" t="n">
        <f aca="false">IF(A954="","",IF(W954&gt;0,IF(X954&gt;0,W954/X954,0),0))</f>
        <v>0</v>
      </c>
      <c r="Z954" s="10" t="n">
        <f aca="false">IF(A954="","",N954+Y954)</f>
        <v>0</v>
      </c>
      <c r="AA954" s="10" t="n">
        <f aca="false">IF(A954="","",IFERROR(Z954*INDEX(PUA_TABLE!$I$4:$I$105,MATCH(E954,PUA_TABLE!$C$4:$C$105,1))/1000,0))</f>
        <v>0</v>
      </c>
      <c r="AB954" s="10" t="n">
        <f aca="false">IF(A954="","",IFERROR(L954+AA954,0))</f>
        <v>47578.4810525551</v>
      </c>
      <c r="AC954" s="10" t="n">
        <f aca="false">IF(A954="","",IF(Inputs!$B$22="Premium Offset",MIN(Inputs!$B$25,Q954+T954),0))</f>
        <v>0</v>
      </c>
    </row>
    <row r="955" customFormat="false" ht="15" hidden="false" customHeight="false" outlineLevel="0" collapsed="false">
      <c r="A955" s="1" t="n">
        <f aca="false">IF(A954="","",IF(INT((C954+1)/12)+Inputs!$B$7&gt;MAX(MORTALITY!$A:$A),"",Inputs!$B$4))</f>
        <v>34</v>
      </c>
      <c r="B955" s="3" t="n">
        <f aca="false">IF(A955="","",EOMONTH(B954,1))</f>
        <v>50739</v>
      </c>
      <c r="C955" s="1" t="n">
        <f aca="false">IF(A955="","",C954+1)</f>
        <v>953</v>
      </c>
      <c r="D955" s="1" t="n">
        <f aca="false">IF(A955="","",INT(C955/12))</f>
        <v>79</v>
      </c>
      <c r="E955" s="1" t="n">
        <f aca="false">IF(A955="","",D955+Inputs!$B$7)</f>
        <v>95</v>
      </c>
      <c r="F955" s="3" t="n">
        <f aca="false">IF(A955="","",DATE(YEAR(B$2)+D955,MONTH(B$2),DAY(B$2)))</f>
        <v>50561</v>
      </c>
      <c r="G955" s="3" t="n">
        <f aca="false">IF(A955="","",DATE(YEAR(F955)+1,MONTH(F955),DAY(F955)))</f>
        <v>50926</v>
      </c>
      <c r="H955" s="10" t="n">
        <f aca="false">IF(A955="","",IF(G955&gt;F955,(B955-F955)/(G955-F955),0))</f>
        <v>0.487671232876712</v>
      </c>
      <c r="I955" s="10" t="n">
        <f aca="false">IF(A955="","",IFERROR(INDEX(CV_RATES!$I:$I,MATCH(D955,CV_RATES!$C:$C,0)),0))</f>
        <v>949.161270456937</v>
      </c>
      <c r="J955" s="10" t="n">
        <f aca="false">IF(A955="","",IFERROR(IF(E955=MAX(MORTALITY!$A:$A),1000,INDEX(CV_RATES!$J:$J,MATCH(D955,CV_RATES!$C:$C,0))),0))</f>
        <v>955.1007837466</v>
      </c>
      <c r="K955" s="10" t="n">
        <f aca="false">IF(A955="","",IFERROR(I955+H955*(J955-I955),0))</f>
        <v>952.057800225594</v>
      </c>
      <c r="L955" s="10" t="n">
        <f aca="false">IF(A955="","",IFERROR(K955*Inputs!$B$9,0))</f>
        <v>47602.8900112797</v>
      </c>
      <c r="M955" s="10" t="n">
        <f aca="false">IF(A955="","",IFERROR(K955*Inputs!$B$10,0))</f>
        <v>152326.391862694</v>
      </c>
      <c r="N955" s="10" t="n">
        <f aca="false">IF(A955="","",Z954)</f>
        <v>0</v>
      </c>
      <c r="O955" s="6" t="n">
        <f aca="false">IF(A955="","",Inputs!$B$18+N955)</f>
        <v>50000</v>
      </c>
      <c r="P955" s="5" t="n">
        <f aca="false">IF(A955="","",VLOOKUP(D955,DIvidend_Assumption!$A$3:$CX$103,($E$2+2),0)/12)</f>
        <v>0</v>
      </c>
      <c r="Q955" s="10" t="n">
        <f aca="false">IF(A955="","",IFERROR(AB954*P955,""))</f>
        <v>0</v>
      </c>
      <c r="R955" s="10" t="n">
        <f aca="false">IF(A955="","",IFERROR(IF(Inputs!$B$22="Accumulate",T955+Q955,IF(Inputs!$B$22="Premium Offset",MAX(0,T955+Q955-Inputs!$B$25),T955)),""))</f>
        <v>0</v>
      </c>
      <c r="S955" s="10" t="n">
        <f aca="false">IF(A955="","",R954)</f>
        <v>0</v>
      </c>
      <c r="T955" s="10" t="n">
        <f aca="false">IF(A955="","",IFERROR(S955*(1+Inputs!$B$23/12),""))</f>
        <v>0</v>
      </c>
      <c r="U955" s="6" t="n">
        <f aca="false">IF(A955="","",IF(D955&lt;=Inputs!$B$8,IF(Inputs!$B$22="Premium Offset",MAX(0,Inputs!$B$25-(Q955+T955)),Inputs!$B$25),0))</f>
        <v>0</v>
      </c>
      <c r="V955" s="10" t="n">
        <f aca="false">IF(A955="","",IF(Inputs!$B$22="Cash",Q955,0))</f>
        <v>0</v>
      </c>
      <c r="W955" s="10" t="n">
        <f aca="false">IF(A955="","",IF(Inputs!$B$22="PUA",Q955,0))</f>
        <v>0</v>
      </c>
      <c r="X955" s="12" t="n">
        <f aca="false">IF(A955="","",IFERROR(INDEX(PUA_TABLE!$D$4:$D$105,MATCH(E955,PUA_TABLE!$C$4:$C$105,1)),0))</f>
        <v>0.949161270456937</v>
      </c>
      <c r="Y955" s="10" t="n">
        <f aca="false">IF(A955="","",IF(W955&gt;0,IF(X955&gt;0,W955/X955,0),0))</f>
        <v>0</v>
      </c>
      <c r="Z955" s="10" t="n">
        <f aca="false">IF(A955="","",N955+Y955)</f>
        <v>0</v>
      </c>
      <c r="AA955" s="10" t="n">
        <f aca="false">IF(A955="","",IFERROR(Z955*INDEX(PUA_TABLE!$I$4:$I$105,MATCH(E955,PUA_TABLE!$C$4:$C$105,1))/1000,0))</f>
        <v>0</v>
      </c>
      <c r="AB955" s="10" t="n">
        <f aca="false">IF(A955="","",IFERROR(L955+AA955,0))</f>
        <v>47602.8900112797</v>
      </c>
      <c r="AC955" s="10" t="n">
        <f aca="false">IF(A955="","",IF(Inputs!$B$22="Premium Offset",MIN(Inputs!$B$25,Q955+T955),0))</f>
        <v>0</v>
      </c>
    </row>
    <row r="956" customFormat="false" ht="15" hidden="false" customHeight="false" outlineLevel="0" collapsed="false">
      <c r="A956" s="1" t="n">
        <f aca="false">IF(A955="","",IF(INT((C955+1)/12)+Inputs!$B$7&gt;MAX(MORTALITY!$A:$A),"",Inputs!$B$4))</f>
        <v>34</v>
      </c>
      <c r="B956" s="3" t="n">
        <f aca="false">IF(A956="","",EOMONTH(B955,1))</f>
        <v>50770</v>
      </c>
      <c r="C956" s="1" t="n">
        <f aca="false">IF(A956="","",C955+1)</f>
        <v>954</v>
      </c>
      <c r="D956" s="1" t="n">
        <f aca="false">IF(A956="","",INT(C956/12))</f>
        <v>79</v>
      </c>
      <c r="E956" s="1" t="n">
        <f aca="false">IF(A956="","",D956+Inputs!$B$7)</f>
        <v>95</v>
      </c>
      <c r="F956" s="3" t="n">
        <f aca="false">IF(A956="","",DATE(YEAR(B$2)+D956,MONTH(B$2),DAY(B$2)))</f>
        <v>50561</v>
      </c>
      <c r="G956" s="3" t="n">
        <f aca="false">IF(A956="","",DATE(YEAR(F956)+1,MONTH(F956),DAY(F956)))</f>
        <v>50926</v>
      </c>
      <c r="H956" s="10" t="n">
        <f aca="false">IF(A956="","",IF(G956&gt;F956,(B956-F956)/(G956-F956),0))</f>
        <v>0.572602739726027</v>
      </c>
      <c r="I956" s="10" t="n">
        <f aca="false">IF(A956="","",IFERROR(INDEX(CV_RATES!$I:$I,MATCH(D956,CV_RATES!$C:$C,0)),0))</f>
        <v>949.161270456937</v>
      </c>
      <c r="J956" s="10" t="n">
        <f aca="false">IF(A956="","",IFERROR(IF(E956=MAX(MORTALITY!$A:$A),1000,INDEX(CV_RATES!$J:$J,MATCH(D956,CV_RATES!$C:$C,0))),0))</f>
        <v>955.1007837466</v>
      </c>
      <c r="K956" s="10" t="n">
        <f aca="false">IF(A956="","",IFERROR(I956+H956*(J956-I956),0))</f>
        <v>952.562252039237</v>
      </c>
      <c r="L956" s="10" t="n">
        <f aca="false">IF(A956="","",IFERROR(K956*Inputs!$B$9,0))</f>
        <v>47628.1126019619</v>
      </c>
      <c r="M956" s="10" t="n">
        <f aca="false">IF(A956="","",IFERROR(K956*Inputs!$B$10,0))</f>
        <v>152407.102639522</v>
      </c>
      <c r="N956" s="10" t="n">
        <f aca="false">IF(A956="","",Z955)</f>
        <v>0</v>
      </c>
      <c r="O956" s="6" t="n">
        <f aca="false">IF(A956="","",Inputs!$B$18+N956)</f>
        <v>50000</v>
      </c>
      <c r="P956" s="5" t="n">
        <f aca="false">IF(A956="","",VLOOKUP(D956,DIvidend_Assumption!$A$3:$CX$103,($E$2+2),0)/12)</f>
        <v>0</v>
      </c>
      <c r="Q956" s="10" t="n">
        <f aca="false">IF(A956="","",IFERROR(AB955*P956,""))</f>
        <v>0</v>
      </c>
      <c r="R956" s="10" t="n">
        <f aca="false">IF(A956="","",IFERROR(IF(Inputs!$B$22="Accumulate",T956+Q956,IF(Inputs!$B$22="Premium Offset",MAX(0,T956+Q956-Inputs!$B$25),T956)),""))</f>
        <v>0</v>
      </c>
      <c r="S956" s="10" t="n">
        <f aca="false">IF(A956="","",R955)</f>
        <v>0</v>
      </c>
      <c r="T956" s="10" t="n">
        <f aca="false">IF(A956="","",IFERROR(S956*(1+Inputs!$B$23/12),""))</f>
        <v>0</v>
      </c>
      <c r="U956" s="6" t="n">
        <f aca="false">IF(A956="","",IF(D956&lt;=Inputs!$B$8,IF(Inputs!$B$22="Premium Offset",MAX(0,Inputs!$B$25-(Q956+T956)),Inputs!$B$25),0))</f>
        <v>0</v>
      </c>
      <c r="V956" s="10" t="n">
        <f aca="false">IF(A956="","",IF(Inputs!$B$22="Cash",Q956,0))</f>
        <v>0</v>
      </c>
      <c r="W956" s="10" t="n">
        <f aca="false">IF(A956="","",IF(Inputs!$B$22="PUA",Q956,0))</f>
        <v>0</v>
      </c>
      <c r="X956" s="12" t="n">
        <f aca="false">IF(A956="","",IFERROR(INDEX(PUA_TABLE!$D$4:$D$105,MATCH(E956,PUA_TABLE!$C$4:$C$105,1)),0))</f>
        <v>0.949161270456937</v>
      </c>
      <c r="Y956" s="10" t="n">
        <f aca="false">IF(A956="","",IF(W956&gt;0,IF(X956&gt;0,W956/X956,0),0))</f>
        <v>0</v>
      </c>
      <c r="Z956" s="10" t="n">
        <f aca="false">IF(A956="","",N956+Y956)</f>
        <v>0</v>
      </c>
      <c r="AA956" s="10" t="n">
        <f aca="false">IF(A956="","",IFERROR(Z956*INDEX(PUA_TABLE!$I$4:$I$105,MATCH(E956,PUA_TABLE!$C$4:$C$105,1))/1000,0))</f>
        <v>0</v>
      </c>
      <c r="AB956" s="10" t="n">
        <f aca="false">IF(A956="","",IFERROR(L956+AA956,0))</f>
        <v>47628.1126019619</v>
      </c>
      <c r="AC956" s="10" t="n">
        <f aca="false">IF(A956="","",IF(Inputs!$B$22="Premium Offset",MIN(Inputs!$B$25,Q956+T956),0))</f>
        <v>0</v>
      </c>
    </row>
    <row r="957" customFormat="false" ht="15" hidden="false" customHeight="false" outlineLevel="0" collapsed="false">
      <c r="A957" s="1" t="n">
        <f aca="false">IF(A956="","",IF(INT((C956+1)/12)+Inputs!$B$7&gt;MAX(MORTALITY!$A:$A),"",Inputs!$B$4))</f>
        <v>34</v>
      </c>
      <c r="B957" s="3" t="n">
        <f aca="false">IF(A957="","",EOMONTH(B956,1))</f>
        <v>50801</v>
      </c>
      <c r="C957" s="1" t="n">
        <f aca="false">IF(A957="","",C956+1)</f>
        <v>955</v>
      </c>
      <c r="D957" s="1" t="n">
        <f aca="false">IF(A957="","",INT(C957/12))</f>
        <v>79</v>
      </c>
      <c r="E957" s="1" t="n">
        <f aca="false">IF(A957="","",D957+Inputs!$B$7)</f>
        <v>95</v>
      </c>
      <c r="F957" s="3" t="n">
        <f aca="false">IF(A957="","",DATE(YEAR(B$2)+D957,MONTH(B$2),DAY(B$2)))</f>
        <v>50561</v>
      </c>
      <c r="G957" s="3" t="n">
        <f aca="false">IF(A957="","",DATE(YEAR(F957)+1,MONTH(F957),DAY(F957)))</f>
        <v>50926</v>
      </c>
      <c r="H957" s="10" t="n">
        <f aca="false">IF(A957="","",IF(G957&gt;F957,(B957-F957)/(G957-F957),0))</f>
        <v>0.657534246575342</v>
      </c>
      <c r="I957" s="10" t="n">
        <f aca="false">IF(A957="","",IFERROR(INDEX(CV_RATES!$I:$I,MATCH(D957,CV_RATES!$C:$C,0)),0))</f>
        <v>949.161270456937</v>
      </c>
      <c r="J957" s="10" t="n">
        <f aca="false">IF(A957="","",IFERROR(IF(E957=MAX(MORTALITY!$A:$A),1000,INDEX(CV_RATES!$J:$J,MATCH(D957,CV_RATES!$C:$C,0))),0))</f>
        <v>955.1007837466</v>
      </c>
      <c r="K957" s="10" t="n">
        <f aca="false">IF(A957="","",IFERROR(I957+H957*(J957-I957),0))</f>
        <v>953.06670385288</v>
      </c>
      <c r="L957" s="10" t="n">
        <f aca="false">IF(A957="","",IFERROR(K957*Inputs!$B$9,0))</f>
        <v>47653.335192644</v>
      </c>
      <c r="M957" s="10" t="n">
        <f aca="false">IF(A957="","",IFERROR(K957*Inputs!$B$10,0))</f>
        <v>152487.813416349</v>
      </c>
      <c r="N957" s="10" t="n">
        <f aca="false">IF(A957="","",Z956)</f>
        <v>0</v>
      </c>
      <c r="O957" s="6" t="n">
        <f aca="false">IF(A957="","",Inputs!$B$18+N957)</f>
        <v>50000</v>
      </c>
      <c r="P957" s="5" t="n">
        <f aca="false">IF(A957="","",VLOOKUP(D957,DIvidend_Assumption!$A$3:$CX$103,($E$2+2),0)/12)</f>
        <v>0</v>
      </c>
      <c r="Q957" s="10" t="n">
        <f aca="false">IF(A957="","",IFERROR(AB956*P957,""))</f>
        <v>0</v>
      </c>
      <c r="R957" s="10" t="n">
        <f aca="false">IF(A957="","",IFERROR(IF(Inputs!$B$22="Accumulate",T957+Q957,IF(Inputs!$B$22="Premium Offset",MAX(0,T957+Q957-Inputs!$B$25),T957)),""))</f>
        <v>0</v>
      </c>
      <c r="S957" s="10" t="n">
        <f aca="false">IF(A957="","",R956)</f>
        <v>0</v>
      </c>
      <c r="T957" s="10" t="n">
        <f aca="false">IF(A957="","",IFERROR(S957*(1+Inputs!$B$23/12),""))</f>
        <v>0</v>
      </c>
      <c r="U957" s="6" t="n">
        <f aca="false">IF(A957="","",IF(D957&lt;=Inputs!$B$8,IF(Inputs!$B$22="Premium Offset",MAX(0,Inputs!$B$25-(Q957+T957)),Inputs!$B$25),0))</f>
        <v>0</v>
      </c>
      <c r="V957" s="10" t="n">
        <f aca="false">IF(A957="","",IF(Inputs!$B$22="Cash",Q957,0))</f>
        <v>0</v>
      </c>
      <c r="W957" s="10" t="n">
        <f aca="false">IF(A957="","",IF(Inputs!$B$22="PUA",Q957,0))</f>
        <v>0</v>
      </c>
      <c r="X957" s="12" t="n">
        <f aca="false">IF(A957="","",IFERROR(INDEX(PUA_TABLE!$D$4:$D$105,MATCH(E957,PUA_TABLE!$C$4:$C$105,1)),0))</f>
        <v>0.949161270456937</v>
      </c>
      <c r="Y957" s="10" t="n">
        <f aca="false">IF(A957="","",IF(W957&gt;0,IF(X957&gt;0,W957/X957,0),0))</f>
        <v>0</v>
      </c>
      <c r="Z957" s="10" t="n">
        <f aca="false">IF(A957="","",N957+Y957)</f>
        <v>0</v>
      </c>
      <c r="AA957" s="10" t="n">
        <f aca="false">IF(A957="","",IFERROR(Z957*INDEX(PUA_TABLE!$I$4:$I$105,MATCH(E957,PUA_TABLE!$C$4:$C$105,1))/1000,0))</f>
        <v>0</v>
      </c>
      <c r="AB957" s="10" t="n">
        <f aca="false">IF(A957="","",IFERROR(L957+AA957,0))</f>
        <v>47653.335192644</v>
      </c>
      <c r="AC957" s="10" t="n">
        <f aca="false">IF(A957="","",IF(Inputs!$B$22="Premium Offset",MIN(Inputs!$B$25,Q957+T957),0))</f>
        <v>0</v>
      </c>
    </row>
    <row r="958" customFormat="false" ht="15" hidden="false" customHeight="false" outlineLevel="0" collapsed="false">
      <c r="A958" s="1" t="n">
        <f aca="false">IF(A957="","",IF(INT((C957+1)/12)+Inputs!$B$7&gt;MAX(MORTALITY!$A:$A),"",Inputs!$B$4))</f>
        <v>34</v>
      </c>
      <c r="B958" s="3" t="n">
        <f aca="false">IF(A958="","",EOMONTH(B957,1))</f>
        <v>50829</v>
      </c>
      <c r="C958" s="1" t="n">
        <f aca="false">IF(A958="","",C957+1)</f>
        <v>956</v>
      </c>
      <c r="D958" s="1" t="n">
        <f aca="false">IF(A958="","",INT(C958/12))</f>
        <v>79</v>
      </c>
      <c r="E958" s="1" t="n">
        <f aca="false">IF(A958="","",D958+Inputs!$B$7)</f>
        <v>95</v>
      </c>
      <c r="F958" s="3" t="n">
        <f aca="false">IF(A958="","",DATE(YEAR(B$2)+D958,MONTH(B$2),DAY(B$2)))</f>
        <v>50561</v>
      </c>
      <c r="G958" s="3" t="n">
        <f aca="false">IF(A958="","",DATE(YEAR(F958)+1,MONTH(F958),DAY(F958)))</f>
        <v>50926</v>
      </c>
      <c r="H958" s="10" t="n">
        <f aca="false">IF(A958="","",IF(G958&gt;F958,(B958-F958)/(G958-F958),0))</f>
        <v>0.734246575342466</v>
      </c>
      <c r="I958" s="10" t="n">
        <f aca="false">IF(A958="","",IFERROR(INDEX(CV_RATES!$I:$I,MATCH(D958,CV_RATES!$C:$C,0)),0))</f>
        <v>949.161270456937</v>
      </c>
      <c r="J958" s="10" t="n">
        <f aca="false">IF(A958="","",IFERROR(IF(E958=MAX(MORTALITY!$A:$A),1000,INDEX(CV_RATES!$J:$J,MATCH(D958,CV_RATES!$C:$C,0))),0))</f>
        <v>955.1007837466</v>
      </c>
      <c r="K958" s="10" t="n">
        <f aca="false">IF(A958="","",IFERROR(I958+H958*(J958-I958),0))</f>
        <v>953.522337749073</v>
      </c>
      <c r="L958" s="10" t="n">
        <f aca="false">IF(A958="","",IFERROR(K958*Inputs!$B$9,0))</f>
        <v>47676.1168874537</v>
      </c>
      <c r="M958" s="10" t="n">
        <f aca="false">IF(A958="","",IFERROR(K958*Inputs!$B$10,0))</f>
        <v>152560.713472838</v>
      </c>
      <c r="N958" s="10" t="n">
        <f aca="false">IF(A958="","",Z957)</f>
        <v>0</v>
      </c>
      <c r="O958" s="6" t="n">
        <f aca="false">IF(A958="","",Inputs!$B$18+N958)</f>
        <v>50000</v>
      </c>
      <c r="P958" s="5" t="n">
        <f aca="false">IF(A958="","",VLOOKUP(D958,DIvidend_Assumption!$A$3:$CX$103,($E$2+2),0)/12)</f>
        <v>0</v>
      </c>
      <c r="Q958" s="10" t="n">
        <f aca="false">IF(A958="","",IFERROR(AB957*P958,""))</f>
        <v>0</v>
      </c>
      <c r="R958" s="10" t="n">
        <f aca="false">IF(A958="","",IFERROR(IF(Inputs!$B$22="Accumulate",T958+Q958,IF(Inputs!$B$22="Premium Offset",MAX(0,T958+Q958-Inputs!$B$25),T958)),""))</f>
        <v>0</v>
      </c>
      <c r="S958" s="10" t="n">
        <f aca="false">IF(A958="","",R957)</f>
        <v>0</v>
      </c>
      <c r="T958" s="10" t="n">
        <f aca="false">IF(A958="","",IFERROR(S958*(1+Inputs!$B$23/12),""))</f>
        <v>0</v>
      </c>
      <c r="U958" s="6" t="n">
        <f aca="false">IF(A958="","",IF(D958&lt;=Inputs!$B$8,IF(Inputs!$B$22="Premium Offset",MAX(0,Inputs!$B$25-(Q958+T958)),Inputs!$B$25),0))</f>
        <v>0</v>
      </c>
      <c r="V958" s="10" t="n">
        <f aca="false">IF(A958="","",IF(Inputs!$B$22="Cash",Q958,0))</f>
        <v>0</v>
      </c>
      <c r="W958" s="10" t="n">
        <f aca="false">IF(A958="","",IF(Inputs!$B$22="PUA",Q958,0))</f>
        <v>0</v>
      </c>
      <c r="X958" s="12" t="n">
        <f aca="false">IF(A958="","",IFERROR(INDEX(PUA_TABLE!$D$4:$D$105,MATCH(E958,PUA_TABLE!$C$4:$C$105,1)),0))</f>
        <v>0.949161270456937</v>
      </c>
      <c r="Y958" s="10" t="n">
        <f aca="false">IF(A958="","",IF(W958&gt;0,IF(X958&gt;0,W958/X958,0),0))</f>
        <v>0</v>
      </c>
      <c r="Z958" s="10" t="n">
        <f aca="false">IF(A958="","",N958+Y958)</f>
        <v>0</v>
      </c>
      <c r="AA958" s="10" t="n">
        <f aca="false">IF(A958="","",IFERROR(Z958*INDEX(PUA_TABLE!$I$4:$I$105,MATCH(E958,PUA_TABLE!$C$4:$C$105,1))/1000,0))</f>
        <v>0</v>
      </c>
      <c r="AB958" s="10" t="n">
        <f aca="false">IF(A958="","",IFERROR(L958+AA958,0))</f>
        <v>47676.1168874537</v>
      </c>
      <c r="AC958" s="10" t="n">
        <f aca="false">IF(A958="","",IF(Inputs!$B$22="Premium Offset",MIN(Inputs!$B$25,Q958+T958),0))</f>
        <v>0</v>
      </c>
    </row>
    <row r="959" customFormat="false" ht="15" hidden="false" customHeight="false" outlineLevel="0" collapsed="false">
      <c r="A959" s="1" t="n">
        <f aca="false">IF(A958="","",IF(INT((C958+1)/12)+Inputs!$B$7&gt;MAX(MORTALITY!$A:$A),"",Inputs!$B$4))</f>
        <v>34</v>
      </c>
      <c r="B959" s="3" t="n">
        <f aca="false">IF(A959="","",EOMONTH(B958,1))</f>
        <v>50860</v>
      </c>
      <c r="C959" s="1" t="n">
        <f aca="false">IF(A959="","",C958+1)</f>
        <v>957</v>
      </c>
      <c r="D959" s="1" t="n">
        <f aca="false">IF(A959="","",INT(C959/12))</f>
        <v>79</v>
      </c>
      <c r="E959" s="1" t="n">
        <f aca="false">IF(A959="","",D959+Inputs!$B$7)</f>
        <v>95</v>
      </c>
      <c r="F959" s="3" t="n">
        <f aca="false">IF(A959="","",DATE(YEAR(B$2)+D959,MONTH(B$2),DAY(B$2)))</f>
        <v>50561</v>
      </c>
      <c r="G959" s="3" t="n">
        <f aca="false">IF(A959="","",DATE(YEAR(F959)+1,MONTH(F959),DAY(F959)))</f>
        <v>50926</v>
      </c>
      <c r="H959" s="10" t="n">
        <f aca="false">IF(A959="","",IF(G959&gt;F959,(B959-F959)/(G959-F959),0))</f>
        <v>0.819178082191781</v>
      </c>
      <c r="I959" s="10" t="n">
        <f aca="false">IF(A959="","",IFERROR(INDEX(CV_RATES!$I:$I,MATCH(D959,CV_RATES!$C:$C,0)),0))</f>
        <v>949.161270456937</v>
      </c>
      <c r="J959" s="10" t="n">
        <f aca="false">IF(A959="","",IFERROR(IF(E959=MAX(MORTALITY!$A:$A),1000,INDEX(CV_RATES!$J:$J,MATCH(D959,CV_RATES!$C:$C,0))),0))</f>
        <v>955.1007837466</v>
      </c>
      <c r="K959" s="10" t="n">
        <f aca="false">IF(A959="","",IFERROR(I959+H959*(J959-I959),0))</f>
        <v>954.026789562716</v>
      </c>
      <c r="L959" s="10" t="n">
        <f aca="false">IF(A959="","",IFERROR(K959*Inputs!$B$9,0))</f>
        <v>47701.3394781358</v>
      </c>
      <c r="M959" s="10" t="n">
        <f aca="false">IF(A959="","",IFERROR(K959*Inputs!$B$10,0))</f>
        <v>152641.424249666</v>
      </c>
      <c r="N959" s="10" t="n">
        <f aca="false">IF(A959="","",Z958)</f>
        <v>0</v>
      </c>
      <c r="O959" s="6" t="n">
        <f aca="false">IF(A959="","",Inputs!$B$18+N959)</f>
        <v>50000</v>
      </c>
      <c r="P959" s="5" t="n">
        <f aca="false">IF(A959="","",VLOOKUP(D959,DIvidend_Assumption!$A$3:$CX$103,($E$2+2),0)/12)</f>
        <v>0</v>
      </c>
      <c r="Q959" s="10" t="n">
        <f aca="false">IF(A959="","",IFERROR(AB958*P959,""))</f>
        <v>0</v>
      </c>
      <c r="R959" s="10" t="n">
        <f aca="false">IF(A959="","",IFERROR(IF(Inputs!$B$22="Accumulate",T959+Q959,IF(Inputs!$B$22="Premium Offset",MAX(0,T959+Q959-Inputs!$B$25),T959)),""))</f>
        <v>0</v>
      </c>
      <c r="S959" s="10" t="n">
        <f aca="false">IF(A959="","",R958)</f>
        <v>0</v>
      </c>
      <c r="T959" s="10" t="n">
        <f aca="false">IF(A959="","",IFERROR(S959*(1+Inputs!$B$23/12),""))</f>
        <v>0</v>
      </c>
      <c r="U959" s="6" t="n">
        <f aca="false">IF(A959="","",IF(D959&lt;=Inputs!$B$8,IF(Inputs!$B$22="Premium Offset",MAX(0,Inputs!$B$25-(Q959+T959)),Inputs!$B$25),0))</f>
        <v>0</v>
      </c>
      <c r="V959" s="10" t="n">
        <f aca="false">IF(A959="","",IF(Inputs!$B$22="Cash",Q959,0))</f>
        <v>0</v>
      </c>
      <c r="W959" s="10" t="n">
        <f aca="false">IF(A959="","",IF(Inputs!$B$22="PUA",Q959,0))</f>
        <v>0</v>
      </c>
      <c r="X959" s="12" t="n">
        <f aca="false">IF(A959="","",IFERROR(INDEX(PUA_TABLE!$D$4:$D$105,MATCH(E959,PUA_TABLE!$C$4:$C$105,1)),0))</f>
        <v>0.949161270456937</v>
      </c>
      <c r="Y959" s="10" t="n">
        <f aca="false">IF(A959="","",IF(W959&gt;0,IF(X959&gt;0,W959/X959,0),0))</f>
        <v>0</v>
      </c>
      <c r="Z959" s="10" t="n">
        <f aca="false">IF(A959="","",N959+Y959)</f>
        <v>0</v>
      </c>
      <c r="AA959" s="10" t="n">
        <f aca="false">IF(A959="","",IFERROR(Z959*INDEX(PUA_TABLE!$I$4:$I$105,MATCH(E959,PUA_TABLE!$C$4:$C$105,1))/1000,0))</f>
        <v>0</v>
      </c>
      <c r="AB959" s="10" t="n">
        <f aca="false">IF(A959="","",IFERROR(L959+AA959,0))</f>
        <v>47701.3394781358</v>
      </c>
      <c r="AC959" s="10" t="n">
        <f aca="false">IF(A959="","",IF(Inputs!$B$22="Premium Offset",MIN(Inputs!$B$25,Q959+T959),0))</f>
        <v>0</v>
      </c>
    </row>
    <row r="960" customFormat="false" ht="15" hidden="false" customHeight="false" outlineLevel="0" collapsed="false">
      <c r="A960" s="1" t="n">
        <f aca="false">IF(A959="","",IF(INT((C959+1)/12)+Inputs!$B$7&gt;MAX(MORTALITY!$A:$A),"",Inputs!$B$4))</f>
        <v>34</v>
      </c>
      <c r="B960" s="3" t="n">
        <f aca="false">IF(A960="","",EOMONTH(B959,1))</f>
        <v>50890</v>
      </c>
      <c r="C960" s="1" t="n">
        <f aca="false">IF(A960="","",C959+1)</f>
        <v>958</v>
      </c>
      <c r="D960" s="1" t="n">
        <f aca="false">IF(A960="","",INT(C960/12))</f>
        <v>79</v>
      </c>
      <c r="E960" s="1" t="n">
        <f aca="false">IF(A960="","",D960+Inputs!$B$7)</f>
        <v>95</v>
      </c>
      <c r="F960" s="3" t="n">
        <f aca="false">IF(A960="","",DATE(YEAR(B$2)+D960,MONTH(B$2),DAY(B$2)))</f>
        <v>50561</v>
      </c>
      <c r="G960" s="3" t="n">
        <f aca="false">IF(A960="","",DATE(YEAR(F960)+1,MONTH(F960),DAY(F960)))</f>
        <v>50926</v>
      </c>
      <c r="H960" s="10" t="n">
        <f aca="false">IF(A960="","",IF(G960&gt;F960,(B960-F960)/(G960-F960),0))</f>
        <v>0.901369863013699</v>
      </c>
      <c r="I960" s="10" t="n">
        <f aca="false">IF(A960="","",IFERROR(INDEX(CV_RATES!$I:$I,MATCH(D960,CV_RATES!$C:$C,0)),0))</f>
        <v>949.161270456937</v>
      </c>
      <c r="J960" s="10" t="n">
        <f aca="false">IF(A960="","",IFERROR(IF(E960=MAX(MORTALITY!$A:$A),1000,INDEX(CV_RATES!$J:$J,MATCH(D960,CV_RATES!$C:$C,0))),0))</f>
        <v>955.1007837466</v>
      </c>
      <c r="K960" s="10" t="n">
        <f aca="false">IF(A960="","",IFERROR(I960+H960*(J960-I960),0))</f>
        <v>954.514968737209</v>
      </c>
      <c r="L960" s="10" t="n">
        <f aca="false">IF(A960="","",IFERROR(K960*Inputs!$B$9,0))</f>
        <v>47725.7484368604</v>
      </c>
      <c r="M960" s="10" t="n">
        <f aca="false">IF(A960="","",IFERROR(K960*Inputs!$B$10,0))</f>
        <v>152719.531453047</v>
      </c>
      <c r="N960" s="10" t="n">
        <f aca="false">IF(A960="","",Z959)</f>
        <v>0</v>
      </c>
      <c r="O960" s="6" t="n">
        <f aca="false">IF(A960="","",Inputs!$B$18+N960)</f>
        <v>50000</v>
      </c>
      <c r="P960" s="5" t="n">
        <f aca="false">IF(A960="","",VLOOKUP(D960,DIvidend_Assumption!$A$3:$CX$103,($E$2+2),0)/12)</f>
        <v>0</v>
      </c>
      <c r="Q960" s="10" t="n">
        <f aca="false">IF(A960="","",IFERROR(AB959*P960,""))</f>
        <v>0</v>
      </c>
      <c r="R960" s="10" t="n">
        <f aca="false">IF(A960="","",IFERROR(IF(Inputs!$B$22="Accumulate",T960+Q960,IF(Inputs!$B$22="Premium Offset",MAX(0,T960+Q960-Inputs!$B$25),T960)),""))</f>
        <v>0</v>
      </c>
      <c r="S960" s="10" t="n">
        <f aca="false">IF(A960="","",R959)</f>
        <v>0</v>
      </c>
      <c r="T960" s="10" t="n">
        <f aca="false">IF(A960="","",IFERROR(S960*(1+Inputs!$B$23/12),""))</f>
        <v>0</v>
      </c>
      <c r="U960" s="6" t="n">
        <f aca="false">IF(A960="","",IF(D960&lt;=Inputs!$B$8,IF(Inputs!$B$22="Premium Offset",MAX(0,Inputs!$B$25-(Q960+T960)),Inputs!$B$25),0))</f>
        <v>0</v>
      </c>
      <c r="V960" s="10" t="n">
        <f aca="false">IF(A960="","",IF(Inputs!$B$22="Cash",Q960,0))</f>
        <v>0</v>
      </c>
      <c r="W960" s="10" t="n">
        <f aca="false">IF(A960="","",IF(Inputs!$B$22="PUA",Q960,0))</f>
        <v>0</v>
      </c>
      <c r="X960" s="12" t="n">
        <f aca="false">IF(A960="","",IFERROR(INDEX(PUA_TABLE!$D$4:$D$105,MATCH(E960,PUA_TABLE!$C$4:$C$105,1)),0))</f>
        <v>0.949161270456937</v>
      </c>
      <c r="Y960" s="10" t="n">
        <f aca="false">IF(A960="","",IF(W960&gt;0,IF(X960&gt;0,W960/X960,0),0))</f>
        <v>0</v>
      </c>
      <c r="Z960" s="10" t="n">
        <f aca="false">IF(A960="","",N960+Y960)</f>
        <v>0</v>
      </c>
      <c r="AA960" s="10" t="n">
        <f aca="false">IF(A960="","",IFERROR(Z960*INDEX(PUA_TABLE!$I$4:$I$105,MATCH(E960,PUA_TABLE!$C$4:$C$105,1))/1000,0))</f>
        <v>0</v>
      </c>
      <c r="AB960" s="10" t="n">
        <f aca="false">IF(A960="","",IFERROR(L960+AA960,0))</f>
        <v>47725.7484368604</v>
      </c>
      <c r="AC960" s="10" t="n">
        <f aca="false">IF(A960="","",IF(Inputs!$B$22="Premium Offset",MIN(Inputs!$B$25,Q960+T960),0))</f>
        <v>0</v>
      </c>
    </row>
    <row r="961" customFormat="false" ht="15" hidden="false" customHeight="false" outlineLevel="0" collapsed="false">
      <c r="A961" s="1" t="n">
        <f aca="false">IF(A960="","",IF(INT((C960+1)/12)+Inputs!$B$7&gt;MAX(MORTALITY!$A:$A),"",Inputs!$B$4))</f>
        <v>34</v>
      </c>
      <c r="B961" s="3" t="n">
        <f aca="false">IF(A961="","",EOMONTH(B960,1))</f>
        <v>50921</v>
      </c>
      <c r="C961" s="1" t="n">
        <f aca="false">IF(A961="","",C960+1)</f>
        <v>959</v>
      </c>
      <c r="D961" s="1" t="n">
        <f aca="false">IF(A961="","",INT(C961/12))</f>
        <v>79</v>
      </c>
      <c r="E961" s="1" t="n">
        <f aca="false">IF(A961="","",D961+Inputs!$B$7)</f>
        <v>95</v>
      </c>
      <c r="F961" s="3" t="n">
        <f aca="false">IF(A961="","",DATE(YEAR(B$2)+D961,MONTH(B$2),DAY(B$2)))</f>
        <v>50561</v>
      </c>
      <c r="G961" s="3" t="n">
        <f aca="false">IF(A961="","",DATE(YEAR(F961)+1,MONTH(F961),DAY(F961)))</f>
        <v>50926</v>
      </c>
      <c r="H961" s="10" t="n">
        <f aca="false">IF(A961="","",IF(G961&gt;F961,(B961-F961)/(G961-F961),0))</f>
        <v>0.986301369863014</v>
      </c>
      <c r="I961" s="10" t="n">
        <f aca="false">IF(A961="","",IFERROR(INDEX(CV_RATES!$I:$I,MATCH(D961,CV_RATES!$C:$C,0)),0))</f>
        <v>949.161270456937</v>
      </c>
      <c r="J961" s="10" t="n">
        <f aca="false">IF(A961="","",IFERROR(IF(E961=MAX(MORTALITY!$A:$A),1000,INDEX(CV_RATES!$J:$J,MATCH(D961,CV_RATES!$C:$C,0))),0))</f>
        <v>955.1007837466</v>
      </c>
      <c r="K961" s="10" t="n">
        <f aca="false">IF(A961="","",IFERROR(I961+H961*(J961-I961),0))</f>
        <v>955.019420550851</v>
      </c>
      <c r="L961" s="10" t="n">
        <f aca="false">IF(A961="","",IFERROR(K961*Inputs!$B$9,0))</f>
        <v>47750.9710275426</v>
      </c>
      <c r="M961" s="10" t="n">
        <f aca="false">IF(A961="","",IFERROR(K961*Inputs!$B$10,0))</f>
        <v>152800.242229875</v>
      </c>
      <c r="N961" s="10" t="n">
        <f aca="false">IF(A961="","",Z960)</f>
        <v>0</v>
      </c>
      <c r="O961" s="6" t="n">
        <f aca="false">IF(A961="","",Inputs!$B$18+N961)</f>
        <v>50000</v>
      </c>
      <c r="P961" s="5" t="n">
        <f aca="false">IF(A961="","",VLOOKUP(D961,DIvidend_Assumption!$A$3:$CX$103,($E$2+2),0)/12)</f>
        <v>0</v>
      </c>
      <c r="Q961" s="10" t="n">
        <f aca="false">IF(A961="","",IFERROR(AB960*P961,""))</f>
        <v>0</v>
      </c>
      <c r="R961" s="10" t="n">
        <f aca="false">IF(A961="","",IFERROR(IF(Inputs!$B$22="Accumulate",T961+Q961,IF(Inputs!$B$22="Premium Offset",MAX(0,T961+Q961-Inputs!$B$25),T961)),""))</f>
        <v>0</v>
      </c>
      <c r="S961" s="10" t="n">
        <f aca="false">IF(A961="","",R960)</f>
        <v>0</v>
      </c>
      <c r="T961" s="10" t="n">
        <f aca="false">IF(A961="","",IFERROR(S961*(1+Inputs!$B$23/12),""))</f>
        <v>0</v>
      </c>
      <c r="U961" s="6" t="n">
        <f aca="false">IF(A961="","",IF(D961&lt;=Inputs!$B$8,IF(Inputs!$B$22="Premium Offset",MAX(0,Inputs!$B$25-(Q961+T961)),Inputs!$B$25),0))</f>
        <v>0</v>
      </c>
      <c r="V961" s="10" t="n">
        <f aca="false">IF(A961="","",IF(Inputs!$B$22="Cash",Q961,0))</f>
        <v>0</v>
      </c>
      <c r="W961" s="10" t="n">
        <f aca="false">IF(A961="","",IF(Inputs!$B$22="PUA",Q961,0))</f>
        <v>0</v>
      </c>
      <c r="X961" s="12" t="n">
        <f aca="false">IF(A961="","",IFERROR(INDEX(PUA_TABLE!$D$4:$D$105,MATCH(E961,PUA_TABLE!$C$4:$C$105,1)),0))</f>
        <v>0.949161270456937</v>
      </c>
      <c r="Y961" s="10" t="n">
        <f aca="false">IF(A961="","",IF(W961&gt;0,IF(X961&gt;0,W961/X961,0),0))</f>
        <v>0</v>
      </c>
      <c r="Z961" s="10" t="n">
        <f aca="false">IF(A961="","",N961+Y961)</f>
        <v>0</v>
      </c>
      <c r="AA961" s="10" t="n">
        <f aca="false">IF(A961="","",IFERROR(Z961*INDEX(PUA_TABLE!$I$4:$I$105,MATCH(E961,PUA_TABLE!$C$4:$C$105,1))/1000,0))</f>
        <v>0</v>
      </c>
      <c r="AB961" s="10" t="n">
        <f aca="false">IF(A961="","",IFERROR(L961+AA961,0))</f>
        <v>47750.9710275426</v>
      </c>
      <c r="AC961" s="10" t="n">
        <f aca="false">IF(A961="","",IF(Inputs!$B$22="Premium Offset",MIN(Inputs!$B$25,Q961+T961),0))</f>
        <v>0</v>
      </c>
    </row>
    <row r="962" customFormat="false" ht="15" hidden="false" customHeight="false" outlineLevel="0" collapsed="false">
      <c r="A962" s="1" t="n">
        <f aca="false">IF(A961="","",IF(INT((C961+1)/12)+Inputs!$B$7&gt;MAX(MORTALITY!$A:$A),"",Inputs!$B$4))</f>
        <v>34</v>
      </c>
      <c r="B962" s="3" t="n">
        <f aca="false">IF(A962="","",EOMONTH(B961,1))</f>
        <v>50951</v>
      </c>
      <c r="C962" s="1" t="n">
        <f aca="false">IF(A962="","",C961+1)</f>
        <v>960</v>
      </c>
      <c r="D962" s="1" t="n">
        <f aca="false">IF(A962="","",INT(C962/12))</f>
        <v>80</v>
      </c>
      <c r="E962" s="1" t="n">
        <f aca="false">IF(A962="","",D962+Inputs!$B$7)</f>
        <v>96</v>
      </c>
      <c r="F962" s="3" t="n">
        <f aca="false">IF(A962="","",DATE(YEAR(B$2)+D962,MONTH(B$2),DAY(B$2)))</f>
        <v>50926</v>
      </c>
      <c r="G962" s="3" t="n">
        <f aca="false">IF(A962="","",DATE(YEAR(F962)+1,MONTH(F962),DAY(F962)))</f>
        <v>51292</v>
      </c>
      <c r="H962" s="10" t="n">
        <f aca="false">IF(A962="","",IF(G962&gt;F962,(B962-F962)/(G962-F962),0))</f>
        <v>0.0683060109289618</v>
      </c>
      <c r="I962" s="10" t="n">
        <f aca="false">IF(A962="","",IFERROR(INDEX(CV_RATES!$I:$I,MATCH(D962,CV_RATES!$C:$C,0)),0))</f>
        <v>955.1007837466</v>
      </c>
      <c r="J962" s="10" t="n">
        <f aca="false">IF(A962="","",IFERROR(IF(E962=MAX(MORTALITY!$A:$A),1000,INDEX(CV_RATES!$J:$J,MATCH(D962,CV_RATES!$C:$C,0))),0))</f>
        <v>961.973016660815</v>
      </c>
      <c r="K962" s="10" t="n">
        <f aca="false">IF(A962="","",IFERROR(I962+H962*(J962-I962),0))</f>
        <v>955.570198563145</v>
      </c>
      <c r="L962" s="10" t="n">
        <f aca="false">IF(A962="","",IFERROR(K962*Inputs!$B$9,0))</f>
        <v>47778.5099281572</v>
      </c>
      <c r="M962" s="10" t="n">
        <f aca="false">IF(A962="","",IFERROR(K962*Inputs!$B$10,0))</f>
        <v>152888.365059508</v>
      </c>
      <c r="N962" s="10" t="n">
        <f aca="false">IF(A962="","",Z961)</f>
        <v>0</v>
      </c>
      <c r="O962" s="6" t="n">
        <f aca="false">IF(A962="","",Inputs!$B$18+N962)</f>
        <v>50000</v>
      </c>
      <c r="P962" s="5" t="n">
        <f aca="false">IF(A962="","",VLOOKUP(D962,DIvidend_Assumption!$A$3:$CX$103,($E$2+2),0)/12)</f>
        <v>0</v>
      </c>
      <c r="Q962" s="10" t="n">
        <f aca="false">IF(A962="","",IFERROR(AB961*P962,""))</f>
        <v>0</v>
      </c>
      <c r="R962" s="10" t="n">
        <f aca="false">IF(A962="","",IFERROR(IF(Inputs!$B$22="Accumulate",T962+Q962,IF(Inputs!$B$22="Premium Offset",MAX(0,T962+Q962-Inputs!$B$25),T962)),""))</f>
        <v>0</v>
      </c>
      <c r="S962" s="10" t="n">
        <f aca="false">IF(A962="","",R961)</f>
        <v>0</v>
      </c>
      <c r="T962" s="10" t="n">
        <f aca="false">IF(A962="","",IFERROR(S962*(1+Inputs!$B$23/12),""))</f>
        <v>0</v>
      </c>
      <c r="U962" s="6" t="n">
        <f aca="false">IF(A962="","",IF(D962&lt;=Inputs!$B$8,IF(Inputs!$B$22="Premium Offset",MAX(0,Inputs!$B$25-(Q962+T962)),Inputs!$B$25),0))</f>
        <v>0</v>
      </c>
      <c r="V962" s="10" t="n">
        <f aca="false">IF(A962="","",IF(Inputs!$B$22="Cash",Q962,0))</f>
        <v>0</v>
      </c>
      <c r="W962" s="10" t="n">
        <f aca="false">IF(A962="","",IF(Inputs!$B$22="PUA",Q962,0))</f>
        <v>0</v>
      </c>
      <c r="X962" s="12" t="n">
        <f aca="false">IF(A962="","",IFERROR(INDEX(PUA_TABLE!$D$4:$D$105,MATCH(E962,PUA_TABLE!$C$4:$C$105,1)),0))</f>
        <v>0.9551007837466</v>
      </c>
      <c r="Y962" s="10" t="n">
        <f aca="false">IF(A962="","",IF(W962&gt;0,IF(X962&gt;0,W962/X962,0),0))</f>
        <v>0</v>
      </c>
      <c r="Z962" s="10" t="n">
        <f aca="false">IF(A962="","",N962+Y962)</f>
        <v>0</v>
      </c>
      <c r="AA962" s="10" t="n">
        <f aca="false">IF(A962="","",IFERROR(Z962*INDEX(PUA_TABLE!$I$4:$I$105,MATCH(E962,PUA_TABLE!$C$4:$C$105,1))/1000,0))</f>
        <v>0</v>
      </c>
      <c r="AB962" s="10" t="n">
        <f aca="false">IF(A962="","",IFERROR(L962+AA962,0))</f>
        <v>47778.5099281572</v>
      </c>
      <c r="AC962" s="10" t="n">
        <f aca="false">IF(A962="","",IF(Inputs!$B$22="Premium Offset",MIN(Inputs!$B$25,Q962+T962),0))</f>
        <v>0</v>
      </c>
    </row>
    <row r="963" customFormat="false" ht="15" hidden="false" customHeight="false" outlineLevel="0" collapsed="false">
      <c r="A963" s="1" t="n">
        <f aca="false">IF(A962="","",IF(INT((C962+1)/12)+Inputs!$B$7&gt;MAX(MORTALITY!$A:$A),"",Inputs!$B$4))</f>
        <v>34</v>
      </c>
      <c r="B963" s="3" t="n">
        <f aca="false">IF(A963="","",EOMONTH(B962,1))</f>
        <v>50982</v>
      </c>
      <c r="C963" s="1" t="n">
        <f aca="false">IF(A963="","",C962+1)</f>
        <v>961</v>
      </c>
      <c r="D963" s="1" t="n">
        <f aca="false">IF(A963="","",INT(C963/12))</f>
        <v>80</v>
      </c>
      <c r="E963" s="1" t="n">
        <f aca="false">IF(A963="","",D963+Inputs!$B$7)</f>
        <v>96</v>
      </c>
      <c r="F963" s="3" t="n">
        <f aca="false">IF(A963="","",DATE(YEAR(B$2)+D963,MONTH(B$2),DAY(B$2)))</f>
        <v>50926</v>
      </c>
      <c r="G963" s="3" t="n">
        <f aca="false">IF(A963="","",DATE(YEAR(F963)+1,MONTH(F963),DAY(F963)))</f>
        <v>51292</v>
      </c>
      <c r="H963" s="10" t="n">
        <f aca="false">IF(A963="","",IF(G963&gt;F963,(B963-F963)/(G963-F963),0))</f>
        <v>0.153005464480874</v>
      </c>
      <c r="I963" s="10" t="n">
        <f aca="false">IF(A963="","",IFERROR(INDEX(CV_RATES!$I:$I,MATCH(D963,CV_RATES!$C:$C,0)),0))</f>
        <v>955.1007837466</v>
      </c>
      <c r="J963" s="10" t="n">
        <f aca="false">IF(A963="","",IFERROR(IF(E963=MAX(MORTALITY!$A:$A),1000,INDEX(CV_RATES!$J:$J,MATCH(D963,CV_RATES!$C:$C,0))),0))</f>
        <v>961.973016660815</v>
      </c>
      <c r="K963" s="10" t="n">
        <f aca="false">IF(A963="","",IFERROR(I963+H963*(J963-I963),0))</f>
        <v>956.15227293566</v>
      </c>
      <c r="L963" s="10" t="n">
        <f aca="false">IF(A963="","",IFERROR(K963*Inputs!$B$9,0))</f>
        <v>47807.613646783</v>
      </c>
      <c r="M963" s="10" t="n">
        <f aca="false">IF(A963="","",IFERROR(K963*Inputs!$B$10,0))</f>
        <v>152981.495212887</v>
      </c>
      <c r="N963" s="10" t="n">
        <f aca="false">IF(A963="","",Z962)</f>
        <v>0</v>
      </c>
      <c r="O963" s="6" t="n">
        <f aca="false">IF(A963="","",Inputs!$B$18+N963)</f>
        <v>50000</v>
      </c>
      <c r="P963" s="5" t="n">
        <f aca="false">IF(A963="","",VLOOKUP(D963,DIvidend_Assumption!$A$3:$CX$103,($E$2+2),0)/12)</f>
        <v>0</v>
      </c>
      <c r="Q963" s="10" t="n">
        <f aca="false">IF(A963="","",IFERROR(AB962*P963,""))</f>
        <v>0</v>
      </c>
      <c r="R963" s="10" t="n">
        <f aca="false">IF(A963="","",IFERROR(IF(Inputs!$B$22="Accumulate",T963+Q963,IF(Inputs!$B$22="Premium Offset",MAX(0,T963+Q963-Inputs!$B$25),T963)),""))</f>
        <v>0</v>
      </c>
      <c r="S963" s="10" t="n">
        <f aca="false">IF(A963="","",R962)</f>
        <v>0</v>
      </c>
      <c r="T963" s="10" t="n">
        <f aca="false">IF(A963="","",IFERROR(S963*(1+Inputs!$B$23/12),""))</f>
        <v>0</v>
      </c>
      <c r="U963" s="6" t="n">
        <f aca="false">IF(A963="","",IF(D963&lt;=Inputs!$B$8,IF(Inputs!$B$22="Premium Offset",MAX(0,Inputs!$B$25-(Q963+T963)),Inputs!$B$25),0))</f>
        <v>0</v>
      </c>
      <c r="V963" s="10" t="n">
        <f aca="false">IF(A963="","",IF(Inputs!$B$22="Cash",Q963,0))</f>
        <v>0</v>
      </c>
      <c r="W963" s="10" t="n">
        <f aca="false">IF(A963="","",IF(Inputs!$B$22="PUA",Q963,0))</f>
        <v>0</v>
      </c>
      <c r="X963" s="12" t="n">
        <f aca="false">IF(A963="","",IFERROR(INDEX(PUA_TABLE!$D$4:$D$105,MATCH(E963,PUA_TABLE!$C$4:$C$105,1)),0))</f>
        <v>0.9551007837466</v>
      </c>
      <c r="Y963" s="10" t="n">
        <f aca="false">IF(A963="","",IF(W963&gt;0,IF(X963&gt;0,W963/X963,0),0))</f>
        <v>0</v>
      </c>
      <c r="Z963" s="10" t="n">
        <f aca="false">IF(A963="","",N963+Y963)</f>
        <v>0</v>
      </c>
      <c r="AA963" s="10" t="n">
        <f aca="false">IF(A963="","",IFERROR(Z963*INDEX(PUA_TABLE!$I$4:$I$105,MATCH(E963,PUA_TABLE!$C$4:$C$105,1))/1000,0))</f>
        <v>0</v>
      </c>
      <c r="AB963" s="10" t="n">
        <f aca="false">IF(A963="","",IFERROR(L963+AA963,0))</f>
        <v>47807.613646783</v>
      </c>
      <c r="AC963" s="10" t="n">
        <f aca="false">IF(A963="","",IF(Inputs!$B$22="Premium Offset",MIN(Inputs!$B$25,Q963+T963),0))</f>
        <v>0</v>
      </c>
    </row>
    <row r="964" customFormat="false" ht="15" hidden="false" customHeight="false" outlineLevel="0" collapsed="false">
      <c r="A964" s="1" t="n">
        <f aca="false">IF(A963="","",IF(INT((C963+1)/12)+Inputs!$B$7&gt;MAX(MORTALITY!$A:$A),"",Inputs!$B$4))</f>
        <v>34</v>
      </c>
      <c r="B964" s="3" t="n">
        <f aca="false">IF(A964="","",EOMONTH(B963,1))</f>
        <v>51013</v>
      </c>
      <c r="C964" s="1" t="n">
        <f aca="false">IF(A964="","",C963+1)</f>
        <v>962</v>
      </c>
      <c r="D964" s="1" t="n">
        <f aca="false">IF(A964="","",INT(C964/12))</f>
        <v>80</v>
      </c>
      <c r="E964" s="1" t="n">
        <f aca="false">IF(A964="","",D964+Inputs!$B$7)</f>
        <v>96</v>
      </c>
      <c r="F964" s="3" t="n">
        <f aca="false">IF(A964="","",DATE(YEAR(B$2)+D964,MONTH(B$2),DAY(B$2)))</f>
        <v>50926</v>
      </c>
      <c r="G964" s="3" t="n">
        <f aca="false">IF(A964="","",DATE(YEAR(F964)+1,MONTH(F964),DAY(F964)))</f>
        <v>51292</v>
      </c>
      <c r="H964" s="10" t="n">
        <f aca="false">IF(A964="","",IF(G964&gt;F964,(B964-F964)/(G964-F964),0))</f>
        <v>0.237704918032787</v>
      </c>
      <c r="I964" s="10" t="n">
        <f aca="false">IF(A964="","",IFERROR(INDEX(CV_RATES!$I:$I,MATCH(D964,CV_RATES!$C:$C,0)),0))</f>
        <v>955.1007837466</v>
      </c>
      <c r="J964" s="10" t="n">
        <f aca="false">IF(A964="","",IFERROR(IF(E964=MAX(MORTALITY!$A:$A),1000,INDEX(CV_RATES!$J:$J,MATCH(D964,CV_RATES!$C:$C,0))),0))</f>
        <v>961.973016660815</v>
      </c>
      <c r="K964" s="10" t="n">
        <f aca="false">IF(A964="","",IFERROR(I964+H964*(J964-I964),0))</f>
        <v>956.734347308176</v>
      </c>
      <c r="L964" s="10" t="n">
        <f aca="false">IF(A964="","",IFERROR(K964*Inputs!$B$9,0))</f>
        <v>47836.7173654088</v>
      </c>
      <c r="M964" s="10" t="n">
        <f aca="false">IF(A964="","",IFERROR(K964*Inputs!$B$10,0))</f>
        <v>153074.625366266</v>
      </c>
      <c r="N964" s="10" t="n">
        <f aca="false">IF(A964="","",Z963)</f>
        <v>0</v>
      </c>
      <c r="O964" s="6" t="n">
        <f aca="false">IF(A964="","",Inputs!$B$18+N964)</f>
        <v>50000</v>
      </c>
      <c r="P964" s="5" t="n">
        <f aca="false">IF(A964="","",VLOOKUP(D964,DIvidend_Assumption!$A$3:$CX$103,($E$2+2),0)/12)</f>
        <v>0</v>
      </c>
      <c r="Q964" s="10" t="n">
        <f aca="false">IF(A964="","",IFERROR(AB963*P964,""))</f>
        <v>0</v>
      </c>
      <c r="R964" s="10" t="n">
        <f aca="false">IF(A964="","",IFERROR(IF(Inputs!$B$22="Accumulate",T964+Q964,IF(Inputs!$B$22="Premium Offset",MAX(0,T964+Q964-Inputs!$B$25),T964)),""))</f>
        <v>0</v>
      </c>
      <c r="S964" s="10" t="n">
        <f aca="false">IF(A964="","",R963)</f>
        <v>0</v>
      </c>
      <c r="T964" s="10" t="n">
        <f aca="false">IF(A964="","",IFERROR(S964*(1+Inputs!$B$23/12),""))</f>
        <v>0</v>
      </c>
      <c r="U964" s="6" t="n">
        <f aca="false">IF(A964="","",IF(D964&lt;=Inputs!$B$8,IF(Inputs!$B$22="Premium Offset",MAX(0,Inputs!$B$25-(Q964+T964)),Inputs!$B$25),0))</f>
        <v>0</v>
      </c>
      <c r="V964" s="10" t="n">
        <f aca="false">IF(A964="","",IF(Inputs!$B$22="Cash",Q964,0))</f>
        <v>0</v>
      </c>
      <c r="W964" s="10" t="n">
        <f aca="false">IF(A964="","",IF(Inputs!$B$22="PUA",Q964,0))</f>
        <v>0</v>
      </c>
      <c r="X964" s="12" t="n">
        <f aca="false">IF(A964="","",IFERROR(INDEX(PUA_TABLE!$D$4:$D$105,MATCH(E964,PUA_TABLE!$C$4:$C$105,1)),0))</f>
        <v>0.9551007837466</v>
      </c>
      <c r="Y964" s="10" t="n">
        <f aca="false">IF(A964="","",IF(W964&gt;0,IF(X964&gt;0,W964/X964,0),0))</f>
        <v>0</v>
      </c>
      <c r="Z964" s="10" t="n">
        <f aca="false">IF(A964="","",N964+Y964)</f>
        <v>0</v>
      </c>
      <c r="AA964" s="10" t="n">
        <f aca="false">IF(A964="","",IFERROR(Z964*INDEX(PUA_TABLE!$I$4:$I$105,MATCH(E964,PUA_TABLE!$C$4:$C$105,1))/1000,0))</f>
        <v>0</v>
      </c>
      <c r="AB964" s="10" t="n">
        <f aca="false">IF(A964="","",IFERROR(L964+AA964,0))</f>
        <v>47836.7173654088</v>
      </c>
      <c r="AC964" s="10" t="n">
        <f aca="false">IF(A964="","",IF(Inputs!$B$22="Premium Offset",MIN(Inputs!$B$25,Q964+T964),0))</f>
        <v>0</v>
      </c>
    </row>
    <row r="965" customFormat="false" ht="15" hidden="false" customHeight="false" outlineLevel="0" collapsed="false">
      <c r="A965" s="1" t="n">
        <f aca="false">IF(A964="","",IF(INT((C964+1)/12)+Inputs!$B$7&gt;MAX(MORTALITY!$A:$A),"",Inputs!$B$4))</f>
        <v>34</v>
      </c>
      <c r="B965" s="3" t="n">
        <f aca="false">IF(A965="","",EOMONTH(B964,1))</f>
        <v>51043</v>
      </c>
      <c r="C965" s="1" t="n">
        <f aca="false">IF(A965="","",C964+1)</f>
        <v>963</v>
      </c>
      <c r="D965" s="1" t="n">
        <f aca="false">IF(A965="","",INT(C965/12))</f>
        <v>80</v>
      </c>
      <c r="E965" s="1" t="n">
        <f aca="false">IF(A965="","",D965+Inputs!$B$7)</f>
        <v>96</v>
      </c>
      <c r="F965" s="3" t="n">
        <f aca="false">IF(A965="","",DATE(YEAR(B$2)+D965,MONTH(B$2),DAY(B$2)))</f>
        <v>50926</v>
      </c>
      <c r="G965" s="3" t="n">
        <f aca="false">IF(A965="","",DATE(YEAR(F965)+1,MONTH(F965),DAY(F965)))</f>
        <v>51292</v>
      </c>
      <c r="H965" s="10" t="n">
        <f aca="false">IF(A965="","",IF(G965&gt;F965,(B965-F965)/(G965-F965),0))</f>
        <v>0.319672131147541</v>
      </c>
      <c r="I965" s="10" t="n">
        <f aca="false">IF(A965="","",IFERROR(INDEX(CV_RATES!$I:$I,MATCH(D965,CV_RATES!$C:$C,0)),0))</f>
        <v>955.1007837466</v>
      </c>
      <c r="J965" s="10" t="n">
        <f aca="false">IF(A965="","",IFERROR(IF(E965=MAX(MORTALITY!$A:$A),1000,INDEX(CV_RATES!$J:$J,MATCH(D965,CV_RATES!$C:$C,0))),0))</f>
        <v>961.973016660815</v>
      </c>
      <c r="K965" s="10" t="n">
        <f aca="false">IF(A965="","",IFERROR(I965+H965*(J965-I965),0))</f>
        <v>957.297645088029</v>
      </c>
      <c r="L965" s="10" t="n">
        <f aca="false">IF(A965="","",IFERROR(K965*Inputs!$B$9,0))</f>
        <v>47864.8822544015</v>
      </c>
      <c r="M965" s="10" t="n">
        <f aca="false">IF(A965="","",IFERROR(K965*Inputs!$B$10,0))</f>
        <v>153164.751321149</v>
      </c>
      <c r="N965" s="10" t="n">
        <f aca="false">IF(A965="","",Z964)</f>
        <v>0</v>
      </c>
      <c r="O965" s="6" t="n">
        <f aca="false">IF(A965="","",Inputs!$B$18+N965)</f>
        <v>50000</v>
      </c>
      <c r="P965" s="5" t="n">
        <f aca="false">IF(A965="","",VLOOKUP(D965,DIvidend_Assumption!$A$3:$CX$103,($E$2+2),0)/12)</f>
        <v>0</v>
      </c>
      <c r="Q965" s="10" t="n">
        <f aca="false">IF(A965="","",IFERROR(AB964*P965,""))</f>
        <v>0</v>
      </c>
      <c r="R965" s="10" t="n">
        <f aca="false">IF(A965="","",IFERROR(IF(Inputs!$B$22="Accumulate",T965+Q965,IF(Inputs!$B$22="Premium Offset",MAX(0,T965+Q965-Inputs!$B$25),T965)),""))</f>
        <v>0</v>
      </c>
      <c r="S965" s="10" t="n">
        <f aca="false">IF(A965="","",R964)</f>
        <v>0</v>
      </c>
      <c r="T965" s="10" t="n">
        <f aca="false">IF(A965="","",IFERROR(S965*(1+Inputs!$B$23/12),""))</f>
        <v>0</v>
      </c>
      <c r="U965" s="6" t="n">
        <f aca="false">IF(A965="","",IF(D965&lt;=Inputs!$B$8,IF(Inputs!$B$22="Premium Offset",MAX(0,Inputs!$B$25-(Q965+T965)),Inputs!$B$25),0))</f>
        <v>0</v>
      </c>
      <c r="V965" s="10" t="n">
        <f aca="false">IF(A965="","",IF(Inputs!$B$22="Cash",Q965,0))</f>
        <v>0</v>
      </c>
      <c r="W965" s="10" t="n">
        <f aca="false">IF(A965="","",IF(Inputs!$B$22="PUA",Q965,0))</f>
        <v>0</v>
      </c>
      <c r="X965" s="12" t="n">
        <f aca="false">IF(A965="","",IFERROR(INDEX(PUA_TABLE!$D$4:$D$105,MATCH(E965,PUA_TABLE!$C$4:$C$105,1)),0))</f>
        <v>0.9551007837466</v>
      </c>
      <c r="Y965" s="10" t="n">
        <f aca="false">IF(A965="","",IF(W965&gt;0,IF(X965&gt;0,W965/X965,0),0))</f>
        <v>0</v>
      </c>
      <c r="Z965" s="10" t="n">
        <f aca="false">IF(A965="","",N965+Y965)</f>
        <v>0</v>
      </c>
      <c r="AA965" s="10" t="n">
        <f aca="false">IF(A965="","",IFERROR(Z965*INDEX(PUA_TABLE!$I$4:$I$105,MATCH(E965,PUA_TABLE!$C$4:$C$105,1))/1000,0))</f>
        <v>0</v>
      </c>
      <c r="AB965" s="10" t="n">
        <f aca="false">IF(A965="","",IFERROR(L965+AA965,0))</f>
        <v>47864.8822544015</v>
      </c>
      <c r="AC965" s="10" t="n">
        <f aca="false">IF(A965="","",IF(Inputs!$B$22="Premium Offset",MIN(Inputs!$B$25,Q965+T965),0))</f>
        <v>0</v>
      </c>
    </row>
    <row r="966" customFormat="false" ht="15" hidden="false" customHeight="false" outlineLevel="0" collapsed="false">
      <c r="A966" s="1" t="n">
        <f aca="false">IF(A965="","",IF(INT((C965+1)/12)+Inputs!$B$7&gt;MAX(MORTALITY!$A:$A),"",Inputs!$B$4))</f>
        <v>34</v>
      </c>
      <c r="B966" s="3" t="n">
        <f aca="false">IF(A966="","",EOMONTH(B965,1))</f>
        <v>51074</v>
      </c>
      <c r="C966" s="1" t="n">
        <f aca="false">IF(A966="","",C965+1)</f>
        <v>964</v>
      </c>
      <c r="D966" s="1" t="n">
        <f aca="false">IF(A966="","",INT(C966/12))</f>
        <v>80</v>
      </c>
      <c r="E966" s="1" t="n">
        <f aca="false">IF(A966="","",D966+Inputs!$B$7)</f>
        <v>96</v>
      </c>
      <c r="F966" s="3" t="n">
        <f aca="false">IF(A966="","",DATE(YEAR(B$2)+D966,MONTH(B$2),DAY(B$2)))</f>
        <v>50926</v>
      </c>
      <c r="G966" s="3" t="n">
        <f aca="false">IF(A966="","",DATE(YEAR(F966)+1,MONTH(F966),DAY(F966)))</f>
        <v>51292</v>
      </c>
      <c r="H966" s="10" t="n">
        <f aca="false">IF(A966="","",IF(G966&gt;F966,(B966-F966)/(G966-F966),0))</f>
        <v>0.404371584699454</v>
      </c>
      <c r="I966" s="10" t="n">
        <f aca="false">IF(A966="","",IFERROR(INDEX(CV_RATES!$I:$I,MATCH(D966,CV_RATES!$C:$C,0)),0))</f>
        <v>955.1007837466</v>
      </c>
      <c r="J966" s="10" t="n">
        <f aca="false">IF(A966="","",IFERROR(IF(E966=MAX(MORTALITY!$A:$A),1000,INDEX(CV_RATES!$J:$J,MATCH(D966,CV_RATES!$C:$C,0))),0))</f>
        <v>961.973016660815</v>
      </c>
      <c r="K966" s="10" t="n">
        <f aca="false">IF(A966="","",IFERROR(I966+H966*(J966-I966),0))</f>
        <v>957.879719460545</v>
      </c>
      <c r="L966" s="10" t="n">
        <f aca="false">IF(A966="","",IFERROR(K966*Inputs!$B$9,0))</f>
        <v>47893.9859730272</v>
      </c>
      <c r="M966" s="10" t="n">
        <f aca="false">IF(A966="","",IFERROR(K966*Inputs!$B$10,0))</f>
        <v>153257.881474529</v>
      </c>
      <c r="N966" s="10" t="n">
        <f aca="false">IF(A966="","",Z965)</f>
        <v>0</v>
      </c>
      <c r="O966" s="6" t="n">
        <f aca="false">IF(A966="","",Inputs!$B$18+N966)</f>
        <v>50000</v>
      </c>
      <c r="P966" s="5" t="n">
        <f aca="false">IF(A966="","",VLOOKUP(D966,DIvidend_Assumption!$A$3:$CX$103,($E$2+2),0)/12)</f>
        <v>0</v>
      </c>
      <c r="Q966" s="10" t="n">
        <f aca="false">IF(A966="","",IFERROR(AB965*P966,""))</f>
        <v>0</v>
      </c>
      <c r="R966" s="10" t="n">
        <f aca="false">IF(A966="","",IFERROR(IF(Inputs!$B$22="Accumulate",T966+Q966,IF(Inputs!$B$22="Premium Offset",MAX(0,T966+Q966-Inputs!$B$25),T966)),""))</f>
        <v>0</v>
      </c>
      <c r="S966" s="10" t="n">
        <f aca="false">IF(A966="","",R965)</f>
        <v>0</v>
      </c>
      <c r="T966" s="10" t="n">
        <f aca="false">IF(A966="","",IFERROR(S966*(1+Inputs!$B$23/12),""))</f>
        <v>0</v>
      </c>
      <c r="U966" s="6" t="n">
        <f aca="false">IF(A966="","",IF(D966&lt;=Inputs!$B$8,IF(Inputs!$B$22="Premium Offset",MAX(0,Inputs!$B$25-(Q966+T966)),Inputs!$B$25),0))</f>
        <v>0</v>
      </c>
      <c r="V966" s="10" t="n">
        <f aca="false">IF(A966="","",IF(Inputs!$B$22="Cash",Q966,0))</f>
        <v>0</v>
      </c>
      <c r="W966" s="10" t="n">
        <f aca="false">IF(A966="","",IF(Inputs!$B$22="PUA",Q966,0))</f>
        <v>0</v>
      </c>
      <c r="X966" s="12" t="n">
        <f aca="false">IF(A966="","",IFERROR(INDEX(PUA_TABLE!$D$4:$D$105,MATCH(E966,PUA_TABLE!$C$4:$C$105,1)),0))</f>
        <v>0.9551007837466</v>
      </c>
      <c r="Y966" s="10" t="n">
        <f aca="false">IF(A966="","",IF(W966&gt;0,IF(X966&gt;0,W966/X966,0),0))</f>
        <v>0</v>
      </c>
      <c r="Z966" s="10" t="n">
        <f aca="false">IF(A966="","",N966+Y966)</f>
        <v>0</v>
      </c>
      <c r="AA966" s="10" t="n">
        <f aca="false">IF(A966="","",IFERROR(Z966*INDEX(PUA_TABLE!$I$4:$I$105,MATCH(E966,PUA_TABLE!$C$4:$C$105,1))/1000,0))</f>
        <v>0</v>
      </c>
      <c r="AB966" s="10" t="n">
        <f aca="false">IF(A966="","",IFERROR(L966+AA966,0))</f>
        <v>47893.9859730272</v>
      </c>
      <c r="AC966" s="10" t="n">
        <f aca="false">IF(A966="","",IF(Inputs!$B$22="Premium Offset",MIN(Inputs!$B$25,Q966+T966),0))</f>
        <v>0</v>
      </c>
    </row>
    <row r="967" customFormat="false" ht="15" hidden="false" customHeight="false" outlineLevel="0" collapsed="false">
      <c r="A967" s="1" t="n">
        <f aca="false">IF(A966="","",IF(INT((C966+1)/12)+Inputs!$B$7&gt;MAX(MORTALITY!$A:$A),"",Inputs!$B$4))</f>
        <v>34</v>
      </c>
      <c r="B967" s="3" t="n">
        <f aca="false">IF(A967="","",EOMONTH(B966,1))</f>
        <v>51104</v>
      </c>
      <c r="C967" s="1" t="n">
        <f aca="false">IF(A967="","",C966+1)</f>
        <v>965</v>
      </c>
      <c r="D967" s="1" t="n">
        <f aca="false">IF(A967="","",INT(C967/12))</f>
        <v>80</v>
      </c>
      <c r="E967" s="1" t="n">
        <f aca="false">IF(A967="","",D967+Inputs!$B$7)</f>
        <v>96</v>
      </c>
      <c r="F967" s="3" t="n">
        <f aca="false">IF(A967="","",DATE(YEAR(B$2)+D967,MONTH(B$2),DAY(B$2)))</f>
        <v>50926</v>
      </c>
      <c r="G967" s="3" t="n">
        <f aca="false">IF(A967="","",DATE(YEAR(F967)+1,MONTH(F967),DAY(F967)))</f>
        <v>51292</v>
      </c>
      <c r="H967" s="10" t="n">
        <f aca="false">IF(A967="","",IF(G967&gt;F967,(B967-F967)/(G967-F967),0))</f>
        <v>0.486338797814208</v>
      </c>
      <c r="I967" s="10" t="n">
        <f aca="false">IF(A967="","",IFERROR(INDEX(CV_RATES!$I:$I,MATCH(D967,CV_RATES!$C:$C,0)),0))</f>
        <v>955.1007837466</v>
      </c>
      <c r="J967" s="10" t="n">
        <f aca="false">IF(A967="","",IFERROR(IF(E967=MAX(MORTALITY!$A:$A),1000,INDEX(CV_RATES!$J:$J,MATCH(D967,CV_RATES!$C:$C,0))),0))</f>
        <v>961.973016660815</v>
      </c>
      <c r="K967" s="10" t="n">
        <f aca="false">IF(A967="","",IFERROR(I967+H967*(J967-I967),0))</f>
        <v>958.443017240398</v>
      </c>
      <c r="L967" s="10" t="n">
        <f aca="false">IF(A967="","",IFERROR(K967*Inputs!$B$9,0))</f>
        <v>47922.1508620199</v>
      </c>
      <c r="M967" s="10" t="n">
        <f aca="false">IF(A967="","",IFERROR(K967*Inputs!$B$10,0))</f>
        <v>153348.007429412</v>
      </c>
      <c r="N967" s="10" t="n">
        <f aca="false">IF(A967="","",Z966)</f>
        <v>0</v>
      </c>
      <c r="O967" s="6" t="n">
        <f aca="false">IF(A967="","",Inputs!$B$18+N967)</f>
        <v>50000</v>
      </c>
      <c r="P967" s="5" t="n">
        <f aca="false">IF(A967="","",VLOOKUP(D967,DIvidend_Assumption!$A$3:$CX$103,($E$2+2),0)/12)</f>
        <v>0</v>
      </c>
      <c r="Q967" s="10" t="n">
        <f aca="false">IF(A967="","",IFERROR(AB966*P967,""))</f>
        <v>0</v>
      </c>
      <c r="R967" s="10" t="n">
        <f aca="false">IF(A967="","",IFERROR(IF(Inputs!$B$22="Accumulate",T967+Q967,IF(Inputs!$B$22="Premium Offset",MAX(0,T967+Q967-Inputs!$B$25),T967)),""))</f>
        <v>0</v>
      </c>
      <c r="S967" s="10" t="n">
        <f aca="false">IF(A967="","",R966)</f>
        <v>0</v>
      </c>
      <c r="T967" s="10" t="n">
        <f aca="false">IF(A967="","",IFERROR(S967*(1+Inputs!$B$23/12),""))</f>
        <v>0</v>
      </c>
      <c r="U967" s="6" t="n">
        <f aca="false">IF(A967="","",IF(D967&lt;=Inputs!$B$8,IF(Inputs!$B$22="Premium Offset",MAX(0,Inputs!$B$25-(Q967+T967)),Inputs!$B$25),0))</f>
        <v>0</v>
      </c>
      <c r="V967" s="10" t="n">
        <f aca="false">IF(A967="","",IF(Inputs!$B$22="Cash",Q967,0))</f>
        <v>0</v>
      </c>
      <c r="W967" s="10" t="n">
        <f aca="false">IF(A967="","",IF(Inputs!$B$22="PUA",Q967,0))</f>
        <v>0</v>
      </c>
      <c r="X967" s="12" t="n">
        <f aca="false">IF(A967="","",IFERROR(INDEX(PUA_TABLE!$D$4:$D$105,MATCH(E967,PUA_TABLE!$C$4:$C$105,1)),0))</f>
        <v>0.9551007837466</v>
      </c>
      <c r="Y967" s="10" t="n">
        <f aca="false">IF(A967="","",IF(W967&gt;0,IF(X967&gt;0,W967/X967,0),0))</f>
        <v>0</v>
      </c>
      <c r="Z967" s="10" t="n">
        <f aca="false">IF(A967="","",N967+Y967)</f>
        <v>0</v>
      </c>
      <c r="AA967" s="10" t="n">
        <f aca="false">IF(A967="","",IFERROR(Z967*INDEX(PUA_TABLE!$I$4:$I$105,MATCH(E967,PUA_TABLE!$C$4:$C$105,1))/1000,0))</f>
        <v>0</v>
      </c>
      <c r="AB967" s="10" t="n">
        <f aca="false">IF(A967="","",IFERROR(L967+AA967,0))</f>
        <v>47922.1508620199</v>
      </c>
      <c r="AC967" s="10" t="n">
        <f aca="false">IF(A967="","",IF(Inputs!$B$22="Premium Offset",MIN(Inputs!$B$25,Q967+T967),0))</f>
        <v>0</v>
      </c>
    </row>
    <row r="968" customFormat="false" ht="15" hidden="false" customHeight="false" outlineLevel="0" collapsed="false">
      <c r="A968" s="1" t="n">
        <f aca="false">IF(A967="","",IF(INT((C967+1)/12)+Inputs!$B$7&gt;MAX(MORTALITY!$A:$A),"",Inputs!$B$4))</f>
        <v>34</v>
      </c>
      <c r="B968" s="3" t="n">
        <f aca="false">IF(A968="","",EOMONTH(B967,1))</f>
        <v>51135</v>
      </c>
      <c r="C968" s="1" t="n">
        <f aca="false">IF(A968="","",C967+1)</f>
        <v>966</v>
      </c>
      <c r="D968" s="1" t="n">
        <f aca="false">IF(A968="","",INT(C968/12))</f>
        <v>80</v>
      </c>
      <c r="E968" s="1" t="n">
        <f aca="false">IF(A968="","",D968+Inputs!$B$7)</f>
        <v>96</v>
      </c>
      <c r="F968" s="3" t="n">
        <f aca="false">IF(A968="","",DATE(YEAR(B$2)+D968,MONTH(B$2),DAY(B$2)))</f>
        <v>50926</v>
      </c>
      <c r="G968" s="3" t="n">
        <f aca="false">IF(A968="","",DATE(YEAR(F968)+1,MONTH(F968),DAY(F968)))</f>
        <v>51292</v>
      </c>
      <c r="H968" s="10" t="n">
        <f aca="false">IF(A968="","",IF(G968&gt;F968,(B968-F968)/(G968-F968),0))</f>
        <v>0.57103825136612</v>
      </c>
      <c r="I968" s="10" t="n">
        <f aca="false">IF(A968="","",IFERROR(INDEX(CV_RATES!$I:$I,MATCH(D968,CV_RATES!$C:$C,0)),0))</f>
        <v>955.1007837466</v>
      </c>
      <c r="J968" s="10" t="n">
        <f aca="false">IF(A968="","",IFERROR(IF(E968=MAX(MORTALITY!$A:$A),1000,INDEX(CV_RATES!$J:$J,MATCH(D968,CV_RATES!$C:$C,0))),0))</f>
        <v>961.973016660815</v>
      </c>
      <c r="K968" s="10" t="n">
        <f aca="false">IF(A968="","",IFERROR(I968+H968*(J968-I968),0))</f>
        <v>959.025091612914</v>
      </c>
      <c r="L968" s="10" t="n">
        <f aca="false">IF(A968="","",IFERROR(K968*Inputs!$B$9,0))</f>
        <v>47951.2545806457</v>
      </c>
      <c r="M968" s="10" t="n">
        <f aca="false">IF(A968="","",IFERROR(K968*Inputs!$B$10,0))</f>
        <v>153441.137582791</v>
      </c>
      <c r="N968" s="10" t="n">
        <f aca="false">IF(A968="","",Z967)</f>
        <v>0</v>
      </c>
      <c r="O968" s="6" t="n">
        <f aca="false">IF(A968="","",Inputs!$B$18+N968)</f>
        <v>50000</v>
      </c>
      <c r="P968" s="5" t="n">
        <f aca="false">IF(A968="","",VLOOKUP(D968,DIvidend_Assumption!$A$3:$CX$103,($E$2+2),0)/12)</f>
        <v>0</v>
      </c>
      <c r="Q968" s="10" t="n">
        <f aca="false">IF(A968="","",IFERROR(AB967*P968,""))</f>
        <v>0</v>
      </c>
      <c r="R968" s="10" t="n">
        <f aca="false">IF(A968="","",IFERROR(IF(Inputs!$B$22="Accumulate",T968+Q968,IF(Inputs!$B$22="Premium Offset",MAX(0,T968+Q968-Inputs!$B$25),T968)),""))</f>
        <v>0</v>
      </c>
      <c r="S968" s="10" t="n">
        <f aca="false">IF(A968="","",R967)</f>
        <v>0</v>
      </c>
      <c r="T968" s="10" t="n">
        <f aca="false">IF(A968="","",IFERROR(S968*(1+Inputs!$B$23/12),""))</f>
        <v>0</v>
      </c>
      <c r="U968" s="6" t="n">
        <f aca="false">IF(A968="","",IF(D968&lt;=Inputs!$B$8,IF(Inputs!$B$22="Premium Offset",MAX(0,Inputs!$B$25-(Q968+T968)),Inputs!$B$25),0))</f>
        <v>0</v>
      </c>
      <c r="V968" s="10" t="n">
        <f aca="false">IF(A968="","",IF(Inputs!$B$22="Cash",Q968,0))</f>
        <v>0</v>
      </c>
      <c r="W968" s="10" t="n">
        <f aca="false">IF(A968="","",IF(Inputs!$B$22="PUA",Q968,0))</f>
        <v>0</v>
      </c>
      <c r="X968" s="12" t="n">
        <f aca="false">IF(A968="","",IFERROR(INDEX(PUA_TABLE!$D$4:$D$105,MATCH(E968,PUA_TABLE!$C$4:$C$105,1)),0))</f>
        <v>0.9551007837466</v>
      </c>
      <c r="Y968" s="10" t="n">
        <f aca="false">IF(A968="","",IF(W968&gt;0,IF(X968&gt;0,W968/X968,0),0))</f>
        <v>0</v>
      </c>
      <c r="Z968" s="10" t="n">
        <f aca="false">IF(A968="","",N968+Y968)</f>
        <v>0</v>
      </c>
      <c r="AA968" s="10" t="n">
        <f aca="false">IF(A968="","",IFERROR(Z968*INDEX(PUA_TABLE!$I$4:$I$105,MATCH(E968,PUA_TABLE!$C$4:$C$105,1))/1000,0))</f>
        <v>0</v>
      </c>
      <c r="AB968" s="10" t="n">
        <f aca="false">IF(A968="","",IFERROR(L968+AA968,0))</f>
        <v>47951.2545806457</v>
      </c>
      <c r="AC968" s="10" t="n">
        <f aca="false">IF(A968="","",IF(Inputs!$B$22="Premium Offset",MIN(Inputs!$B$25,Q968+T968),0))</f>
        <v>0</v>
      </c>
    </row>
    <row r="969" customFormat="false" ht="15" hidden="false" customHeight="false" outlineLevel="0" collapsed="false">
      <c r="A969" s="1" t="n">
        <f aca="false">IF(A968="","",IF(INT((C968+1)/12)+Inputs!$B$7&gt;MAX(MORTALITY!$A:$A),"",Inputs!$B$4))</f>
        <v>34</v>
      </c>
      <c r="B969" s="3" t="n">
        <f aca="false">IF(A969="","",EOMONTH(B968,1))</f>
        <v>51166</v>
      </c>
      <c r="C969" s="1" t="n">
        <f aca="false">IF(A969="","",C968+1)</f>
        <v>967</v>
      </c>
      <c r="D969" s="1" t="n">
        <f aca="false">IF(A969="","",INT(C969/12))</f>
        <v>80</v>
      </c>
      <c r="E969" s="1" t="n">
        <f aca="false">IF(A969="","",D969+Inputs!$B$7)</f>
        <v>96</v>
      </c>
      <c r="F969" s="3" t="n">
        <f aca="false">IF(A969="","",DATE(YEAR(B$2)+D969,MONTH(B$2),DAY(B$2)))</f>
        <v>50926</v>
      </c>
      <c r="G969" s="3" t="n">
        <f aca="false">IF(A969="","",DATE(YEAR(F969)+1,MONTH(F969),DAY(F969)))</f>
        <v>51292</v>
      </c>
      <c r="H969" s="10" t="n">
        <f aca="false">IF(A969="","",IF(G969&gt;F969,(B969-F969)/(G969-F969),0))</f>
        <v>0.655737704918033</v>
      </c>
      <c r="I969" s="10" t="n">
        <f aca="false">IF(A969="","",IFERROR(INDEX(CV_RATES!$I:$I,MATCH(D969,CV_RATES!$C:$C,0)),0))</f>
        <v>955.1007837466</v>
      </c>
      <c r="J969" s="10" t="n">
        <f aca="false">IF(A969="","",IFERROR(IF(E969=MAX(MORTALITY!$A:$A),1000,INDEX(CV_RATES!$J:$J,MATCH(D969,CV_RATES!$C:$C,0))),0))</f>
        <v>961.973016660815</v>
      </c>
      <c r="K969" s="10" t="n">
        <f aca="false">IF(A969="","",IFERROR(I969+H969*(J969-I969),0))</f>
        <v>959.607165985429</v>
      </c>
      <c r="L969" s="10" t="n">
        <f aca="false">IF(A969="","",IFERROR(K969*Inputs!$B$9,0))</f>
        <v>47980.3582992715</v>
      </c>
      <c r="M969" s="10" t="n">
        <f aca="false">IF(A969="","",IFERROR(K969*Inputs!$B$10,0))</f>
        <v>153534.267736171</v>
      </c>
      <c r="N969" s="10" t="n">
        <f aca="false">IF(A969="","",Z968)</f>
        <v>0</v>
      </c>
      <c r="O969" s="6" t="n">
        <f aca="false">IF(A969="","",Inputs!$B$18+N969)</f>
        <v>50000</v>
      </c>
      <c r="P969" s="5" t="n">
        <f aca="false">IF(A969="","",VLOOKUP(D969,DIvidend_Assumption!$A$3:$CX$103,($E$2+2),0)/12)</f>
        <v>0</v>
      </c>
      <c r="Q969" s="10" t="n">
        <f aca="false">IF(A969="","",IFERROR(AB968*P969,""))</f>
        <v>0</v>
      </c>
      <c r="R969" s="10" t="n">
        <f aca="false">IF(A969="","",IFERROR(IF(Inputs!$B$22="Accumulate",T969+Q969,IF(Inputs!$B$22="Premium Offset",MAX(0,T969+Q969-Inputs!$B$25),T969)),""))</f>
        <v>0</v>
      </c>
      <c r="S969" s="10" t="n">
        <f aca="false">IF(A969="","",R968)</f>
        <v>0</v>
      </c>
      <c r="T969" s="10" t="n">
        <f aca="false">IF(A969="","",IFERROR(S969*(1+Inputs!$B$23/12),""))</f>
        <v>0</v>
      </c>
      <c r="U969" s="6" t="n">
        <f aca="false">IF(A969="","",IF(D969&lt;=Inputs!$B$8,IF(Inputs!$B$22="Premium Offset",MAX(0,Inputs!$B$25-(Q969+T969)),Inputs!$B$25),0))</f>
        <v>0</v>
      </c>
      <c r="V969" s="10" t="n">
        <f aca="false">IF(A969="","",IF(Inputs!$B$22="Cash",Q969,0))</f>
        <v>0</v>
      </c>
      <c r="W969" s="10" t="n">
        <f aca="false">IF(A969="","",IF(Inputs!$B$22="PUA",Q969,0))</f>
        <v>0</v>
      </c>
      <c r="X969" s="12" t="n">
        <f aca="false">IF(A969="","",IFERROR(INDEX(PUA_TABLE!$D$4:$D$105,MATCH(E969,PUA_TABLE!$C$4:$C$105,1)),0))</f>
        <v>0.9551007837466</v>
      </c>
      <c r="Y969" s="10" t="n">
        <f aca="false">IF(A969="","",IF(W969&gt;0,IF(X969&gt;0,W969/X969,0),0))</f>
        <v>0</v>
      </c>
      <c r="Z969" s="10" t="n">
        <f aca="false">IF(A969="","",N969+Y969)</f>
        <v>0</v>
      </c>
      <c r="AA969" s="10" t="n">
        <f aca="false">IF(A969="","",IFERROR(Z969*INDEX(PUA_TABLE!$I$4:$I$105,MATCH(E969,PUA_TABLE!$C$4:$C$105,1))/1000,0))</f>
        <v>0</v>
      </c>
      <c r="AB969" s="10" t="n">
        <f aca="false">IF(A969="","",IFERROR(L969+AA969,0))</f>
        <v>47980.3582992715</v>
      </c>
      <c r="AC969" s="10" t="n">
        <f aca="false">IF(A969="","",IF(Inputs!$B$22="Premium Offset",MIN(Inputs!$B$25,Q969+T969),0))</f>
        <v>0</v>
      </c>
    </row>
    <row r="970" customFormat="false" ht="15" hidden="false" customHeight="false" outlineLevel="0" collapsed="false">
      <c r="A970" s="1" t="n">
        <f aca="false">IF(A969="","",IF(INT((C969+1)/12)+Inputs!$B$7&gt;MAX(MORTALITY!$A:$A),"",Inputs!$B$4))</f>
        <v>34</v>
      </c>
      <c r="B970" s="3" t="n">
        <f aca="false">IF(A970="","",EOMONTH(B969,1))</f>
        <v>51195</v>
      </c>
      <c r="C970" s="1" t="n">
        <f aca="false">IF(A970="","",C969+1)</f>
        <v>968</v>
      </c>
      <c r="D970" s="1" t="n">
        <f aca="false">IF(A970="","",INT(C970/12))</f>
        <v>80</v>
      </c>
      <c r="E970" s="1" t="n">
        <f aca="false">IF(A970="","",D970+Inputs!$B$7)</f>
        <v>96</v>
      </c>
      <c r="F970" s="3" t="n">
        <f aca="false">IF(A970="","",DATE(YEAR(B$2)+D970,MONTH(B$2),DAY(B$2)))</f>
        <v>50926</v>
      </c>
      <c r="G970" s="3" t="n">
        <f aca="false">IF(A970="","",DATE(YEAR(F970)+1,MONTH(F970),DAY(F970)))</f>
        <v>51292</v>
      </c>
      <c r="H970" s="10" t="n">
        <f aca="false">IF(A970="","",IF(G970&gt;F970,(B970-F970)/(G970-F970),0))</f>
        <v>0.734972677595629</v>
      </c>
      <c r="I970" s="10" t="n">
        <f aca="false">IF(A970="","",IFERROR(INDEX(CV_RATES!$I:$I,MATCH(D970,CV_RATES!$C:$C,0)),0))</f>
        <v>955.1007837466</v>
      </c>
      <c r="J970" s="10" t="n">
        <f aca="false">IF(A970="","",IFERROR(IF(E970=MAX(MORTALITY!$A:$A),1000,INDEX(CV_RATES!$J:$J,MATCH(D970,CV_RATES!$C:$C,0))),0))</f>
        <v>961.973016660815</v>
      </c>
      <c r="K970" s="10" t="n">
        <f aca="false">IF(A970="","",IFERROR(I970+H970*(J970-I970),0))</f>
        <v>960.151687172621</v>
      </c>
      <c r="L970" s="10" t="n">
        <f aca="false">IF(A970="","",IFERROR(K970*Inputs!$B$9,0))</f>
        <v>48007.5843586311</v>
      </c>
      <c r="M970" s="10" t="n">
        <f aca="false">IF(A970="","",IFERROR(K970*Inputs!$B$10,0))</f>
        <v>153621.389492558</v>
      </c>
      <c r="N970" s="10" t="n">
        <f aca="false">IF(A970="","",Z969)</f>
        <v>0</v>
      </c>
      <c r="O970" s="6" t="n">
        <f aca="false">IF(A970="","",Inputs!$B$18+N970)</f>
        <v>50000</v>
      </c>
      <c r="P970" s="5" t="n">
        <f aca="false">IF(A970="","",VLOOKUP(D970,DIvidend_Assumption!$A$3:$CX$103,($E$2+2),0)/12)</f>
        <v>0</v>
      </c>
      <c r="Q970" s="10" t="n">
        <f aca="false">IF(A970="","",IFERROR(AB969*P970,""))</f>
        <v>0</v>
      </c>
      <c r="R970" s="10" t="n">
        <f aca="false">IF(A970="","",IFERROR(IF(Inputs!$B$22="Accumulate",T970+Q970,IF(Inputs!$B$22="Premium Offset",MAX(0,T970+Q970-Inputs!$B$25),T970)),""))</f>
        <v>0</v>
      </c>
      <c r="S970" s="10" t="n">
        <f aca="false">IF(A970="","",R969)</f>
        <v>0</v>
      </c>
      <c r="T970" s="10" t="n">
        <f aca="false">IF(A970="","",IFERROR(S970*(1+Inputs!$B$23/12),""))</f>
        <v>0</v>
      </c>
      <c r="U970" s="6" t="n">
        <f aca="false">IF(A970="","",IF(D970&lt;=Inputs!$B$8,IF(Inputs!$B$22="Premium Offset",MAX(0,Inputs!$B$25-(Q970+T970)),Inputs!$B$25),0))</f>
        <v>0</v>
      </c>
      <c r="V970" s="10" t="n">
        <f aca="false">IF(A970="","",IF(Inputs!$B$22="Cash",Q970,0))</f>
        <v>0</v>
      </c>
      <c r="W970" s="10" t="n">
        <f aca="false">IF(A970="","",IF(Inputs!$B$22="PUA",Q970,0))</f>
        <v>0</v>
      </c>
      <c r="X970" s="12" t="n">
        <f aca="false">IF(A970="","",IFERROR(INDEX(PUA_TABLE!$D$4:$D$105,MATCH(E970,PUA_TABLE!$C$4:$C$105,1)),0))</f>
        <v>0.9551007837466</v>
      </c>
      <c r="Y970" s="10" t="n">
        <f aca="false">IF(A970="","",IF(W970&gt;0,IF(X970&gt;0,W970/X970,0),0))</f>
        <v>0</v>
      </c>
      <c r="Z970" s="10" t="n">
        <f aca="false">IF(A970="","",N970+Y970)</f>
        <v>0</v>
      </c>
      <c r="AA970" s="10" t="n">
        <f aca="false">IF(A970="","",IFERROR(Z970*INDEX(PUA_TABLE!$I$4:$I$105,MATCH(E970,PUA_TABLE!$C$4:$C$105,1))/1000,0))</f>
        <v>0</v>
      </c>
      <c r="AB970" s="10" t="n">
        <f aca="false">IF(A970="","",IFERROR(L970+AA970,0))</f>
        <v>48007.5843586311</v>
      </c>
      <c r="AC970" s="10" t="n">
        <f aca="false">IF(A970="","",IF(Inputs!$B$22="Premium Offset",MIN(Inputs!$B$25,Q970+T970),0))</f>
        <v>0</v>
      </c>
    </row>
    <row r="971" customFormat="false" ht="15" hidden="false" customHeight="false" outlineLevel="0" collapsed="false">
      <c r="A971" s="1" t="n">
        <f aca="false">IF(A970="","",IF(INT((C970+1)/12)+Inputs!$B$7&gt;MAX(MORTALITY!$A:$A),"",Inputs!$B$4))</f>
        <v>34</v>
      </c>
      <c r="B971" s="3" t="n">
        <f aca="false">IF(A971="","",EOMONTH(B970,1))</f>
        <v>51226</v>
      </c>
      <c r="C971" s="1" t="n">
        <f aca="false">IF(A971="","",C970+1)</f>
        <v>969</v>
      </c>
      <c r="D971" s="1" t="n">
        <f aca="false">IF(A971="","",INT(C971/12))</f>
        <v>80</v>
      </c>
      <c r="E971" s="1" t="n">
        <f aca="false">IF(A971="","",D971+Inputs!$B$7)</f>
        <v>96</v>
      </c>
      <c r="F971" s="3" t="n">
        <f aca="false">IF(A971="","",DATE(YEAR(B$2)+D971,MONTH(B$2),DAY(B$2)))</f>
        <v>50926</v>
      </c>
      <c r="G971" s="3" t="n">
        <f aca="false">IF(A971="","",DATE(YEAR(F971)+1,MONTH(F971),DAY(F971)))</f>
        <v>51292</v>
      </c>
      <c r="H971" s="10" t="n">
        <f aca="false">IF(A971="","",IF(G971&gt;F971,(B971-F971)/(G971-F971),0))</f>
        <v>0.819672131147541</v>
      </c>
      <c r="I971" s="10" t="n">
        <f aca="false">IF(A971="","",IFERROR(INDEX(CV_RATES!$I:$I,MATCH(D971,CV_RATES!$C:$C,0)),0))</f>
        <v>955.1007837466</v>
      </c>
      <c r="J971" s="10" t="n">
        <f aca="false">IF(A971="","",IFERROR(IF(E971=MAX(MORTALITY!$A:$A),1000,INDEX(CV_RATES!$J:$J,MATCH(D971,CV_RATES!$C:$C,0))),0))</f>
        <v>961.973016660815</v>
      </c>
      <c r="K971" s="10" t="n">
        <f aca="false">IF(A971="","",IFERROR(I971+H971*(J971-I971),0))</f>
        <v>960.733761545137</v>
      </c>
      <c r="L971" s="10" t="n">
        <f aca="false">IF(A971="","",IFERROR(K971*Inputs!$B$9,0))</f>
        <v>48036.6880772568</v>
      </c>
      <c r="M971" s="10" t="n">
        <f aca="false">IF(A971="","",IFERROR(K971*Inputs!$B$10,0))</f>
        <v>153714.519645937</v>
      </c>
      <c r="N971" s="10" t="n">
        <f aca="false">IF(A971="","",Z970)</f>
        <v>0</v>
      </c>
      <c r="O971" s="6" t="n">
        <f aca="false">IF(A971="","",Inputs!$B$18+N971)</f>
        <v>50000</v>
      </c>
      <c r="P971" s="5" t="n">
        <f aca="false">IF(A971="","",VLOOKUP(D971,DIvidend_Assumption!$A$3:$CX$103,($E$2+2),0)/12)</f>
        <v>0</v>
      </c>
      <c r="Q971" s="10" t="n">
        <f aca="false">IF(A971="","",IFERROR(AB970*P971,""))</f>
        <v>0</v>
      </c>
      <c r="R971" s="10" t="n">
        <f aca="false">IF(A971="","",IFERROR(IF(Inputs!$B$22="Accumulate",T971+Q971,IF(Inputs!$B$22="Premium Offset",MAX(0,T971+Q971-Inputs!$B$25),T971)),""))</f>
        <v>0</v>
      </c>
      <c r="S971" s="10" t="n">
        <f aca="false">IF(A971="","",R970)</f>
        <v>0</v>
      </c>
      <c r="T971" s="10" t="n">
        <f aca="false">IF(A971="","",IFERROR(S971*(1+Inputs!$B$23/12),""))</f>
        <v>0</v>
      </c>
      <c r="U971" s="6" t="n">
        <f aca="false">IF(A971="","",IF(D971&lt;=Inputs!$B$8,IF(Inputs!$B$22="Premium Offset",MAX(0,Inputs!$B$25-(Q971+T971)),Inputs!$B$25),0))</f>
        <v>0</v>
      </c>
      <c r="V971" s="10" t="n">
        <f aca="false">IF(A971="","",IF(Inputs!$B$22="Cash",Q971,0))</f>
        <v>0</v>
      </c>
      <c r="W971" s="10" t="n">
        <f aca="false">IF(A971="","",IF(Inputs!$B$22="PUA",Q971,0))</f>
        <v>0</v>
      </c>
      <c r="X971" s="12" t="n">
        <f aca="false">IF(A971="","",IFERROR(INDEX(PUA_TABLE!$D$4:$D$105,MATCH(E971,PUA_TABLE!$C$4:$C$105,1)),0))</f>
        <v>0.9551007837466</v>
      </c>
      <c r="Y971" s="10" t="n">
        <f aca="false">IF(A971="","",IF(W971&gt;0,IF(X971&gt;0,W971/X971,0),0))</f>
        <v>0</v>
      </c>
      <c r="Z971" s="10" t="n">
        <f aca="false">IF(A971="","",N971+Y971)</f>
        <v>0</v>
      </c>
      <c r="AA971" s="10" t="n">
        <f aca="false">IF(A971="","",IFERROR(Z971*INDEX(PUA_TABLE!$I$4:$I$105,MATCH(E971,PUA_TABLE!$C$4:$C$105,1))/1000,0))</f>
        <v>0</v>
      </c>
      <c r="AB971" s="10" t="n">
        <f aca="false">IF(A971="","",IFERROR(L971+AA971,0))</f>
        <v>48036.6880772568</v>
      </c>
      <c r="AC971" s="10" t="n">
        <f aca="false">IF(A971="","",IF(Inputs!$B$22="Premium Offset",MIN(Inputs!$B$25,Q971+T971),0))</f>
        <v>0</v>
      </c>
    </row>
    <row r="972" customFormat="false" ht="15" hidden="false" customHeight="false" outlineLevel="0" collapsed="false">
      <c r="A972" s="1" t="n">
        <f aca="false">IF(A971="","",IF(INT((C971+1)/12)+Inputs!$B$7&gt;MAX(MORTALITY!$A:$A),"",Inputs!$B$4))</f>
        <v>34</v>
      </c>
      <c r="B972" s="3" t="n">
        <f aca="false">IF(A972="","",EOMONTH(B971,1))</f>
        <v>51256</v>
      </c>
      <c r="C972" s="1" t="n">
        <f aca="false">IF(A972="","",C971+1)</f>
        <v>970</v>
      </c>
      <c r="D972" s="1" t="n">
        <f aca="false">IF(A972="","",INT(C972/12))</f>
        <v>80</v>
      </c>
      <c r="E972" s="1" t="n">
        <f aca="false">IF(A972="","",D972+Inputs!$B$7)</f>
        <v>96</v>
      </c>
      <c r="F972" s="3" t="n">
        <f aca="false">IF(A972="","",DATE(YEAR(B$2)+D972,MONTH(B$2),DAY(B$2)))</f>
        <v>50926</v>
      </c>
      <c r="G972" s="3" t="n">
        <f aca="false">IF(A972="","",DATE(YEAR(F972)+1,MONTH(F972),DAY(F972)))</f>
        <v>51292</v>
      </c>
      <c r="H972" s="10" t="n">
        <f aca="false">IF(A972="","",IF(G972&gt;F972,(B972-F972)/(G972-F972),0))</f>
        <v>0.901639344262295</v>
      </c>
      <c r="I972" s="10" t="n">
        <f aca="false">IF(A972="","",IFERROR(INDEX(CV_RATES!$I:$I,MATCH(D972,CV_RATES!$C:$C,0)),0))</f>
        <v>955.1007837466</v>
      </c>
      <c r="J972" s="10" t="n">
        <f aca="false">IF(A972="","",IFERROR(IF(E972=MAX(MORTALITY!$A:$A),1000,INDEX(CV_RATES!$J:$J,MATCH(D972,CV_RATES!$C:$C,0))),0))</f>
        <v>961.973016660815</v>
      </c>
      <c r="K972" s="10" t="n">
        <f aca="false">IF(A972="","",IFERROR(I972+H972*(J972-I972),0))</f>
        <v>961.29705932499</v>
      </c>
      <c r="L972" s="10" t="n">
        <f aca="false">IF(A972="","",IFERROR(K972*Inputs!$B$9,0))</f>
        <v>48064.8529662495</v>
      </c>
      <c r="M972" s="10" t="n">
        <f aca="false">IF(A972="","",IFERROR(K972*Inputs!$B$10,0))</f>
        <v>153804.64560082</v>
      </c>
      <c r="N972" s="10" t="n">
        <f aca="false">IF(A972="","",Z971)</f>
        <v>0</v>
      </c>
      <c r="O972" s="6" t="n">
        <f aca="false">IF(A972="","",Inputs!$B$18+N972)</f>
        <v>50000</v>
      </c>
      <c r="P972" s="5" t="n">
        <f aca="false">IF(A972="","",VLOOKUP(D972,DIvidend_Assumption!$A$3:$CX$103,($E$2+2),0)/12)</f>
        <v>0</v>
      </c>
      <c r="Q972" s="10" t="n">
        <f aca="false">IF(A972="","",IFERROR(AB971*P972,""))</f>
        <v>0</v>
      </c>
      <c r="R972" s="10" t="n">
        <f aca="false">IF(A972="","",IFERROR(IF(Inputs!$B$22="Accumulate",T972+Q972,IF(Inputs!$B$22="Premium Offset",MAX(0,T972+Q972-Inputs!$B$25),T972)),""))</f>
        <v>0</v>
      </c>
      <c r="S972" s="10" t="n">
        <f aca="false">IF(A972="","",R971)</f>
        <v>0</v>
      </c>
      <c r="T972" s="10" t="n">
        <f aca="false">IF(A972="","",IFERROR(S972*(1+Inputs!$B$23/12),""))</f>
        <v>0</v>
      </c>
      <c r="U972" s="6" t="n">
        <f aca="false">IF(A972="","",IF(D972&lt;=Inputs!$B$8,IF(Inputs!$B$22="Premium Offset",MAX(0,Inputs!$B$25-(Q972+T972)),Inputs!$B$25),0))</f>
        <v>0</v>
      </c>
      <c r="V972" s="10" t="n">
        <f aca="false">IF(A972="","",IF(Inputs!$B$22="Cash",Q972,0))</f>
        <v>0</v>
      </c>
      <c r="W972" s="10" t="n">
        <f aca="false">IF(A972="","",IF(Inputs!$B$22="PUA",Q972,0))</f>
        <v>0</v>
      </c>
      <c r="X972" s="12" t="n">
        <f aca="false">IF(A972="","",IFERROR(INDEX(PUA_TABLE!$D$4:$D$105,MATCH(E972,PUA_TABLE!$C$4:$C$105,1)),0))</f>
        <v>0.9551007837466</v>
      </c>
      <c r="Y972" s="10" t="n">
        <f aca="false">IF(A972="","",IF(W972&gt;0,IF(X972&gt;0,W972/X972,0),0))</f>
        <v>0</v>
      </c>
      <c r="Z972" s="10" t="n">
        <f aca="false">IF(A972="","",N972+Y972)</f>
        <v>0</v>
      </c>
      <c r="AA972" s="10" t="n">
        <f aca="false">IF(A972="","",IFERROR(Z972*INDEX(PUA_TABLE!$I$4:$I$105,MATCH(E972,PUA_TABLE!$C$4:$C$105,1))/1000,0))</f>
        <v>0</v>
      </c>
      <c r="AB972" s="10" t="n">
        <f aca="false">IF(A972="","",IFERROR(L972+AA972,0))</f>
        <v>48064.8529662495</v>
      </c>
      <c r="AC972" s="10" t="n">
        <f aca="false">IF(A972="","",IF(Inputs!$B$22="Premium Offset",MIN(Inputs!$B$25,Q972+T972),0))</f>
        <v>0</v>
      </c>
    </row>
    <row r="973" customFormat="false" ht="15" hidden="false" customHeight="false" outlineLevel="0" collapsed="false">
      <c r="A973" s="1" t="n">
        <f aca="false">IF(A972="","",IF(INT((C972+1)/12)+Inputs!$B$7&gt;MAX(MORTALITY!$A:$A),"",Inputs!$B$4))</f>
        <v>34</v>
      </c>
      <c r="B973" s="3" t="n">
        <f aca="false">IF(A973="","",EOMONTH(B972,1))</f>
        <v>51287</v>
      </c>
      <c r="C973" s="1" t="n">
        <f aca="false">IF(A973="","",C972+1)</f>
        <v>971</v>
      </c>
      <c r="D973" s="1" t="n">
        <f aca="false">IF(A973="","",INT(C973/12))</f>
        <v>80</v>
      </c>
      <c r="E973" s="1" t="n">
        <f aca="false">IF(A973="","",D973+Inputs!$B$7)</f>
        <v>96</v>
      </c>
      <c r="F973" s="3" t="n">
        <f aca="false">IF(A973="","",DATE(YEAR(B$2)+D973,MONTH(B$2),DAY(B$2)))</f>
        <v>50926</v>
      </c>
      <c r="G973" s="3" t="n">
        <f aca="false">IF(A973="","",DATE(YEAR(F973)+1,MONTH(F973),DAY(F973)))</f>
        <v>51292</v>
      </c>
      <c r="H973" s="10" t="n">
        <f aca="false">IF(A973="","",IF(G973&gt;F973,(B973-F973)/(G973-F973),0))</f>
        <v>0.986338797814208</v>
      </c>
      <c r="I973" s="10" t="n">
        <f aca="false">IF(A973="","",IFERROR(INDEX(CV_RATES!$I:$I,MATCH(D973,CV_RATES!$C:$C,0)),0))</f>
        <v>955.1007837466</v>
      </c>
      <c r="J973" s="10" t="n">
        <f aca="false">IF(A973="","",IFERROR(IF(E973=MAX(MORTALITY!$A:$A),1000,INDEX(CV_RATES!$J:$J,MATCH(D973,CV_RATES!$C:$C,0))),0))</f>
        <v>961.973016660815</v>
      </c>
      <c r="K973" s="10" t="n">
        <f aca="false">IF(A973="","",IFERROR(I973+H973*(J973-I973),0))</f>
        <v>961.879133697506</v>
      </c>
      <c r="L973" s="10" t="n">
        <f aca="false">IF(A973="","",IFERROR(K973*Inputs!$B$9,0))</f>
        <v>48093.9566848753</v>
      </c>
      <c r="M973" s="10" t="n">
        <f aca="false">IF(A973="","",IFERROR(K973*Inputs!$B$10,0))</f>
        <v>153897.7757542</v>
      </c>
      <c r="N973" s="10" t="n">
        <f aca="false">IF(A973="","",Z972)</f>
        <v>0</v>
      </c>
      <c r="O973" s="6" t="n">
        <f aca="false">IF(A973="","",Inputs!$B$18+N973)</f>
        <v>50000</v>
      </c>
      <c r="P973" s="5" t="n">
        <f aca="false">IF(A973="","",VLOOKUP(D973,DIvidend_Assumption!$A$3:$CX$103,($E$2+2),0)/12)</f>
        <v>0</v>
      </c>
      <c r="Q973" s="10" t="n">
        <f aca="false">IF(A973="","",IFERROR(AB972*P973,""))</f>
        <v>0</v>
      </c>
      <c r="R973" s="10" t="n">
        <f aca="false">IF(A973="","",IFERROR(IF(Inputs!$B$22="Accumulate",T973+Q973,IF(Inputs!$B$22="Premium Offset",MAX(0,T973+Q973-Inputs!$B$25),T973)),""))</f>
        <v>0</v>
      </c>
      <c r="S973" s="10" t="n">
        <f aca="false">IF(A973="","",R972)</f>
        <v>0</v>
      </c>
      <c r="T973" s="10" t="n">
        <f aca="false">IF(A973="","",IFERROR(S973*(1+Inputs!$B$23/12),""))</f>
        <v>0</v>
      </c>
      <c r="U973" s="6" t="n">
        <f aca="false">IF(A973="","",IF(D973&lt;=Inputs!$B$8,IF(Inputs!$B$22="Premium Offset",MAX(0,Inputs!$B$25-(Q973+T973)),Inputs!$B$25),0))</f>
        <v>0</v>
      </c>
      <c r="V973" s="10" t="n">
        <f aca="false">IF(A973="","",IF(Inputs!$B$22="Cash",Q973,0))</f>
        <v>0</v>
      </c>
      <c r="W973" s="10" t="n">
        <f aca="false">IF(A973="","",IF(Inputs!$B$22="PUA",Q973,0))</f>
        <v>0</v>
      </c>
      <c r="X973" s="12" t="n">
        <f aca="false">IF(A973="","",IFERROR(INDEX(PUA_TABLE!$D$4:$D$105,MATCH(E973,PUA_TABLE!$C$4:$C$105,1)),0))</f>
        <v>0.9551007837466</v>
      </c>
      <c r="Y973" s="10" t="n">
        <f aca="false">IF(A973="","",IF(W973&gt;0,IF(X973&gt;0,W973/X973,0),0))</f>
        <v>0</v>
      </c>
      <c r="Z973" s="10" t="n">
        <f aca="false">IF(A973="","",N973+Y973)</f>
        <v>0</v>
      </c>
      <c r="AA973" s="10" t="n">
        <f aca="false">IF(A973="","",IFERROR(Z973*INDEX(PUA_TABLE!$I$4:$I$105,MATCH(E973,PUA_TABLE!$C$4:$C$105,1))/1000,0))</f>
        <v>0</v>
      </c>
      <c r="AB973" s="10" t="n">
        <f aca="false">IF(A973="","",IFERROR(L973+AA973,0))</f>
        <v>48093.9566848753</v>
      </c>
      <c r="AC973" s="10" t="n">
        <f aca="false">IF(A973="","",IF(Inputs!$B$22="Premium Offset",MIN(Inputs!$B$25,Q973+T973),0))</f>
        <v>0</v>
      </c>
    </row>
    <row r="974" customFormat="false" ht="15" hidden="false" customHeight="false" outlineLevel="0" collapsed="false">
      <c r="A974" s="1" t="n">
        <f aca="false">IF(A973="","",IF(INT((C973+1)/12)+Inputs!$B$7&gt;MAX(MORTALITY!$A:$A),"",Inputs!$B$4))</f>
        <v>34</v>
      </c>
      <c r="B974" s="3" t="n">
        <f aca="false">IF(A974="","",EOMONTH(B973,1))</f>
        <v>51317</v>
      </c>
      <c r="C974" s="1" t="n">
        <f aca="false">IF(A974="","",C973+1)</f>
        <v>972</v>
      </c>
      <c r="D974" s="1" t="n">
        <f aca="false">IF(A974="","",INT(C974/12))</f>
        <v>81</v>
      </c>
      <c r="E974" s="1" t="n">
        <f aca="false">IF(A974="","",D974+Inputs!$B$7)</f>
        <v>97</v>
      </c>
      <c r="F974" s="3" t="n">
        <f aca="false">IF(A974="","",DATE(YEAR(B$2)+D974,MONTH(B$2),DAY(B$2)))</f>
        <v>51292</v>
      </c>
      <c r="G974" s="3" t="n">
        <f aca="false">IF(A974="","",DATE(YEAR(F974)+1,MONTH(F974),DAY(F974)))</f>
        <v>51657</v>
      </c>
      <c r="H974" s="10" t="n">
        <f aca="false">IF(A974="","",IF(G974&gt;F974,(B974-F974)/(G974-F974),0))</f>
        <v>0.0684931506849315</v>
      </c>
      <c r="I974" s="10" t="n">
        <f aca="false">IF(A974="","",IFERROR(INDEX(CV_RATES!$I:$I,MATCH(D974,CV_RATES!$C:$C,0)),0))</f>
        <v>961.973016660815</v>
      </c>
      <c r="J974" s="10" t="n">
        <f aca="false">IF(A974="","",IFERROR(IF(E974=MAX(MORTALITY!$A:$A),1000,INDEX(CV_RATES!$J:$J,MATCH(D974,CV_RATES!$C:$C,0))),0))</f>
        <v>969.058179654968</v>
      </c>
      <c r="K974" s="10" t="n">
        <f aca="false">IF(A974="","",IFERROR(I974+H974*(J974-I974),0))</f>
        <v>962.458301797401</v>
      </c>
      <c r="L974" s="10" t="n">
        <f aca="false">IF(A974="","",IFERROR(K974*Inputs!$B$9,0))</f>
        <v>48122.91508987</v>
      </c>
      <c r="M974" s="10" t="n">
        <f aca="false">IF(A974="","",IFERROR(K974*Inputs!$B$10,0))</f>
        <v>153990.440912679</v>
      </c>
      <c r="N974" s="10" t="n">
        <f aca="false">IF(A974="","",Z973)</f>
        <v>0</v>
      </c>
      <c r="O974" s="6" t="n">
        <f aca="false">IF(A974="","",Inputs!$B$18+N974)</f>
        <v>50000</v>
      </c>
      <c r="P974" s="5" t="n">
        <f aca="false">IF(A974="","",VLOOKUP(D974,DIvidend_Assumption!$A$3:$CX$103,($E$2+2),0)/12)</f>
        <v>0</v>
      </c>
      <c r="Q974" s="10" t="n">
        <f aca="false">IF(A974="","",IFERROR(AB973*P974,""))</f>
        <v>0</v>
      </c>
      <c r="R974" s="10" t="n">
        <f aca="false">IF(A974="","",IFERROR(IF(Inputs!$B$22="Accumulate",T974+Q974,IF(Inputs!$B$22="Premium Offset",MAX(0,T974+Q974-Inputs!$B$25),T974)),""))</f>
        <v>0</v>
      </c>
      <c r="S974" s="10" t="n">
        <f aca="false">IF(A974="","",R973)</f>
        <v>0</v>
      </c>
      <c r="T974" s="10" t="n">
        <f aca="false">IF(A974="","",IFERROR(S974*(1+Inputs!$B$23/12),""))</f>
        <v>0</v>
      </c>
      <c r="U974" s="6" t="n">
        <f aca="false">IF(A974="","",IF(D974&lt;=Inputs!$B$8,IF(Inputs!$B$22="Premium Offset",MAX(0,Inputs!$B$25-(Q974+T974)),Inputs!$B$25),0))</f>
        <v>0</v>
      </c>
      <c r="V974" s="10" t="n">
        <f aca="false">IF(A974="","",IF(Inputs!$B$22="Cash",Q974,0))</f>
        <v>0</v>
      </c>
      <c r="W974" s="10" t="n">
        <f aca="false">IF(A974="","",IF(Inputs!$B$22="PUA",Q974,0))</f>
        <v>0</v>
      </c>
      <c r="X974" s="12" t="n">
        <f aca="false">IF(A974="","",IFERROR(INDEX(PUA_TABLE!$D$4:$D$105,MATCH(E974,PUA_TABLE!$C$4:$C$105,1)),0))</f>
        <v>0.961973016660815</v>
      </c>
      <c r="Y974" s="10" t="n">
        <f aca="false">IF(A974="","",IF(W974&gt;0,IF(X974&gt;0,W974/X974,0),0))</f>
        <v>0</v>
      </c>
      <c r="Z974" s="10" t="n">
        <f aca="false">IF(A974="","",N974+Y974)</f>
        <v>0</v>
      </c>
      <c r="AA974" s="10" t="n">
        <f aca="false">IF(A974="","",IFERROR(Z974*INDEX(PUA_TABLE!$I$4:$I$105,MATCH(E974,PUA_TABLE!$C$4:$C$105,1))/1000,0))</f>
        <v>0</v>
      </c>
      <c r="AB974" s="10" t="n">
        <f aca="false">IF(A974="","",IFERROR(L974+AA974,0))</f>
        <v>48122.91508987</v>
      </c>
      <c r="AC974" s="10" t="n">
        <f aca="false">IF(A974="","",IF(Inputs!$B$22="Premium Offset",MIN(Inputs!$B$25,Q974+T974),0))</f>
        <v>0</v>
      </c>
    </row>
    <row r="975" customFormat="false" ht="15" hidden="false" customHeight="false" outlineLevel="0" collapsed="false">
      <c r="A975" s="1" t="n">
        <f aca="false">IF(A974="","",IF(INT((C974+1)/12)+Inputs!$B$7&gt;MAX(MORTALITY!$A:$A),"",Inputs!$B$4))</f>
        <v>34</v>
      </c>
      <c r="B975" s="3" t="n">
        <f aca="false">IF(A975="","",EOMONTH(B974,1))</f>
        <v>51348</v>
      </c>
      <c r="C975" s="1" t="n">
        <f aca="false">IF(A975="","",C974+1)</f>
        <v>973</v>
      </c>
      <c r="D975" s="1" t="n">
        <f aca="false">IF(A975="","",INT(C975/12))</f>
        <v>81</v>
      </c>
      <c r="E975" s="1" t="n">
        <f aca="false">IF(A975="","",D975+Inputs!$B$7)</f>
        <v>97</v>
      </c>
      <c r="F975" s="3" t="n">
        <f aca="false">IF(A975="","",DATE(YEAR(B$2)+D975,MONTH(B$2),DAY(B$2)))</f>
        <v>51292</v>
      </c>
      <c r="G975" s="3" t="n">
        <f aca="false">IF(A975="","",DATE(YEAR(F975)+1,MONTH(F975),DAY(F975)))</f>
        <v>51657</v>
      </c>
      <c r="H975" s="10" t="n">
        <f aca="false">IF(A975="","",IF(G975&gt;F975,(B975-F975)/(G975-F975),0))</f>
        <v>0.153424657534247</v>
      </c>
      <c r="I975" s="10" t="n">
        <f aca="false">IF(A975="","",IFERROR(INDEX(CV_RATES!$I:$I,MATCH(D975,CV_RATES!$C:$C,0)),0))</f>
        <v>961.973016660815</v>
      </c>
      <c r="J975" s="10" t="n">
        <f aca="false">IF(A975="","",IFERROR(IF(E975=MAX(MORTALITY!$A:$A),1000,INDEX(CV_RATES!$J:$J,MATCH(D975,CV_RATES!$C:$C,0))),0))</f>
        <v>969.058179654968</v>
      </c>
      <c r="K975" s="10" t="n">
        <f aca="false">IF(A975="","",IFERROR(I975+H975*(J975-I975),0))</f>
        <v>963.060055366767</v>
      </c>
      <c r="L975" s="10" t="n">
        <f aca="false">IF(A975="","",IFERROR(K975*Inputs!$B$9,0))</f>
        <v>48153.0027683383</v>
      </c>
      <c r="M975" s="10" t="n">
        <f aca="false">IF(A975="","",IFERROR(K975*Inputs!$B$10,0))</f>
        <v>154086.719678517</v>
      </c>
      <c r="N975" s="10" t="n">
        <f aca="false">IF(A975="","",Z974)</f>
        <v>0</v>
      </c>
      <c r="O975" s="6" t="n">
        <f aca="false">IF(A975="","",Inputs!$B$18+N975)</f>
        <v>50000</v>
      </c>
      <c r="P975" s="5" t="n">
        <f aca="false">IF(A975="","",VLOOKUP(D975,DIvidend_Assumption!$A$3:$CX$103,($E$2+2),0)/12)</f>
        <v>0</v>
      </c>
      <c r="Q975" s="10" t="n">
        <f aca="false">IF(A975="","",IFERROR(AB974*P975,""))</f>
        <v>0</v>
      </c>
      <c r="R975" s="10" t="n">
        <f aca="false">IF(A975="","",IFERROR(IF(Inputs!$B$22="Accumulate",T975+Q975,IF(Inputs!$B$22="Premium Offset",MAX(0,T975+Q975-Inputs!$B$25),T975)),""))</f>
        <v>0</v>
      </c>
      <c r="S975" s="10" t="n">
        <f aca="false">IF(A975="","",R974)</f>
        <v>0</v>
      </c>
      <c r="T975" s="10" t="n">
        <f aca="false">IF(A975="","",IFERROR(S975*(1+Inputs!$B$23/12),""))</f>
        <v>0</v>
      </c>
      <c r="U975" s="6" t="n">
        <f aca="false">IF(A975="","",IF(D975&lt;=Inputs!$B$8,IF(Inputs!$B$22="Premium Offset",MAX(0,Inputs!$B$25-(Q975+T975)),Inputs!$B$25),0))</f>
        <v>0</v>
      </c>
      <c r="V975" s="10" t="n">
        <f aca="false">IF(A975="","",IF(Inputs!$B$22="Cash",Q975,0))</f>
        <v>0</v>
      </c>
      <c r="W975" s="10" t="n">
        <f aca="false">IF(A975="","",IF(Inputs!$B$22="PUA",Q975,0))</f>
        <v>0</v>
      </c>
      <c r="X975" s="12" t="n">
        <f aca="false">IF(A975="","",IFERROR(INDEX(PUA_TABLE!$D$4:$D$105,MATCH(E975,PUA_TABLE!$C$4:$C$105,1)),0))</f>
        <v>0.961973016660815</v>
      </c>
      <c r="Y975" s="10" t="n">
        <f aca="false">IF(A975="","",IF(W975&gt;0,IF(X975&gt;0,W975/X975,0),0))</f>
        <v>0</v>
      </c>
      <c r="Z975" s="10" t="n">
        <f aca="false">IF(A975="","",N975+Y975)</f>
        <v>0</v>
      </c>
      <c r="AA975" s="10" t="n">
        <f aca="false">IF(A975="","",IFERROR(Z975*INDEX(PUA_TABLE!$I$4:$I$105,MATCH(E975,PUA_TABLE!$C$4:$C$105,1))/1000,0))</f>
        <v>0</v>
      </c>
      <c r="AB975" s="10" t="n">
        <f aca="false">IF(A975="","",IFERROR(L975+AA975,0))</f>
        <v>48153.0027683383</v>
      </c>
      <c r="AC975" s="10" t="n">
        <f aca="false">IF(A975="","",IF(Inputs!$B$22="Premium Offset",MIN(Inputs!$B$25,Q975+T975),0))</f>
        <v>0</v>
      </c>
    </row>
    <row r="976" customFormat="false" ht="15" hidden="false" customHeight="false" outlineLevel="0" collapsed="false">
      <c r="A976" s="1" t="n">
        <f aca="false">IF(A975="","",IF(INT((C975+1)/12)+Inputs!$B$7&gt;MAX(MORTALITY!$A:$A),"",Inputs!$B$4))</f>
        <v>34</v>
      </c>
      <c r="B976" s="3" t="n">
        <f aca="false">IF(A976="","",EOMONTH(B975,1))</f>
        <v>51379</v>
      </c>
      <c r="C976" s="1" t="n">
        <f aca="false">IF(A976="","",C975+1)</f>
        <v>974</v>
      </c>
      <c r="D976" s="1" t="n">
        <f aca="false">IF(A976="","",INT(C976/12))</f>
        <v>81</v>
      </c>
      <c r="E976" s="1" t="n">
        <f aca="false">IF(A976="","",D976+Inputs!$B$7)</f>
        <v>97</v>
      </c>
      <c r="F976" s="3" t="n">
        <f aca="false">IF(A976="","",DATE(YEAR(B$2)+D976,MONTH(B$2),DAY(B$2)))</f>
        <v>51292</v>
      </c>
      <c r="G976" s="3" t="n">
        <f aca="false">IF(A976="","",DATE(YEAR(F976)+1,MONTH(F976),DAY(F976)))</f>
        <v>51657</v>
      </c>
      <c r="H976" s="10" t="n">
        <f aca="false">IF(A976="","",IF(G976&gt;F976,(B976-F976)/(G976-F976),0))</f>
        <v>0.238356164383562</v>
      </c>
      <c r="I976" s="10" t="n">
        <f aca="false">IF(A976="","",IFERROR(INDEX(CV_RATES!$I:$I,MATCH(D976,CV_RATES!$C:$C,0)),0))</f>
        <v>961.973016660815</v>
      </c>
      <c r="J976" s="10" t="n">
        <f aca="false">IF(A976="","",IFERROR(IF(E976=MAX(MORTALITY!$A:$A),1000,INDEX(CV_RATES!$J:$J,MATCH(D976,CV_RATES!$C:$C,0))),0))</f>
        <v>969.058179654968</v>
      </c>
      <c r="K976" s="10" t="n">
        <f aca="false">IF(A976="","",IFERROR(I976+H976*(J976-I976),0))</f>
        <v>963.661808936133</v>
      </c>
      <c r="L976" s="10" t="n">
        <f aca="false">IF(A976="","",IFERROR(K976*Inputs!$B$9,0))</f>
        <v>48183.0904468067</v>
      </c>
      <c r="M976" s="10" t="n">
        <f aca="false">IF(A976="","",IFERROR(K976*Inputs!$B$10,0))</f>
        <v>154182.998444355</v>
      </c>
      <c r="N976" s="10" t="n">
        <f aca="false">IF(A976="","",Z975)</f>
        <v>0</v>
      </c>
      <c r="O976" s="6" t="n">
        <f aca="false">IF(A976="","",Inputs!$B$18+N976)</f>
        <v>50000</v>
      </c>
      <c r="P976" s="5" t="n">
        <f aca="false">IF(A976="","",VLOOKUP(D976,DIvidend_Assumption!$A$3:$CX$103,($E$2+2),0)/12)</f>
        <v>0</v>
      </c>
      <c r="Q976" s="10" t="n">
        <f aca="false">IF(A976="","",IFERROR(AB975*P976,""))</f>
        <v>0</v>
      </c>
      <c r="R976" s="10" t="n">
        <f aca="false">IF(A976="","",IFERROR(IF(Inputs!$B$22="Accumulate",T976+Q976,IF(Inputs!$B$22="Premium Offset",MAX(0,T976+Q976-Inputs!$B$25),T976)),""))</f>
        <v>0</v>
      </c>
      <c r="S976" s="10" t="n">
        <f aca="false">IF(A976="","",R975)</f>
        <v>0</v>
      </c>
      <c r="T976" s="10" t="n">
        <f aca="false">IF(A976="","",IFERROR(S976*(1+Inputs!$B$23/12),""))</f>
        <v>0</v>
      </c>
      <c r="U976" s="6" t="n">
        <f aca="false">IF(A976="","",IF(D976&lt;=Inputs!$B$8,IF(Inputs!$B$22="Premium Offset",MAX(0,Inputs!$B$25-(Q976+T976)),Inputs!$B$25),0))</f>
        <v>0</v>
      </c>
      <c r="V976" s="10" t="n">
        <f aca="false">IF(A976="","",IF(Inputs!$B$22="Cash",Q976,0))</f>
        <v>0</v>
      </c>
      <c r="W976" s="10" t="n">
        <f aca="false">IF(A976="","",IF(Inputs!$B$22="PUA",Q976,0))</f>
        <v>0</v>
      </c>
      <c r="X976" s="12" t="n">
        <f aca="false">IF(A976="","",IFERROR(INDEX(PUA_TABLE!$D$4:$D$105,MATCH(E976,PUA_TABLE!$C$4:$C$105,1)),0))</f>
        <v>0.961973016660815</v>
      </c>
      <c r="Y976" s="10" t="n">
        <f aca="false">IF(A976="","",IF(W976&gt;0,IF(X976&gt;0,W976/X976,0),0))</f>
        <v>0</v>
      </c>
      <c r="Z976" s="10" t="n">
        <f aca="false">IF(A976="","",N976+Y976)</f>
        <v>0</v>
      </c>
      <c r="AA976" s="10" t="n">
        <f aca="false">IF(A976="","",IFERROR(Z976*INDEX(PUA_TABLE!$I$4:$I$105,MATCH(E976,PUA_TABLE!$C$4:$C$105,1))/1000,0))</f>
        <v>0</v>
      </c>
      <c r="AB976" s="10" t="n">
        <f aca="false">IF(A976="","",IFERROR(L976+AA976,0))</f>
        <v>48183.0904468067</v>
      </c>
      <c r="AC976" s="10" t="n">
        <f aca="false">IF(A976="","",IF(Inputs!$B$22="Premium Offset",MIN(Inputs!$B$25,Q976+T976),0))</f>
        <v>0</v>
      </c>
    </row>
    <row r="977" customFormat="false" ht="15" hidden="false" customHeight="false" outlineLevel="0" collapsed="false">
      <c r="A977" s="1" t="n">
        <f aca="false">IF(A976="","",IF(INT((C976+1)/12)+Inputs!$B$7&gt;MAX(MORTALITY!$A:$A),"",Inputs!$B$4))</f>
        <v>34</v>
      </c>
      <c r="B977" s="3" t="n">
        <f aca="false">IF(A977="","",EOMONTH(B976,1))</f>
        <v>51409</v>
      </c>
      <c r="C977" s="1" t="n">
        <f aca="false">IF(A977="","",C976+1)</f>
        <v>975</v>
      </c>
      <c r="D977" s="1" t="n">
        <f aca="false">IF(A977="","",INT(C977/12))</f>
        <v>81</v>
      </c>
      <c r="E977" s="1" t="n">
        <f aca="false">IF(A977="","",D977+Inputs!$B$7)</f>
        <v>97</v>
      </c>
      <c r="F977" s="3" t="n">
        <f aca="false">IF(A977="","",DATE(YEAR(B$2)+D977,MONTH(B$2),DAY(B$2)))</f>
        <v>51292</v>
      </c>
      <c r="G977" s="3" t="n">
        <f aca="false">IF(A977="","",DATE(YEAR(F977)+1,MONTH(F977),DAY(F977)))</f>
        <v>51657</v>
      </c>
      <c r="H977" s="10" t="n">
        <f aca="false">IF(A977="","",IF(G977&gt;F977,(B977-F977)/(G977-F977),0))</f>
        <v>0.320547945205479</v>
      </c>
      <c r="I977" s="10" t="n">
        <f aca="false">IF(A977="","",IFERROR(INDEX(CV_RATES!$I:$I,MATCH(D977,CV_RATES!$C:$C,0)),0))</f>
        <v>961.973016660815</v>
      </c>
      <c r="J977" s="10" t="n">
        <f aca="false">IF(A977="","",IFERROR(IF(E977=MAX(MORTALITY!$A:$A),1000,INDEX(CV_RATES!$J:$J,MATCH(D977,CV_RATES!$C:$C,0))),0))</f>
        <v>969.058179654968</v>
      </c>
      <c r="K977" s="10" t="n">
        <f aca="false">IF(A977="","",IFERROR(I977+H977*(J977-I977),0))</f>
        <v>964.244151100036</v>
      </c>
      <c r="L977" s="10" t="n">
        <f aca="false">IF(A977="","",IFERROR(K977*Inputs!$B$9,0))</f>
        <v>48212.2075550018</v>
      </c>
      <c r="M977" s="10" t="n">
        <f aca="false">IF(A977="","",IFERROR(K977*Inputs!$B$10,0))</f>
        <v>154276.171443553</v>
      </c>
      <c r="N977" s="10" t="n">
        <f aca="false">IF(A977="","",Z976)</f>
        <v>0</v>
      </c>
      <c r="O977" s="6" t="n">
        <f aca="false">IF(A977="","",Inputs!$B$18+N977)</f>
        <v>50000</v>
      </c>
      <c r="P977" s="5" t="n">
        <f aca="false">IF(A977="","",VLOOKUP(D977,DIvidend_Assumption!$A$3:$CX$103,($E$2+2),0)/12)</f>
        <v>0</v>
      </c>
      <c r="Q977" s="10" t="n">
        <f aca="false">IF(A977="","",IFERROR(AB976*P977,""))</f>
        <v>0</v>
      </c>
      <c r="R977" s="10" t="n">
        <f aca="false">IF(A977="","",IFERROR(IF(Inputs!$B$22="Accumulate",T977+Q977,IF(Inputs!$B$22="Premium Offset",MAX(0,T977+Q977-Inputs!$B$25),T977)),""))</f>
        <v>0</v>
      </c>
      <c r="S977" s="10" t="n">
        <f aca="false">IF(A977="","",R976)</f>
        <v>0</v>
      </c>
      <c r="T977" s="10" t="n">
        <f aca="false">IF(A977="","",IFERROR(S977*(1+Inputs!$B$23/12),""))</f>
        <v>0</v>
      </c>
      <c r="U977" s="6" t="n">
        <f aca="false">IF(A977="","",IF(D977&lt;=Inputs!$B$8,IF(Inputs!$B$22="Premium Offset",MAX(0,Inputs!$B$25-(Q977+T977)),Inputs!$B$25),0))</f>
        <v>0</v>
      </c>
      <c r="V977" s="10" t="n">
        <f aca="false">IF(A977="","",IF(Inputs!$B$22="Cash",Q977,0))</f>
        <v>0</v>
      </c>
      <c r="W977" s="10" t="n">
        <f aca="false">IF(A977="","",IF(Inputs!$B$22="PUA",Q977,0))</f>
        <v>0</v>
      </c>
      <c r="X977" s="12" t="n">
        <f aca="false">IF(A977="","",IFERROR(INDEX(PUA_TABLE!$D$4:$D$105,MATCH(E977,PUA_TABLE!$C$4:$C$105,1)),0))</f>
        <v>0.961973016660815</v>
      </c>
      <c r="Y977" s="10" t="n">
        <f aca="false">IF(A977="","",IF(W977&gt;0,IF(X977&gt;0,W977/X977,0),0))</f>
        <v>0</v>
      </c>
      <c r="Z977" s="10" t="n">
        <f aca="false">IF(A977="","",N977+Y977)</f>
        <v>0</v>
      </c>
      <c r="AA977" s="10" t="n">
        <f aca="false">IF(A977="","",IFERROR(Z977*INDEX(PUA_TABLE!$I$4:$I$105,MATCH(E977,PUA_TABLE!$C$4:$C$105,1))/1000,0))</f>
        <v>0</v>
      </c>
      <c r="AB977" s="10" t="n">
        <f aca="false">IF(A977="","",IFERROR(L977+AA977,0))</f>
        <v>48212.2075550018</v>
      </c>
      <c r="AC977" s="10" t="n">
        <f aca="false">IF(A977="","",IF(Inputs!$B$22="Premium Offset",MIN(Inputs!$B$25,Q977+T977),0))</f>
        <v>0</v>
      </c>
    </row>
    <row r="978" customFormat="false" ht="15" hidden="false" customHeight="false" outlineLevel="0" collapsed="false">
      <c r="A978" s="1" t="n">
        <f aca="false">IF(A977="","",IF(INT((C977+1)/12)+Inputs!$B$7&gt;MAX(MORTALITY!$A:$A),"",Inputs!$B$4))</f>
        <v>34</v>
      </c>
      <c r="B978" s="3" t="n">
        <f aca="false">IF(A978="","",EOMONTH(B977,1))</f>
        <v>51440</v>
      </c>
      <c r="C978" s="1" t="n">
        <f aca="false">IF(A978="","",C977+1)</f>
        <v>976</v>
      </c>
      <c r="D978" s="1" t="n">
        <f aca="false">IF(A978="","",INT(C978/12))</f>
        <v>81</v>
      </c>
      <c r="E978" s="1" t="n">
        <f aca="false">IF(A978="","",D978+Inputs!$B$7)</f>
        <v>97</v>
      </c>
      <c r="F978" s="3" t="n">
        <f aca="false">IF(A978="","",DATE(YEAR(B$2)+D978,MONTH(B$2),DAY(B$2)))</f>
        <v>51292</v>
      </c>
      <c r="G978" s="3" t="n">
        <f aca="false">IF(A978="","",DATE(YEAR(F978)+1,MONTH(F978),DAY(F978)))</f>
        <v>51657</v>
      </c>
      <c r="H978" s="10" t="n">
        <f aca="false">IF(A978="","",IF(G978&gt;F978,(B978-F978)/(G978-F978),0))</f>
        <v>0.405479452054795</v>
      </c>
      <c r="I978" s="10" t="n">
        <f aca="false">IF(A978="","",IFERROR(INDEX(CV_RATES!$I:$I,MATCH(D978,CV_RATES!$C:$C,0)),0))</f>
        <v>961.973016660815</v>
      </c>
      <c r="J978" s="10" t="n">
        <f aca="false">IF(A978="","",IFERROR(IF(E978=MAX(MORTALITY!$A:$A),1000,INDEX(CV_RATES!$J:$J,MATCH(D978,CV_RATES!$C:$C,0))),0))</f>
        <v>969.058179654968</v>
      </c>
      <c r="K978" s="10" t="n">
        <f aca="false">IF(A978="","",IFERROR(I978+H978*(J978-I978),0))</f>
        <v>964.845904669403</v>
      </c>
      <c r="L978" s="10" t="n">
        <f aca="false">IF(A978="","",IFERROR(K978*Inputs!$B$9,0))</f>
        <v>48242.2952334701</v>
      </c>
      <c r="M978" s="10" t="n">
        <f aca="false">IF(A978="","",IFERROR(K978*Inputs!$B$10,0))</f>
        <v>154372.45020939</v>
      </c>
      <c r="N978" s="10" t="n">
        <f aca="false">IF(A978="","",Z977)</f>
        <v>0</v>
      </c>
      <c r="O978" s="6" t="n">
        <f aca="false">IF(A978="","",Inputs!$B$18+N978)</f>
        <v>50000</v>
      </c>
      <c r="P978" s="5" t="n">
        <f aca="false">IF(A978="","",VLOOKUP(D978,DIvidend_Assumption!$A$3:$CX$103,($E$2+2),0)/12)</f>
        <v>0</v>
      </c>
      <c r="Q978" s="10" t="n">
        <f aca="false">IF(A978="","",IFERROR(AB977*P978,""))</f>
        <v>0</v>
      </c>
      <c r="R978" s="10" t="n">
        <f aca="false">IF(A978="","",IFERROR(IF(Inputs!$B$22="Accumulate",T978+Q978,IF(Inputs!$B$22="Premium Offset",MAX(0,T978+Q978-Inputs!$B$25),T978)),""))</f>
        <v>0</v>
      </c>
      <c r="S978" s="10" t="n">
        <f aca="false">IF(A978="","",R977)</f>
        <v>0</v>
      </c>
      <c r="T978" s="10" t="n">
        <f aca="false">IF(A978="","",IFERROR(S978*(1+Inputs!$B$23/12),""))</f>
        <v>0</v>
      </c>
      <c r="U978" s="6" t="n">
        <f aca="false">IF(A978="","",IF(D978&lt;=Inputs!$B$8,IF(Inputs!$B$22="Premium Offset",MAX(0,Inputs!$B$25-(Q978+T978)),Inputs!$B$25),0))</f>
        <v>0</v>
      </c>
      <c r="V978" s="10" t="n">
        <f aca="false">IF(A978="","",IF(Inputs!$B$22="Cash",Q978,0))</f>
        <v>0</v>
      </c>
      <c r="W978" s="10" t="n">
        <f aca="false">IF(A978="","",IF(Inputs!$B$22="PUA",Q978,0))</f>
        <v>0</v>
      </c>
      <c r="X978" s="12" t="n">
        <f aca="false">IF(A978="","",IFERROR(INDEX(PUA_TABLE!$D$4:$D$105,MATCH(E978,PUA_TABLE!$C$4:$C$105,1)),0))</f>
        <v>0.961973016660815</v>
      </c>
      <c r="Y978" s="10" t="n">
        <f aca="false">IF(A978="","",IF(W978&gt;0,IF(X978&gt;0,W978/X978,0),0))</f>
        <v>0</v>
      </c>
      <c r="Z978" s="10" t="n">
        <f aca="false">IF(A978="","",N978+Y978)</f>
        <v>0</v>
      </c>
      <c r="AA978" s="10" t="n">
        <f aca="false">IF(A978="","",IFERROR(Z978*INDEX(PUA_TABLE!$I$4:$I$105,MATCH(E978,PUA_TABLE!$C$4:$C$105,1))/1000,0))</f>
        <v>0</v>
      </c>
      <c r="AB978" s="10" t="n">
        <f aca="false">IF(A978="","",IFERROR(L978+AA978,0))</f>
        <v>48242.2952334701</v>
      </c>
      <c r="AC978" s="10" t="n">
        <f aca="false">IF(A978="","",IF(Inputs!$B$22="Premium Offset",MIN(Inputs!$B$25,Q978+T978),0))</f>
        <v>0</v>
      </c>
    </row>
    <row r="979" customFormat="false" ht="15" hidden="false" customHeight="false" outlineLevel="0" collapsed="false">
      <c r="A979" s="1" t="n">
        <f aca="false">IF(A978="","",IF(INT((C978+1)/12)+Inputs!$B$7&gt;MAX(MORTALITY!$A:$A),"",Inputs!$B$4))</f>
        <v>34</v>
      </c>
      <c r="B979" s="3" t="n">
        <f aca="false">IF(A979="","",EOMONTH(B978,1))</f>
        <v>51470</v>
      </c>
      <c r="C979" s="1" t="n">
        <f aca="false">IF(A979="","",C978+1)</f>
        <v>977</v>
      </c>
      <c r="D979" s="1" t="n">
        <f aca="false">IF(A979="","",INT(C979/12))</f>
        <v>81</v>
      </c>
      <c r="E979" s="1" t="n">
        <f aca="false">IF(A979="","",D979+Inputs!$B$7)</f>
        <v>97</v>
      </c>
      <c r="F979" s="3" t="n">
        <f aca="false">IF(A979="","",DATE(YEAR(B$2)+D979,MONTH(B$2),DAY(B$2)))</f>
        <v>51292</v>
      </c>
      <c r="G979" s="3" t="n">
        <f aca="false">IF(A979="","",DATE(YEAR(F979)+1,MONTH(F979),DAY(F979)))</f>
        <v>51657</v>
      </c>
      <c r="H979" s="10" t="n">
        <f aca="false">IF(A979="","",IF(G979&gt;F979,(B979-F979)/(G979-F979),0))</f>
        <v>0.487671232876712</v>
      </c>
      <c r="I979" s="10" t="n">
        <f aca="false">IF(A979="","",IFERROR(INDEX(CV_RATES!$I:$I,MATCH(D979,CV_RATES!$C:$C,0)),0))</f>
        <v>961.973016660815</v>
      </c>
      <c r="J979" s="10" t="n">
        <f aca="false">IF(A979="","",IFERROR(IF(E979=MAX(MORTALITY!$A:$A),1000,INDEX(CV_RATES!$J:$J,MATCH(D979,CV_RATES!$C:$C,0))),0))</f>
        <v>969.058179654968</v>
      </c>
      <c r="K979" s="10" t="n">
        <f aca="false">IF(A979="","",IFERROR(I979+H979*(J979-I979),0))</f>
        <v>965.428246833306</v>
      </c>
      <c r="L979" s="10" t="n">
        <f aca="false">IF(A979="","",IFERROR(K979*Inputs!$B$9,0))</f>
        <v>48271.4123416653</v>
      </c>
      <c r="M979" s="10" t="n">
        <f aca="false">IF(A979="","",IFERROR(K979*Inputs!$B$10,0))</f>
        <v>154465.623208588</v>
      </c>
      <c r="N979" s="10" t="n">
        <f aca="false">IF(A979="","",Z978)</f>
        <v>0</v>
      </c>
      <c r="O979" s="6" t="n">
        <f aca="false">IF(A979="","",Inputs!$B$18+N979)</f>
        <v>50000</v>
      </c>
      <c r="P979" s="5" t="n">
        <f aca="false">IF(A979="","",VLOOKUP(D979,DIvidend_Assumption!$A$3:$CX$103,($E$2+2),0)/12)</f>
        <v>0</v>
      </c>
      <c r="Q979" s="10" t="n">
        <f aca="false">IF(A979="","",IFERROR(AB978*P979,""))</f>
        <v>0</v>
      </c>
      <c r="R979" s="10" t="n">
        <f aca="false">IF(A979="","",IFERROR(IF(Inputs!$B$22="Accumulate",T979+Q979,IF(Inputs!$B$22="Premium Offset",MAX(0,T979+Q979-Inputs!$B$25),T979)),""))</f>
        <v>0</v>
      </c>
      <c r="S979" s="10" t="n">
        <f aca="false">IF(A979="","",R978)</f>
        <v>0</v>
      </c>
      <c r="T979" s="10" t="n">
        <f aca="false">IF(A979="","",IFERROR(S979*(1+Inputs!$B$23/12),""))</f>
        <v>0</v>
      </c>
      <c r="U979" s="6" t="n">
        <f aca="false">IF(A979="","",IF(D979&lt;=Inputs!$B$8,IF(Inputs!$B$22="Premium Offset",MAX(0,Inputs!$B$25-(Q979+T979)),Inputs!$B$25),0))</f>
        <v>0</v>
      </c>
      <c r="V979" s="10" t="n">
        <f aca="false">IF(A979="","",IF(Inputs!$B$22="Cash",Q979,0))</f>
        <v>0</v>
      </c>
      <c r="W979" s="10" t="n">
        <f aca="false">IF(A979="","",IF(Inputs!$B$22="PUA",Q979,0))</f>
        <v>0</v>
      </c>
      <c r="X979" s="12" t="n">
        <f aca="false">IF(A979="","",IFERROR(INDEX(PUA_TABLE!$D$4:$D$105,MATCH(E979,PUA_TABLE!$C$4:$C$105,1)),0))</f>
        <v>0.961973016660815</v>
      </c>
      <c r="Y979" s="10" t="n">
        <f aca="false">IF(A979="","",IF(W979&gt;0,IF(X979&gt;0,W979/X979,0),0))</f>
        <v>0</v>
      </c>
      <c r="Z979" s="10" t="n">
        <f aca="false">IF(A979="","",N979+Y979)</f>
        <v>0</v>
      </c>
      <c r="AA979" s="10" t="n">
        <f aca="false">IF(A979="","",IFERROR(Z979*INDEX(PUA_TABLE!$I$4:$I$105,MATCH(E979,PUA_TABLE!$C$4:$C$105,1))/1000,0))</f>
        <v>0</v>
      </c>
      <c r="AB979" s="10" t="n">
        <f aca="false">IF(A979="","",IFERROR(L979+AA979,0))</f>
        <v>48271.4123416653</v>
      </c>
      <c r="AC979" s="10" t="n">
        <f aca="false">IF(A979="","",IF(Inputs!$B$22="Premium Offset",MIN(Inputs!$B$25,Q979+T979),0))</f>
        <v>0</v>
      </c>
    </row>
    <row r="980" customFormat="false" ht="15" hidden="false" customHeight="false" outlineLevel="0" collapsed="false">
      <c r="A980" s="1" t="n">
        <f aca="false">IF(A979="","",IF(INT((C979+1)/12)+Inputs!$B$7&gt;MAX(MORTALITY!$A:$A),"",Inputs!$B$4))</f>
        <v>34</v>
      </c>
      <c r="B980" s="3" t="n">
        <f aca="false">IF(A980="","",EOMONTH(B979,1))</f>
        <v>51501</v>
      </c>
      <c r="C980" s="1" t="n">
        <f aca="false">IF(A980="","",C979+1)</f>
        <v>978</v>
      </c>
      <c r="D980" s="1" t="n">
        <f aca="false">IF(A980="","",INT(C980/12))</f>
        <v>81</v>
      </c>
      <c r="E980" s="1" t="n">
        <f aca="false">IF(A980="","",D980+Inputs!$B$7)</f>
        <v>97</v>
      </c>
      <c r="F980" s="3" t="n">
        <f aca="false">IF(A980="","",DATE(YEAR(B$2)+D980,MONTH(B$2),DAY(B$2)))</f>
        <v>51292</v>
      </c>
      <c r="G980" s="3" t="n">
        <f aca="false">IF(A980="","",DATE(YEAR(F980)+1,MONTH(F980),DAY(F980)))</f>
        <v>51657</v>
      </c>
      <c r="H980" s="10" t="n">
        <f aca="false">IF(A980="","",IF(G980&gt;F980,(B980-F980)/(G980-F980),0))</f>
        <v>0.572602739726027</v>
      </c>
      <c r="I980" s="10" t="n">
        <f aca="false">IF(A980="","",IFERROR(INDEX(CV_RATES!$I:$I,MATCH(D980,CV_RATES!$C:$C,0)),0))</f>
        <v>961.973016660815</v>
      </c>
      <c r="J980" s="10" t="n">
        <f aca="false">IF(A980="","",IFERROR(IF(E980=MAX(MORTALITY!$A:$A),1000,INDEX(CV_RATES!$J:$J,MATCH(D980,CV_RATES!$C:$C,0))),0))</f>
        <v>969.058179654968</v>
      </c>
      <c r="K980" s="10" t="n">
        <f aca="false">IF(A980="","",IFERROR(I980+H980*(J980-I980),0))</f>
        <v>966.030000402672</v>
      </c>
      <c r="L980" s="10" t="n">
        <f aca="false">IF(A980="","",IFERROR(K980*Inputs!$B$9,0))</f>
        <v>48301.5000201336</v>
      </c>
      <c r="M980" s="10" t="n">
        <f aca="false">IF(A980="","",IFERROR(K980*Inputs!$B$10,0))</f>
        <v>154561.901974426</v>
      </c>
      <c r="N980" s="10" t="n">
        <f aca="false">IF(A980="","",Z979)</f>
        <v>0</v>
      </c>
      <c r="O980" s="6" t="n">
        <f aca="false">IF(A980="","",Inputs!$B$18+N980)</f>
        <v>50000</v>
      </c>
      <c r="P980" s="5" t="n">
        <f aca="false">IF(A980="","",VLOOKUP(D980,DIvidend_Assumption!$A$3:$CX$103,($E$2+2),0)/12)</f>
        <v>0</v>
      </c>
      <c r="Q980" s="10" t="n">
        <f aca="false">IF(A980="","",IFERROR(AB979*P980,""))</f>
        <v>0</v>
      </c>
      <c r="R980" s="10" t="n">
        <f aca="false">IF(A980="","",IFERROR(IF(Inputs!$B$22="Accumulate",T980+Q980,IF(Inputs!$B$22="Premium Offset",MAX(0,T980+Q980-Inputs!$B$25),T980)),""))</f>
        <v>0</v>
      </c>
      <c r="S980" s="10" t="n">
        <f aca="false">IF(A980="","",R979)</f>
        <v>0</v>
      </c>
      <c r="T980" s="10" t="n">
        <f aca="false">IF(A980="","",IFERROR(S980*(1+Inputs!$B$23/12),""))</f>
        <v>0</v>
      </c>
      <c r="U980" s="6" t="n">
        <f aca="false">IF(A980="","",IF(D980&lt;=Inputs!$B$8,IF(Inputs!$B$22="Premium Offset",MAX(0,Inputs!$B$25-(Q980+T980)),Inputs!$B$25),0))</f>
        <v>0</v>
      </c>
      <c r="V980" s="10" t="n">
        <f aca="false">IF(A980="","",IF(Inputs!$B$22="Cash",Q980,0))</f>
        <v>0</v>
      </c>
      <c r="W980" s="10" t="n">
        <f aca="false">IF(A980="","",IF(Inputs!$B$22="PUA",Q980,0))</f>
        <v>0</v>
      </c>
      <c r="X980" s="12" t="n">
        <f aca="false">IF(A980="","",IFERROR(INDEX(PUA_TABLE!$D$4:$D$105,MATCH(E980,PUA_TABLE!$C$4:$C$105,1)),0))</f>
        <v>0.961973016660815</v>
      </c>
      <c r="Y980" s="10" t="n">
        <f aca="false">IF(A980="","",IF(W980&gt;0,IF(X980&gt;0,W980/X980,0),0))</f>
        <v>0</v>
      </c>
      <c r="Z980" s="10" t="n">
        <f aca="false">IF(A980="","",N980+Y980)</f>
        <v>0</v>
      </c>
      <c r="AA980" s="10" t="n">
        <f aca="false">IF(A980="","",IFERROR(Z980*INDEX(PUA_TABLE!$I$4:$I$105,MATCH(E980,PUA_TABLE!$C$4:$C$105,1))/1000,0))</f>
        <v>0</v>
      </c>
      <c r="AB980" s="10" t="n">
        <f aca="false">IF(A980="","",IFERROR(L980+AA980,0))</f>
        <v>48301.5000201336</v>
      </c>
      <c r="AC980" s="10" t="n">
        <f aca="false">IF(A980="","",IF(Inputs!$B$22="Premium Offset",MIN(Inputs!$B$25,Q980+T980),0))</f>
        <v>0</v>
      </c>
    </row>
    <row r="981" customFormat="false" ht="15" hidden="false" customHeight="false" outlineLevel="0" collapsed="false">
      <c r="A981" s="1" t="n">
        <f aca="false">IF(A980="","",IF(INT((C980+1)/12)+Inputs!$B$7&gt;MAX(MORTALITY!$A:$A),"",Inputs!$B$4))</f>
        <v>34</v>
      </c>
      <c r="B981" s="3" t="n">
        <f aca="false">IF(A981="","",EOMONTH(B980,1))</f>
        <v>51532</v>
      </c>
      <c r="C981" s="1" t="n">
        <f aca="false">IF(A981="","",C980+1)</f>
        <v>979</v>
      </c>
      <c r="D981" s="1" t="n">
        <f aca="false">IF(A981="","",INT(C981/12))</f>
        <v>81</v>
      </c>
      <c r="E981" s="1" t="n">
        <f aca="false">IF(A981="","",D981+Inputs!$B$7)</f>
        <v>97</v>
      </c>
      <c r="F981" s="3" t="n">
        <f aca="false">IF(A981="","",DATE(YEAR(B$2)+D981,MONTH(B$2),DAY(B$2)))</f>
        <v>51292</v>
      </c>
      <c r="G981" s="3" t="n">
        <f aca="false">IF(A981="","",DATE(YEAR(F981)+1,MONTH(F981),DAY(F981)))</f>
        <v>51657</v>
      </c>
      <c r="H981" s="10" t="n">
        <f aca="false">IF(A981="","",IF(G981&gt;F981,(B981-F981)/(G981-F981),0))</f>
        <v>0.657534246575342</v>
      </c>
      <c r="I981" s="10" t="n">
        <f aca="false">IF(A981="","",IFERROR(INDEX(CV_RATES!$I:$I,MATCH(D981,CV_RATES!$C:$C,0)),0))</f>
        <v>961.973016660815</v>
      </c>
      <c r="J981" s="10" t="n">
        <f aca="false">IF(A981="","",IFERROR(IF(E981=MAX(MORTALITY!$A:$A),1000,INDEX(CV_RATES!$J:$J,MATCH(D981,CV_RATES!$C:$C,0))),0))</f>
        <v>969.058179654968</v>
      </c>
      <c r="K981" s="10" t="n">
        <f aca="false">IF(A981="","",IFERROR(I981+H981*(J981-I981),0))</f>
        <v>966.631753972039</v>
      </c>
      <c r="L981" s="10" t="n">
        <f aca="false">IF(A981="","",IFERROR(K981*Inputs!$B$9,0))</f>
        <v>48331.5876986019</v>
      </c>
      <c r="M981" s="10" t="n">
        <f aca="false">IF(A981="","",IFERROR(K981*Inputs!$B$10,0))</f>
        <v>154658.180740264</v>
      </c>
      <c r="N981" s="10" t="n">
        <f aca="false">IF(A981="","",Z980)</f>
        <v>0</v>
      </c>
      <c r="O981" s="6" t="n">
        <f aca="false">IF(A981="","",Inputs!$B$18+N981)</f>
        <v>50000</v>
      </c>
      <c r="P981" s="5" t="n">
        <f aca="false">IF(A981="","",VLOOKUP(D981,DIvidend_Assumption!$A$3:$CX$103,($E$2+2),0)/12)</f>
        <v>0</v>
      </c>
      <c r="Q981" s="10" t="n">
        <f aca="false">IF(A981="","",IFERROR(AB980*P981,""))</f>
        <v>0</v>
      </c>
      <c r="R981" s="10" t="n">
        <f aca="false">IF(A981="","",IFERROR(IF(Inputs!$B$22="Accumulate",T981+Q981,IF(Inputs!$B$22="Premium Offset",MAX(0,T981+Q981-Inputs!$B$25),T981)),""))</f>
        <v>0</v>
      </c>
      <c r="S981" s="10" t="n">
        <f aca="false">IF(A981="","",R980)</f>
        <v>0</v>
      </c>
      <c r="T981" s="10" t="n">
        <f aca="false">IF(A981="","",IFERROR(S981*(1+Inputs!$B$23/12),""))</f>
        <v>0</v>
      </c>
      <c r="U981" s="6" t="n">
        <f aca="false">IF(A981="","",IF(D981&lt;=Inputs!$B$8,IF(Inputs!$B$22="Premium Offset",MAX(0,Inputs!$B$25-(Q981+T981)),Inputs!$B$25),0))</f>
        <v>0</v>
      </c>
      <c r="V981" s="10" t="n">
        <f aca="false">IF(A981="","",IF(Inputs!$B$22="Cash",Q981,0))</f>
        <v>0</v>
      </c>
      <c r="W981" s="10" t="n">
        <f aca="false">IF(A981="","",IF(Inputs!$B$22="PUA",Q981,0))</f>
        <v>0</v>
      </c>
      <c r="X981" s="12" t="n">
        <f aca="false">IF(A981="","",IFERROR(INDEX(PUA_TABLE!$D$4:$D$105,MATCH(E981,PUA_TABLE!$C$4:$C$105,1)),0))</f>
        <v>0.961973016660815</v>
      </c>
      <c r="Y981" s="10" t="n">
        <f aca="false">IF(A981="","",IF(W981&gt;0,IF(X981&gt;0,W981/X981,0),0))</f>
        <v>0</v>
      </c>
      <c r="Z981" s="10" t="n">
        <f aca="false">IF(A981="","",N981+Y981)</f>
        <v>0</v>
      </c>
      <c r="AA981" s="10" t="n">
        <f aca="false">IF(A981="","",IFERROR(Z981*INDEX(PUA_TABLE!$I$4:$I$105,MATCH(E981,PUA_TABLE!$C$4:$C$105,1))/1000,0))</f>
        <v>0</v>
      </c>
      <c r="AB981" s="10" t="n">
        <f aca="false">IF(A981="","",IFERROR(L981+AA981,0))</f>
        <v>48331.5876986019</v>
      </c>
      <c r="AC981" s="10" t="n">
        <f aca="false">IF(A981="","",IF(Inputs!$B$22="Premium Offset",MIN(Inputs!$B$25,Q981+T981),0))</f>
        <v>0</v>
      </c>
    </row>
    <row r="982" customFormat="false" ht="15" hidden="false" customHeight="false" outlineLevel="0" collapsed="false">
      <c r="A982" s="1" t="n">
        <f aca="false">IF(A981="","",IF(INT((C981+1)/12)+Inputs!$B$7&gt;MAX(MORTALITY!$A:$A),"",Inputs!$B$4))</f>
        <v>34</v>
      </c>
      <c r="B982" s="3" t="n">
        <f aca="false">IF(A982="","",EOMONTH(B981,1))</f>
        <v>51560</v>
      </c>
      <c r="C982" s="1" t="n">
        <f aca="false">IF(A982="","",C981+1)</f>
        <v>980</v>
      </c>
      <c r="D982" s="1" t="n">
        <f aca="false">IF(A982="","",INT(C982/12))</f>
        <v>81</v>
      </c>
      <c r="E982" s="1" t="n">
        <f aca="false">IF(A982="","",D982+Inputs!$B$7)</f>
        <v>97</v>
      </c>
      <c r="F982" s="3" t="n">
        <f aca="false">IF(A982="","",DATE(YEAR(B$2)+D982,MONTH(B$2),DAY(B$2)))</f>
        <v>51292</v>
      </c>
      <c r="G982" s="3" t="n">
        <f aca="false">IF(A982="","",DATE(YEAR(F982)+1,MONTH(F982),DAY(F982)))</f>
        <v>51657</v>
      </c>
      <c r="H982" s="10" t="n">
        <f aca="false">IF(A982="","",IF(G982&gt;F982,(B982-F982)/(G982-F982),0))</f>
        <v>0.734246575342466</v>
      </c>
      <c r="I982" s="10" t="n">
        <f aca="false">IF(A982="","",IFERROR(INDEX(CV_RATES!$I:$I,MATCH(D982,CV_RATES!$C:$C,0)),0))</f>
        <v>961.973016660815</v>
      </c>
      <c r="J982" s="10" t="n">
        <f aca="false">IF(A982="","",IFERROR(IF(E982=MAX(MORTALITY!$A:$A),1000,INDEX(CV_RATES!$J:$J,MATCH(D982,CV_RATES!$C:$C,0))),0))</f>
        <v>969.058179654968</v>
      </c>
      <c r="K982" s="10" t="n">
        <f aca="false">IF(A982="","",IFERROR(I982+H982*(J982-I982),0))</f>
        <v>967.175273325015</v>
      </c>
      <c r="L982" s="10" t="n">
        <f aca="false">IF(A982="","",IFERROR(K982*Inputs!$B$9,0))</f>
        <v>48358.7636662507</v>
      </c>
      <c r="M982" s="10" t="n">
        <f aca="false">IF(A982="","",IFERROR(K982*Inputs!$B$10,0))</f>
        <v>154745.142206182</v>
      </c>
      <c r="N982" s="10" t="n">
        <f aca="false">IF(A982="","",Z981)</f>
        <v>0</v>
      </c>
      <c r="O982" s="6" t="n">
        <f aca="false">IF(A982="","",Inputs!$B$18+N982)</f>
        <v>50000</v>
      </c>
      <c r="P982" s="5" t="n">
        <f aca="false">IF(A982="","",VLOOKUP(D982,DIvidend_Assumption!$A$3:$CX$103,($E$2+2),0)/12)</f>
        <v>0</v>
      </c>
      <c r="Q982" s="10" t="n">
        <f aca="false">IF(A982="","",IFERROR(AB981*P982,""))</f>
        <v>0</v>
      </c>
      <c r="R982" s="10" t="n">
        <f aca="false">IF(A982="","",IFERROR(IF(Inputs!$B$22="Accumulate",T982+Q982,IF(Inputs!$B$22="Premium Offset",MAX(0,T982+Q982-Inputs!$B$25),T982)),""))</f>
        <v>0</v>
      </c>
      <c r="S982" s="10" t="n">
        <f aca="false">IF(A982="","",R981)</f>
        <v>0</v>
      </c>
      <c r="T982" s="10" t="n">
        <f aca="false">IF(A982="","",IFERROR(S982*(1+Inputs!$B$23/12),""))</f>
        <v>0</v>
      </c>
      <c r="U982" s="6" t="n">
        <f aca="false">IF(A982="","",IF(D982&lt;=Inputs!$B$8,IF(Inputs!$B$22="Premium Offset",MAX(0,Inputs!$B$25-(Q982+T982)),Inputs!$B$25),0))</f>
        <v>0</v>
      </c>
      <c r="V982" s="10" t="n">
        <f aca="false">IF(A982="","",IF(Inputs!$B$22="Cash",Q982,0))</f>
        <v>0</v>
      </c>
      <c r="W982" s="10" t="n">
        <f aca="false">IF(A982="","",IF(Inputs!$B$22="PUA",Q982,0))</f>
        <v>0</v>
      </c>
      <c r="X982" s="12" t="n">
        <f aca="false">IF(A982="","",IFERROR(INDEX(PUA_TABLE!$D$4:$D$105,MATCH(E982,PUA_TABLE!$C$4:$C$105,1)),0))</f>
        <v>0.961973016660815</v>
      </c>
      <c r="Y982" s="10" t="n">
        <f aca="false">IF(A982="","",IF(W982&gt;0,IF(X982&gt;0,W982/X982,0),0))</f>
        <v>0</v>
      </c>
      <c r="Z982" s="10" t="n">
        <f aca="false">IF(A982="","",N982+Y982)</f>
        <v>0</v>
      </c>
      <c r="AA982" s="10" t="n">
        <f aca="false">IF(A982="","",IFERROR(Z982*INDEX(PUA_TABLE!$I$4:$I$105,MATCH(E982,PUA_TABLE!$C$4:$C$105,1))/1000,0))</f>
        <v>0</v>
      </c>
      <c r="AB982" s="10" t="n">
        <f aca="false">IF(A982="","",IFERROR(L982+AA982,0))</f>
        <v>48358.7636662507</v>
      </c>
      <c r="AC982" s="10" t="n">
        <f aca="false">IF(A982="","",IF(Inputs!$B$22="Premium Offset",MIN(Inputs!$B$25,Q982+T982),0))</f>
        <v>0</v>
      </c>
    </row>
    <row r="983" customFormat="false" ht="15" hidden="false" customHeight="false" outlineLevel="0" collapsed="false">
      <c r="A983" s="1" t="n">
        <f aca="false">IF(A982="","",IF(INT((C982+1)/12)+Inputs!$B$7&gt;MAX(MORTALITY!$A:$A),"",Inputs!$B$4))</f>
        <v>34</v>
      </c>
      <c r="B983" s="3" t="n">
        <f aca="false">IF(A983="","",EOMONTH(B982,1))</f>
        <v>51591</v>
      </c>
      <c r="C983" s="1" t="n">
        <f aca="false">IF(A983="","",C982+1)</f>
        <v>981</v>
      </c>
      <c r="D983" s="1" t="n">
        <f aca="false">IF(A983="","",INT(C983/12))</f>
        <v>81</v>
      </c>
      <c r="E983" s="1" t="n">
        <f aca="false">IF(A983="","",D983+Inputs!$B$7)</f>
        <v>97</v>
      </c>
      <c r="F983" s="3" t="n">
        <f aca="false">IF(A983="","",DATE(YEAR(B$2)+D983,MONTH(B$2),DAY(B$2)))</f>
        <v>51292</v>
      </c>
      <c r="G983" s="3" t="n">
        <f aca="false">IF(A983="","",DATE(YEAR(F983)+1,MONTH(F983),DAY(F983)))</f>
        <v>51657</v>
      </c>
      <c r="H983" s="10" t="n">
        <f aca="false">IF(A983="","",IF(G983&gt;F983,(B983-F983)/(G983-F983),0))</f>
        <v>0.819178082191781</v>
      </c>
      <c r="I983" s="10" t="n">
        <f aca="false">IF(A983="","",IFERROR(INDEX(CV_RATES!$I:$I,MATCH(D983,CV_RATES!$C:$C,0)),0))</f>
        <v>961.973016660815</v>
      </c>
      <c r="J983" s="10" t="n">
        <f aca="false">IF(A983="","",IFERROR(IF(E983=MAX(MORTALITY!$A:$A),1000,INDEX(CV_RATES!$J:$J,MATCH(D983,CV_RATES!$C:$C,0))),0))</f>
        <v>969.058179654968</v>
      </c>
      <c r="K983" s="10" t="n">
        <f aca="false">IF(A983="","",IFERROR(I983+H983*(J983-I983),0))</f>
        <v>967.777026894381</v>
      </c>
      <c r="L983" s="10" t="n">
        <f aca="false">IF(A983="","",IFERROR(K983*Inputs!$B$9,0))</f>
        <v>48388.8513447191</v>
      </c>
      <c r="M983" s="10" t="n">
        <f aca="false">IF(A983="","",IFERROR(K983*Inputs!$B$10,0))</f>
        <v>154841.42097202</v>
      </c>
      <c r="N983" s="10" t="n">
        <f aca="false">IF(A983="","",Z982)</f>
        <v>0</v>
      </c>
      <c r="O983" s="6" t="n">
        <f aca="false">IF(A983="","",Inputs!$B$18+N983)</f>
        <v>50000</v>
      </c>
      <c r="P983" s="5" t="n">
        <f aca="false">IF(A983="","",VLOOKUP(D983,DIvidend_Assumption!$A$3:$CX$103,($E$2+2),0)/12)</f>
        <v>0</v>
      </c>
      <c r="Q983" s="10" t="n">
        <f aca="false">IF(A983="","",IFERROR(AB982*P983,""))</f>
        <v>0</v>
      </c>
      <c r="R983" s="10" t="n">
        <f aca="false">IF(A983="","",IFERROR(IF(Inputs!$B$22="Accumulate",T983+Q983,IF(Inputs!$B$22="Premium Offset",MAX(0,T983+Q983-Inputs!$B$25),T983)),""))</f>
        <v>0</v>
      </c>
      <c r="S983" s="10" t="n">
        <f aca="false">IF(A983="","",R982)</f>
        <v>0</v>
      </c>
      <c r="T983" s="10" t="n">
        <f aca="false">IF(A983="","",IFERROR(S983*(1+Inputs!$B$23/12),""))</f>
        <v>0</v>
      </c>
      <c r="U983" s="6" t="n">
        <f aca="false">IF(A983="","",IF(D983&lt;=Inputs!$B$8,IF(Inputs!$B$22="Premium Offset",MAX(0,Inputs!$B$25-(Q983+T983)),Inputs!$B$25),0))</f>
        <v>0</v>
      </c>
      <c r="V983" s="10" t="n">
        <f aca="false">IF(A983="","",IF(Inputs!$B$22="Cash",Q983,0))</f>
        <v>0</v>
      </c>
      <c r="W983" s="10" t="n">
        <f aca="false">IF(A983="","",IF(Inputs!$B$22="PUA",Q983,0))</f>
        <v>0</v>
      </c>
      <c r="X983" s="12" t="n">
        <f aca="false">IF(A983="","",IFERROR(INDEX(PUA_TABLE!$D$4:$D$105,MATCH(E983,PUA_TABLE!$C$4:$C$105,1)),0))</f>
        <v>0.961973016660815</v>
      </c>
      <c r="Y983" s="10" t="n">
        <f aca="false">IF(A983="","",IF(W983&gt;0,IF(X983&gt;0,W983/X983,0),0))</f>
        <v>0</v>
      </c>
      <c r="Z983" s="10" t="n">
        <f aca="false">IF(A983="","",N983+Y983)</f>
        <v>0</v>
      </c>
      <c r="AA983" s="10" t="n">
        <f aca="false">IF(A983="","",IFERROR(Z983*INDEX(PUA_TABLE!$I$4:$I$105,MATCH(E983,PUA_TABLE!$C$4:$C$105,1))/1000,0))</f>
        <v>0</v>
      </c>
      <c r="AB983" s="10" t="n">
        <f aca="false">IF(A983="","",IFERROR(L983+AA983,0))</f>
        <v>48388.8513447191</v>
      </c>
      <c r="AC983" s="10" t="n">
        <f aca="false">IF(A983="","",IF(Inputs!$B$22="Premium Offset",MIN(Inputs!$B$25,Q983+T983),0))</f>
        <v>0</v>
      </c>
    </row>
    <row r="984" customFormat="false" ht="15" hidden="false" customHeight="false" outlineLevel="0" collapsed="false">
      <c r="A984" s="1" t="n">
        <f aca="false">IF(A983="","",IF(INT((C983+1)/12)+Inputs!$B$7&gt;MAX(MORTALITY!$A:$A),"",Inputs!$B$4))</f>
        <v>34</v>
      </c>
      <c r="B984" s="3" t="n">
        <f aca="false">IF(A984="","",EOMONTH(B983,1))</f>
        <v>51621</v>
      </c>
      <c r="C984" s="1" t="n">
        <f aca="false">IF(A984="","",C983+1)</f>
        <v>982</v>
      </c>
      <c r="D984" s="1" t="n">
        <f aca="false">IF(A984="","",INT(C984/12))</f>
        <v>81</v>
      </c>
      <c r="E984" s="1" t="n">
        <f aca="false">IF(A984="","",D984+Inputs!$B$7)</f>
        <v>97</v>
      </c>
      <c r="F984" s="3" t="n">
        <f aca="false">IF(A984="","",DATE(YEAR(B$2)+D984,MONTH(B$2),DAY(B$2)))</f>
        <v>51292</v>
      </c>
      <c r="G984" s="3" t="n">
        <f aca="false">IF(A984="","",DATE(YEAR(F984)+1,MONTH(F984),DAY(F984)))</f>
        <v>51657</v>
      </c>
      <c r="H984" s="10" t="n">
        <f aca="false">IF(A984="","",IF(G984&gt;F984,(B984-F984)/(G984-F984),0))</f>
        <v>0.901369863013699</v>
      </c>
      <c r="I984" s="10" t="n">
        <f aca="false">IF(A984="","",IFERROR(INDEX(CV_RATES!$I:$I,MATCH(D984,CV_RATES!$C:$C,0)),0))</f>
        <v>961.973016660815</v>
      </c>
      <c r="J984" s="10" t="n">
        <f aca="false">IF(A984="","",IFERROR(IF(E984=MAX(MORTALITY!$A:$A),1000,INDEX(CV_RATES!$J:$J,MATCH(D984,CV_RATES!$C:$C,0))),0))</f>
        <v>969.058179654968</v>
      </c>
      <c r="K984" s="10" t="n">
        <f aca="false">IF(A984="","",IFERROR(I984+H984*(J984-I984),0))</f>
        <v>968.359369058284</v>
      </c>
      <c r="L984" s="10" t="n">
        <f aca="false">IF(A984="","",IFERROR(K984*Inputs!$B$9,0))</f>
        <v>48417.9684529142</v>
      </c>
      <c r="M984" s="10" t="n">
        <f aca="false">IF(A984="","",IFERROR(K984*Inputs!$B$10,0))</f>
        <v>154934.593971218</v>
      </c>
      <c r="N984" s="10" t="n">
        <f aca="false">IF(A984="","",Z983)</f>
        <v>0</v>
      </c>
      <c r="O984" s="6" t="n">
        <f aca="false">IF(A984="","",Inputs!$B$18+N984)</f>
        <v>50000</v>
      </c>
      <c r="P984" s="5" t="n">
        <f aca="false">IF(A984="","",VLOOKUP(D984,DIvidend_Assumption!$A$3:$CX$103,($E$2+2),0)/12)</f>
        <v>0</v>
      </c>
      <c r="Q984" s="10" t="n">
        <f aca="false">IF(A984="","",IFERROR(AB983*P984,""))</f>
        <v>0</v>
      </c>
      <c r="R984" s="10" t="n">
        <f aca="false">IF(A984="","",IFERROR(IF(Inputs!$B$22="Accumulate",T984+Q984,IF(Inputs!$B$22="Premium Offset",MAX(0,T984+Q984-Inputs!$B$25),T984)),""))</f>
        <v>0</v>
      </c>
      <c r="S984" s="10" t="n">
        <f aca="false">IF(A984="","",R983)</f>
        <v>0</v>
      </c>
      <c r="T984" s="10" t="n">
        <f aca="false">IF(A984="","",IFERROR(S984*(1+Inputs!$B$23/12),""))</f>
        <v>0</v>
      </c>
      <c r="U984" s="6" t="n">
        <f aca="false">IF(A984="","",IF(D984&lt;=Inputs!$B$8,IF(Inputs!$B$22="Premium Offset",MAX(0,Inputs!$B$25-(Q984+T984)),Inputs!$B$25),0))</f>
        <v>0</v>
      </c>
      <c r="V984" s="10" t="n">
        <f aca="false">IF(A984="","",IF(Inputs!$B$22="Cash",Q984,0))</f>
        <v>0</v>
      </c>
      <c r="W984" s="10" t="n">
        <f aca="false">IF(A984="","",IF(Inputs!$B$22="PUA",Q984,0))</f>
        <v>0</v>
      </c>
      <c r="X984" s="12" t="n">
        <f aca="false">IF(A984="","",IFERROR(INDEX(PUA_TABLE!$D$4:$D$105,MATCH(E984,PUA_TABLE!$C$4:$C$105,1)),0))</f>
        <v>0.961973016660815</v>
      </c>
      <c r="Y984" s="10" t="n">
        <f aca="false">IF(A984="","",IF(W984&gt;0,IF(X984&gt;0,W984/X984,0),0))</f>
        <v>0</v>
      </c>
      <c r="Z984" s="10" t="n">
        <f aca="false">IF(A984="","",N984+Y984)</f>
        <v>0</v>
      </c>
      <c r="AA984" s="10" t="n">
        <f aca="false">IF(A984="","",IFERROR(Z984*INDEX(PUA_TABLE!$I$4:$I$105,MATCH(E984,PUA_TABLE!$C$4:$C$105,1))/1000,0))</f>
        <v>0</v>
      </c>
      <c r="AB984" s="10" t="n">
        <f aca="false">IF(A984="","",IFERROR(L984+AA984,0))</f>
        <v>48417.9684529142</v>
      </c>
      <c r="AC984" s="10" t="n">
        <f aca="false">IF(A984="","",IF(Inputs!$B$22="Premium Offset",MIN(Inputs!$B$25,Q984+T984),0))</f>
        <v>0</v>
      </c>
    </row>
    <row r="985" customFormat="false" ht="15" hidden="false" customHeight="false" outlineLevel="0" collapsed="false">
      <c r="A985" s="1" t="n">
        <f aca="false">IF(A984="","",IF(INT((C984+1)/12)+Inputs!$B$7&gt;MAX(MORTALITY!$A:$A),"",Inputs!$B$4))</f>
        <v>34</v>
      </c>
      <c r="B985" s="3" t="n">
        <f aca="false">IF(A985="","",EOMONTH(B984,1))</f>
        <v>51652</v>
      </c>
      <c r="C985" s="1" t="n">
        <f aca="false">IF(A985="","",C984+1)</f>
        <v>983</v>
      </c>
      <c r="D985" s="1" t="n">
        <f aca="false">IF(A985="","",INT(C985/12))</f>
        <v>81</v>
      </c>
      <c r="E985" s="1" t="n">
        <f aca="false">IF(A985="","",D985+Inputs!$B$7)</f>
        <v>97</v>
      </c>
      <c r="F985" s="3" t="n">
        <f aca="false">IF(A985="","",DATE(YEAR(B$2)+D985,MONTH(B$2),DAY(B$2)))</f>
        <v>51292</v>
      </c>
      <c r="G985" s="3" t="n">
        <f aca="false">IF(A985="","",DATE(YEAR(F985)+1,MONTH(F985),DAY(F985)))</f>
        <v>51657</v>
      </c>
      <c r="H985" s="10" t="n">
        <f aca="false">IF(A985="","",IF(G985&gt;F985,(B985-F985)/(G985-F985),0))</f>
        <v>0.986301369863014</v>
      </c>
      <c r="I985" s="10" t="n">
        <f aca="false">IF(A985="","",IFERROR(INDEX(CV_RATES!$I:$I,MATCH(D985,CV_RATES!$C:$C,0)),0))</f>
        <v>961.973016660815</v>
      </c>
      <c r="J985" s="10" t="n">
        <f aca="false">IF(A985="","",IFERROR(IF(E985=MAX(MORTALITY!$A:$A),1000,INDEX(CV_RATES!$J:$J,MATCH(D985,CV_RATES!$C:$C,0))),0))</f>
        <v>969.058179654968</v>
      </c>
      <c r="K985" s="10" t="n">
        <f aca="false">IF(A985="","",IFERROR(I985+H985*(J985-I985),0))</f>
        <v>968.96112262765</v>
      </c>
      <c r="L985" s="10" t="n">
        <f aca="false">IF(A985="","",IFERROR(K985*Inputs!$B$9,0))</f>
        <v>48448.0561313825</v>
      </c>
      <c r="M985" s="10" t="n">
        <f aca="false">IF(A985="","",IFERROR(K985*Inputs!$B$10,0))</f>
        <v>155030.872737056</v>
      </c>
      <c r="N985" s="10" t="n">
        <f aca="false">IF(A985="","",Z984)</f>
        <v>0</v>
      </c>
      <c r="O985" s="6" t="n">
        <f aca="false">IF(A985="","",Inputs!$B$18+N985)</f>
        <v>50000</v>
      </c>
      <c r="P985" s="5" t="n">
        <f aca="false">IF(A985="","",VLOOKUP(D985,DIvidend_Assumption!$A$3:$CX$103,($E$2+2),0)/12)</f>
        <v>0</v>
      </c>
      <c r="Q985" s="10" t="n">
        <f aca="false">IF(A985="","",IFERROR(AB984*P985,""))</f>
        <v>0</v>
      </c>
      <c r="R985" s="10" t="n">
        <f aca="false">IF(A985="","",IFERROR(IF(Inputs!$B$22="Accumulate",T985+Q985,IF(Inputs!$B$22="Premium Offset",MAX(0,T985+Q985-Inputs!$B$25),T985)),""))</f>
        <v>0</v>
      </c>
      <c r="S985" s="10" t="n">
        <f aca="false">IF(A985="","",R984)</f>
        <v>0</v>
      </c>
      <c r="T985" s="10" t="n">
        <f aca="false">IF(A985="","",IFERROR(S985*(1+Inputs!$B$23/12),""))</f>
        <v>0</v>
      </c>
      <c r="U985" s="6" t="n">
        <f aca="false">IF(A985="","",IF(D985&lt;=Inputs!$B$8,IF(Inputs!$B$22="Premium Offset",MAX(0,Inputs!$B$25-(Q985+T985)),Inputs!$B$25),0))</f>
        <v>0</v>
      </c>
      <c r="V985" s="10" t="n">
        <f aca="false">IF(A985="","",IF(Inputs!$B$22="Cash",Q985,0))</f>
        <v>0</v>
      </c>
      <c r="W985" s="10" t="n">
        <f aca="false">IF(A985="","",IF(Inputs!$B$22="PUA",Q985,0))</f>
        <v>0</v>
      </c>
      <c r="X985" s="12" t="n">
        <f aca="false">IF(A985="","",IFERROR(INDEX(PUA_TABLE!$D$4:$D$105,MATCH(E985,PUA_TABLE!$C$4:$C$105,1)),0))</f>
        <v>0.961973016660815</v>
      </c>
      <c r="Y985" s="10" t="n">
        <f aca="false">IF(A985="","",IF(W985&gt;0,IF(X985&gt;0,W985/X985,0),0))</f>
        <v>0</v>
      </c>
      <c r="Z985" s="10" t="n">
        <f aca="false">IF(A985="","",N985+Y985)</f>
        <v>0</v>
      </c>
      <c r="AA985" s="10" t="n">
        <f aca="false">IF(A985="","",IFERROR(Z985*INDEX(PUA_TABLE!$I$4:$I$105,MATCH(E985,PUA_TABLE!$C$4:$C$105,1))/1000,0))</f>
        <v>0</v>
      </c>
      <c r="AB985" s="10" t="n">
        <f aca="false">IF(A985="","",IFERROR(L985+AA985,0))</f>
        <v>48448.0561313825</v>
      </c>
      <c r="AC985" s="10" t="n">
        <f aca="false">IF(A985="","",IF(Inputs!$B$22="Premium Offset",MIN(Inputs!$B$25,Q985+T985),0))</f>
        <v>0</v>
      </c>
    </row>
    <row r="986" customFormat="false" ht="15" hidden="false" customHeight="false" outlineLevel="0" collapsed="false">
      <c r="A986" s="1" t="n">
        <f aca="false">IF(A985="","",IF(INT((C985+1)/12)+Inputs!$B$7&gt;MAX(MORTALITY!$A:$A),"",Inputs!$B$4))</f>
        <v>34</v>
      </c>
      <c r="B986" s="3" t="n">
        <f aca="false">IF(A986="","",EOMONTH(B985,1))</f>
        <v>51682</v>
      </c>
      <c r="C986" s="1" t="n">
        <f aca="false">IF(A986="","",C985+1)</f>
        <v>984</v>
      </c>
      <c r="D986" s="1" t="n">
        <f aca="false">IF(A986="","",INT(C986/12))</f>
        <v>82</v>
      </c>
      <c r="E986" s="1" t="n">
        <f aca="false">IF(A986="","",D986+Inputs!$B$7)</f>
        <v>98</v>
      </c>
      <c r="F986" s="3" t="n">
        <f aca="false">IF(A986="","",DATE(YEAR(B$2)+D986,MONTH(B$2),DAY(B$2)))</f>
        <v>51657</v>
      </c>
      <c r="G986" s="3" t="n">
        <f aca="false">IF(A986="","",DATE(YEAR(F986)+1,MONTH(F986),DAY(F986)))</f>
        <v>52022</v>
      </c>
      <c r="H986" s="10" t="n">
        <f aca="false">IF(A986="","",IF(G986&gt;F986,(B986-F986)/(G986-F986),0))</f>
        <v>0.0684931506849315</v>
      </c>
      <c r="I986" s="10" t="n">
        <f aca="false">IF(A986="","",IFERROR(INDEX(CV_RATES!$I:$I,MATCH(D986,CV_RATES!$C:$C,0)),0))</f>
        <v>969.058179654968</v>
      </c>
      <c r="J986" s="10" t="n">
        <f aca="false">IF(A986="","",IFERROR(IF(E986=MAX(MORTALITY!$A:$A),1000,INDEX(CV_RATES!$J:$J,MATCH(D986,CV_RATES!$C:$C,0))),0))</f>
        <v>975.609756097561</v>
      </c>
      <c r="K986" s="10" t="n">
        <f aca="false">IF(A986="","",IFERROR(I986+H986*(J986-I986),0))</f>
        <v>969.506917767474</v>
      </c>
      <c r="L986" s="10" t="n">
        <f aca="false">IF(A986="","",IFERROR(K986*Inputs!$B$9,0))</f>
        <v>48475.3458883737</v>
      </c>
      <c r="M986" s="10" t="n">
        <f aca="false">IF(A986="","",IFERROR(K986*Inputs!$B$10,0))</f>
        <v>155118.198322043</v>
      </c>
      <c r="N986" s="10" t="n">
        <f aca="false">IF(A986="","",Z985)</f>
        <v>0</v>
      </c>
      <c r="O986" s="6" t="n">
        <f aca="false">IF(A986="","",Inputs!$B$18+N986)</f>
        <v>50000</v>
      </c>
      <c r="P986" s="5" t="n">
        <f aca="false">IF(A986="","",VLOOKUP(D986,DIvidend_Assumption!$A$3:$CX$103,($E$2+2),0)/12)</f>
        <v>0</v>
      </c>
      <c r="Q986" s="10" t="n">
        <f aca="false">IF(A986="","",IFERROR(AB985*P986,""))</f>
        <v>0</v>
      </c>
      <c r="R986" s="10" t="n">
        <f aca="false">IF(A986="","",IFERROR(IF(Inputs!$B$22="Accumulate",T986+Q986,IF(Inputs!$B$22="Premium Offset",MAX(0,T986+Q986-Inputs!$B$25),T986)),""))</f>
        <v>0</v>
      </c>
      <c r="S986" s="10" t="n">
        <f aca="false">IF(A986="","",R985)</f>
        <v>0</v>
      </c>
      <c r="T986" s="10" t="n">
        <f aca="false">IF(A986="","",IFERROR(S986*(1+Inputs!$B$23/12),""))</f>
        <v>0</v>
      </c>
      <c r="U986" s="6" t="n">
        <f aca="false">IF(A986="","",IF(D986&lt;=Inputs!$B$8,IF(Inputs!$B$22="Premium Offset",MAX(0,Inputs!$B$25-(Q986+T986)),Inputs!$B$25),0))</f>
        <v>0</v>
      </c>
      <c r="V986" s="10" t="n">
        <f aca="false">IF(A986="","",IF(Inputs!$B$22="Cash",Q986,0))</f>
        <v>0</v>
      </c>
      <c r="W986" s="10" t="n">
        <f aca="false">IF(A986="","",IF(Inputs!$B$22="PUA",Q986,0))</f>
        <v>0</v>
      </c>
      <c r="X986" s="12" t="n">
        <f aca="false">IF(A986="","",IFERROR(INDEX(PUA_TABLE!$D$4:$D$105,MATCH(E986,PUA_TABLE!$C$4:$C$105,1)),0))</f>
        <v>0.969058179654967</v>
      </c>
      <c r="Y986" s="10" t="n">
        <f aca="false">IF(A986="","",IF(W986&gt;0,IF(X986&gt;0,W986/X986,0),0))</f>
        <v>0</v>
      </c>
      <c r="Z986" s="10" t="n">
        <f aca="false">IF(A986="","",N986+Y986)</f>
        <v>0</v>
      </c>
      <c r="AA986" s="10" t="n">
        <f aca="false">IF(A986="","",IFERROR(Z986*INDEX(PUA_TABLE!$I$4:$I$105,MATCH(E986,PUA_TABLE!$C$4:$C$105,1))/1000,0))</f>
        <v>0</v>
      </c>
      <c r="AB986" s="10" t="n">
        <f aca="false">IF(A986="","",IFERROR(L986+AA986,0))</f>
        <v>48475.3458883737</v>
      </c>
      <c r="AC986" s="10" t="n">
        <f aca="false">IF(A986="","",IF(Inputs!$B$22="Premium Offset",MIN(Inputs!$B$25,Q986+T986),0))</f>
        <v>0</v>
      </c>
    </row>
    <row r="987" customFormat="false" ht="15" hidden="false" customHeight="false" outlineLevel="0" collapsed="false">
      <c r="A987" s="1" t="n">
        <f aca="false">IF(A986="","",IF(INT((C986+1)/12)+Inputs!$B$7&gt;MAX(MORTALITY!$A:$A),"",Inputs!$B$4))</f>
        <v>34</v>
      </c>
      <c r="B987" s="3" t="n">
        <f aca="false">IF(A987="","",EOMONTH(B986,1))</f>
        <v>51713</v>
      </c>
      <c r="C987" s="1" t="n">
        <f aca="false">IF(A987="","",C986+1)</f>
        <v>985</v>
      </c>
      <c r="D987" s="1" t="n">
        <f aca="false">IF(A987="","",INT(C987/12))</f>
        <v>82</v>
      </c>
      <c r="E987" s="1" t="n">
        <f aca="false">IF(A987="","",D987+Inputs!$B$7)</f>
        <v>98</v>
      </c>
      <c r="F987" s="3" t="n">
        <f aca="false">IF(A987="","",DATE(YEAR(B$2)+D987,MONTH(B$2),DAY(B$2)))</f>
        <v>51657</v>
      </c>
      <c r="G987" s="3" t="n">
        <f aca="false">IF(A987="","",DATE(YEAR(F987)+1,MONTH(F987),DAY(F987)))</f>
        <v>52022</v>
      </c>
      <c r="H987" s="10" t="n">
        <f aca="false">IF(A987="","",IF(G987&gt;F987,(B987-F987)/(G987-F987),0))</f>
        <v>0.153424657534247</v>
      </c>
      <c r="I987" s="10" t="n">
        <f aca="false">IF(A987="","",IFERROR(INDEX(CV_RATES!$I:$I,MATCH(D987,CV_RATES!$C:$C,0)),0))</f>
        <v>969.058179654968</v>
      </c>
      <c r="J987" s="10" t="n">
        <f aca="false">IF(A987="","",IFERROR(IF(E987=MAX(MORTALITY!$A:$A),1000,INDEX(CV_RATES!$J:$J,MATCH(D987,CV_RATES!$C:$C,0))),0))</f>
        <v>975.609756097561</v>
      </c>
      <c r="K987" s="10" t="n">
        <f aca="false">IF(A987="","",IFERROR(I987+H987*(J987-I987),0))</f>
        <v>970.063353026982</v>
      </c>
      <c r="L987" s="10" t="n">
        <f aca="false">IF(A987="","",IFERROR(K987*Inputs!$B$9,0))</f>
        <v>48503.1676513491</v>
      </c>
      <c r="M987" s="10" t="n">
        <f aca="false">IF(A987="","",IFERROR(K987*Inputs!$B$10,0))</f>
        <v>155207.226294258</v>
      </c>
      <c r="N987" s="10" t="n">
        <f aca="false">IF(A987="","",Z986)</f>
        <v>0</v>
      </c>
      <c r="O987" s="6" t="n">
        <f aca="false">IF(A987="","",Inputs!$B$18+N987)</f>
        <v>50000</v>
      </c>
      <c r="P987" s="5" t="n">
        <f aca="false">IF(A987="","",VLOOKUP(D987,DIvidend_Assumption!$A$3:$CX$103,($E$2+2),0)/12)</f>
        <v>0</v>
      </c>
      <c r="Q987" s="10" t="n">
        <f aca="false">IF(A987="","",IFERROR(AB986*P987,""))</f>
        <v>0</v>
      </c>
      <c r="R987" s="10" t="n">
        <f aca="false">IF(A987="","",IFERROR(IF(Inputs!$B$22="Accumulate",T987+Q987,IF(Inputs!$B$22="Premium Offset",MAX(0,T987+Q987-Inputs!$B$25),T987)),""))</f>
        <v>0</v>
      </c>
      <c r="S987" s="10" t="n">
        <f aca="false">IF(A987="","",R986)</f>
        <v>0</v>
      </c>
      <c r="T987" s="10" t="n">
        <f aca="false">IF(A987="","",IFERROR(S987*(1+Inputs!$B$23/12),""))</f>
        <v>0</v>
      </c>
      <c r="U987" s="6" t="n">
        <f aca="false">IF(A987="","",IF(D987&lt;=Inputs!$B$8,IF(Inputs!$B$22="Premium Offset",MAX(0,Inputs!$B$25-(Q987+T987)),Inputs!$B$25),0))</f>
        <v>0</v>
      </c>
      <c r="V987" s="10" t="n">
        <f aca="false">IF(A987="","",IF(Inputs!$B$22="Cash",Q987,0))</f>
        <v>0</v>
      </c>
      <c r="W987" s="10" t="n">
        <f aca="false">IF(A987="","",IF(Inputs!$B$22="PUA",Q987,0))</f>
        <v>0</v>
      </c>
      <c r="X987" s="12" t="n">
        <f aca="false">IF(A987="","",IFERROR(INDEX(PUA_TABLE!$D$4:$D$105,MATCH(E987,PUA_TABLE!$C$4:$C$105,1)),0))</f>
        <v>0.969058179654967</v>
      </c>
      <c r="Y987" s="10" t="n">
        <f aca="false">IF(A987="","",IF(W987&gt;0,IF(X987&gt;0,W987/X987,0),0))</f>
        <v>0</v>
      </c>
      <c r="Z987" s="10" t="n">
        <f aca="false">IF(A987="","",N987+Y987)</f>
        <v>0</v>
      </c>
      <c r="AA987" s="10" t="n">
        <f aca="false">IF(A987="","",IFERROR(Z987*INDEX(PUA_TABLE!$I$4:$I$105,MATCH(E987,PUA_TABLE!$C$4:$C$105,1))/1000,0))</f>
        <v>0</v>
      </c>
      <c r="AB987" s="10" t="n">
        <f aca="false">IF(A987="","",IFERROR(L987+AA987,0))</f>
        <v>48503.1676513491</v>
      </c>
      <c r="AC987" s="10" t="n">
        <f aca="false">IF(A987="","",IF(Inputs!$B$22="Premium Offset",MIN(Inputs!$B$25,Q987+T987),0))</f>
        <v>0</v>
      </c>
    </row>
    <row r="988" customFormat="false" ht="15" hidden="false" customHeight="false" outlineLevel="0" collapsed="false">
      <c r="A988" s="1" t="n">
        <f aca="false">IF(A987="","",IF(INT((C987+1)/12)+Inputs!$B$7&gt;MAX(MORTALITY!$A:$A),"",Inputs!$B$4))</f>
        <v>34</v>
      </c>
      <c r="B988" s="3" t="n">
        <f aca="false">IF(A988="","",EOMONTH(B987,1))</f>
        <v>51744</v>
      </c>
      <c r="C988" s="1" t="n">
        <f aca="false">IF(A988="","",C987+1)</f>
        <v>986</v>
      </c>
      <c r="D988" s="1" t="n">
        <f aca="false">IF(A988="","",INT(C988/12))</f>
        <v>82</v>
      </c>
      <c r="E988" s="1" t="n">
        <f aca="false">IF(A988="","",D988+Inputs!$B$7)</f>
        <v>98</v>
      </c>
      <c r="F988" s="3" t="n">
        <f aca="false">IF(A988="","",DATE(YEAR(B$2)+D988,MONTH(B$2),DAY(B$2)))</f>
        <v>51657</v>
      </c>
      <c r="G988" s="3" t="n">
        <f aca="false">IF(A988="","",DATE(YEAR(F988)+1,MONTH(F988),DAY(F988)))</f>
        <v>52022</v>
      </c>
      <c r="H988" s="10" t="n">
        <f aca="false">IF(A988="","",IF(G988&gt;F988,(B988-F988)/(G988-F988),0))</f>
        <v>0.238356164383562</v>
      </c>
      <c r="I988" s="10" t="n">
        <f aca="false">IF(A988="","",IFERROR(INDEX(CV_RATES!$I:$I,MATCH(D988,CV_RATES!$C:$C,0)),0))</f>
        <v>969.058179654968</v>
      </c>
      <c r="J988" s="10" t="n">
        <f aca="false">IF(A988="","",IFERROR(IF(E988=MAX(MORTALITY!$A:$A),1000,INDEX(CV_RATES!$J:$J,MATCH(D988,CV_RATES!$C:$C,0))),0))</f>
        <v>975.609756097561</v>
      </c>
      <c r="K988" s="10" t="n">
        <f aca="false">IF(A988="","",IFERROR(I988+H988*(J988-I988),0))</f>
        <v>970.61978828649</v>
      </c>
      <c r="L988" s="10" t="n">
        <f aca="false">IF(A988="","",IFERROR(K988*Inputs!$B$9,0))</f>
        <v>48530.9894143245</v>
      </c>
      <c r="M988" s="10" t="n">
        <f aca="false">IF(A988="","",IFERROR(K988*Inputs!$B$10,0))</f>
        <v>155296.254266474</v>
      </c>
      <c r="N988" s="10" t="n">
        <f aca="false">IF(A988="","",Z987)</f>
        <v>0</v>
      </c>
      <c r="O988" s="6" t="n">
        <f aca="false">IF(A988="","",Inputs!$B$18+N988)</f>
        <v>50000</v>
      </c>
      <c r="P988" s="5" t="n">
        <f aca="false">IF(A988="","",VLOOKUP(D988,DIvidend_Assumption!$A$3:$CX$103,($E$2+2),0)/12)</f>
        <v>0</v>
      </c>
      <c r="Q988" s="10" t="n">
        <f aca="false">IF(A988="","",IFERROR(AB987*P988,""))</f>
        <v>0</v>
      </c>
      <c r="R988" s="10" t="n">
        <f aca="false">IF(A988="","",IFERROR(IF(Inputs!$B$22="Accumulate",T988+Q988,IF(Inputs!$B$22="Premium Offset",MAX(0,T988+Q988-Inputs!$B$25),T988)),""))</f>
        <v>0</v>
      </c>
      <c r="S988" s="10" t="n">
        <f aca="false">IF(A988="","",R987)</f>
        <v>0</v>
      </c>
      <c r="T988" s="10" t="n">
        <f aca="false">IF(A988="","",IFERROR(S988*(1+Inputs!$B$23/12),""))</f>
        <v>0</v>
      </c>
      <c r="U988" s="6" t="n">
        <f aca="false">IF(A988="","",IF(D988&lt;=Inputs!$B$8,IF(Inputs!$B$22="Premium Offset",MAX(0,Inputs!$B$25-(Q988+T988)),Inputs!$B$25),0))</f>
        <v>0</v>
      </c>
      <c r="V988" s="10" t="n">
        <f aca="false">IF(A988="","",IF(Inputs!$B$22="Cash",Q988,0))</f>
        <v>0</v>
      </c>
      <c r="W988" s="10" t="n">
        <f aca="false">IF(A988="","",IF(Inputs!$B$22="PUA",Q988,0))</f>
        <v>0</v>
      </c>
      <c r="X988" s="12" t="n">
        <f aca="false">IF(A988="","",IFERROR(INDEX(PUA_TABLE!$D$4:$D$105,MATCH(E988,PUA_TABLE!$C$4:$C$105,1)),0))</f>
        <v>0.969058179654967</v>
      </c>
      <c r="Y988" s="10" t="n">
        <f aca="false">IF(A988="","",IF(W988&gt;0,IF(X988&gt;0,W988/X988,0),0))</f>
        <v>0</v>
      </c>
      <c r="Z988" s="10" t="n">
        <f aca="false">IF(A988="","",N988+Y988)</f>
        <v>0</v>
      </c>
      <c r="AA988" s="10" t="n">
        <f aca="false">IF(A988="","",IFERROR(Z988*INDEX(PUA_TABLE!$I$4:$I$105,MATCH(E988,PUA_TABLE!$C$4:$C$105,1))/1000,0))</f>
        <v>0</v>
      </c>
      <c r="AB988" s="10" t="n">
        <f aca="false">IF(A988="","",IFERROR(L988+AA988,0))</f>
        <v>48530.9894143245</v>
      </c>
      <c r="AC988" s="10" t="n">
        <f aca="false">IF(A988="","",IF(Inputs!$B$22="Premium Offset",MIN(Inputs!$B$25,Q988+T988),0))</f>
        <v>0</v>
      </c>
    </row>
    <row r="989" customFormat="false" ht="15" hidden="false" customHeight="false" outlineLevel="0" collapsed="false">
      <c r="A989" s="1" t="n">
        <f aca="false">IF(A988="","",IF(INT((C988+1)/12)+Inputs!$B$7&gt;MAX(MORTALITY!$A:$A),"",Inputs!$B$4))</f>
        <v>34</v>
      </c>
      <c r="B989" s="3" t="n">
        <f aca="false">IF(A989="","",EOMONTH(B988,1))</f>
        <v>51774</v>
      </c>
      <c r="C989" s="1" t="n">
        <f aca="false">IF(A989="","",C988+1)</f>
        <v>987</v>
      </c>
      <c r="D989" s="1" t="n">
        <f aca="false">IF(A989="","",INT(C989/12))</f>
        <v>82</v>
      </c>
      <c r="E989" s="1" t="n">
        <f aca="false">IF(A989="","",D989+Inputs!$B$7)</f>
        <v>98</v>
      </c>
      <c r="F989" s="3" t="n">
        <f aca="false">IF(A989="","",DATE(YEAR(B$2)+D989,MONTH(B$2),DAY(B$2)))</f>
        <v>51657</v>
      </c>
      <c r="G989" s="3" t="n">
        <f aca="false">IF(A989="","",DATE(YEAR(F989)+1,MONTH(F989),DAY(F989)))</f>
        <v>52022</v>
      </c>
      <c r="H989" s="10" t="n">
        <f aca="false">IF(A989="","",IF(G989&gt;F989,(B989-F989)/(G989-F989),0))</f>
        <v>0.320547945205479</v>
      </c>
      <c r="I989" s="10" t="n">
        <f aca="false">IF(A989="","",IFERROR(INDEX(CV_RATES!$I:$I,MATCH(D989,CV_RATES!$C:$C,0)),0))</f>
        <v>969.058179654968</v>
      </c>
      <c r="J989" s="10" t="n">
        <f aca="false">IF(A989="","",IFERROR(IF(E989=MAX(MORTALITY!$A:$A),1000,INDEX(CV_RATES!$J:$J,MATCH(D989,CV_RATES!$C:$C,0))),0))</f>
        <v>975.609756097561</v>
      </c>
      <c r="K989" s="10" t="n">
        <f aca="false">IF(A989="","",IFERROR(I989+H989*(J989-I989),0))</f>
        <v>971.158274021498</v>
      </c>
      <c r="L989" s="10" t="n">
        <f aca="false">IF(A989="","",IFERROR(K989*Inputs!$B$9,0))</f>
        <v>48557.9137010749</v>
      </c>
      <c r="M989" s="10" t="n">
        <f aca="false">IF(A989="","",IFERROR(K989*Inputs!$B$10,0))</f>
        <v>155382.410368618</v>
      </c>
      <c r="N989" s="10" t="n">
        <f aca="false">IF(A989="","",Z988)</f>
        <v>0</v>
      </c>
      <c r="O989" s="6" t="n">
        <f aca="false">IF(A989="","",Inputs!$B$18+N989)</f>
        <v>50000</v>
      </c>
      <c r="P989" s="5" t="n">
        <f aca="false">IF(A989="","",VLOOKUP(D989,DIvidend_Assumption!$A$3:$CX$103,($E$2+2),0)/12)</f>
        <v>0</v>
      </c>
      <c r="Q989" s="10" t="n">
        <f aca="false">IF(A989="","",IFERROR(AB988*P989,""))</f>
        <v>0</v>
      </c>
      <c r="R989" s="10" t="n">
        <f aca="false">IF(A989="","",IFERROR(IF(Inputs!$B$22="Accumulate",T989+Q989,IF(Inputs!$B$22="Premium Offset",MAX(0,T989+Q989-Inputs!$B$25),T989)),""))</f>
        <v>0</v>
      </c>
      <c r="S989" s="10" t="n">
        <f aca="false">IF(A989="","",R988)</f>
        <v>0</v>
      </c>
      <c r="T989" s="10" t="n">
        <f aca="false">IF(A989="","",IFERROR(S989*(1+Inputs!$B$23/12),""))</f>
        <v>0</v>
      </c>
      <c r="U989" s="6" t="n">
        <f aca="false">IF(A989="","",IF(D989&lt;=Inputs!$B$8,IF(Inputs!$B$22="Premium Offset",MAX(0,Inputs!$B$25-(Q989+T989)),Inputs!$B$25),0))</f>
        <v>0</v>
      </c>
      <c r="V989" s="10" t="n">
        <f aca="false">IF(A989="","",IF(Inputs!$B$22="Cash",Q989,0))</f>
        <v>0</v>
      </c>
      <c r="W989" s="10" t="n">
        <f aca="false">IF(A989="","",IF(Inputs!$B$22="PUA",Q989,0))</f>
        <v>0</v>
      </c>
      <c r="X989" s="12" t="n">
        <f aca="false">IF(A989="","",IFERROR(INDEX(PUA_TABLE!$D$4:$D$105,MATCH(E989,PUA_TABLE!$C$4:$C$105,1)),0))</f>
        <v>0.969058179654967</v>
      </c>
      <c r="Y989" s="10" t="n">
        <f aca="false">IF(A989="","",IF(W989&gt;0,IF(X989&gt;0,W989/X989,0),0))</f>
        <v>0</v>
      </c>
      <c r="Z989" s="10" t="n">
        <f aca="false">IF(A989="","",N989+Y989)</f>
        <v>0</v>
      </c>
      <c r="AA989" s="10" t="n">
        <f aca="false">IF(A989="","",IFERROR(Z989*INDEX(PUA_TABLE!$I$4:$I$105,MATCH(E989,PUA_TABLE!$C$4:$C$105,1))/1000,0))</f>
        <v>0</v>
      </c>
      <c r="AB989" s="10" t="n">
        <f aca="false">IF(A989="","",IFERROR(L989+AA989,0))</f>
        <v>48557.9137010749</v>
      </c>
      <c r="AC989" s="10" t="n">
        <f aca="false">IF(A989="","",IF(Inputs!$B$22="Premium Offset",MIN(Inputs!$B$25,Q989+T989),0))</f>
        <v>0</v>
      </c>
    </row>
    <row r="990" customFormat="false" ht="15" hidden="false" customHeight="false" outlineLevel="0" collapsed="false">
      <c r="A990" s="1" t="n">
        <f aca="false">IF(A989="","",IF(INT((C989+1)/12)+Inputs!$B$7&gt;MAX(MORTALITY!$A:$A),"",Inputs!$B$4))</f>
        <v>34</v>
      </c>
      <c r="B990" s="3" t="n">
        <f aca="false">IF(A990="","",EOMONTH(B989,1))</f>
        <v>51805</v>
      </c>
      <c r="C990" s="1" t="n">
        <f aca="false">IF(A990="","",C989+1)</f>
        <v>988</v>
      </c>
      <c r="D990" s="1" t="n">
        <f aca="false">IF(A990="","",INT(C990/12))</f>
        <v>82</v>
      </c>
      <c r="E990" s="1" t="n">
        <f aca="false">IF(A990="","",D990+Inputs!$B$7)</f>
        <v>98</v>
      </c>
      <c r="F990" s="3" t="n">
        <f aca="false">IF(A990="","",DATE(YEAR(B$2)+D990,MONTH(B$2),DAY(B$2)))</f>
        <v>51657</v>
      </c>
      <c r="G990" s="3" t="n">
        <f aca="false">IF(A990="","",DATE(YEAR(F990)+1,MONTH(F990),DAY(F990)))</f>
        <v>52022</v>
      </c>
      <c r="H990" s="10" t="n">
        <f aca="false">IF(A990="","",IF(G990&gt;F990,(B990-F990)/(G990-F990),0))</f>
        <v>0.405479452054795</v>
      </c>
      <c r="I990" s="10" t="n">
        <f aca="false">IF(A990="","",IFERROR(INDEX(CV_RATES!$I:$I,MATCH(D990,CV_RATES!$C:$C,0)),0))</f>
        <v>969.058179654968</v>
      </c>
      <c r="J990" s="10" t="n">
        <f aca="false">IF(A990="","",IFERROR(IF(E990=MAX(MORTALITY!$A:$A),1000,INDEX(CV_RATES!$J:$J,MATCH(D990,CV_RATES!$C:$C,0))),0))</f>
        <v>975.609756097561</v>
      </c>
      <c r="K990" s="10" t="n">
        <f aca="false">IF(A990="","",IFERROR(I990+H990*(J990-I990),0))</f>
        <v>971.714709281006</v>
      </c>
      <c r="L990" s="10" t="n">
        <f aca="false">IF(A990="","",IFERROR(K990*Inputs!$B$9,0))</f>
        <v>48585.7354640503</v>
      </c>
      <c r="M990" s="10" t="n">
        <f aca="false">IF(A990="","",IFERROR(K990*Inputs!$B$10,0))</f>
        <v>155471.438340833</v>
      </c>
      <c r="N990" s="10" t="n">
        <f aca="false">IF(A990="","",Z989)</f>
        <v>0</v>
      </c>
      <c r="O990" s="6" t="n">
        <f aca="false">IF(A990="","",Inputs!$B$18+N990)</f>
        <v>50000</v>
      </c>
      <c r="P990" s="5" t="n">
        <f aca="false">IF(A990="","",VLOOKUP(D990,DIvidend_Assumption!$A$3:$CX$103,($E$2+2),0)/12)</f>
        <v>0</v>
      </c>
      <c r="Q990" s="10" t="n">
        <f aca="false">IF(A990="","",IFERROR(AB989*P990,""))</f>
        <v>0</v>
      </c>
      <c r="R990" s="10" t="n">
        <f aca="false">IF(A990="","",IFERROR(IF(Inputs!$B$22="Accumulate",T990+Q990,IF(Inputs!$B$22="Premium Offset",MAX(0,T990+Q990-Inputs!$B$25),T990)),""))</f>
        <v>0</v>
      </c>
      <c r="S990" s="10" t="n">
        <f aca="false">IF(A990="","",R989)</f>
        <v>0</v>
      </c>
      <c r="T990" s="10" t="n">
        <f aca="false">IF(A990="","",IFERROR(S990*(1+Inputs!$B$23/12),""))</f>
        <v>0</v>
      </c>
      <c r="U990" s="6" t="n">
        <f aca="false">IF(A990="","",IF(D990&lt;=Inputs!$B$8,IF(Inputs!$B$22="Premium Offset",MAX(0,Inputs!$B$25-(Q990+T990)),Inputs!$B$25),0))</f>
        <v>0</v>
      </c>
      <c r="V990" s="10" t="n">
        <f aca="false">IF(A990="","",IF(Inputs!$B$22="Cash",Q990,0))</f>
        <v>0</v>
      </c>
      <c r="W990" s="10" t="n">
        <f aca="false">IF(A990="","",IF(Inputs!$B$22="PUA",Q990,0))</f>
        <v>0</v>
      </c>
      <c r="X990" s="12" t="n">
        <f aca="false">IF(A990="","",IFERROR(INDEX(PUA_TABLE!$D$4:$D$105,MATCH(E990,PUA_TABLE!$C$4:$C$105,1)),0))</f>
        <v>0.969058179654967</v>
      </c>
      <c r="Y990" s="10" t="n">
        <f aca="false">IF(A990="","",IF(W990&gt;0,IF(X990&gt;0,W990/X990,0),0))</f>
        <v>0</v>
      </c>
      <c r="Z990" s="10" t="n">
        <f aca="false">IF(A990="","",N990+Y990)</f>
        <v>0</v>
      </c>
      <c r="AA990" s="10" t="n">
        <f aca="false">IF(A990="","",IFERROR(Z990*INDEX(PUA_TABLE!$I$4:$I$105,MATCH(E990,PUA_TABLE!$C$4:$C$105,1))/1000,0))</f>
        <v>0</v>
      </c>
      <c r="AB990" s="10" t="n">
        <f aca="false">IF(A990="","",IFERROR(L990+AA990,0))</f>
        <v>48585.7354640503</v>
      </c>
      <c r="AC990" s="10" t="n">
        <f aca="false">IF(A990="","",IF(Inputs!$B$22="Premium Offset",MIN(Inputs!$B$25,Q990+T990),0))</f>
        <v>0</v>
      </c>
    </row>
    <row r="991" customFormat="false" ht="15" hidden="false" customHeight="false" outlineLevel="0" collapsed="false">
      <c r="A991" s="1" t="n">
        <f aca="false">IF(A990="","",IF(INT((C990+1)/12)+Inputs!$B$7&gt;MAX(MORTALITY!$A:$A),"",Inputs!$B$4))</f>
        <v>34</v>
      </c>
      <c r="B991" s="3" t="n">
        <f aca="false">IF(A991="","",EOMONTH(B990,1))</f>
        <v>51835</v>
      </c>
      <c r="C991" s="1" t="n">
        <f aca="false">IF(A991="","",C990+1)</f>
        <v>989</v>
      </c>
      <c r="D991" s="1" t="n">
        <f aca="false">IF(A991="","",INT(C991/12))</f>
        <v>82</v>
      </c>
      <c r="E991" s="1" t="n">
        <f aca="false">IF(A991="","",D991+Inputs!$B$7)</f>
        <v>98</v>
      </c>
      <c r="F991" s="3" t="n">
        <f aca="false">IF(A991="","",DATE(YEAR(B$2)+D991,MONTH(B$2),DAY(B$2)))</f>
        <v>51657</v>
      </c>
      <c r="G991" s="3" t="n">
        <f aca="false">IF(A991="","",DATE(YEAR(F991)+1,MONTH(F991),DAY(F991)))</f>
        <v>52022</v>
      </c>
      <c r="H991" s="10" t="n">
        <f aca="false">IF(A991="","",IF(G991&gt;F991,(B991-F991)/(G991-F991),0))</f>
        <v>0.487671232876712</v>
      </c>
      <c r="I991" s="10" t="n">
        <f aca="false">IF(A991="","",IFERROR(INDEX(CV_RATES!$I:$I,MATCH(D991,CV_RATES!$C:$C,0)),0))</f>
        <v>969.058179654968</v>
      </c>
      <c r="J991" s="10" t="n">
        <f aca="false">IF(A991="","",IFERROR(IF(E991=MAX(MORTALITY!$A:$A),1000,INDEX(CV_RATES!$J:$J,MATCH(D991,CV_RATES!$C:$C,0))),0))</f>
        <v>975.609756097561</v>
      </c>
      <c r="K991" s="10" t="n">
        <f aca="false">IF(A991="","",IFERROR(I991+H991*(J991-I991),0))</f>
        <v>972.253195016013</v>
      </c>
      <c r="L991" s="10" t="n">
        <f aca="false">IF(A991="","",IFERROR(K991*Inputs!$B$9,0))</f>
        <v>48612.6597508007</v>
      </c>
      <c r="M991" s="10" t="n">
        <f aca="false">IF(A991="","",IFERROR(K991*Inputs!$B$10,0))</f>
        <v>155557.594442977</v>
      </c>
      <c r="N991" s="10" t="n">
        <f aca="false">IF(A991="","",Z990)</f>
        <v>0</v>
      </c>
      <c r="O991" s="6" t="n">
        <f aca="false">IF(A991="","",Inputs!$B$18+N991)</f>
        <v>50000</v>
      </c>
      <c r="P991" s="5" t="n">
        <f aca="false">IF(A991="","",VLOOKUP(D991,DIvidend_Assumption!$A$3:$CX$103,($E$2+2),0)/12)</f>
        <v>0</v>
      </c>
      <c r="Q991" s="10" t="n">
        <f aca="false">IF(A991="","",IFERROR(AB990*P991,""))</f>
        <v>0</v>
      </c>
      <c r="R991" s="10" t="n">
        <f aca="false">IF(A991="","",IFERROR(IF(Inputs!$B$22="Accumulate",T991+Q991,IF(Inputs!$B$22="Premium Offset",MAX(0,T991+Q991-Inputs!$B$25),T991)),""))</f>
        <v>0</v>
      </c>
      <c r="S991" s="10" t="n">
        <f aca="false">IF(A991="","",R990)</f>
        <v>0</v>
      </c>
      <c r="T991" s="10" t="n">
        <f aca="false">IF(A991="","",IFERROR(S991*(1+Inputs!$B$23/12),""))</f>
        <v>0</v>
      </c>
      <c r="U991" s="6" t="n">
        <f aca="false">IF(A991="","",IF(D991&lt;=Inputs!$B$8,IF(Inputs!$B$22="Premium Offset",MAX(0,Inputs!$B$25-(Q991+T991)),Inputs!$B$25),0))</f>
        <v>0</v>
      </c>
      <c r="V991" s="10" t="n">
        <f aca="false">IF(A991="","",IF(Inputs!$B$22="Cash",Q991,0))</f>
        <v>0</v>
      </c>
      <c r="W991" s="10" t="n">
        <f aca="false">IF(A991="","",IF(Inputs!$B$22="PUA",Q991,0))</f>
        <v>0</v>
      </c>
      <c r="X991" s="12" t="n">
        <f aca="false">IF(A991="","",IFERROR(INDEX(PUA_TABLE!$D$4:$D$105,MATCH(E991,PUA_TABLE!$C$4:$C$105,1)),0))</f>
        <v>0.969058179654967</v>
      </c>
      <c r="Y991" s="10" t="n">
        <f aca="false">IF(A991="","",IF(W991&gt;0,IF(X991&gt;0,W991/X991,0),0))</f>
        <v>0</v>
      </c>
      <c r="Z991" s="10" t="n">
        <f aca="false">IF(A991="","",N991+Y991)</f>
        <v>0</v>
      </c>
      <c r="AA991" s="10" t="n">
        <f aca="false">IF(A991="","",IFERROR(Z991*INDEX(PUA_TABLE!$I$4:$I$105,MATCH(E991,PUA_TABLE!$C$4:$C$105,1))/1000,0))</f>
        <v>0</v>
      </c>
      <c r="AB991" s="10" t="n">
        <f aca="false">IF(A991="","",IFERROR(L991+AA991,0))</f>
        <v>48612.6597508007</v>
      </c>
      <c r="AC991" s="10" t="n">
        <f aca="false">IF(A991="","",IF(Inputs!$B$22="Premium Offset",MIN(Inputs!$B$25,Q991+T991),0))</f>
        <v>0</v>
      </c>
    </row>
    <row r="992" customFormat="false" ht="15" hidden="false" customHeight="false" outlineLevel="0" collapsed="false">
      <c r="A992" s="1" t="n">
        <f aca="false">IF(A991="","",IF(INT((C991+1)/12)+Inputs!$B$7&gt;MAX(MORTALITY!$A:$A),"",Inputs!$B$4))</f>
        <v>34</v>
      </c>
      <c r="B992" s="3" t="n">
        <f aca="false">IF(A992="","",EOMONTH(B991,1))</f>
        <v>51866</v>
      </c>
      <c r="C992" s="1" t="n">
        <f aca="false">IF(A992="","",C991+1)</f>
        <v>990</v>
      </c>
      <c r="D992" s="1" t="n">
        <f aca="false">IF(A992="","",INT(C992/12))</f>
        <v>82</v>
      </c>
      <c r="E992" s="1" t="n">
        <f aca="false">IF(A992="","",D992+Inputs!$B$7)</f>
        <v>98</v>
      </c>
      <c r="F992" s="3" t="n">
        <f aca="false">IF(A992="","",DATE(YEAR(B$2)+D992,MONTH(B$2),DAY(B$2)))</f>
        <v>51657</v>
      </c>
      <c r="G992" s="3" t="n">
        <f aca="false">IF(A992="","",DATE(YEAR(F992)+1,MONTH(F992),DAY(F992)))</f>
        <v>52022</v>
      </c>
      <c r="H992" s="10" t="n">
        <f aca="false">IF(A992="","",IF(G992&gt;F992,(B992-F992)/(G992-F992),0))</f>
        <v>0.572602739726027</v>
      </c>
      <c r="I992" s="10" t="n">
        <f aca="false">IF(A992="","",IFERROR(INDEX(CV_RATES!$I:$I,MATCH(D992,CV_RATES!$C:$C,0)),0))</f>
        <v>969.058179654968</v>
      </c>
      <c r="J992" s="10" t="n">
        <f aca="false">IF(A992="","",IFERROR(IF(E992=MAX(MORTALITY!$A:$A),1000,INDEX(CV_RATES!$J:$J,MATCH(D992,CV_RATES!$C:$C,0))),0))</f>
        <v>975.609756097561</v>
      </c>
      <c r="K992" s="10" t="n">
        <f aca="false">IF(A992="","",IFERROR(I992+H992*(J992-I992),0))</f>
        <v>972.809630275521</v>
      </c>
      <c r="L992" s="10" t="n">
        <f aca="false">IF(A992="","",IFERROR(K992*Inputs!$B$9,0))</f>
        <v>48640.4815137761</v>
      </c>
      <c r="M992" s="10" t="n">
        <f aca="false">IF(A992="","",IFERROR(K992*Inputs!$B$10,0))</f>
        <v>155646.622415193</v>
      </c>
      <c r="N992" s="10" t="n">
        <f aca="false">IF(A992="","",Z991)</f>
        <v>0</v>
      </c>
      <c r="O992" s="6" t="n">
        <f aca="false">IF(A992="","",Inputs!$B$18+N992)</f>
        <v>50000</v>
      </c>
      <c r="P992" s="5" t="n">
        <f aca="false">IF(A992="","",VLOOKUP(D992,DIvidend_Assumption!$A$3:$CX$103,($E$2+2),0)/12)</f>
        <v>0</v>
      </c>
      <c r="Q992" s="10" t="n">
        <f aca="false">IF(A992="","",IFERROR(AB991*P992,""))</f>
        <v>0</v>
      </c>
      <c r="R992" s="10" t="n">
        <f aca="false">IF(A992="","",IFERROR(IF(Inputs!$B$22="Accumulate",T992+Q992,IF(Inputs!$B$22="Premium Offset",MAX(0,T992+Q992-Inputs!$B$25),T992)),""))</f>
        <v>0</v>
      </c>
      <c r="S992" s="10" t="n">
        <f aca="false">IF(A992="","",R991)</f>
        <v>0</v>
      </c>
      <c r="T992" s="10" t="n">
        <f aca="false">IF(A992="","",IFERROR(S992*(1+Inputs!$B$23/12),""))</f>
        <v>0</v>
      </c>
      <c r="U992" s="6" t="n">
        <f aca="false">IF(A992="","",IF(D992&lt;=Inputs!$B$8,IF(Inputs!$B$22="Premium Offset",MAX(0,Inputs!$B$25-(Q992+T992)),Inputs!$B$25),0))</f>
        <v>0</v>
      </c>
      <c r="V992" s="10" t="n">
        <f aca="false">IF(A992="","",IF(Inputs!$B$22="Cash",Q992,0))</f>
        <v>0</v>
      </c>
      <c r="W992" s="10" t="n">
        <f aca="false">IF(A992="","",IF(Inputs!$B$22="PUA",Q992,0))</f>
        <v>0</v>
      </c>
      <c r="X992" s="12" t="n">
        <f aca="false">IF(A992="","",IFERROR(INDEX(PUA_TABLE!$D$4:$D$105,MATCH(E992,PUA_TABLE!$C$4:$C$105,1)),0))</f>
        <v>0.969058179654967</v>
      </c>
      <c r="Y992" s="10" t="n">
        <f aca="false">IF(A992="","",IF(W992&gt;0,IF(X992&gt;0,W992/X992,0),0))</f>
        <v>0</v>
      </c>
      <c r="Z992" s="10" t="n">
        <f aca="false">IF(A992="","",N992+Y992)</f>
        <v>0</v>
      </c>
      <c r="AA992" s="10" t="n">
        <f aca="false">IF(A992="","",IFERROR(Z992*INDEX(PUA_TABLE!$I$4:$I$105,MATCH(E992,PUA_TABLE!$C$4:$C$105,1))/1000,0))</f>
        <v>0</v>
      </c>
      <c r="AB992" s="10" t="n">
        <f aca="false">IF(A992="","",IFERROR(L992+AA992,0))</f>
        <v>48640.4815137761</v>
      </c>
      <c r="AC992" s="10" t="n">
        <f aca="false">IF(A992="","",IF(Inputs!$B$22="Premium Offset",MIN(Inputs!$B$25,Q992+T992),0))</f>
        <v>0</v>
      </c>
    </row>
    <row r="993" customFormat="false" ht="15" hidden="false" customHeight="false" outlineLevel="0" collapsed="false">
      <c r="A993" s="1" t="n">
        <f aca="false">IF(A992="","",IF(INT((C992+1)/12)+Inputs!$B$7&gt;MAX(MORTALITY!$A:$A),"",Inputs!$B$4))</f>
        <v>34</v>
      </c>
      <c r="B993" s="3" t="n">
        <f aca="false">IF(A993="","",EOMONTH(B992,1))</f>
        <v>51897</v>
      </c>
      <c r="C993" s="1" t="n">
        <f aca="false">IF(A993="","",C992+1)</f>
        <v>991</v>
      </c>
      <c r="D993" s="1" t="n">
        <f aca="false">IF(A993="","",INT(C993/12))</f>
        <v>82</v>
      </c>
      <c r="E993" s="1" t="n">
        <f aca="false">IF(A993="","",D993+Inputs!$B$7)</f>
        <v>98</v>
      </c>
      <c r="F993" s="3" t="n">
        <f aca="false">IF(A993="","",DATE(YEAR(B$2)+D993,MONTH(B$2),DAY(B$2)))</f>
        <v>51657</v>
      </c>
      <c r="G993" s="3" t="n">
        <f aca="false">IF(A993="","",DATE(YEAR(F993)+1,MONTH(F993),DAY(F993)))</f>
        <v>52022</v>
      </c>
      <c r="H993" s="10" t="n">
        <f aca="false">IF(A993="","",IF(G993&gt;F993,(B993-F993)/(G993-F993),0))</f>
        <v>0.657534246575342</v>
      </c>
      <c r="I993" s="10" t="n">
        <f aca="false">IF(A993="","",IFERROR(INDEX(CV_RATES!$I:$I,MATCH(D993,CV_RATES!$C:$C,0)),0))</f>
        <v>969.058179654968</v>
      </c>
      <c r="J993" s="10" t="n">
        <f aca="false">IF(A993="","",IFERROR(IF(E993=MAX(MORTALITY!$A:$A),1000,INDEX(CV_RATES!$J:$J,MATCH(D993,CV_RATES!$C:$C,0))),0))</f>
        <v>975.609756097561</v>
      </c>
      <c r="K993" s="10" t="n">
        <f aca="false">IF(A993="","",IFERROR(I993+H993*(J993-I993),0))</f>
        <v>973.366065535029</v>
      </c>
      <c r="L993" s="10" t="n">
        <f aca="false">IF(A993="","",IFERROR(K993*Inputs!$B$9,0))</f>
        <v>48668.3032767515</v>
      </c>
      <c r="M993" s="10" t="n">
        <f aca="false">IF(A993="","",IFERROR(K993*Inputs!$B$10,0))</f>
        <v>155735.650387408</v>
      </c>
      <c r="N993" s="10" t="n">
        <f aca="false">IF(A993="","",Z992)</f>
        <v>0</v>
      </c>
      <c r="O993" s="6" t="n">
        <f aca="false">IF(A993="","",Inputs!$B$18+N993)</f>
        <v>50000</v>
      </c>
      <c r="P993" s="5" t="n">
        <f aca="false">IF(A993="","",VLOOKUP(D993,DIvidend_Assumption!$A$3:$CX$103,($E$2+2),0)/12)</f>
        <v>0</v>
      </c>
      <c r="Q993" s="10" t="n">
        <f aca="false">IF(A993="","",IFERROR(AB992*P993,""))</f>
        <v>0</v>
      </c>
      <c r="R993" s="10" t="n">
        <f aca="false">IF(A993="","",IFERROR(IF(Inputs!$B$22="Accumulate",T993+Q993,IF(Inputs!$B$22="Premium Offset",MAX(0,T993+Q993-Inputs!$B$25),T993)),""))</f>
        <v>0</v>
      </c>
      <c r="S993" s="10" t="n">
        <f aca="false">IF(A993="","",R992)</f>
        <v>0</v>
      </c>
      <c r="T993" s="10" t="n">
        <f aca="false">IF(A993="","",IFERROR(S993*(1+Inputs!$B$23/12),""))</f>
        <v>0</v>
      </c>
      <c r="U993" s="6" t="n">
        <f aca="false">IF(A993="","",IF(D993&lt;=Inputs!$B$8,IF(Inputs!$B$22="Premium Offset",MAX(0,Inputs!$B$25-(Q993+T993)),Inputs!$B$25),0))</f>
        <v>0</v>
      </c>
      <c r="V993" s="10" t="n">
        <f aca="false">IF(A993="","",IF(Inputs!$B$22="Cash",Q993,0))</f>
        <v>0</v>
      </c>
      <c r="W993" s="10" t="n">
        <f aca="false">IF(A993="","",IF(Inputs!$B$22="PUA",Q993,0))</f>
        <v>0</v>
      </c>
      <c r="X993" s="12" t="n">
        <f aca="false">IF(A993="","",IFERROR(INDEX(PUA_TABLE!$D$4:$D$105,MATCH(E993,PUA_TABLE!$C$4:$C$105,1)),0))</f>
        <v>0.969058179654967</v>
      </c>
      <c r="Y993" s="10" t="n">
        <f aca="false">IF(A993="","",IF(W993&gt;0,IF(X993&gt;0,W993/X993,0),0))</f>
        <v>0</v>
      </c>
      <c r="Z993" s="10" t="n">
        <f aca="false">IF(A993="","",N993+Y993)</f>
        <v>0</v>
      </c>
      <c r="AA993" s="10" t="n">
        <f aca="false">IF(A993="","",IFERROR(Z993*INDEX(PUA_TABLE!$I$4:$I$105,MATCH(E993,PUA_TABLE!$C$4:$C$105,1))/1000,0))</f>
        <v>0</v>
      </c>
      <c r="AB993" s="10" t="n">
        <f aca="false">IF(A993="","",IFERROR(L993+AA993,0))</f>
        <v>48668.3032767515</v>
      </c>
      <c r="AC993" s="10" t="n">
        <f aca="false">IF(A993="","",IF(Inputs!$B$22="Premium Offset",MIN(Inputs!$B$25,Q993+T993),0))</f>
        <v>0</v>
      </c>
    </row>
    <row r="994" customFormat="false" ht="15" hidden="false" customHeight="false" outlineLevel="0" collapsed="false">
      <c r="A994" s="1" t="n">
        <f aca="false">IF(A993="","",IF(INT((C993+1)/12)+Inputs!$B$7&gt;MAX(MORTALITY!$A:$A),"",Inputs!$B$4))</f>
        <v>34</v>
      </c>
      <c r="B994" s="3" t="n">
        <f aca="false">IF(A994="","",EOMONTH(B993,1))</f>
        <v>51925</v>
      </c>
      <c r="C994" s="1" t="n">
        <f aca="false">IF(A994="","",C993+1)</f>
        <v>992</v>
      </c>
      <c r="D994" s="1" t="n">
        <f aca="false">IF(A994="","",INT(C994/12))</f>
        <v>82</v>
      </c>
      <c r="E994" s="1" t="n">
        <f aca="false">IF(A994="","",D994+Inputs!$B$7)</f>
        <v>98</v>
      </c>
      <c r="F994" s="3" t="n">
        <f aca="false">IF(A994="","",DATE(YEAR(B$2)+D994,MONTH(B$2),DAY(B$2)))</f>
        <v>51657</v>
      </c>
      <c r="G994" s="3" t="n">
        <f aca="false">IF(A994="","",DATE(YEAR(F994)+1,MONTH(F994),DAY(F994)))</f>
        <v>52022</v>
      </c>
      <c r="H994" s="10" t="n">
        <f aca="false">IF(A994="","",IF(G994&gt;F994,(B994-F994)/(G994-F994),0))</f>
        <v>0.734246575342466</v>
      </c>
      <c r="I994" s="10" t="n">
        <f aca="false">IF(A994="","",IFERROR(INDEX(CV_RATES!$I:$I,MATCH(D994,CV_RATES!$C:$C,0)),0))</f>
        <v>969.058179654968</v>
      </c>
      <c r="J994" s="10" t="n">
        <f aca="false">IF(A994="","",IFERROR(IF(E994=MAX(MORTALITY!$A:$A),1000,INDEX(CV_RATES!$J:$J,MATCH(D994,CV_RATES!$C:$C,0))),0))</f>
        <v>975.609756097561</v>
      </c>
      <c r="K994" s="10" t="n">
        <f aca="false">IF(A994="","",IFERROR(I994+H994*(J994-I994),0))</f>
        <v>973.868652221036</v>
      </c>
      <c r="L994" s="10" t="n">
        <f aca="false">IF(A994="","",IFERROR(K994*Inputs!$B$9,0))</f>
        <v>48693.4326110518</v>
      </c>
      <c r="M994" s="10" t="n">
        <f aca="false">IF(A994="","",IFERROR(K994*Inputs!$B$10,0))</f>
        <v>155816.062749409</v>
      </c>
      <c r="N994" s="10" t="n">
        <f aca="false">IF(A994="","",Z993)</f>
        <v>0</v>
      </c>
      <c r="O994" s="6" t="n">
        <f aca="false">IF(A994="","",Inputs!$B$18+N994)</f>
        <v>50000</v>
      </c>
      <c r="P994" s="5" t="n">
        <f aca="false">IF(A994="","",VLOOKUP(D994,DIvidend_Assumption!$A$3:$CX$103,($E$2+2),0)/12)</f>
        <v>0</v>
      </c>
      <c r="Q994" s="10" t="n">
        <f aca="false">IF(A994="","",IFERROR(AB993*P994,""))</f>
        <v>0</v>
      </c>
      <c r="R994" s="10" t="n">
        <f aca="false">IF(A994="","",IFERROR(IF(Inputs!$B$22="Accumulate",T994+Q994,IF(Inputs!$B$22="Premium Offset",MAX(0,T994+Q994-Inputs!$B$25),T994)),""))</f>
        <v>0</v>
      </c>
      <c r="S994" s="10" t="n">
        <f aca="false">IF(A994="","",R993)</f>
        <v>0</v>
      </c>
      <c r="T994" s="10" t="n">
        <f aca="false">IF(A994="","",IFERROR(S994*(1+Inputs!$B$23/12),""))</f>
        <v>0</v>
      </c>
      <c r="U994" s="6" t="n">
        <f aca="false">IF(A994="","",IF(D994&lt;=Inputs!$B$8,IF(Inputs!$B$22="Premium Offset",MAX(0,Inputs!$B$25-(Q994+T994)),Inputs!$B$25),0))</f>
        <v>0</v>
      </c>
      <c r="V994" s="10" t="n">
        <f aca="false">IF(A994="","",IF(Inputs!$B$22="Cash",Q994,0))</f>
        <v>0</v>
      </c>
      <c r="W994" s="10" t="n">
        <f aca="false">IF(A994="","",IF(Inputs!$B$22="PUA",Q994,0))</f>
        <v>0</v>
      </c>
      <c r="X994" s="12" t="n">
        <f aca="false">IF(A994="","",IFERROR(INDEX(PUA_TABLE!$D$4:$D$105,MATCH(E994,PUA_TABLE!$C$4:$C$105,1)),0))</f>
        <v>0.969058179654967</v>
      </c>
      <c r="Y994" s="10" t="n">
        <f aca="false">IF(A994="","",IF(W994&gt;0,IF(X994&gt;0,W994/X994,0),0))</f>
        <v>0</v>
      </c>
      <c r="Z994" s="10" t="n">
        <f aca="false">IF(A994="","",N994+Y994)</f>
        <v>0</v>
      </c>
      <c r="AA994" s="10" t="n">
        <f aca="false">IF(A994="","",IFERROR(Z994*INDEX(PUA_TABLE!$I$4:$I$105,MATCH(E994,PUA_TABLE!$C$4:$C$105,1))/1000,0))</f>
        <v>0</v>
      </c>
      <c r="AB994" s="10" t="n">
        <f aca="false">IF(A994="","",IFERROR(L994+AA994,0))</f>
        <v>48693.4326110518</v>
      </c>
      <c r="AC994" s="10" t="n">
        <f aca="false">IF(A994="","",IF(Inputs!$B$22="Premium Offset",MIN(Inputs!$B$25,Q994+T994),0))</f>
        <v>0</v>
      </c>
    </row>
    <row r="995" customFormat="false" ht="15" hidden="false" customHeight="false" outlineLevel="0" collapsed="false">
      <c r="A995" s="1" t="n">
        <f aca="false">IF(A994="","",IF(INT((C994+1)/12)+Inputs!$B$7&gt;MAX(MORTALITY!$A:$A),"",Inputs!$B$4))</f>
        <v>34</v>
      </c>
      <c r="B995" s="3" t="n">
        <f aca="false">IF(A995="","",EOMONTH(B994,1))</f>
        <v>51956</v>
      </c>
      <c r="C995" s="1" t="n">
        <f aca="false">IF(A995="","",C994+1)</f>
        <v>993</v>
      </c>
      <c r="D995" s="1" t="n">
        <f aca="false">IF(A995="","",INT(C995/12))</f>
        <v>82</v>
      </c>
      <c r="E995" s="1" t="n">
        <f aca="false">IF(A995="","",D995+Inputs!$B$7)</f>
        <v>98</v>
      </c>
      <c r="F995" s="3" t="n">
        <f aca="false">IF(A995="","",DATE(YEAR(B$2)+D995,MONTH(B$2),DAY(B$2)))</f>
        <v>51657</v>
      </c>
      <c r="G995" s="3" t="n">
        <f aca="false">IF(A995="","",DATE(YEAR(F995)+1,MONTH(F995),DAY(F995)))</f>
        <v>52022</v>
      </c>
      <c r="H995" s="10" t="n">
        <f aca="false">IF(A995="","",IF(G995&gt;F995,(B995-F995)/(G995-F995),0))</f>
        <v>0.819178082191781</v>
      </c>
      <c r="I995" s="10" t="n">
        <f aca="false">IF(A995="","",IFERROR(INDEX(CV_RATES!$I:$I,MATCH(D995,CV_RATES!$C:$C,0)),0))</f>
        <v>969.058179654968</v>
      </c>
      <c r="J995" s="10" t="n">
        <f aca="false">IF(A995="","",IFERROR(IF(E995=MAX(MORTALITY!$A:$A),1000,INDEX(CV_RATES!$J:$J,MATCH(D995,CV_RATES!$C:$C,0))),0))</f>
        <v>975.609756097561</v>
      </c>
      <c r="K995" s="10" t="n">
        <f aca="false">IF(A995="","",IFERROR(I995+H995*(J995-I995),0))</f>
        <v>974.425087480544</v>
      </c>
      <c r="L995" s="10" t="n">
        <f aca="false">IF(A995="","",IFERROR(K995*Inputs!$B$9,0))</f>
        <v>48721.2543740272</v>
      </c>
      <c r="M995" s="10" t="n">
        <f aca="false">IF(A995="","",IFERROR(K995*Inputs!$B$10,0))</f>
        <v>155905.090721625</v>
      </c>
      <c r="N995" s="10" t="n">
        <f aca="false">IF(A995="","",Z994)</f>
        <v>0</v>
      </c>
      <c r="O995" s="6" t="n">
        <f aca="false">IF(A995="","",Inputs!$B$18+N995)</f>
        <v>50000</v>
      </c>
      <c r="P995" s="5" t="n">
        <f aca="false">IF(A995="","",VLOOKUP(D995,DIvidend_Assumption!$A$3:$CX$103,($E$2+2),0)/12)</f>
        <v>0</v>
      </c>
      <c r="Q995" s="10" t="n">
        <f aca="false">IF(A995="","",IFERROR(AB994*P995,""))</f>
        <v>0</v>
      </c>
      <c r="R995" s="10" t="n">
        <f aca="false">IF(A995="","",IFERROR(IF(Inputs!$B$22="Accumulate",T995+Q995,IF(Inputs!$B$22="Premium Offset",MAX(0,T995+Q995-Inputs!$B$25),T995)),""))</f>
        <v>0</v>
      </c>
      <c r="S995" s="10" t="n">
        <f aca="false">IF(A995="","",R994)</f>
        <v>0</v>
      </c>
      <c r="T995" s="10" t="n">
        <f aca="false">IF(A995="","",IFERROR(S995*(1+Inputs!$B$23/12),""))</f>
        <v>0</v>
      </c>
      <c r="U995" s="6" t="n">
        <f aca="false">IF(A995="","",IF(D995&lt;=Inputs!$B$8,IF(Inputs!$B$22="Premium Offset",MAX(0,Inputs!$B$25-(Q995+T995)),Inputs!$B$25),0))</f>
        <v>0</v>
      </c>
      <c r="V995" s="10" t="n">
        <f aca="false">IF(A995="","",IF(Inputs!$B$22="Cash",Q995,0))</f>
        <v>0</v>
      </c>
      <c r="W995" s="10" t="n">
        <f aca="false">IF(A995="","",IF(Inputs!$B$22="PUA",Q995,0))</f>
        <v>0</v>
      </c>
      <c r="X995" s="12" t="n">
        <f aca="false">IF(A995="","",IFERROR(INDEX(PUA_TABLE!$D$4:$D$105,MATCH(E995,PUA_TABLE!$C$4:$C$105,1)),0))</f>
        <v>0.969058179654967</v>
      </c>
      <c r="Y995" s="10" t="n">
        <f aca="false">IF(A995="","",IF(W995&gt;0,IF(X995&gt;0,W995/X995,0),0))</f>
        <v>0</v>
      </c>
      <c r="Z995" s="10" t="n">
        <f aca="false">IF(A995="","",N995+Y995)</f>
        <v>0</v>
      </c>
      <c r="AA995" s="10" t="n">
        <f aca="false">IF(A995="","",IFERROR(Z995*INDEX(PUA_TABLE!$I$4:$I$105,MATCH(E995,PUA_TABLE!$C$4:$C$105,1))/1000,0))</f>
        <v>0</v>
      </c>
      <c r="AB995" s="10" t="n">
        <f aca="false">IF(A995="","",IFERROR(L995+AA995,0))</f>
        <v>48721.2543740272</v>
      </c>
      <c r="AC995" s="10" t="n">
        <f aca="false">IF(A995="","",IF(Inputs!$B$22="Premium Offset",MIN(Inputs!$B$25,Q995+T995),0))</f>
        <v>0</v>
      </c>
    </row>
    <row r="996" customFormat="false" ht="15" hidden="false" customHeight="false" outlineLevel="0" collapsed="false">
      <c r="A996" s="1" t="n">
        <f aca="false">IF(A995="","",IF(INT((C995+1)/12)+Inputs!$B$7&gt;MAX(MORTALITY!$A:$A),"",Inputs!$B$4))</f>
        <v>34</v>
      </c>
      <c r="B996" s="3" t="n">
        <f aca="false">IF(A996="","",EOMONTH(B995,1))</f>
        <v>51986</v>
      </c>
      <c r="C996" s="1" t="n">
        <f aca="false">IF(A996="","",C995+1)</f>
        <v>994</v>
      </c>
      <c r="D996" s="1" t="n">
        <f aca="false">IF(A996="","",INT(C996/12))</f>
        <v>82</v>
      </c>
      <c r="E996" s="1" t="n">
        <f aca="false">IF(A996="","",D996+Inputs!$B$7)</f>
        <v>98</v>
      </c>
      <c r="F996" s="3" t="n">
        <f aca="false">IF(A996="","",DATE(YEAR(B$2)+D996,MONTH(B$2),DAY(B$2)))</f>
        <v>51657</v>
      </c>
      <c r="G996" s="3" t="n">
        <f aca="false">IF(A996="","",DATE(YEAR(F996)+1,MONTH(F996),DAY(F996)))</f>
        <v>52022</v>
      </c>
      <c r="H996" s="10" t="n">
        <f aca="false">IF(A996="","",IF(G996&gt;F996,(B996-F996)/(G996-F996),0))</f>
        <v>0.901369863013699</v>
      </c>
      <c r="I996" s="10" t="n">
        <f aca="false">IF(A996="","",IFERROR(INDEX(CV_RATES!$I:$I,MATCH(D996,CV_RATES!$C:$C,0)),0))</f>
        <v>969.058179654968</v>
      </c>
      <c r="J996" s="10" t="n">
        <f aca="false">IF(A996="","",IFERROR(IF(E996=MAX(MORTALITY!$A:$A),1000,INDEX(CV_RATES!$J:$J,MATCH(D996,CV_RATES!$C:$C,0))),0))</f>
        <v>975.609756097561</v>
      </c>
      <c r="K996" s="10" t="n">
        <f aca="false">IF(A996="","",IFERROR(I996+H996*(J996-I996),0))</f>
        <v>974.963573215552</v>
      </c>
      <c r="L996" s="10" t="n">
        <f aca="false">IF(A996="","",IFERROR(K996*Inputs!$B$9,0))</f>
        <v>48748.1786607776</v>
      </c>
      <c r="M996" s="10" t="n">
        <f aca="false">IF(A996="","",IFERROR(K996*Inputs!$B$10,0))</f>
        <v>155991.246823769</v>
      </c>
      <c r="N996" s="10" t="n">
        <f aca="false">IF(A996="","",Z995)</f>
        <v>0</v>
      </c>
      <c r="O996" s="6" t="n">
        <f aca="false">IF(A996="","",Inputs!$B$18+N996)</f>
        <v>50000</v>
      </c>
      <c r="P996" s="5" t="n">
        <f aca="false">IF(A996="","",VLOOKUP(D996,DIvidend_Assumption!$A$3:$CX$103,($E$2+2),0)/12)</f>
        <v>0</v>
      </c>
      <c r="Q996" s="10" t="n">
        <f aca="false">IF(A996="","",IFERROR(AB995*P996,""))</f>
        <v>0</v>
      </c>
      <c r="R996" s="10" t="n">
        <f aca="false">IF(A996="","",IFERROR(IF(Inputs!$B$22="Accumulate",T996+Q996,IF(Inputs!$B$22="Premium Offset",MAX(0,T996+Q996-Inputs!$B$25),T996)),""))</f>
        <v>0</v>
      </c>
      <c r="S996" s="10" t="n">
        <f aca="false">IF(A996="","",R995)</f>
        <v>0</v>
      </c>
      <c r="T996" s="10" t="n">
        <f aca="false">IF(A996="","",IFERROR(S996*(1+Inputs!$B$23/12),""))</f>
        <v>0</v>
      </c>
      <c r="U996" s="6" t="n">
        <f aca="false">IF(A996="","",IF(D996&lt;=Inputs!$B$8,IF(Inputs!$B$22="Premium Offset",MAX(0,Inputs!$B$25-(Q996+T996)),Inputs!$B$25),0))</f>
        <v>0</v>
      </c>
      <c r="V996" s="10" t="n">
        <f aca="false">IF(A996="","",IF(Inputs!$B$22="Cash",Q996,0))</f>
        <v>0</v>
      </c>
      <c r="W996" s="10" t="n">
        <f aca="false">IF(A996="","",IF(Inputs!$B$22="PUA",Q996,0))</f>
        <v>0</v>
      </c>
      <c r="X996" s="12" t="n">
        <f aca="false">IF(A996="","",IFERROR(INDEX(PUA_TABLE!$D$4:$D$105,MATCH(E996,PUA_TABLE!$C$4:$C$105,1)),0))</f>
        <v>0.969058179654967</v>
      </c>
      <c r="Y996" s="10" t="n">
        <f aca="false">IF(A996="","",IF(W996&gt;0,IF(X996&gt;0,W996/X996,0),0))</f>
        <v>0</v>
      </c>
      <c r="Z996" s="10" t="n">
        <f aca="false">IF(A996="","",N996+Y996)</f>
        <v>0</v>
      </c>
      <c r="AA996" s="10" t="n">
        <f aca="false">IF(A996="","",IFERROR(Z996*INDEX(PUA_TABLE!$I$4:$I$105,MATCH(E996,PUA_TABLE!$C$4:$C$105,1))/1000,0))</f>
        <v>0</v>
      </c>
      <c r="AB996" s="10" t="n">
        <f aca="false">IF(A996="","",IFERROR(L996+AA996,0))</f>
        <v>48748.1786607776</v>
      </c>
      <c r="AC996" s="10" t="n">
        <f aca="false">IF(A996="","",IF(Inputs!$B$22="Premium Offset",MIN(Inputs!$B$25,Q996+T996),0))</f>
        <v>0</v>
      </c>
    </row>
    <row r="997" customFormat="false" ht="15" hidden="false" customHeight="false" outlineLevel="0" collapsed="false">
      <c r="A997" s="1" t="n">
        <f aca="false">IF(A996="","",IF(INT((C996+1)/12)+Inputs!$B$7&gt;MAX(MORTALITY!$A:$A),"",Inputs!$B$4))</f>
        <v>34</v>
      </c>
      <c r="B997" s="3" t="n">
        <f aca="false">IF(A997="","",EOMONTH(B996,1))</f>
        <v>52017</v>
      </c>
      <c r="C997" s="1" t="n">
        <f aca="false">IF(A997="","",C996+1)</f>
        <v>995</v>
      </c>
      <c r="D997" s="1" t="n">
        <f aca="false">IF(A997="","",INT(C997/12))</f>
        <v>82</v>
      </c>
      <c r="E997" s="1" t="n">
        <f aca="false">IF(A997="","",D997+Inputs!$B$7)</f>
        <v>98</v>
      </c>
      <c r="F997" s="3" t="n">
        <f aca="false">IF(A997="","",DATE(YEAR(B$2)+D997,MONTH(B$2),DAY(B$2)))</f>
        <v>51657</v>
      </c>
      <c r="G997" s="3" t="n">
        <f aca="false">IF(A997="","",DATE(YEAR(F997)+1,MONTH(F997),DAY(F997)))</f>
        <v>52022</v>
      </c>
      <c r="H997" s="10" t="n">
        <f aca="false">IF(A997="","",IF(G997&gt;F997,(B997-F997)/(G997-F997),0))</f>
        <v>0.986301369863014</v>
      </c>
      <c r="I997" s="10" t="n">
        <f aca="false">IF(A997="","",IFERROR(INDEX(CV_RATES!$I:$I,MATCH(D997,CV_RATES!$C:$C,0)),0))</f>
        <v>969.058179654968</v>
      </c>
      <c r="J997" s="10" t="n">
        <f aca="false">IF(A997="","",IFERROR(IF(E997=MAX(MORTALITY!$A:$A),1000,INDEX(CV_RATES!$J:$J,MATCH(D997,CV_RATES!$C:$C,0))),0))</f>
        <v>975.609756097561</v>
      </c>
      <c r="K997" s="10" t="n">
        <f aca="false">IF(A997="","",IFERROR(I997+H997*(J997-I997),0))</f>
        <v>975.52000847506</v>
      </c>
      <c r="L997" s="10" t="n">
        <f aca="false">IF(A997="","",IFERROR(K997*Inputs!$B$9,0))</f>
        <v>48776.000423753</v>
      </c>
      <c r="M997" s="10" t="n">
        <f aca="false">IF(A997="","",IFERROR(K997*Inputs!$B$10,0))</f>
        <v>156080.274795984</v>
      </c>
      <c r="N997" s="10" t="n">
        <f aca="false">IF(A997="","",Z996)</f>
        <v>0</v>
      </c>
      <c r="O997" s="6" t="n">
        <f aca="false">IF(A997="","",Inputs!$B$18+N997)</f>
        <v>50000</v>
      </c>
      <c r="P997" s="5" t="n">
        <f aca="false">IF(A997="","",VLOOKUP(D997,DIvidend_Assumption!$A$3:$CX$103,($E$2+2),0)/12)</f>
        <v>0</v>
      </c>
      <c r="Q997" s="10" t="n">
        <f aca="false">IF(A997="","",IFERROR(AB996*P997,""))</f>
        <v>0</v>
      </c>
      <c r="R997" s="10" t="n">
        <f aca="false">IF(A997="","",IFERROR(IF(Inputs!$B$22="Accumulate",T997+Q997,IF(Inputs!$B$22="Premium Offset",MAX(0,T997+Q997-Inputs!$B$25),T997)),""))</f>
        <v>0</v>
      </c>
      <c r="S997" s="10" t="n">
        <f aca="false">IF(A997="","",R996)</f>
        <v>0</v>
      </c>
      <c r="T997" s="10" t="n">
        <f aca="false">IF(A997="","",IFERROR(S997*(1+Inputs!$B$23/12),""))</f>
        <v>0</v>
      </c>
      <c r="U997" s="6" t="n">
        <f aca="false">IF(A997="","",IF(D997&lt;=Inputs!$B$8,IF(Inputs!$B$22="Premium Offset",MAX(0,Inputs!$B$25-(Q997+T997)),Inputs!$B$25),0))</f>
        <v>0</v>
      </c>
      <c r="V997" s="10" t="n">
        <f aca="false">IF(A997="","",IF(Inputs!$B$22="Cash",Q997,0))</f>
        <v>0</v>
      </c>
      <c r="W997" s="10" t="n">
        <f aca="false">IF(A997="","",IF(Inputs!$B$22="PUA",Q997,0))</f>
        <v>0</v>
      </c>
      <c r="X997" s="12" t="n">
        <f aca="false">IF(A997="","",IFERROR(INDEX(PUA_TABLE!$D$4:$D$105,MATCH(E997,PUA_TABLE!$C$4:$C$105,1)),0))</f>
        <v>0.969058179654967</v>
      </c>
      <c r="Y997" s="10" t="n">
        <f aca="false">IF(A997="","",IF(W997&gt;0,IF(X997&gt;0,W997/X997,0),0))</f>
        <v>0</v>
      </c>
      <c r="Z997" s="10" t="n">
        <f aca="false">IF(A997="","",N997+Y997)</f>
        <v>0</v>
      </c>
      <c r="AA997" s="10" t="n">
        <f aca="false">IF(A997="","",IFERROR(Z997*INDEX(PUA_TABLE!$I$4:$I$105,MATCH(E997,PUA_TABLE!$C$4:$C$105,1))/1000,0))</f>
        <v>0</v>
      </c>
      <c r="AB997" s="10" t="n">
        <f aca="false">IF(A997="","",IFERROR(L997+AA997,0))</f>
        <v>48776.000423753</v>
      </c>
      <c r="AC997" s="10" t="n">
        <f aca="false">IF(A997="","",IF(Inputs!$B$22="Premium Offset",MIN(Inputs!$B$25,Q997+T997),0))</f>
        <v>0</v>
      </c>
    </row>
    <row r="998" customFormat="false" ht="15" hidden="false" customHeight="false" outlineLevel="0" collapsed="false">
      <c r="A998" s="1" t="n">
        <f aca="false">IF(A997="","",IF(INT((C997+1)/12)+Inputs!$B$7&gt;MAX(MORTALITY!$A:$A),"",Inputs!$B$4))</f>
        <v>34</v>
      </c>
      <c r="B998" s="3" t="n">
        <f aca="false">IF(A998="","",EOMONTH(B997,1))</f>
        <v>52047</v>
      </c>
      <c r="C998" s="1" t="n">
        <f aca="false">IF(A998="","",C997+1)</f>
        <v>996</v>
      </c>
      <c r="D998" s="1" t="n">
        <f aca="false">IF(A998="","",INT(C998/12))</f>
        <v>83</v>
      </c>
      <c r="E998" s="1" t="n">
        <f aca="false">IF(A998="","",D998+Inputs!$B$7)</f>
        <v>99</v>
      </c>
      <c r="F998" s="3" t="n">
        <f aca="false">IF(A998="","",DATE(YEAR(B$2)+D998,MONTH(B$2),DAY(B$2)))</f>
        <v>52022</v>
      </c>
      <c r="G998" s="3" t="n">
        <f aca="false">IF(A998="","",DATE(YEAR(F998)+1,MONTH(F998),DAY(F998)))</f>
        <v>52387</v>
      </c>
      <c r="H998" s="10" t="n">
        <f aca="false">IF(A998="","",IF(G998&gt;F998,(B998-F998)/(G998-F998),0))</f>
        <v>0.0684931506849315</v>
      </c>
      <c r="I998" s="10" t="n">
        <f aca="false">IF(A998="","",IFERROR(INDEX(CV_RATES!$I:$I,MATCH(D998,CV_RATES!$C:$C,0)),0))</f>
        <v>975.609756097561</v>
      </c>
      <c r="J998" s="10" t="n">
        <f aca="false">IF(A998="","",IFERROR(IF(E998=MAX(MORTALITY!$A:$A),1000,INDEX(CV_RATES!$J:$J,MATCH(D998,CV_RATES!$C:$C,0))),0))</f>
        <v>1000</v>
      </c>
      <c r="K998" s="10" t="n">
        <f aca="false">IF(A998="","",IFERROR(I998+H998*(J998-I998),0))</f>
        <v>977.280320748413</v>
      </c>
      <c r="L998" s="10" t="n">
        <f aca="false">IF(A998="","",IFERROR(K998*Inputs!$B$9,0))</f>
        <v>48864.0160374207</v>
      </c>
      <c r="M998" s="10" t="n">
        <f aca="false">IF(A998="","",IFERROR(K998*Inputs!$B$10,0))</f>
        <v>156361.919478784</v>
      </c>
      <c r="N998" s="10" t="n">
        <f aca="false">IF(A998="","",Z997)</f>
        <v>0</v>
      </c>
      <c r="O998" s="6" t="n">
        <f aca="false">IF(A998="","",Inputs!$B$18+N998)</f>
        <v>50000</v>
      </c>
      <c r="P998" s="5" t="n">
        <f aca="false">IF(A998="","",VLOOKUP(D998,DIvidend_Assumption!$A$3:$CX$103,($E$2+2),0)/12)</f>
        <v>0</v>
      </c>
      <c r="Q998" s="10" t="n">
        <f aca="false">IF(A998="","",IFERROR(AB997*P998,""))</f>
        <v>0</v>
      </c>
      <c r="R998" s="10" t="n">
        <f aca="false">IF(A998="","",IFERROR(IF(Inputs!$B$22="Accumulate",T998+Q998,IF(Inputs!$B$22="Premium Offset",MAX(0,T998+Q998-Inputs!$B$25),T998)),""))</f>
        <v>0</v>
      </c>
      <c r="S998" s="10" t="n">
        <f aca="false">IF(A998="","",R997)</f>
        <v>0</v>
      </c>
      <c r="T998" s="10" t="n">
        <f aca="false">IF(A998="","",IFERROR(S998*(1+Inputs!$B$23/12),""))</f>
        <v>0</v>
      </c>
      <c r="U998" s="6" t="n">
        <f aca="false">IF(A998="","",IF(D998&lt;=Inputs!$B$8,IF(Inputs!$B$22="Premium Offset",MAX(0,Inputs!$B$25-(Q998+T998)),Inputs!$B$25),0))</f>
        <v>0</v>
      </c>
      <c r="V998" s="10" t="n">
        <f aca="false">IF(A998="","",IF(Inputs!$B$22="Cash",Q998,0))</f>
        <v>0</v>
      </c>
      <c r="W998" s="10" t="n">
        <f aca="false">IF(A998="","",IF(Inputs!$B$22="PUA",Q998,0))</f>
        <v>0</v>
      </c>
      <c r="X998" s="12" t="n">
        <f aca="false">IF(A998="","",IFERROR(INDEX(PUA_TABLE!$D$4:$D$105,MATCH(E998,PUA_TABLE!$C$4:$C$105,1)),0))</f>
        <v>0.975609756097561</v>
      </c>
      <c r="Y998" s="10" t="n">
        <f aca="false">IF(A998="","",IF(W998&gt;0,IF(X998&gt;0,W998/X998,0),0))</f>
        <v>0</v>
      </c>
      <c r="Z998" s="10" t="n">
        <f aca="false">IF(A998="","",N998+Y998)</f>
        <v>0</v>
      </c>
      <c r="AA998" s="10" t="n">
        <f aca="false">IF(A998="","",IFERROR(Z998*INDEX(PUA_TABLE!$I$4:$I$105,MATCH(E998,PUA_TABLE!$C$4:$C$105,1))/1000,0))</f>
        <v>0</v>
      </c>
      <c r="AB998" s="10" t="n">
        <f aca="false">IF(A998="","",IFERROR(L998+AA998,0))</f>
        <v>48864.0160374207</v>
      </c>
      <c r="AC998" s="10" t="n">
        <f aca="false">IF(A998="","",IF(Inputs!$B$22="Premium Offset",MIN(Inputs!$B$25,Q998+T998),0))</f>
        <v>0</v>
      </c>
    </row>
    <row r="999" customFormat="false" ht="15" hidden="false" customHeight="false" outlineLevel="0" collapsed="false">
      <c r="A999" s="1" t="n">
        <f aca="false">IF(A998="","",IF(INT((C998+1)/12)+Inputs!$B$7&gt;MAX(MORTALITY!$A:$A),"",Inputs!$B$4))</f>
        <v>34</v>
      </c>
      <c r="B999" s="3" t="n">
        <f aca="false">IF(A999="","",EOMONTH(B998,1))</f>
        <v>52078</v>
      </c>
      <c r="C999" s="1" t="n">
        <f aca="false">IF(A999="","",C998+1)</f>
        <v>997</v>
      </c>
      <c r="D999" s="1" t="n">
        <f aca="false">IF(A999="","",INT(C999/12))</f>
        <v>83</v>
      </c>
      <c r="E999" s="1" t="n">
        <f aca="false">IF(A999="","",D999+Inputs!$B$7)</f>
        <v>99</v>
      </c>
      <c r="F999" s="3" t="n">
        <f aca="false">IF(A999="","",DATE(YEAR(B$2)+D999,MONTH(B$2),DAY(B$2)))</f>
        <v>52022</v>
      </c>
      <c r="G999" s="3" t="n">
        <f aca="false">IF(A999="","",DATE(YEAR(F999)+1,MONTH(F999),DAY(F999)))</f>
        <v>52387</v>
      </c>
      <c r="H999" s="10" t="n">
        <f aca="false">IF(A999="","",IF(G999&gt;F999,(B999-F999)/(G999-F999),0))</f>
        <v>0.153424657534247</v>
      </c>
      <c r="I999" s="10" t="n">
        <f aca="false">IF(A999="","",IFERROR(INDEX(CV_RATES!$I:$I,MATCH(D999,CV_RATES!$C:$C,0)),0))</f>
        <v>975.609756097561</v>
      </c>
      <c r="J999" s="10" t="n">
        <f aca="false">IF(A999="","",IFERROR(IF(E999=MAX(MORTALITY!$A:$A),1000,INDEX(CV_RATES!$J:$J,MATCH(D999,CV_RATES!$C:$C,0))),0))</f>
        <v>1000</v>
      </c>
      <c r="K999" s="10" t="n">
        <f aca="false">IF(A999="","",IFERROR(I999+H999*(J999-I999),0))</f>
        <v>979.35182091547</v>
      </c>
      <c r="L999" s="10" t="n">
        <f aca="false">IF(A999="","",IFERROR(K999*Inputs!$B$9,0))</f>
        <v>48967.5910457735</v>
      </c>
      <c r="M999" s="10" t="n">
        <f aca="false">IF(A999="","",IFERROR(K999*Inputs!$B$10,0))</f>
        <v>156693.353291012</v>
      </c>
      <c r="N999" s="10" t="n">
        <f aca="false">IF(A999="","",Z998)</f>
        <v>0</v>
      </c>
      <c r="O999" s="6" t="n">
        <f aca="false">IF(A999="","",Inputs!$B$18+N999)</f>
        <v>50000</v>
      </c>
      <c r="P999" s="5" t="n">
        <f aca="false">IF(A999="","",VLOOKUP(D999,DIvidend_Assumption!$A$3:$CX$103,($E$2+2),0)/12)</f>
        <v>0</v>
      </c>
      <c r="Q999" s="10" t="n">
        <f aca="false">IF(A999="","",IFERROR(AB998*P999,""))</f>
        <v>0</v>
      </c>
      <c r="R999" s="10" t="n">
        <f aca="false">IF(A999="","",IFERROR(IF(Inputs!$B$22="Accumulate",T999+Q999,IF(Inputs!$B$22="Premium Offset",MAX(0,T999+Q999-Inputs!$B$25),T999)),""))</f>
        <v>0</v>
      </c>
      <c r="S999" s="10" t="n">
        <f aca="false">IF(A999="","",R998)</f>
        <v>0</v>
      </c>
      <c r="T999" s="10" t="n">
        <f aca="false">IF(A999="","",IFERROR(S999*(1+Inputs!$B$23/12),""))</f>
        <v>0</v>
      </c>
      <c r="U999" s="6" t="n">
        <f aca="false">IF(A999="","",IF(D999&lt;=Inputs!$B$8,IF(Inputs!$B$22="Premium Offset",MAX(0,Inputs!$B$25-(Q999+T999)),Inputs!$B$25),0))</f>
        <v>0</v>
      </c>
      <c r="V999" s="10" t="n">
        <f aca="false">IF(A999="","",IF(Inputs!$B$22="Cash",Q999,0))</f>
        <v>0</v>
      </c>
      <c r="W999" s="10" t="n">
        <f aca="false">IF(A999="","",IF(Inputs!$B$22="PUA",Q999,0))</f>
        <v>0</v>
      </c>
      <c r="X999" s="12" t="n">
        <f aca="false">IF(A999="","",IFERROR(INDEX(PUA_TABLE!$D$4:$D$105,MATCH(E999,PUA_TABLE!$C$4:$C$105,1)),0))</f>
        <v>0.975609756097561</v>
      </c>
      <c r="Y999" s="10" t="n">
        <f aca="false">IF(A999="","",IF(W999&gt;0,IF(X999&gt;0,W999/X999,0),0))</f>
        <v>0</v>
      </c>
      <c r="Z999" s="10" t="n">
        <f aca="false">IF(A999="","",N999+Y999)</f>
        <v>0</v>
      </c>
      <c r="AA999" s="10" t="n">
        <f aca="false">IF(A999="","",IFERROR(Z999*INDEX(PUA_TABLE!$I$4:$I$105,MATCH(E999,PUA_TABLE!$C$4:$C$105,1))/1000,0))</f>
        <v>0</v>
      </c>
      <c r="AB999" s="10" t="n">
        <f aca="false">IF(A999="","",IFERROR(L999+AA999,0))</f>
        <v>48967.5910457735</v>
      </c>
      <c r="AC999" s="10" t="n">
        <f aca="false">IF(A999="","",IF(Inputs!$B$22="Premium Offset",MIN(Inputs!$B$25,Q999+T999),0))</f>
        <v>0</v>
      </c>
    </row>
    <row r="1000" customFormat="false" ht="15" hidden="false" customHeight="false" outlineLevel="0" collapsed="false">
      <c r="A1000" s="1" t="n">
        <f aca="false">IF(A999="","",IF(INT((C999+1)/12)+Inputs!$B$7&gt;MAX(MORTALITY!$A:$A),"",Inputs!$B$4))</f>
        <v>34</v>
      </c>
      <c r="B1000" s="3" t="n">
        <f aca="false">IF(A1000="","",EOMONTH(B999,1))</f>
        <v>52109</v>
      </c>
      <c r="C1000" s="1" t="n">
        <f aca="false">IF(A1000="","",C999+1)</f>
        <v>998</v>
      </c>
      <c r="D1000" s="1" t="n">
        <f aca="false">IF(A1000="","",INT(C1000/12))</f>
        <v>83</v>
      </c>
      <c r="E1000" s="1" t="n">
        <f aca="false">IF(A1000="","",D1000+Inputs!$B$7)</f>
        <v>99</v>
      </c>
      <c r="F1000" s="3" t="n">
        <f aca="false">IF(A1000="","",DATE(YEAR(B$2)+D1000,MONTH(B$2),DAY(B$2)))</f>
        <v>52022</v>
      </c>
      <c r="G1000" s="3" t="n">
        <f aca="false">IF(A1000="","",DATE(YEAR(F1000)+1,MONTH(F1000),DAY(F1000)))</f>
        <v>52387</v>
      </c>
      <c r="H1000" s="10" t="n">
        <f aca="false">IF(A1000="","",IF(G1000&gt;F1000,(B1000-F1000)/(G1000-F1000),0))</f>
        <v>0.238356164383562</v>
      </c>
      <c r="I1000" s="10" t="n">
        <f aca="false">IF(A1000="","",IFERROR(INDEX(CV_RATES!$I:$I,MATCH(D1000,CV_RATES!$C:$C,0)),0))</f>
        <v>975.609756097561</v>
      </c>
      <c r="J1000" s="10" t="n">
        <f aca="false">IF(A1000="","",IFERROR(IF(E1000=MAX(MORTALITY!$A:$A),1000,INDEX(CV_RATES!$J:$J,MATCH(D1000,CV_RATES!$C:$C,0))),0))</f>
        <v>1000</v>
      </c>
      <c r="K1000" s="10" t="n">
        <f aca="false">IF(A1000="","",IFERROR(I1000+H1000*(J1000-I1000),0))</f>
        <v>981.423321082526</v>
      </c>
      <c r="L1000" s="10" t="n">
        <f aca="false">IF(A1000="","",IFERROR(K1000*Inputs!$B$9,0))</f>
        <v>49071.1660541263</v>
      </c>
      <c r="M1000" s="10" t="n">
        <f aca="false">IF(A1000="","",IFERROR(K1000*Inputs!$B$10,0))</f>
        <v>157024.787103241</v>
      </c>
      <c r="N1000" s="10" t="n">
        <f aca="false">IF(A1000="","",Z999)</f>
        <v>0</v>
      </c>
      <c r="O1000" s="6" t="n">
        <f aca="false">IF(A1000="","",Inputs!$B$18+N1000)</f>
        <v>50000</v>
      </c>
      <c r="P1000" s="5" t="n">
        <f aca="false">IF(A1000="","",VLOOKUP(D1000,DIvidend_Assumption!$A$3:$CX$103,($E$2+2),0)/12)</f>
        <v>0</v>
      </c>
      <c r="Q1000" s="10" t="n">
        <f aca="false">IF(A1000="","",IFERROR(AB999*P1000,""))</f>
        <v>0</v>
      </c>
      <c r="R1000" s="10" t="n">
        <f aca="false">IF(A1000="","",IFERROR(IF(Inputs!$B$22="Accumulate",T1000+Q1000,IF(Inputs!$B$22="Premium Offset",MAX(0,T1000+Q1000-Inputs!$B$25),T1000)),""))</f>
        <v>0</v>
      </c>
      <c r="S1000" s="10" t="n">
        <f aca="false">IF(A1000="","",R999)</f>
        <v>0</v>
      </c>
      <c r="T1000" s="10" t="n">
        <f aca="false">IF(A1000="","",IFERROR(S1000*(1+Inputs!$B$23/12),""))</f>
        <v>0</v>
      </c>
      <c r="U1000" s="6" t="n">
        <f aca="false">IF(A1000="","",IF(D1000&lt;=Inputs!$B$8,IF(Inputs!$B$22="Premium Offset",MAX(0,Inputs!$B$25-(Q1000+T1000)),Inputs!$B$25),0))</f>
        <v>0</v>
      </c>
      <c r="V1000" s="10" t="n">
        <f aca="false">IF(A1000="","",IF(Inputs!$B$22="Cash",Q1000,0))</f>
        <v>0</v>
      </c>
      <c r="W1000" s="10" t="n">
        <f aca="false">IF(A1000="","",IF(Inputs!$B$22="PUA",Q1000,0))</f>
        <v>0</v>
      </c>
      <c r="X1000" s="12" t="n">
        <f aca="false">IF(A1000="","",IFERROR(INDEX(PUA_TABLE!$D$4:$D$105,MATCH(E1000,PUA_TABLE!$C$4:$C$105,1)),0))</f>
        <v>0.975609756097561</v>
      </c>
      <c r="Y1000" s="10" t="n">
        <f aca="false">IF(A1000="","",IF(W1000&gt;0,IF(X1000&gt;0,W1000/X1000,0),0))</f>
        <v>0</v>
      </c>
      <c r="Z1000" s="10" t="n">
        <f aca="false">IF(A1000="","",N1000+Y1000)</f>
        <v>0</v>
      </c>
      <c r="AA1000" s="10" t="n">
        <f aca="false">IF(A1000="","",IFERROR(Z1000*INDEX(PUA_TABLE!$I$4:$I$105,MATCH(E1000,PUA_TABLE!$C$4:$C$105,1))/1000,0))</f>
        <v>0</v>
      </c>
      <c r="AB1000" s="10" t="n">
        <f aca="false">IF(A1000="","",IFERROR(L1000+AA1000,0))</f>
        <v>49071.1660541263</v>
      </c>
      <c r="AC1000" s="10" t="n">
        <f aca="false">IF(A1000="","",IF(Inputs!$B$22="Premium Offset",MIN(Inputs!$B$25,Q1000+T1000),0))</f>
        <v>0</v>
      </c>
    </row>
    <row r="1001" customFormat="false" ht="15" hidden="false" customHeight="false" outlineLevel="0" collapsed="false">
      <c r="A1001" s="1" t="n">
        <f aca="false">IF(A1000="","",IF(INT((C1000+1)/12)+Inputs!$B$7&gt;MAX(MORTALITY!$A:$A),"",Inputs!$B$4))</f>
        <v>34</v>
      </c>
      <c r="B1001" s="3" t="n">
        <f aca="false">IF(A1001="","",EOMONTH(B1000,1))</f>
        <v>52139</v>
      </c>
      <c r="C1001" s="1" t="n">
        <f aca="false">IF(A1001="","",C1000+1)</f>
        <v>999</v>
      </c>
      <c r="D1001" s="1" t="n">
        <f aca="false">IF(A1001="","",INT(C1001/12))</f>
        <v>83</v>
      </c>
      <c r="E1001" s="1" t="n">
        <f aca="false">IF(A1001="","",D1001+Inputs!$B$7)</f>
        <v>99</v>
      </c>
      <c r="F1001" s="3" t="n">
        <f aca="false">IF(A1001="","",DATE(YEAR(B$2)+D1001,MONTH(B$2),DAY(B$2)))</f>
        <v>52022</v>
      </c>
      <c r="G1001" s="3" t="n">
        <f aca="false">IF(A1001="","",DATE(YEAR(F1001)+1,MONTH(F1001),DAY(F1001)))</f>
        <v>52387</v>
      </c>
      <c r="H1001" s="10" t="n">
        <f aca="false">IF(A1001="","",IF(G1001&gt;F1001,(B1001-F1001)/(G1001-F1001),0))</f>
        <v>0.320547945205479</v>
      </c>
      <c r="I1001" s="10" t="n">
        <f aca="false">IF(A1001="","",IFERROR(INDEX(CV_RATES!$I:$I,MATCH(D1001,CV_RATES!$C:$C,0)),0))</f>
        <v>975.609756097561</v>
      </c>
      <c r="J1001" s="10" t="n">
        <f aca="false">IF(A1001="","",IFERROR(IF(E1001=MAX(MORTALITY!$A:$A),1000,INDEX(CV_RATES!$J:$J,MATCH(D1001,CV_RATES!$C:$C,0))),0))</f>
        <v>1000</v>
      </c>
      <c r="K1001" s="10" t="n">
        <f aca="false">IF(A1001="","",IFERROR(I1001+H1001*(J1001-I1001),0))</f>
        <v>983.427998663549</v>
      </c>
      <c r="L1001" s="10" t="n">
        <f aca="false">IF(A1001="","",IFERROR(K1001*Inputs!$B$9,0))</f>
        <v>49171.3999331774</v>
      </c>
      <c r="M1001" s="10" t="n">
        <f aca="false">IF(A1001="","",IFERROR(K1001*Inputs!$B$10,0))</f>
        <v>157345.529502172</v>
      </c>
      <c r="N1001" s="10" t="n">
        <f aca="false">IF(A1001="","",Z1000)</f>
        <v>0</v>
      </c>
      <c r="O1001" s="6" t="n">
        <f aca="false">IF(A1001="","",Inputs!$B$18+N1001)</f>
        <v>50000</v>
      </c>
      <c r="P1001" s="5" t="n">
        <f aca="false">IF(A1001="","",VLOOKUP(D1001,DIvidend_Assumption!$A$3:$CX$103,($E$2+2),0)/12)</f>
        <v>0</v>
      </c>
      <c r="Q1001" s="10" t="n">
        <f aca="false">IF(A1001="","",IFERROR(AB1000*P1001,""))</f>
        <v>0</v>
      </c>
      <c r="R1001" s="10" t="n">
        <f aca="false">IF(A1001="","",IFERROR(IF(Inputs!$B$22="Accumulate",T1001+Q1001,IF(Inputs!$B$22="Premium Offset",MAX(0,T1001+Q1001-Inputs!$B$25),T1001)),""))</f>
        <v>0</v>
      </c>
      <c r="S1001" s="10" t="n">
        <f aca="false">IF(A1001="","",R1000)</f>
        <v>0</v>
      </c>
      <c r="T1001" s="10" t="n">
        <f aca="false">IF(A1001="","",IFERROR(S1001*(1+Inputs!$B$23/12),""))</f>
        <v>0</v>
      </c>
      <c r="U1001" s="6" t="n">
        <f aca="false">IF(A1001="","",IF(D1001&lt;=Inputs!$B$8,IF(Inputs!$B$22="Premium Offset",MAX(0,Inputs!$B$25-(Q1001+T1001)),Inputs!$B$25),0))</f>
        <v>0</v>
      </c>
      <c r="V1001" s="10" t="n">
        <f aca="false">IF(A1001="","",IF(Inputs!$B$22="Cash",Q1001,0))</f>
        <v>0</v>
      </c>
      <c r="W1001" s="10" t="n">
        <f aca="false">IF(A1001="","",IF(Inputs!$B$22="PUA",Q1001,0))</f>
        <v>0</v>
      </c>
      <c r="X1001" s="12" t="n">
        <f aca="false">IF(A1001="","",IFERROR(INDEX(PUA_TABLE!$D$4:$D$105,MATCH(E1001,PUA_TABLE!$C$4:$C$105,1)),0))</f>
        <v>0.975609756097561</v>
      </c>
      <c r="Y1001" s="10" t="n">
        <f aca="false">IF(A1001="","",IF(W1001&gt;0,IF(X1001&gt;0,W1001/X1001,0),0))</f>
        <v>0</v>
      </c>
      <c r="Z1001" s="10" t="n">
        <f aca="false">IF(A1001="","",N1001+Y1001)</f>
        <v>0</v>
      </c>
      <c r="AA1001" s="10" t="n">
        <f aca="false">IF(A1001="","",IFERROR(Z1001*INDEX(PUA_TABLE!$I$4:$I$105,MATCH(E1001,PUA_TABLE!$C$4:$C$105,1))/1000,0))</f>
        <v>0</v>
      </c>
      <c r="AB1001" s="10" t="n">
        <f aca="false">IF(A1001="","",IFERROR(L1001+AA1001,0))</f>
        <v>49171.3999331774</v>
      </c>
      <c r="AC1001" s="10" t="n">
        <f aca="false">IF(A1001="","",IF(Inputs!$B$22="Premium Offset",MIN(Inputs!$B$25,Q1001+T1001),0))</f>
        <v>0</v>
      </c>
    </row>
    <row r="1002" customFormat="false" ht="15" hidden="false" customHeight="false" outlineLevel="0" collapsed="false">
      <c r="A1002" s="1" t="n">
        <f aca="false">IF(A1001="","",IF(INT((C1001+1)/12)+Inputs!$B$7&gt;MAX(MORTALITY!$A:$A),"",Inputs!$B$4))</f>
        <v>34</v>
      </c>
      <c r="B1002" s="3" t="n">
        <f aca="false">IF(A1002="","",EOMONTH(B1001,1))</f>
        <v>52170</v>
      </c>
      <c r="C1002" s="1" t="n">
        <f aca="false">IF(A1002="","",C1001+1)</f>
        <v>1000</v>
      </c>
      <c r="D1002" s="1" t="n">
        <f aca="false">IF(A1002="","",INT(C1002/12))</f>
        <v>83</v>
      </c>
      <c r="E1002" s="1" t="n">
        <f aca="false">IF(A1002="","",D1002+Inputs!$B$7)</f>
        <v>99</v>
      </c>
      <c r="F1002" s="3" t="n">
        <f aca="false">IF(A1002="","",DATE(YEAR(B$2)+D1002,MONTH(B$2),DAY(B$2)))</f>
        <v>52022</v>
      </c>
      <c r="G1002" s="3" t="n">
        <f aca="false">IF(A1002="","",DATE(YEAR(F1002)+1,MONTH(F1002),DAY(F1002)))</f>
        <v>52387</v>
      </c>
      <c r="H1002" s="10" t="n">
        <f aca="false">IF(A1002="","",IF(G1002&gt;F1002,(B1002-F1002)/(G1002-F1002),0))</f>
        <v>0.405479452054795</v>
      </c>
      <c r="I1002" s="10" t="n">
        <f aca="false">IF(A1002="","",IFERROR(INDEX(CV_RATES!$I:$I,MATCH(D1002,CV_RATES!$C:$C,0)),0))</f>
        <v>975.609756097561</v>
      </c>
      <c r="J1002" s="10" t="n">
        <f aca="false">IF(A1002="","",IFERROR(IF(E1002=MAX(MORTALITY!$A:$A),1000,INDEX(CV_RATES!$J:$J,MATCH(D1002,CV_RATES!$C:$C,0))),0))</f>
        <v>1000</v>
      </c>
      <c r="K1002" s="10" t="n">
        <f aca="false">IF(A1002="","",IFERROR(I1002+H1002*(J1002-I1002),0))</f>
        <v>985.499498830605</v>
      </c>
      <c r="L1002" s="10" t="n">
        <f aca="false">IF(A1002="","",IFERROR(K1002*Inputs!$B$9,0))</f>
        <v>49274.9749415302</v>
      </c>
      <c r="M1002" s="10" t="n">
        <f aca="false">IF(A1002="","",IFERROR(K1002*Inputs!$B$10,0))</f>
        <v>157676.9633144</v>
      </c>
      <c r="N1002" s="10" t="n">
        <f aca="false">IF(A1002="","",Z1001)</f>
        <v>0</v>
      </c>
      <c r="O1002" s="6" t="n">
        <f aca="false">IF(A1002="","",Inputs!$B$18+N1002)</f>
        <v>50000</v>
      </c>
      <c r="P1002" s="5" t="n">
        <f aca="false">IF(A1002="","",VLOOKUP(D1002,DIvidend_Assumption!$A$3:$CX$103,($E$2+2),0)/12)</f>
        <v>0</v>
      </c>
      <c r="Q1002" s="10" t="n">
        <f aca="false">IF(A1002="","",IFERROR(AB1001*P1002,""))</f>
        <v>0</v>
      </c>
      <c r="R1002" s="10" t="n">
        <f aca="false">IF(A1002="","",IFERROR(IF(Inputs!$B$22="Accumulate",T1002+Q1002,IF(Inputs!$B$22="Premium Offset",MAX(0,T1002+Q1002-Inputs!$B$25),T1002)),""))</f>
        <v>0</v>
      </c>
      <c r="S1002" s="10" t="n">
        <f aca="false">IF(A1002="","",R1001)</f>
        <v>0</v>
      </c>
      <c r="T1002" s="10" t="n">
        <f aca="false">IF(A1002="","",IFERROR(S1002*(1+Inputs!$B$23/12),""))</f>
        <v>0</v>
      </c>
      <c r="U1002" s="6" t="n">
        <f aca="false">IF(A1002="","",IF(D1002&lt;=Inputs!$B$8,IF(Inputs!$B$22="Premium Offset",MAX(0,Inputs!$B$25-(Q1002+T1002)),Inputs!$B$25),0))</f>
        <v>0</v>
      </c>
      <c r="V1002" s="10" t="n">
        <f aca="false">IF(A1002="","",IF(Inputs!$B$22="Cash",Q1002,0))</f>
        <v>0</v>
      </c>
      <c r="W1002" s="10" t="n">
        <f aca="false">IF(A1002="","",IF(Inputs!$B$22="PUA",Q1002,0))</f>
        <v>0</v>
      </c>
      <c r="X1002" s="12" t="n">
        <f aca="false">IF(A1002="","",IFERROR(INDEX(PUA_TABLE!$D$4:$D$105,MATCH(E1002,PUA_TABLE!$C$4:$C$105,1)),0))</f>
        <v>0.975609756097561</v>
      </c>
      <c r="Y1002" s="10" t="n">
        <f aca="false">IF(A1002="","",IF(W1002&gt;0,IF(X1002&gt;0,W1002/X1002,0),0))</f>
        <v>0</v>
      </c>
      <c r="Z1002" s="10" t="n">
        <f aca="false">IF(A1002="","",N1002+Y1002)</f>
        <v>0</v>
      </c>
      <c r="AA1002" s="10" t="n">
        <f aca="false">IF(A1002="","",IFERROR(Z1002*INDEX(PUA_TABLE!$I$4:$I$105,MATCH(E1002,PUA_TABLE!$C$4:$C$105,1))/1000,0))</f>
        <v>0</v>
      </c>
      <c r="AB1002" s="10" t="n">
        <f aca="false">IF(A1002="","",IFERROR(L1002+AA1002,0))</f>
        <v>49274.9749415302</v>
      </c>
      <c r="AC1002" s="10" t="n">
        <f aca="false">IF(A1002="","",IF(Inputs!$B$22="Premium Offset",MIN(Inputs!$B$25,Q1002+T1002),0))</f>
        <v>0</v>
      </c>
    </row>
    <row r="1003" customFormat="false" ht="15" hidden="false" customHeight="false" outlineLevel="0" collapsed="false">
      <c r="A1003" s="1" t="n">
        <f aca="false">IF(A1002="","",IF(INT((C1002+1)/12)+Inputs!$B$7&gt;MAX(MORTALITY!$A:$A),"",Inputs!$B$4))</f>
        <v>34</v>
      </c>
      <c r="B1003" s="3" t="n">
        <f aca="false">IF(A1003="","",EOMONTH(B1002,1))</f>
        <v>52200</v>
      </c>
      <c r="C1003" s="1" t="n">
        <f aca="false">IF(A1003="","",C1002+1)</f>
        <v>1001</v>
      </c>
      <c r="D1003" s="1" t="n">
        <f aca="false">IF(A1003="","",INT(C1003/12))</f>
        <v>83</v>
      </c>
      <c r="E1003" s="1" t="n">
        <f aca="false">IF(A1003="","",D1003+Inputs!$B$7)</f>
        <v>99</v>
      </c>
      <c r="F1003" s="3" t="n">
        <f aca="false">IF(A1003="","",DATE(YEAR(B$2)+D1003,MONTH(B$2),DAY(B$2)))</f>
        <v>52022</v>
      </c>
      <c r="G1003" s="3" t="n">
        <f aca="false">IF(A1003="","",DATE(YEAR(F1003)+1,MONTH(F1003),DAY(F1003)))</f>
        <v>52387</v>
      </c>
      <c r="H1003" s="10" t="n">
        <f aca="false">IF(A1003="","",IF(G1003&gt;F1003,(B1003-F1003)/(G1003-F1003),0))</f>
        <v>0.487671232876712</v>
      </c>
      <c r="I1003" s="10" t="n">
        <f aca="false">IF(A1003="","",IFERROR(INDEX(CV_RATES!$I:$I,MATCH(D1003,CV_RATES!$C:$C,0)),0))</f>
        <v>975.609756097561</v>
      </c>
      <c r="J1003" s="10" t="n">
        <f aca="false">IF(A1003="","",IFERROR(IF(E1003=MAX(MORTALITY!$A:$A),1000,INDEX(CV_RATES!$J:$J,MATCH(D1003,CV_RATES!$C:$C,0))),0))</f>
        <v>1000</v>
      </c>
      <c r="K1003" s="10" t="n">
        <f aca="false">IF(A1003="","",IFERROR(I1003+H1003*(J1003-I1003),0))</f>
        <v>987.504176411627</v>
      </c>
      <c r="L1003" s="10" t="n">
        <f aca="false">IF(A1003="","",IFERROR(K1003*Inputs!$B$9,0))</f>
        <v>49375.2088205814</v>
      </c>
      <c r="M1003" s="10" t="n">
        <f aca="false">IF(A1003="","",IFERROR(K1003*Inputs!$B$10,0))</f>
        <v>157997.705713331</v>
      </c>
      <c r="N1003" s="10" t="n">
        <f aca="false">IF(A1003="","",Z1002)</f>
        <v>0</v>
      </c>
      <c r="O1003" s="6" t="n">
        <f aca="false">IF(A1003="","",Inputs!$B$18+N1003)</f>
        <v>50000</v>
      </c>
      <c r="P1003" s="5" t="n">
        <f aca="false">IF(A1003="","",VLOOKUP(D1003,DIvidend_Assumption!$A$3:$CX$103,($E$2+2),0)/12)</f>
        <v>0</v>
      </c>
      <c r="Q1003" s="10" t="n">
        <f aca="false">IF(A1003="","",IFERROR(AB1002*P1003,""))</f>
        <v>0</v>
      </c>
      <c r="R1003" s="10" t="n">
        <f aca="false">IF(A1003="","",IFERROR(IF(Inputs!$B$22="Accumulate",T1003+Q1003,IF(Inputs!$B$22="Premium Offset",MAX(0,T1003+Q1003-Inputs!$B$25),T1003)),""))</f>
        <v>0</v>
      </c>
      <c r="S1003" s="10" t="n">
        <f aca="false">IF(A1003="","",R1002)</f>
        <v>0</v>
      </c>
      <c r="T1003" s="10" t="n">
        <f aca="false">IF(A1003="","",IFERROR(S1003*(1+Inputs!$B$23/12),""))</f>
        <v>0</v>
      </c>
      <c r="U1003" s="6" t="n">
        <f aca="false">IF(A1003="","",IF(D1003&lt;=Inputs!$B$8,IF(Inputs!$B$22="Premium Offset",MAX(0,Inputs!$B$25-(Q1003+T1003)),Inputs!$B$25),0))</f>
        <v>0</v>
      </c>
      <c r="V1003" s="10" t="n">
        <f aca="false">IF(A1003="","",IF(Inputs!$B$22="Cash",Q1003,0))</f>
        <v>0</v>
      </c>
      <c r="W1003" s="10" t="n">
        <f aca="false">IF(A1003="","",IF(Inputs!$B$22="PUA",Q1003,0))</f>
        <v>0</v>
      </c>
      <c r="X1003" s="12" t="n">
        <f aca="false">IF(A1003="","",IFERROR(INDEX(PUA_TABLE!$D$4:$D$105,MATCH(E1003,PUA_TABLE!$C$4:$C$105,1)),0))</f>
        <v>0.975609756097561</v>
      </c>
      <c r="Y1003" s="10" t="n">
        <f aca="false">IF(A1003="","",IF(W1003&gt;0,IF(X1003&gt;0,W1003/X1003,0),0))</f>
        <v>0</v>
      </c>
      <c r="Z1003" s="10" t="n">
        <f aca="false">IF(A1003="","",N1003+Y1003)</f>
        <v>0</v>
      </c>
      <c r="AA1003" s="10" t="n">
        <f aca="false">IF(A1003="","",IFERROR(Z1003*INDEX(PUA_TABLE!$I$4:$I$105,MATCH(E1003,PUA_TABLE!$C$4:$C$105,1))/1000,0))</f>
        <v>0</v>
      </c>
      <c r="AB1003" s="10" t="n">
        <f aca="false">IF(A1003="","",IFERROR(L1003+AA1003,0))</f>
        <v>49375.2088205814</v>
      </c>
      <c r="AC1003" s="10" t="n">
        <f aca="false">IF(A1003="","",IF(Inputs!$B$22="Premium Offset",MIN(Inputs!$B$25,Q1003+T1003),0))</f>
        <v>0</v>
      </c>
    </row>
    <row r="1004" customFormat="false" ht="15" hidden="false" customHeight="false" outlineLevel="0" collapsed="false">
      <c r="A1004" s="1" t="n">
        <f aca="false">IF(A1003="","",IF(INT((C1003+1)/12)+Inputs!$B$7&gt;MAX(MORTALITY!$A:$A),"",Inputs!$B$4))</f>
        <v>34</v>
      </c>
      <c r="B1004" s="3" t="n">
        <f aca="false">IF(A1004="","",EOMONTH(B1003,1))</f>
        <v>52231</v>
      </c>
      <c r="C1004" s="1" t="n">
        <f aca="false">IF(A1004="","",C1003+1)</f>
        <v>1002</v>
      </c>
      <c r="D1004" s="1" t="n">
        <f aca="false">IF(A1004="","",INT(C1004/12))</f>
        <v>83</v>
      </c>
      <c r="E1004" s="1" t="n">
        <f aca="false">IF(A1004="","",D1004+Inputs!$B$7)</f>
        <v>99</v>
      </c>
      <c r="F1004" s="3" t="n">
        <f aca="false">IF(A1004="","",DATE(YEAR(B$2)+D1004,MONTH(B$2),DAY(B$2)))</f>
        <v>52022</v>
      </c>
      <c r="G1004" s="3" t="n">
        <f aca="false">IF(A1004="","",DATE(YEAR(F1004)+1,MONTH(F1004),DAY(F1004)))</f>
        <v>52387</v>
      </c>
      <c r="H1004" s="10" t="n">
        <f aca="false">IF(A1004="","",IF(G1004&gt;F1004,(B1004-F1004)/(G1004-F1004),0))</f>
        <v>0.572602739726027</v>
      </c>
      <c r="I1004" s="10" t="n">
        <f aca="false">IF(A1004="","",IFERROR(INDEX(CV_RATES!$I:$I,MATCH(D1004,CV_RATES!$C:$C,0)),0))</f>
        <v>975.609756097561</v>
      </c>
      <c r="J1004" s="10" t="n">
        <f aca="false">IF(A1004="","",IFERROR(IF(E1004=MAX(MORTALITY!$A:$A),1000,INDEX(CV_RATES!$J:$J,MATCH(D1004,CV_RATES!$C:$C,0))),0))</f>
        <v>1000</v>
      </c>
      <c r="K1004" s="10" t="n">
        <f aca="false">IF(A1004="","",IFERROR(I1004+H1004*(J1004-I1004),0))</f>
        <v>989.575676578684</v>
      </c>
      <c r="L1004" s="10" t="n">
        <f aca="false">IF(A1004="","",IFERROR(K1004*Inputs!$B$9,0))</f>
        <v>49478.7838289342</v>
      </c>
      <c r="M1004" s="10" t="n">
        <f aca="false">IF(A1004="","",IFERROR(K1004*Inputs!$B$10,0))</f>
        <v>158329.13952556</v>
      </c>
      <c r="N1004" s="10" t="n">
        <f aca="false">IF(A1004="","",Z1003)</f>
        <v>0</v>
      </c>
      <c r="O1004" s="6" t="n">
        <f aca="false">IF(A1004="","",Inputs!$B$18+N1004)</f>
        <v>50000</v>
      </c>
      <c r="P1004" s="5" t="n">
        <f aca="false">IF(A1004="","",VLOOKUP(D1004,DIvidend_Assumption!$A$3:$CX$103,($E$2+2),0)/12)</f>
        <v>0</v>
      </c>
      <c r="Q1004" s="10" t="n">
        <f aca="false">IF(A1004="","",IFERROR(AB1003*P1004,""))</f>
        <v>0</v>
      </c>
      <c r="R1004" s="10" t="n">
        <f aca="false">IF(A1004="","",IFERROR(IF(Inputs!$B$22="Accumulate",T1004+Q1004,IF(Inputs!$B$22="Premium Offset",MAX(0,T1004+Q1004-Inputs!$B$25),T1004)),""))</f>
        <v>0</v>
      </c>
      <c r="S1004" s="10" t="n">
        <f aca="false">IF(A1004="","",R1003)</f>
        <v>0</v>
      </c>
      <c r="T1004" s="10" t="n">
        <f aca="false">IF(A1004="","",IFERROR(S1004*(1+Inputs!$B$23/12),""))</f>
        <v>0</v>
      </c>
      <c r="U1004" s="6" t="n">
        <f aca="false">IF(A1004="","",IF(D1004&lt;=Inputs!$B$8,IF(Inputs!$B$22="Premium Offset",MAX(0,Inputs!$B$25-(Q1004+T1004)),Inputs!$B$25),0))</f>
        <v>0</v>
      </c>
      <c r="V1004" s="10" t="n">
        <f aca="false">IF(A1004="","",IF(Inputs!$B$22="Cash",Q1004,0))</f>
        <v>0</v>
      </c>
      <c r="W1004" s="10" t="n">
        <f aca="false">IF(A1004="","",IF(Inputs!$B$22="PUA",Q1004,0))</f>
        <v>0</v>
      </c>
      <c r="X1004" s="12" t="n">
        <f aca="false">IF(A1004="","",IFERROR(INDEX(PUA_TABLE!$D$4:$D$105,MATCH(E1004,PUA_TABLE!$C$4:$C$105,1)),0))</f>
        <v>0.975609756097561</v>
      </c>
      <c r="Y1004" s="10" t="n">
        <f aca="false">IF(A1004="","",IF(W1004&gt;0,IF(X1004&gt;0,W1004/X1004,0),0))</f>
        <v>0</v>
      </c>
      <c r="Z1004" s="10" t="n">
        <f aca="false">IF(A1004="","",N1004+Y1004)</f>
        <v>0</v>
      </c>
      <c r="AA1004" s="10" t="n">
        <f aca="false">IF(A1004="","",IFERROR(Z1004*INDEX(PUA_TABLE!$I$4:$I$105,MATCH(E1004,PUA_TABLE!$C$4:$C$105,1))/1000,0))</f>
        <v>0</v>
      </c>
      <c r="AB1004" s="10" t="n">
        <f aca="false">IF(A1004="","",IFERROR(L1004+AA1004,0))</f>
        <v>49478.7838289342</v>
      </c>
      <c r="AC1004" s="10" t="n">
        <f aca="false">IF(A1004="","",IF(Inputs!$B$22="Premium Offset",MIN(Inputs!$B$25,Q1004+T1004),0))</f>
        <v>0</v>
      </c>
    </row>
    <row r="1005" customFormat="false" ht="15" hidden="false" customHeight="false" outlineLevel="0" collapsed="false">
      <c r="A1005" s="1" t="n">
        <f aca="false">IF(A1004="","",IF(INT((C1004+1)/12)+Inputs!$B$7&gt;MAX(MORTALITY!$A:$A),"",Inputs!$B$4))</f>
        <v>34</v>
      </c>
      <c r="B1005" s="3" t="n">
        <f aca="false">IF(A1005="","",EOMONTH(B1004,1))</f>
        <v>52262</v>
      </c>
      <c r="C1005" s="1" t="n">
        <f aca="false">IF(A1005="","",C1004+1)</f>
        <v>1003</v>
      </c>
      <c r="D1005" s="1" t="n">
        <f aca="false">IF(A1005="","",INT(C1005/12))</f>
        <v>83</v>
      </c>
      <c r="E1005" s="1" t="n">
        <f aca="false">IF(A1005="","",D1005+Inputs!$B$7)</f>
        <v>99</v>
      </c>
      <c r="F1005" s="3" t="n">
        <f aca="false">IF(A1005="","",DATE(YEAR(B$2)+D1005,MONTH(B$2),DAY(B$2)))</f>
        <v>52022</v>
      </c>
      <c r="G1005" s="3" t="n">
        <f aca="false">IF(A1005="","",DATE(YEAR(F1005)+1,MONTH(F1005),DAY(F1005)))</f>
        <v>52387</v>
      </c>
      <c r="H1005" s="10" t="n">
        <f aca="false">IF(A1005="","",IF(G1005&gt;F1005,(B1005-F1005)/(G1005-F1005),0))</f>
        <v>0.657534246575342</v>
      </c>
      <c r="I1005" s="10" t="n">
        <f aca="false">IF(A1005="","",IFERROR(INDEX(CV_RATES!$I:$I,MATCH(D1005,CV_RATES!$C:$C,0)),0))</f>
        <v>975.609756097561</v>
      </c>
      <c r="J1005" s="10" t="n">
        <f aca="false">IF(A1005="","",IFERROR(IF(E1005=MAX(MORTALITY!$A:$A),1000,INDEX(CV_RATES!$J:$J,MATCH(D1005,CV_RATES!$C:$C,0))),0))</f>
        <v>1000</v>
      </c>
      <c r="K1005" s="10" t="n">
        <f aca="false">IF(A1005="","",IFERROR(I1005+H1005*(J1005-I1005),0))</f>
        <v>991.64717674574</v>
      </c>
      <c r="L1005" s="10" t="n">
        <f aca="false">IF(A1005="","",IFERROR(K1005*Inputs!$B$9,0))</f>
        <v>49582.358837287</v>
      </c>
      <c r="M1005" s="10" t="n">
        <f aca="false">IF(A1005="","",IFERROR(K1005*Inputs!$B$10,0))</f>
        <v>158660.573337788</v>
      </c>
      <c r="N1005" s="10" t="n">
        <f aca="false">IF(A1005="","",Z1004)</f>
        <v>0</v>
      </c>
      <c r="O1005" s="6" t="n">
        <f aca="false">IF(A1005="","",Inputs!$B$18+N1005)</f>
        <v>50000</v>
      </c>
      <c r="P1005" s="5" t="n">
        <f aca="false">IF(A1005="","",VLOOKUP(D1005,DIvidend_Assumption!$A$3:$CX$103,($E$2+2),0)/12)</f>
        <v>0</v>
      </c>
      <c r="Q1005" s="10" t="n">
        <f aca="false">IF(A1005="","",IFERROR(AB1004*P1005,""))</f>
        <v>0</v>
      </c>
      <c r="R1005" s="10" t="n">
        <f aca="false">IF(A1005="","",IFERROR(IF(Inputs!$B$22="Accumulate",T1005+Q1005,IF(Inputs!$B$22="Premium Offset",MAX(0,T1005+Q1005-Inputs!$B$25),T1005)),""))</f>
        <v>0</v>
      </c>
      <c r="S1005" s="10" t="n">
        <f aca="false">IF(A1005="","",R1004)</f>
        <v>0</v>
      </c>
      <c r="T1005" s="10" t="n">
        <f aca="false">IF(A1005="","",IFERROR(S1005*(1+Inputs!$B$23/12),""))</f>
        <v>0</v>
      </c>
      <c r="U1005" s="6" t="n">
        <f aca="false">IF(A1005="","",IF(D1005&lt;=Inputs!$B$8,IF(Inputs!$B$22="Premium Offset",MAX(0,Inputs!$B$25-(Q1005+T1005)),Inputs!$B$25),0))</f>
        <v>0</v>
      </c>
      <c r="V1005" s="10" t="n">
        <f aca="false">IF(A1005="","",IF(Inputs!$B$22="Cash",Q1005,0))</f>
        <v>0</v>
      </c>
      <c r="W1005" s="10" t="n">
        <f aca="false">IF(A1005="","",IF(Inputs!$B$22="PUA",Q1005,0))</f>
        <v>0</v>
      </c>
      <c r="X1005" s="12" t="n">
        <f aca="false">IF(A1005="","",IFERROR(INDEX(PUA_TABLE!$D$4:$D$105,MATCH(E1005,PUA_TABLE!$C$4:$C$105,1)),0))</f>
        <v>0.975609756097561</v>
      </c>
      <c r="Y1005" s="10" t="n">
        <f aca="false">IF(A1005="","",IF(W1005&gt;0,IF(X1005&gt;0,W1005/X1005,0),0))</f>
        <v>0</v>
      </c>
      <c r="Z1005" s="10" t="n">
        <f aca="false">IF(A1005="","",N1005+Y1005)</f>
        <v>0</v>
      </c>
      <c r="AA1005" s="10" t="n">
        <f aca="false">IF(A1005="","",IFERROR(Z1005*INDEX(PUA_TABLE!$I$4:$I$105,MATCH(E1005,PUA_TABLE!$C$4:$C$105,1))/1000,0))</f>
        <v>0</v>
      </c>
      <c r="AB1005" s="10" t="n">
        <f aca="false">IF(A1005="","",IFERROR(L1005+AA1005,0))</f>
        <v>49582.358837287</v>
      </c>
      <c r="AC1005" s="10" t="n">
        <f aca="false">IF(A1005="","",IF(Inputs!$B$22="Premium Offset",MIN(Inputs!$B$25,Q1005+T1005),0))</f>
        <v>0</v>
      </c>
    </row>
    <row r="1006" customFormat="false" ht="15" hidden="false" customHeight="false" outlineLevel="0" collapsed="false">
      <c r="A1006" s="1" t="n">
        <f aca="false">IF(A1005="","",IF(INT((C1005+1)/12)+Inputs!$B$7&gt;MAX(MORTALITY!$A:$A),"",Inputs!$B$4))</f>
        <v>34</v>
      </c>
      <c r="B1006" s="3" t="n">
        <f aca="false">IF(A1006="","",EOMONTH(B1005,1))</f>
        <v>52290</v>
      </c>
      <c r="C1006" s="1" t="n">
        <f aca="false">IF(A1006="","",C1005+1)</f>
        <v>1004</v>
      </c>
      <c r="D1006" s="1" t="n">
        <f aca="false">IF(A1006="","",INT(C1006/12))</f>
        <v>83</v>
      </c>
      <c r="E1006" s="1" t="n">
        <f aca="false">IF(A1006="","",D1006+Inputs!$B$7)</f>
        <v>99</v>
      </c>
      <c r="F1006" s="3" t="n">
        <f aca="false">IF(A1006="","",DATE(YEAR(B$2)+D1006,MONTH(B$2),DAY(B$2)))</f>
        <v>52022</v>
      </c>
      <c r="G1006" s="3" t="n">
        <f aca="false">IF(A1006="","",DATE(YEAR(F1006)+1,MONTH(F1006),DAY(F1006)))</f>
        <v>52387</v>
      </c>
      <c r="H1006" s="10" t="n">
        <f aca="false">IF(A1006="","",IF(G1006&gt;F1006,(B1006-F1006)/(G1006-F1006),0))</f>
        <v>0.734246575342466</v>
      </c>
      <c r="I1006" s="10" t="n">
        <f aca="false">IF(A1006="","",IFERROR(INDEX(CV_RATES!$I:$I,MATCH(D1006,CV_RATES!$C:$C,0)),0))</f>
        <v>975.609756097561</v>
      </c>
      <c r="J1006" s="10" t="n">
        <f aca="false">IF(A1006="","",IFERROR(IF(E1006=MAX(MORTALITY!$A:$A),1000,INDEX(CV_RATES!$J:$J,MATCH(D1006,CV_RATES!$C:$C,0))),0))</f>
        <v>1000</v>
      </c>
      <c r="K1006" s="10" t="n">
        <f aca="false">IF(A1006="","",IFERROR(I1006+H1006*(J1006-I1006),0))</f>
        <v>993.518209154694</v>
      </c>
      <c r="L1006" s="10" t="n">
        <f aca="false">IF(A1006="","",IFERROR(K1006*Inputs!$B$9,0))</f>
        <v>49675.9104577347</v>
      </c>
      <c r="M1006" s="10" t="n">
        <f aca="false">IF(A1006="","",IFERROR(K1006*Inputs!$B$10,0))</f>
        <v>158959.932910124</v>
      </c>
      <c r="N1006" s="10" t="n">
        <f aca="false">IF(A1006="","",Z1005)</f>
        <v>0</v>
      </c>
      <c r="O1006" s="6" t="n">
        <f aca="false">IF(A1006="","",Inputs!$B$18+N1006)</f>
        <v>50000</v>
      </c>
      <c r="P1006" s="5" t="n">
        <f aca="false">IF(A1006="","",VLOOKUP(D1006,DIvidend_Assumption!$A$3:$CX$103,($E$2+2),0)/12)</f>
        <v>0</v>
      </c>
      <c r="Q1006" s="10" t="n">
        <f aca="false">IF(A1006="","",IFERROR(AB1005*P1006,""))</f>
        <v>0</v>
      </c>
      <c r="R1006" s="10" t="n">
        <f aca="false">IF(A1006="","",IFERROR(IF(Inputs!$B$22="Accumulate",T1006+Q1006,IF(Inputs!$B$22="Premium Offset",MAX(0,T1006+Q1006-Inputs!$B$25),T1006)),""))</f>
        <v>0</v>
      </c>
      <c r="S1006" s="10" t="n">
        <f aca="false">IF(A1006="","",R1005)</f>
        <v>0</v>
      </c>
      <c r="T1006" s="10" t="n">
        <f aca="false">IF(A1006="","",IFERROR(S1006*(1+Inputs!$B$23/12),""))</f>
        <v>0</v>
      </c>
      <c r="U1006" s="6" t="n">
        <f aca="false">IF(A1006="","",IF(D1006&lt;=Inputs!$B$8,IF(Inputs!$B$22="Premium Offset",MAX(0,Inputs!$B$25-(Q1006+T1006)),Inputs!$B$25),0))</f>
        <v>0</v>
      </c>
      <c r="V1006" s="10" t="n">
        <f aca="false">IF(A1006="","",IF(Inputs!$B$22="Cash",Q1006,0))</f>
        <v>0</v>
      </c>
      <c r="W1006" s="10" t="n">
        <f aca="false">IF(A1006="","",IF(Inputs!$B$22="PUA",Q1006,0))</f>
        <v>0</v>
      </c>
      <c r="X1006" s="12" t="n">
        <f aca="false">IF(A1006="","",IFERROR(INDEX(PUA_TABLE!$D$4:$D$105,MATCH(E1006,PUA_TABLE!$C$4:$C$105,1)),0))</f>
        <v>0.975609756097561</v>
      </c>
      <c r="Y1006" s="10" t="n">
        <f aca="false">IF(A1006="","",IF(W1006&gt;0,IF(X1006&gt;0,W1006/X1006,0),0))</f>
        <v>0</v>
      </c>
      <c r="Z1006" s="10" t="n">
        <f aca="false">IF(A1006="","",N1006+Y1006)</f>
        <v>0</v>
      </c>
      <c r="AA1006" s="10" t="n">
        <f aca="false">IF(A1006="","",IFERROR(Z1006*INDEX(PUA_TABLE!$I$4:$I$105,MATCH(E1006,PUA_TABLE!$C$4:$C$105,1))/1000,0))</f>
        <v>0</v>
      </c>
      <c r="AB1006" s="10" t="n">
        <f aca="false">IF(A1006="","",IFERROR(L1006+AA1006,0))</f>
        <v>49675.9104577347</v>
      </c>
      <c r="AC1006" s="10" t="n">
        <f aca="false">IF(A1006="","",IF(Inputs!$B$22="Premium Offset",MIN(Inputs!$B$25,Q1006+T1006),0))</f>
        <v>0</v>
      </c>
    </row>
    <row r="1007" customFormat="false" ht="15" hidden="false" customHeight="false" outlineLevel="0" collapsed="false">
      <c r="A1007" s="1" t="n">
        <f aca="false">IF(A1006="","",IF(INT((C1006+1)/12)+Inputs!$B$7&gt;MAX(MORTALITY!$A:$A),"",Inputs!$B$4))</f>
        <v>34</v>
      </c>
      <c r="B1007" s="3" t="n">
        <f aca="false">IF(A1007="","",EOMONTH(B1006,1))</f>
        <v>52321</v>
      </c>
      <c r="C1007" s="1" t="n">
        <f aca="false">IF(A1007="","",C1006+1)</f>
        <v>1005</v>
      </c>
      <c r="D1007" s="1" t="n">
        <f aca="false">IF(A1007="","",INT(C1007/12))</f>
        <v>83</v>
      </c>
      <c r="E1007" s="1" t="n">
        <f aca="false">IF(A1007="","",D1007+Inputs!$B$7)</f>
        <v>99</v>
      </c>
      <c r="F1007" s="3" t="n">
        <f aca="false">IF(A1007="","",DATE(YEAR(B$2)+D1007,MONTH(B$2),DAY(B$2)))</f>
        <v>52022</v>
      </c>
      <c r="G1007" s="3" t="n">
        <f aca="false">IF(A1007="","",DATE(YEAR(F1007)+1,MONTH(F1007),DAY(F1007)))</f>
        <v>52387</v>
      </c>
      <c r="H1007" s="10" t="n">
        <f aca="false">IF(A1007="","",IF(G1007&gt;F1007,(B1007-F1007)/(G1007-F1007),0))</f>
        <v>0.819178082191781</v>
      </c>
      <c r="I1007" s="10" t="n">
        <f aca="false">IF(A1007="","",IFERROR(INDEX(CV_RATES!$I:$I,MATCH(D1007,CV_RATES!$C:$C,0)),0))</f>
        <v>975.609756097561</v>
      </c>
      <c r="J1007" s="10" t="n">
        <f aca="false">IF(A1007="","",IFERROR(IF(E1007=MAX(MORTALITY!$A:$A),1000,INDEX(CV_RATES!$J:$J,MATCH(D1007,CV_RATES!$C:$C,0))),0))</f>
        <v>1000</v>
      </c>
      <c r="K1007" s="10" t="n">
        <f aca="false">IF(A1007="","",IFERROR(I1007+H1007*(J1007-I1007),0))</f>
        <v>995.589709321751</v>
      </c>
      <c r="L1007" s="10" t="n">
        <f aca="false">IF(A1007="","",IFERROR(K1007*Inputs!$B$9,0))</f>
        <v>49779.4854660875</v>
      </c>
      <c r="M1007" s="10" t="n">
        <f aca="false">IF(A1007="","",IFERROR(K1007*Inputs!$B$10,0))</f>
        <v>159291.366722352</v>
      </c>
      <c r="N1007" s="10" t="n">
        <f aca="false">IF(A1007="","",Z1006)</f>
        <v>0</v>
      </c>
      <c r="O1007" s="6" t="n">
        <f aca="false">IF(A1007="","",Inputs!$B$18+N1007)</f>
        <v>50000</v>
      </c>
      <c r="P1007" s="5" t="n">
        <f aca="false">IF(A1007="","",VLOOKUP(D1007,DIvidend_Assumption!$A$3:$CX$103,($E$2+2),0)/12)</f>
        <v>0</v>
      </c>
      <c r="Q1007" s="10" t="n">
        <f aca="false">IF(A1007="","",IFERROR(AB1006*P1007,""))</f>
        <v>0</v>
      </c>
      <c r="R1007" s="10" t="n">
        <f aca="false">IF(A1007="","",IFERROR(IF(Inputs!$B$22="Accumulate",T1007+Q1007,IF(Inputs!$B$22="Premium Offset",MAX(0,T1007+Q1007-Inputs!$B$25),T1007)),""))</f>
        <v>0</v>
      </c>
      <c r="S1007" s="10" t="n">
        <f aca="false">IF(A1007="","",R1006)</f>
        <v>0</v>
      </c>
      <c r="T1007" s="10" t="n">
        <f aca="false">IF(A1007="","",IFERROR(S1007*(1+Inputs!$B$23/12),""))</f>
        <v>0</v>
      </c>
      <c r="U1007" s="6" t="n">
        <f aca="false">IF(A1007="","",IF(D1007&lt;=Inputs!$B$8,IF(Inputs!$B$22="Premium Offset",MAX(0,Inputs!$B$25-(Q1007+T1007)),Inputs!$B$25),0))</f>
        <v>0</v>
      </c>
      <c r="V1007" s="10" t="n">
        <f aca="false">IF(A1007="","",IF(Inputs!$B$22="Cash",Q1007,0))</f>
        <v>0</v>
      </c>
      <c r="W1007" s="10" t="n">
        <f aca="false">IF(A1007="","",IF(Inputs!$B$22="PUA",Q1007,0))</f>
        <v>0</v>
      </c>
      <c r="X1007" s="12" t="n">
        <f aca="false">IF(A1007="","",IFERROR(INDEX(PUA_TABLE!$D$4:$D$105,MATCH(E1007,PUA_TABLE!$C$4:$C$105,1)),0))</f>
        <v>0.975609756097561</v>
      </c>
      <c r="Y1007" s="10" t="n">
        <f aca="false">IF(A1007="","",IF(W1007&gt;0,IF(X1007&gt;0,W1007/X1007,0),0))</f>
        <v>0</v>
      </c>
      <c r="Z1007" s="10" t="n">
        <f aca="false">IF(A1007="","",N1007+Y1007)</f>
        <v>0</v>
      </c>
      <c r="AA1007" s="10" t="n">
        <f aca="false">IF(A1007="","",IFERROR(Z1007*INDEX(PUA_TABLE!$I$4:$I$105,MATCH(E1007,PUA_TABLE!$C$4:$C$105,1))/1000,0))</f>
        <v>0</v>
      </c>
      <c r="AB1007" s="10" t="n">
        <f aca="false">IF(A1007="","",IFERROR(L1007+AA1007,0))</f>
        <v>49779.4854660875</v>
      </c>
      <c r="AC1007" s="10" t="n">
        <f aca="false">IF(A1007="","",IF(Inputs!$B$22="Premium Offset",MIN(Inputs!$B$25,Q1007+T1007),0))</f>
        <v>0</v>
      </c>
    </row>
    <row r="1008" customFormat="false" ht="15" hidden="false" customHeight="false" outlineLevel="0" collapsed="false">
      <c r="A1008" s="1" t="n">
        <f aca="false">IF(A1007="","",IF(INT((C1007+1)/12)+Inputs!$B$7&gt;MAX(MORTALITY!$A:$A),"",Inputs!$B$4))</f>
        <v>34</v>
      </c>
      <c r="B1008" s="3" t="n">
        <f aca="false">IF(A1008="","",EOMONTH(B1007,1))</f>
        <v>52351</v>
      </c>
      <c r="C1008" s="1" t="n">
        <f aca="false">IF(A1008="","",C1007+1)</f>
        <v>1006</v>
      </c>
      <c r="D1008" s="1" t="n">
        <f aca="false">IF(A1008="","",INT(C1008/12))</f>
        <v>83</v>
      </c>
      <c r="E1008" s="1" t="n">
        <f aca="false">IF(A1008="","",D1008+Inputs!$B$7)</f>
        <v>99</v>
      </c>
      <c r="F1008" s="3" t="n">
        <f aca="false">IF(A1008="","",DATE(YEAR(B$2)+D1008,MONTH(B$2),DAY(B$2)))</f>
        <v>52022</v>
      </c>
      <c r="G1008" s="3" t="n">
        <f aca="false">IF(A1008="","",DATE(YEAR(F1008)+1,MONTH(F1008),DAY(F1008)))</f>
        <v>52387</v>
      </c>
      <c r="H1008" s="10" t="n">
        <f aca="false">IF(A1008="","",IF(G1008&gt;F1008,(B1008-F1008)/(G1008-F1008),0))</f>
        <v>0.901369863013699</v>
      </c>
      <c r="I1008" s="10" t="n">
        <f aca="false">IF(A1008="","",IFERROR(INDEX(CV_RATES!$I:$I,MATCH(D1008,CV_RATES!$C:$C,0)),0))</f>
        <v>975.609756097561</v>
      </c>
      <c r="J1008" s="10" t="n">
        <f aca="false">IF(A1008="","",IFERROR(IF(E1008=MAX(MORTALITY!$A:$A),1000,INDEX(CV_RATES!$J:$J,MATCH(D1008,CV_RATES!$C:$C,0))),0))</f>
        <v>1000</v>
      </c>
      <c r="K1008" s="10" t="n">
        <f aca="false">IF(A1008="","",IFERROR(I1008+H1008*(J1008-I1008),0))</f>
        <v>997.594386902773</v>
      </c>
      <c r="L1008" s="10" t="n">
        <f aca="false">IF(A1008="","",IFERROR(K1008*Inputs!$B$9,0))</f>
        <v>49879.7193451387</v>
      </c>
      <c r="M1008" s="10" t="n">
        <f aca="false">IF(A1008="","",IFERROR(K1008*Inputs!$B$10,0))</f>
        <v>159612.109121283</v>
      </c>
      <c r="N1008" s="10" t="n">
        <f aca="false">IF(A1008="","",Z1007)</f>
        <v>0</v>
      </c>
      <c r="O1008" s="6" t="n">
        <f aca="false">IF(A1008="","",Inputs!$B$18+N1008)</f>
        <v>50000</v>
      </c>
      <c r="P1008" s="5" t="n">
        <f aca="false">IF(A1008="","",VLOOKUP(D1008,DIvidend_Assumption!$A$3:$CX$103,($E$2+2),0)/12)</f>
        <v>0</v>
      </c>
      <c r="Q1008" s="10" t="n">
        <f aca="false">IF(A1008="","",IFERROR(AB1007*P1008,""))</f>
        <v>0</v>
      </c>
      <c r="R1008" s="10" t="n">
        <f aca="false">IF(A1008="","",IFERROR(IF(Inputs!$B$22="Accumulate",T1008+Q1008,IF(Inputs!$B$22="Premium Offset",MAX(0,T1008+Q1008-Inputs!$B$25),T1008)),""))</f>
        <v>0</v>
      </c>
      <c r="S1008" s="10" t="n">
        <f aca="false">IF(A1008="","",R1007)</f>
        <v>0</v>
      </c>
      <c r="T1008" s="10" t="n">
        <f aca="false">IF(A1008="","",IFERROR(S1008*(1+Inputs!$B$23/12),""))</f>
        <v>0</v>
      </c>
      <c r="U1008" s="6" t="n">
        <f aca="false">IF(A1008="","",IF(D1008&lt;=Inputs!$B$8,IF(Inputs!$B$22="Premium Offset",MAX(0,Inputs!$B$25-(Q1008+T1008)),Inputs!$B$25),0))</f>
        <v>0</v>
      </c>
      <c r="V1008" s="10" t="n">
        <f aca="false">IF(A1008="","",IF(Inputs!$B$22="Cash",Q1008,0))</f>
        <v>0</v>
      </c>
      <c r="W1008" s="10" t="n">
        <f aca="false">IF(A1008="","",IF(Inputs!$B$22="PUA",Q1008,0))</f>
        <v>0</v>
      </c>
      <c r="X1008" s="12" t="n">
        <f aca="false">IF(A1008="","",IFERROR(INDEX(PUA_TABLE!$D$4:$D$105,MATCH(E1008,PUA_TABLE!$C$4:$C$105,1)),0))</f>
        <v>0.975609756097561</v>
      </c>
      <c r="Y1008" s="10" t="n">
        <f aca="false">IF(A1008="","",IF(W1008&gt;0,IF(X1008&gt;0,W1008/X1008,0),0))</f>
        <v>0</v>
      </c>
      <c r="Z1008" s="10" t="n">
        <f aca="false">IF(A1008="","",N1008+Y1008)</f>
        <v>0</v>
      </c>
      <c r="AA1008" s="10" t="n">
        <f aca="false">IF(A1008="","",IFERROR(Z1008*INDEX(PUA_TABLE!$I$4:$I$105,MATCH(E1008,PUA_TABLE!$C$4:$C$105,1))/1000,0))</f>
        <v>0</v>
      </c>
      <c r="AB1008" s="10" t="n">
        <f aca="false">IF(A1008="","",IFERROR(L1008+AA1008,0))</f>
        <v>49879.7193451387</v>
      </c>
      <c r="AC1008" s="10" t="n">
        <f aca="false">IF(A1008="","",IF(Inputs!$B$22="Premium Offset",MIN(Inputs!$B$25,Q1008+T1008),0))</f>
        <v>0</v>
      </c>
    </row>
    <row r="1009" customFormat="false" ht="15" hidden="false" customHeight="false" outlineLevel="0" collapsed="false">
      <c r="A1009" s="1" t="n">
        <f aca="false">IF(A1008="","",IF(INT((C1008+1)/12)+Inputs!$B$7&gt;MAX(MORTALITY!$A:$A),"",Inputs!$B$4))</f>
        <v>34</v>
      </c>
      <c r="B1009" s="3" t="n">
        <f aca="false">IF(A1009="","",EOMONTH(B1008,1))</f>
        <v>52382</v>
      </c>
      <c r="C1009" s="1" t="n">
        <f aca="false">IF(A1009="","",C1008+1)</f>
        <v>1007</v>
      </c>
      <c r="D1009" s="1" t="n">
        <f aca="false">IF(A1009="","",INT(C1009/12))</f>
        <v>83</v>
      </c>
      <c r="E1009" s="1" t="n">
        <f aca="false">IF(A1009="","",D1009+Inputs!$B$7)</f>
        <v>99</v>
      </c>
      <c r="F1009" s="3" t="n">
        <f aca="false">IF(A1009="","",DATE(YEAR(B$2)+D1009,MONTH(B$2),DAY(B$2)))</f>
        <v>52022</v>
      </c>
      <c r="G1009" s="3" t="n">
        <f aca="false">IF(A1009="","",DATE(YEAR(F1009)+1,MONTH(F1009),DAY(F1009)))</f>
        <v>52387</v>
      </c>
      <c r="H1009" s="10" t="n">
        <f aca="false">IF(A1009="","",IF(G1009&gt;F1009,(B1009-F1009)/(G1009-F1009),0))</f>
        <v>0.986301369863014</v>
      </c>
      <c r="I1009" s="10" t="n">
        <f aca="false">IF(A1009="","",IFERROR(INDEX(CV_RATES!$I:$I,MATCH(D1009,CV_RATES!$C:$C,0)),0))</f>
        <v>975.609756097561</v>
      </c>
      <c r="J1009" s="10" t="n">
        <f aca="false">IF(A1009="","",IFERROR(IF(E1009=MAX(MORTALITY!$A:$A),1000,INDEX(CV_RATES!$J:$J,MATCH(D1009,CV_RATES!$C:$C,0))),0))</f>
        <v>1000</v>
      </c>
      <c r="K1009" s="10" t="n">
        <f aca="false">IF(A1009="","",IFERROR(I1009+H1009*(J1009-I1009),0))</f>
        <v>999.66588706983</v>
      </c>
      <c r="L1009" s="10" t="n">
        <f aca="false">IF(A1009="","",IFERROR(K1009*Inputs!$B$9,0))</f>
        <v>49983.2943534915</v>
      </c>
      <c r="M1009" s="10" t="n">
        <f aca="false">IF(A1009="","",IFERROR(K1009*Inputs!$B$10,0))</f>
        <v>159943.542933512</v>
      </c>
      <c r="N1009" s="10" t="n">
        <f aca="false">IF(A1009="","",Z1008)</f>
        <v>0</v>
      </c>
      <c r="O1009" s="6" t="n">
        <f aca="false">IF(A1009="","",Inputs!$B$18+N1009)</f>
        <v>50000</v>
      </c>
      <c r="P1009" s="5" t="n">
        <f aca="false">IF(A1009="","",VLOOKUP(D1009,DIvidend_Assumption!$A$3:$CX$103,($E$2+2),0)/12)</f>
        <v>0</v>
      </c>
      <c r="Q1009" s="10" t="n">
        <f aca="false">IF(A1009="","",IFERROR(AB1008*P1009,""))</f>
        <v>0</v>
      </c>
      <c r="R1009" s="10" t="n">
        <f aca="false">IF(A1009="","",IFERROR(IF(Inputs!$B$22="Accumulate",T1009+Q1009,IF(Inputs!$B$22="Premium Offset",MAX(0,T1009+Q1009-Inputs!$B$25),T1009)),""))</f>
        <v>0</v>
      </c>
      <c r="S1009" s="10" t="n">
        <f aca="false">IF(A1009="","",R1008)</f>
        <v>0</v>
      </c>
      <c r="T1009" s="10" t="n">
        <f aca="false">IF(A1009="","",IFERROR(S1009*(1+Inputs!$B$23/12),""))</f>
        <v>0</v>
      </c>
      <c r="U1009" s="6" t="n">
        <f aca="false">IF(A1009="","",IF(D1009&lt;=Inputs!$B$8,IF(Inputs!$B$22="Premium Offset",MAX(0,Inputs!$B$25-(Q1009+T1009)),Inputs!$B$25),0))</f>
        <v>0</v>
      </c>
      <c r="V1009" s="10" t="n">
        <f aca="false">IF(A1009="","",IF(Inputs!$B$22="Cash",Q1009,0))</f>
        <v>0</v>
      </c>
      <c r="W1009" s="10" t="n">
        <f aca="false">IF(A1009="","",IF(Inputs!$B$22="PUA",Q1009,0))</f>
        <v>0</v>
      </c>
      <c r="X1009" s="12" t="n">
        <f aca="false">IF(A1009="","",IFERROR(INDEX(PUA_TABLE!$D$4:$D$105,MATCH(E1009,PUA_TABLE!$C$4:$C$105,1)),0))</f>
        <v>0.975609756097561</v>
      </c>
      <c r="Y1009" s="10" t="n">
        <f aca="false">IF(A1009="","",IF(W1009&gt;0,IF(X1009&gt;0,W1009/X1009,0),0))</f>
        <v>0</v>
      </c>
      <c r="Z1009" s="10" t="n">
        <f aca="false">IF(A1009="","",N1009+Y1009)</f>
        <v>0</v>
      </c>
      <c r="AA1009" s="10" t="n">
        <f aca="false">IF(A1009="","",IFERROR(Z1009*INDEX(PUA_TABLE!$I$4:$I$105,MATCH(E1009,PUA_TABLE!$C$4:$C$105,1))/1000,0))</f>
        <v>0</v>
      </c>
      <c r="AB1009" s="10" t="n">
        <f aca="false">IF(A1009="","",IFERROR(L1009+AA1009,0))</f>
        <v>49983.2943534915</v>
      </c>
      <c r="AC1009" s="10" t="n">
        <f aca="false">IF(A1009="","",IF(Inputs!$B$22="Premium Offset",MIN(Inputs!$B$25,Q1009+T1009),0))</f>
        <v>0</v>
      </c>
    </row>
    <row r="1010" customFormat="false" ht="15" hidden="false" customHeight="false" outlineLevel="0" collapsed="false">
      <c r="A1010" s="1" t="str">
        <f aca="false">IF(A1009="","",IF(INT((C1009+1)/12)+Inputs!$B$7&gt;MAX(MORTALITY!$A:$A),"",Inputs!$B$4))</f>
        <v/>
      </c>
      <c r="B1010" s="3" t="str">
        <f aca="false">IF(A1010="","",EOMONTH(B1009,1))</f>
        <v/>
      </c>
      <c r="C1010" s="1" t="str">
        <f aca="false">IF(A1010="","",C1009+1)</f>
        <v/>
      </c>
      <c r="D1010" s="1" t="str">
        <f aca="false">IF(A1010="","",INT(C1010/12))</f>
        <v/>
      </c>
      <c r="E1010" s="1" t="str">
        <f aca="false">IF(A1010="","",D1010+Inputs!$B$7)</f>
        <v/>
      </c>
      <c r="F1010" s="3" t="str">
        <f aca="false">IF(A1010="","",DATE(YEAR(B$2)+D1010,MONTH(B$2),DAY(B$2)))</f>
        <v/>
      </c>
      <c r="G1010" s="3" t="str">
        <f aca="false">IF(A1010="","",DATE(YEAR(F1010)+1,MONTH(F1010),DAY(F1010)))</f>
        <v/>
      </c>
      <c r="H1010" s="10" t="str">
        <f aca="false">IF(A1010="","",IF(G1010&gt;F1010,(B1010-F1010)/(G1010-F1010),0))</f>
        <v/>
      </c>
      <c r="I1010" s="10" t="str">
        <f aca="false">IF(A1010="","",IFERROR(INDEX(CV_RATES!$I:$I,MATCH(D1010,CV_RATES!$C:$C,0)),0))</f>
        <v/>
      </c>
      <c r="J1010" s="10" t="str">
        <f aca="false">IF(A1010="","",IFERROR(IF(E1010=MAX(MORTALITY!$A:$A),1000,INDEX(CV_RATES!$J:$J,MATCH(D1010,CV_RATES!$C:$C,0))),0))</f>
        <v/>
      </c>
      <c r="K1010" s="10" t="str">
        <f aca="false">IF(A1010="","",IFERROR(I1010+H1010*(J1010-I1010),0))</f>
        <v/>
      </c>
      <c r="L1010" s="10" t="str">
        <f aca="false">IF(A1010="","",IFERROR(K1010*Inputs!$B$9,0))</f>
        <v/>
      </c>
      <c r="M1010" s="10" t="str">
        <f aca="false">IF(A1010="","",IFERROR(K1010*Inputs!$B$10,0))</f>
        <v/>
      </c>
      <c r="N1010" s="10" t="str">
        <f aca="false">IF(A1010="","",Z1009)</f>
        <v/>
      </c>
      <c r="O1010" s="6" t="str">
        <f aca="false">IF(A1010="","",Inputs!$B$18+N1010)</f>
        <v/>
      </c>
      <c r="P1010" s="5" t="str">
        <f aca="false">IF(A1010="","",VLOOKUP(D1010,DIvidend_Assumption!$A$3:$CX$103,($E$2+2),0)/12)</f>
        <v/>
      </c>
      <c r="Q1010" s="10" t="str">
        <f aca="false">IF(A1010="","",IFERROR(AB1009*P1010,""))</f>
        <v/>
      </c>
      <c r="R1010" s="10" t="str">
        <f aca="false">IF(A1010="","",IFERROR(IF(Inputs!$B$22="Accumulate",T1010+Q1010,IF(Inputs!$B$22="Premium Offset",MAX(0,T1010+Q1010-Inputs!$B$25),T1010)),""))</f>
        <v/>
      </c>
      <c r="S1010" s="10" t="str">
        <f aca="false">IF(A1010="","",R1009)</f>
        <v/>
      </c>
      <c r="T1010" s="10" t="str">
        <f aca="false">IF(A1010="","",IFERROR(S1010*(1+Inputs!$B$23/12),""))</f>
        <v/>
      </c>
      <c r="U1010" s="6" t="str">
        <f aca="false">IF(A1010="","",IF(D1010&lt;=Inputs!$B$8,IF(Inputs!$B$22="Premium Offset",MAX(0,Inputs!$B$25-(Q1010+T1010)),Inputs!$B$25),0))</f>
        <v/>
      </c>
      <c r="V1010" s="10" t="str">
        <f aca="false">IF(A1010="","",IF(Inputs!$B$22="Cash",Q1010,0))</f>
        <v/>
      </c>
      <c r="W1010" s="10" t="str">
        <f aca="false">IF(A1010="","",IF(Inputs!$B$22="PUA",Q1010,0))</f>
        <v/>
      </c>
      <c r="X1010" s="12" t="str">
        <f aca="false">IF(A1010="","",IFERROR(INDEX(PUA_TABLE!$D$4:$D$105,MATCH(E1010,PUA_TABLE!$C$4:$C$105,1)),0))</f>
        <v/>
      </c>
      <c r="Y1010" s="10" t="str">
        <f aca="false">IF(A1010="","",IF(W1010&gt;0,IF(X1010&gt;0,W1010/X1010,0),0))</f>
        <v/>
      </c>
      <c r="Z1010" s="10" t="str">
        <f aca="false">IF(A1010="","",N1010+Y1010)</f>
        <v/>
      </c>
      <c r="AA1010" s="10" t="str">
        <f aca="false">IF(A1010="","",IFERROR(Z1010*INDEX(PUA_TABLE!$I$4:$I$105,MATCH(E1010,PUA_TABLE!$C$4:$C$105,1))/1000,0))</f>
        <v/>
      </c>
      <c r="AB1010" s="10" t="str">
        <f aca="false">IF(A1010="","",IFERROR(L1010+AA1010,0))</f>
        <v/>
      </c>
      <c r="AC1010" s="10" t="str">
        <f aca="false">IF(A1010="","",IF(Inputs!$B$22="Premium Offset",MIN(Inputs!$B$25,Q1010+T1010),0))</f>
        <v/>
      </c>
    </row>
    <row r="1011" customFormat="false" ht="15" hidden="false" customHeight="false" outlineLevel="0" collapsed="false">
      <c r="A1011" s="1" t="str">
        <f aca="false">IF(A1010="","",IF(INT((C1010+1)/12)+Inputs!$B$7&gt;MAX(MORTALITY!$A:$A),"",Inputs!$B$4))</f>
        <v/>
      </c>
      <c r="B1011" s="3" t="str">
        <f aca="false">IF(A1011="","",EOMONTH(B1010,1))</f>
        <v/>
      </c>
      <c r="C1011" s="1" t="str">
        <f aca="false">IF(A1011="","",C1010+1)</f>
        <v/>
      </c>
      <c r="D1011" s="1" t="str">
        <f aca="false">IF(A1011="","",INT(C1011/12))</f>
        <v/>
      </c>
      <c r="E1011" s="1" t="str">
        <f aca="false">IF(A1011="","",D1011+Inputs!$B$7)</f>
        <v/>
      </c>
      <c r="F1011" s="3" t="str">
        <f aca="false">IF(A1011="","",DATE(YEAR(B$2)+D1011,MONTH(B$2),DAY(B$2)))</f>
        <v/>
      </c>
      <c r="G1011" s="3" t="str">
        <f aca="false">IF(A1011="","",DATE(YEAR(F1011)+1,MONTH(F1011),DAY(F1011)))</f>
        <v/>
      </c>
      <c r="H1011" s="10" t="str">
        <f aca="false">IF(A1011="","",IF(G1011&gt;F1011,(B1011-F1011)/(G1011-F1011),0))</f>
        <v/>
      </c>
      <c r="I1011" s="10" t="str">
        <f aca="false">IF(A1011="","",IFERROR(INDEX(CV_RATES!$I:$I,MATCH(D1011,CV_RATES!$C:$C,0)),0))</f>
        <v/>
      </c>
      <c r="J1011" s="10" t="str">
        <f aca="false">IF(A1011="","",IFERROR(IF(E1011=MAX(MORTALITY!$A:$A),1000,INDEX(CV_RATES!$J:$J,MATCH(D1011,CV_RATES!$C:$C,0))),0))</f>
        <v/>
      </c>
      <c r="K1011" s="10" t="str">
        <f aca="false">IF(A1011="","",IFERROR(I1011+H1011*(J1011-I1011),0))</f>
        <v/>
      </c>
      <c r="L1011" s="10" t="str">
        <f aca="false">IF(A1011="","",IFERROR(K1011*Inputs!$B$9,0))</f>
        <v/>
      </c>
      <c r="M1011" s="10" t="str">
        <f aca="false">IF(A1011="","",IFERROR(K1011*Inputs!$B$10,0))</f>
        <v/>
      </c>
      <c r="N1011" s="10" t="str">
        <f aca="false">IF(A1011="","",Z1010)</f>
        <v/>
      </c>
      <c r="O1011" s="6" t="str">
        <f aca="false">IF(A1011="","",Inputs!$B$18+N1011)</f>
        <v/>
      </c>
      <c r="P1011" s="5" t="str">
        <f aca="false">IF(A1011="","",VLOOKUP(D1011,DIvidend_Assumption!$A$3:$CX$103,($E$2+2),0)/12)</f>
        <v/>
      </c>
      <c r="Q1011" s="10" t="str">
        <f aca="false">IF(A1011="","",IFERROR(AB1010*P1011,""))</f>
        <v/>
      </c>
      <c r="R1011" s="10" t="str">
        <f aca="false">IF(A1011="","",IFERROR(IF(Inputs!$B$22="Accumulate",T1011+Q1011,IF(Inputs!$B$22="Premium Offset",MAX(0,T1011+Q1011-Inputs!$B$25),T1011)),""))</f>
        <v/>
      </c>
      <c r="S1011" s="10" t="str">
        <f aca="false">IF(A1011="","",R1010)</f>
        <v/>
      </c>
      <c r="T1011" s="10" t="str">
        <f aca="false">IF(A1011="","",IFERROR(S1011*(1+Inputs!$B$23/12),""))</f>
        <v/>
      </c>
      <c r="U1011" s="6" t="str">
        <f aca="false">IF(A1011="","",IF(D1011&lt;=Inputs!$B$8,IF(Inputs!$B$22="Premium Offset",MAX(0,Inputs!$B$25-(Q1011+T1011)),Inputs!$B$25),0))</f>
        <v/>
      </c>
      <c r="V1011" s="10" t="str">
        <f aca="false">IF(A1011="","",IF(Inputs!$B$22="Cash",Q1011,0))</f>
        <v/>
      </c>
      <c r="W1011" s="10" t="str">
        <f aca="false">IF(A1011="","",IF(Inputs!$B$22="PUA",Q1011,0))</f>
        <v/>
      </c>
      <c r="X1011" s="12" t="str">
        <f aca="false">IF(A1011="","",IFERROR(INDEX(PUA_TABLE!$D$4:$D$105,MATCH(E1011,PUA_TABLE!$C$4:$C$105,1)),0))</f>
        <v/>
      </c>
      <c r="Y1011" s="10" t="str">
        <f aca="false">IF(A1011="","",IF(W1011&gt;0,IF(X1011&gt;0,W1011/X1011,0),0))</f>
        <v/>
      </c>
      <c r="Z1011" s="10" t="str">
        <f aca="false">IF(A1011="","",N1011+Y1011)</f>
        <v/>
      </c>
      <c r="AA1011" s="10" t="str">
        <f aca="false">IF(A1011="","",IFERROR(Z1011*INDEX(PUA_TABLE!$I$4:$I$105,MATCH(E1011,PUA_TABLE!$C$4:$C$105,1))/1000,0))</f>
        <v/>
      </c>
      <c r="AB1011" s="10" t="str">
        <f aca="false">IF(A1011="","",IFERROR(L1011+AA1011,0))</f>
        <v/>
      </c>
      <c r="AC1011" s="10" t="str">
        <f aca="false">IF(A1011="","",IF(Inputs!$B$22="Premium Offset",MIN(Inputs!$B$25,Q1011+T1011),0))</f>
        <v/>
      </c>
    </row>
    <row r="1012" customFormat="false" ht="15" hidden="false" customHeight="false" outlineLevel="0" collapsed="false">
      <c r="A1012" s="1" t="str">
        <f aca="false">IF(A1011="","",IF(INT((C1011+1)/12)+Inputs!$B$7&gt;MAX(MORTALITY!$A:$A),"",Inputs!$B$4))</f>
        <v/>
      </c>
      <c r="B1012" s="3" t="str">
        <f aca="false">IF(A1012="","",EOMONTH(B1011,1))</f>
        <v/>
      </c>
      <c r="C1012" s="1" t="str">
        <f aca="false">IF(A1012="","",C1011+1)</f>
        <v/>
      </c>
      <c r="D1012" s="1" t="str">
        <f aca="false">IF(A1012="","",INT(C1012/12))</f>
        <v/>
      </c>
      <c r="E1012" s="1" t="str">
        <f aca="false">IF(A1012="","",D1012+Inputs!$B$7)</f>
        <v/>
      </c>
      <c r="F1012" s="3" t="str">
        <f aca="false">IF(A1012="","",DATE(YEAR(B$2)+D1012,MONTH(B$2),DAY(B$2)))</f>
        <v/>
      </c>
      <c r="G1012" s="3" t="str">
        <f aca="false">IF(A1012="","",DATE(YEAR(F1012)+1,MONTH(F1012),DAY(F1012)))</f>
        <v/>
      </c>
      <c r="H1012" s="10" t="str">
        <f aca="false">IF(A1012="","",IF(G1012&gt;F1012,(B1012-F1012)/(G1012-F1012),0))</f>
        <v/>
      </c>
      <c r="I1012" s="10" t="str">
        <f aca="false">IF(A1012="","",IFERROR(INDEX(CV_RATES!$I:$I,MATCH(D1012,CV_RATES!$C:$C,0)),0))</f>
        <v/>
      </c>
      <c r="J1012" s="10" t="str">
        <f aca="false">IF(A1012="","",IFERROR(IF(E1012=MAX(MORTALITY!$A:$A),1000,INDEX(CV_RATES!$J:$J,MATCH(D1012,CV_RATES!$C:$C,0))),0))</f>
        <v/>
      </c>
      <c r="K1012" s="10" t="str">
        <f aca="false">IF(A1012="","",IFERROR(I1012+H1012*(J1012-I1012),0))</f>
        <v/>
      </c>
      <c r="L1012" s="10" t="str">
        <f aca="false">IF(A1012="","",IFERROR(K1012*Inputs!$B$9,0))</f>
        <v/>
      </c>
      <c r="M1012" s="10" t="str">
        <f aca="false">IF(A1012="","",IFERROR(K1012*Inputs!$B$10,0))</f>
        <v/>
      </c>
      <c r="N1012" s="10" t="str">
        <f aca="false">IF(A1012="","",Z1011)</f>
        <v/>
      </c>
      <c r="O1012" s="6" t="str">
        <f aca="false">IF(A1012="","",Inputs!$B$18+N1012)</f>
        <v/>
      </c>
      <c r="P1012" s="5" t="str">
        <f aca="false">IF(A1012="","",VLOOKUP(D1012,DIvidend_Assumption!$A$3:$CX$103,($E$2+2),0)/12)</f>
        <v/>
      </c>
      <c r="Q1012" s="10" t="str">
        <f aca="false">IF(A1012="","",IFERROR(AB1011*P1012,""))</f>
        <v/>
      </c>
      <c r="R1012" s="10" t="str">
        <f aca="false">IF(A1012="","",IFERROR(IF(Inputs!$B$22="Accumulate",T1012+Q1012,IF(Inputs!$B$22="Premium Offset",MAX(0,T1012+Q1012-Inputs!$B$25),T1012)),""))</f>
        <v/>
      </c>
      <c r="S1012" s="10" t="str">
        <f aca="false">IF(A1012="","",R1011)</f>
        <v/>
      </c>
      <c r="T1012" s="10" t="str">
        <f aca="false">IF(A1012="","",IFERROR(S1012*(1+Inputs!$B$23/12),""))</f>
        <v/>
      </c>
      <c r="U1012" s="6" t="str">
        <f aca="false">IF(A1012="","",IF(D1012&lt;=Inputs!$B$8,IF(Inputs!$B$22="Premium Offset",MAX(0,Inputs!$B$25-(Q1012+T1012)),Inputs!$B$25),0))</f>
        <v/>
      </c>
      <c r="V1012" s="10" t="str">
        <f aca="false">IF(A1012="","",IF(Inputs!$B$22="Cash",Q1012,0))</f>
        <v/>
      </c>
      <c r="W1012" s="10" t="str">
        <f aca="false">IF(A1012="","",IF(Inputs!$B$22="PUA",Q1012,0))</f>
        <v/>
      </c>
      <c r="X1012" s="12" t="str">
        <f aca="false">IF(A1012="","",IFERROR(INDEX(PUA_TABLE!$D$4:$D$105,MATCH(E1012,PUA_TABLE!$C$4:$C$105,1)),0))</f>
        <v/>
      </c>
      <c r="Y1012" s="10" t="str">
        <f aca="false">IF(A1012="","",IF(W1012&gt;0,IF(X1012&gt;0,W1012/X1012,0),0))</f>
        <v/>
      </c>
      <c r="Z1012" s="10" t="str">
        <f aca="false">IF(A1012="","",N1012+Y1012)</f>
        <v/>
      </c>
      <c r="AA1012" s="10" t="str">
        <f aca="false">IF(A1012="","",IFERROR(Z1012*INDEX(PUA_TABLE!$I$4:$I$105,MATCH(E1012,PUA_TABLE!$C$4:$C$105,1))/1000,0))</f>
        <v/>
      </c>
      <c r="AB1012" s="10" t="str">
        <f aca="false">IF(A1012="","",IFERROR(L1012+AA1012,0))</f>
        <v/>
      </c>
      <c r="AC1012" s="10" t="str">
        <f aca="false">IF(A1012="","",IF(Inputs!$B$22="Premium Offset",MIN(Inputs!$B$25,Q1012+T1012),0))</f>
        <v/>
      </c>
    </row>
    <row r="1013" customFormat="false" ht="15" hidden="false" customHeight="false" outlineLevel="0" collapsed="false">
      <c r="A1013" s="1" t="str">
        <f aca="false">IF(A1012="","",IF(INT((C1012+1)/12)+Inputs!$B$7&gt;MAX(MORTALITY!$A:$A),"",Inputs!$B$4))</f>
        <v/>
      </c>
      <c r="B1013" s="3" t="str">
        <f aca="false">IF(A1013="","",EOMONTH(B1012,1))</f>
        <v/>
      </c>
      <c r="C1013" s="1" t="str">
        <f aca="false">IF(A1013="","",C1012+1)</f>
        <v/>
      </c>
      <c r="D1013" s="1" t="str">
        <f aca="false">IF(A1013="","",INT(C1013/12))</f>
        <v/>
      </c>
      <c r="E1013" s="1" t="str">
        <f aca="false">IF(A1013="","",D1013+Inputs!$B$7)</f>
        <v/>
      </c>
      <c r="F1013" s="3" t="str">
        <f aca="false">IF(A1013="","",DATE(YEAR(B$2)+D1013,MONTH(B$2),DAY(B$2)))</f>
        <v/>
      </c>
      <c r="G1013" s="3" t="str">
        <f aca="false">IF(A1013="","",DATE(YEAR(F1013)+1,MONTH(F1013),DAY(F1013)))</f>
        <v/>
      </c>
      <c r="H1013" s="10" t="str">
        <f aca="false">IF(A1013="","",IF(G1013&gt;F1013,(B1013-F1013)/(G1013-F1013),0))</f>
        <v/>
      </c>
      <c r="I1013" s="10" t="str">
        <f aca="false">IF(A1013="","",IFERROR(INDEX(CV_RATES!$I:$I,MATCH(D1013,CV_RATES!$C:$C,0)),0))</f>
        <v/>
      </c>
      <c r="J1013" s="10" t="str">
        <f aca="false">IF(A1013="","",IFERROR(IF(E1013=MAX(MORTALITY!$A:$A),1000,INDEX(CV_RATES!$J:$J,MATCH(D1013,CV_RATES!$C:$C,0))),0))</f>
        <v/>
      </c>
      <c r="K1013" s="10" t="str">
        <f aca="false">IF(A1013="","",IFERROR(I1013+H1013*(J1013-I1013),0))</f>
        <v/>
      </c>
      <c r="L1013" s="10" t="str">
        <f aca="false">IF(A1013="","",IFERROR(K1013*Inputs!$B$9,0))</f>
        <v/>
      </c>
      <c r="M1013" s="10" t="str">
        <f aca="false">IF(A1013="","",IFERROR(K1013*Inputs!$B$10,0))</f>
        <v/>
      </c>
      <c r="N1013" s="10" t="str">
        <f aca="false">IF(A1013="","",Z1012)</f>
        <v/>
      </c>
      <c r="O1013" s="6" t="str">
        <f aca="false">IF(A1013="","",Inputs!$B$18+N1013)</f>
        <v/>
      </c>
      <c r="P1013" s="5" t="str">
        <f aca="false">IF(A1013="","",VLOOKUP(D1013,DIvidend_Assumption!$A$3:$CX$103,($E$2+2),0)/12)</f>
        <v/>
      </c>
      <c r="Q1013" s="10" t="str">
        <f aca="false">IF(A1013="","",IFERROR(AB1012*P1013,""))</f>
        <v/>
      </c>
      <c r="R1013" s="10" t="str">
        <f aca="false">IF(A1013="","",IFERROR(IF(Inputs!$B$22="Accumulate",T1013+Q1013,IF(Inputs!$B$22="Premium Offset",MAX(0,T1013+Q1013-Inputs!$B$25),T1013)),""))</f>
        <v/>
      </c>
      <c r="S1013" s="10" t="str">
        <f aca="false">IF(A1013="","",R1012)</f>
        <v/>
      </c>
      <c r="T1013" s="10" t="str">
        <f aca="false">IF(A1013="","",IFERROR(S1013*(1+Inputs!$B$23/12),""))</f>
        <v/>
      </c>
      <c r="U1013" s="6" t="str">
        <f aca="false">IF(A1013="","",IF(D1013&lt;=Inputs!$B$8,IF(Inputs!$B$22="Premium Offset",MAX(0,Inputs!$B$25-(Q1013+T1013)),Inputs!$B$25),0))</f>
        <v/>
      </c>
      <c r="V1013" s="10" t="str">
        <f aca="false">IF(A1013="","",IF(Inputs!$B$22="Cash",Q1013,0))</f>
        <v/>
      </c>
      <c r="W1013" s="10" t="str">
        <f aca="false">IF(A1013="","",IF(Inputs!$B$22="PUA",Q1013,0))</f>
        <v/>
      </c>
      <c r="X1013" s="12" t="str">
        <f aca="false">IF(A1013="","",IFERROR(INDEX(PUA_TABLE!$D$4:$D$105,MATCH(E1013,PUA_TABLE!$C$4:$C$105,1)),0))</f>
        <v/>
      </c>
      <c r="Y1013" s="10" t="str">
        <f aca="false">IF(A1013="","",IF(W1013&gt;0,IF(X1013&gt;0,W1013/X1013,0),0))</f>
        <v/>
      </c>
      <c r="Z1013" s="10" t="str">
        <f aca="false">IF(A1013="","",N1013+Y1013)</f>
        <v/>
      </c>
      <c r="AA1013" s="10" t="str">
        <f aca="false">IF(A1013="","",IFERROR(Z1013*INDEX(PUA_TABLE!$I$4:$I$105,MATCH(E1013,PUA_TABLE!$C$4:$C$105,1))/1000,0))</f>
        <v/>
      </c>
      <c r="AB1013" s="10" t="str">
        <f aca="false">IF(A1013="","",IFERROR(L1013+AA1013,0))</f>
        <v/>
      </c>
      <c r="AC1013" s="10" t="str">
        <f aca="false">IF(A1013="","",IF(Inputs!$B$22="Premium Offset",MIN(Inputs!$B$25,Q1013+T1013),0))</f>
        <v/>
      </c>
    </row>
    <row r="1014" customFormat="false" ht="15" hidden="false" customHeight="false" outlineLevel="0" collapsed="false">
      <c r="A1014" s="1" t="str">
        <f aca="false">IF(A1013="","",IF(INT((C1013+1)/12)+Inputs!$B$7&gt;MAX(MORTALITY!$A:$A),"",Inputs!$B$4))</f>
        <v/>
      </c>
      <c r="B1014" s="3" t="str">
        <f aca="false">IF(A1014="","",EOMONTH(B1013,1))</f>
        <v/>
      </c>
      <c r="C1014" s="1" t="str">
        <f aca="false">IF(A1014="","",C1013+1)</f>
        <v/>
      </c>
      <c r="D1014" s="1" t="str">
        <f aca="false">IF(A1014="","",INT(C1014/12))</f>
        <v/>
      </c>
      <c r="E1014" s="1" t="str">
        <f aca="false">IF(A1014="","",D1014+Inputs!$B$7)</f>
        <v/>
      </c>
      <c r="F1014" s="3" t="str">
        <f aca="false">IF(A1014="","",DATE(YEAR(B$2)+D1014,MONTH(B$2),DAY(B$2)))</f>
        <v/>
      </c>
      <c r="G1014" s="3" t="str">
        <f aca="false">IF(A1014="","",DATE(YEAR(F1014)+1,MONTH(F1014),DAY(F1014)))</f>
        <v/>
      </c>
      <c r="H1014" s="10" t="str">
        <f aca="false">IF(A1014="","",IF(G1014&gt;F1014,(B1014-F1014)/(G1014-F1014),0))</f>
        <v/>
      </c>
      <c r="I1014" s="10" t="str">
        <f aca="false">IF(A1014="","",IFERROR(INDEX(CV_RATES!$I:$I,MATCH(D1014,CV_RATES!$C:$C,0)),0))</f>
        <v/>
      </c>
      <c r="J1014" s="10" t="str">
        <f aca="false">IF(A1014="","",IFERROR(IF(E1014=MAX(MORTALITY!$A:$A),1000,INDEX(CV_RATES!$J:$J,MATCH(D1014,CV_RATES!$C:$C,0))),0))</f>
        <v/>
      </c>
      <c r="K1014" s="10" t="str">
        <f aca="false">IF(A1014="","",IFERROR(I1014+H1014*(J1014-I1014),0))</f>
        <v/>
      </c>
      <c r="L1014" s="10" t="str">
        <f aca="false">IF(A1014="","",IFERROR(K1014*Inputs!$B$9,0))</f>
        <v/>
      </c>
      <c r="M1014" s="10" t="str">
        <f aca="false">IF(A1014="","",IFERROR(K1014*Inputs!$B$10,0))</f>
        <v/>
      </c>
      <c r="N1014" s="10" t="str">
        <f aca="false">IF(A1014="","",Z1013)</f>
        <v/>
      </c>
      <c r="O1014" s="6" t="str">
        <f aca="false">IF(A1014="","",Inputs!$B$18+N1014)</f>
        <v/>
      </c>
      <c r="P1014" s="5" t="str">
        <f aca="false">IF(A1014="","",VLOOKUP(D1014,DIvidend_Assumption!$A$3:$CX$103,($E$2+2),0)/12)</f>
        <v/>
      </c>
      <c r="Q1014" s="10" t="str">
        <f aca="false">IF(A1014="","",IFERROR(AB1013*P1014,""))</f>
        <v/>
      </c>
      <c r="R1014" s="10" t="str">
        <f aca="false">IF(A1014="","",IFERROR(IF(Inputs!$B$22="Accumulate",T1014+Q1014,IF(Inputs!$B$22="Premium Offset",MAX(0,T1014+Q1014-Inputs!$B$25),T1014)),""))</f>
        <v/>
      </c>
      <c r="S1014" s="10" t="str">
        <f aca="false">IF(A1014="","",R1013)</f>
        <v/>
      </c>
      <c r="T1014" s="10" t="str">
        <f aca="false">IF(A1014="","",IFERROR(S1014*(1+Inputs!$B$23/12),""))</f>
        <v/>
      </c>
      <c r="U1014" s="6" t="str">
        <f aca="false">IF(A1014="","",IF(D1014&lt;=Inputs!$B$8,IF(Inputs!$B$22="Premium Offset",MAX(0,Inputs!$B$25-(Q1014+T1014)),Inputs!$B$25),0))</f>
        <v/>
      </c>
      <c r="V1014" s="10" t="str">
        <f aca="false">IF(A1014="","",IF(Inputs!$B$22="Cash",Q1014,0))</f>
        <v/>
      </c>
      <c r="W1014" s="10" t="str">
        <f aca="false">IF(A1014="","",IF(Inputs!$B$22="PUA",Q1014,0))</f>
        <v/>
      </c>
      <c r="X1014" s="12" t="str">
        <f aca="false">IF(A1014="","",IFERROR(INDEX(PUA_TABLE!$D$4:$D$105,MATCH(E1014,PUA_TABLE!$C$4:$C$105,1)),0))</f>
        <v/>
      </c>
      <c r="Y1014" s="10" t="str">
        <f aca="false">IF(A1014="","",IF(W1014&gt;0,IF(X1014&gt;0,W1014/X1014,0),0))</f>
        <v/>
      </c>
      <c r="Z1014" s="10" t="str">
        <f aca="false">IF(A1014="","",N1014+Y1014)</f>
        <v/>
      </c>
      <c r="AA1014" s="10" t="str">
        <f aca="false">IF(A1014="","",IFERROR(Z1014*INDEX(PUA_TABLE!$I$4:$I$105,MATCH(E1014,PUA_TABLE!$C$4:$C$105,1))/1000,0))</f>
        <v/>
      </c>
      <c r="AB1014" s="10" t="str">
        <f aca="false">IF(A1014="","",IFERROR(L1014+AA1014,0))</f>
        <v/>
      </c>
      <c r="AC1014" s="10" t="str">
        <f aca="false">IF(A1014="","",IF(Inputs!$B$22="Premium Offset",MIN(Inputs!$B$25,Q1014+T1014),0))</f>
        <v/>
      </c>
    </row>
    <row r="1015" customFormat="false" ht="15" hidden="false" customHeight="false" outlineLevel="0" collapsed="false">
      <c r="A1015" s="1" t="str">
        <f aca="false">IF(A1014="","",IF(INT((C1014+1)/12)+Inputs!$B$7&gt;MAX(MORTALITY!$A:$A),"",Inputs!$B$4))</f>
        <v/>
      </c>
      <c r="B1015" s="3" t="str">
        <f aca="false">IF(A1015="","",EOMONTH(B1014,1))</f>
        <v/>
      </c>
      <c r="C1015" s="1" t="str">
        <f aca="false">IF(A1015="","",C1014+1)</f>
        <v/>
      </c>
      <c r="D1015" s="1" t="str">
        <f aca="false">IF(A1015="","",INT(C1015/12))</f>
        <v/>
      </c>
      <c r="E1015" s="1" t="str">
        <f aca="false">IF(A1015="","",D1015+Inputs!$B$7)</f>
        <v/>
      </c>
      <c r="F1015" s="3" t="str">
        <f aca="false">IF(A1015="","",DATE(YEAR(B$2)+D1015,MONTH(B$2),DAY(B$2)))</f>
        <v/>
      </c>
      <c r="G1015" s="3" t="str">
        <f aca="false">IF(A1015="","",DATE(YEAR(F1015)+1,MONTH(F1015),DAY(F1015)))</f>
        <v/>
      </c>
      <c r="H1015" s="10" t="str">
        <f aca="false">IF(A1015="","",IF(G1015&gt;F1015,(B1015-F1015)/(G1015-F1015),0))</f>
        <v/>
      </c>
      <c r="I1015" s="10" t="str">
        <f aca="false">IF(A1015="","",IFERROR(INDEX(CV_RATES!$I:$I,MATCH(D1015,CV_RATES!$C:$C,0)),0))</f>
        <v/>
      </c>
      <c r="J1015" s="10" t="str">
        <f aca="false">IF(A1015="","",IFERROR(IF(E1015=MAX(MORTALITY!$A:$A),1000,INDEX(CV_RATES!$J:$J,MATCH(D1015,CV_RATES!$C:$C,0))),0))</f>
        <v/>
      </c>
      <c r="K1015" s="10" t="str">
        <f aca="false">IF(A1015="","",IFERROR(I1015+H1015*(J1015-I1015),0))</f>
        <v/>
      </c>
      <c r="L1015" s="10" t="str">
        <f aca="false">IF(A1015="","",IFERROR(K1015*Inputs!$B$9,0))</f>
        <v/>
      </c>
      <c r="M1015" s="10" t="str">
        <f aca="false">IF(A1015="","",IFERROR(K1015*Inputs!$B$10,0))</f>
        <v/>
      </c>
      <c r="N1015" s="10" t="str">
        <f aca="false">IF(A1015="","",Z1014)</f>
        <v/>
      </c>
      <c r="O1015" s="6" t="str">
        <f aca="false">IF(A1015="","",Inputs!$B$18+N1015)</f>
        <v/>
      </c>
      <c r="P1015" s="5" t="str">
        <f aca="false">IF(A1015="","",VLOOKUP(D1015,DIvidend_Assumption!$A$3:$CX$103,($E$2+2),0)/12)</f>
        <v/>
      </c>
      <c r="Q1015" s="10" t="str">
        <f aca="false">IF(A1015="","",IFERROR(AB1014*P1015,""))</f>
        <v/>
      </c>
      <c r="R1015" s="10" t="str">
        <f aca="false">IF(A1015="","",IFERROR(IF(Inputs!$B$22="Accumulate",T1015+Q1015,IF(Inputs!$B$22="Premium Offset",MAX(0,T1015+Q1015-Inputs!$B$25),T1015)),""))</f>
        <v/>
      </c>
      <c r="S1015" s="10" t="str">
        <f aca="false">IF(A1015="","",R1014)</f>
        <v/>
      </c>
      <c r="T1015" s="10" t="str">
        <f aca="false">IF(A1015="","",IFERROR(S1015*(1+Inputs!$B$23/12),""))</f>
        <v/>
      </c>
      <c r="U1015" s="6" t="str">
        <f aca="false">IF(A1015="","",IF(D1015&lt;=Inputs!$B$8,IF(Inputs!$B$22="Premium Offset",MAX(0,Inputs!$B$25-(Q1015+T1015)),Inputs!$B$25),0))</f>
        <v/>
      </c>
      <c r="V1015" s="10" t="str">
        <f aca="false">IF(A1015="","",IF(Inputs!$B$22="Cash",Q1015,0))</f>
        <v/>
      </c>
      <c r="W1015" s="10" t="str">
        <f aca="false">IF(A1015="","",IF(Inputs!$B$22="PUA",Q1015,0))</f>
        <v/>
      </c>
      <c r="X1015" s="12" t="str">
        <f aca="false">IF(A1015="","",IFERROR(INDEX(PUA_TABLE!$D$4:$D$105,MATCH(E1015,PUA_TABLE!$C$4:$C$105,1)),0))</f>
        <v/>
      </c>
      <c r="Y1015" s="10" t="str">
        <f aca="false">IF(A1015="","",IF(W1015&gt;0,IF(X1015&gt;0,W1015/X1015,0),0))</f>
        <v/>
      </c>
      <c r="Z1015" s="10" t="str">
        <f aca="false">IF(A1015="","",N1015+Y1015)</f>
        <v/>
      </c>
      <c r="AA1015" s="10" t="str">
        <f aca="false">IF(A1015="","",IFERROR(Z1015*INDEX(PUA_TABLE!$I$4:$I$105,MATCH(E1015,PUA_TABLE!$C$4:$C$105,1))/1000,0))</f>
        <v/>
      </c>
      <c r="AB1015" s="10" t="str">
        <f aca="false">IF(A1015="","",IFERROR(L1015+AA1015,0))</f>
        <v/>
      </c>
      <c r="AC1015" s="10" t="str">
        <f aca="false">IF(A1015="","",IF(Inputs!$B$22="Premium Offset",MIN(Inputs!$B$25,Q1015+T1015),0))</f>
        <v/>
      </c>
    </row>
    <row r="1016" customFormat="false" ht="15" hidden="false" customHeight="false" outlineLevel="0" collapsed="false">
      <c r="A1016" s="1" t="str">
        <f aca="false">IF(A1015="","",IF(INT((C1015+1)/12)+Inputs!$B$7&gt;MAX(MORTALITY!$A:$A),"",Inputs!$B$4))</f>
        <v/>
      </c>
      <c r="B1016" s="3" t="str">
        <f aca="false">IF(A1016="","",EOMONTH(B1015,1))</f>
        <v/>
      </c>
      <c r="C1016" s="1" t="str">
        <f aca="false">IF(A1016="","",C1015+1)</f>
        <v/>
      </c>
      <c r="D1016" s="1" t="str">
        <f aca="false">IF(A1016="","",INT(C1016/12))</f>
        <v/>
      </c>
      <c r="E1016" s="1" t="str">
        <f aca="false">IF(A1016="","",D1016+Inputs!$B$7)</f>
        <v/>
      </c>
      <c r="F1016" s="3" t="str">
        <f aca="false">IF(A1016="","",DATE(YEAR(B$2)+D1016,MONTH(B$2),DAY(B$2)))</f>
        <v/>
      </c>
      <c r="G1016" s="3" t="str">
        <f aca="false">IF(A1016="","",DATE(YEAR(F1016)+1,MONTH(F1016),DAY(F1016)))</f>
        <v/>
      </c>
      <c r="H1016" s="10" t="str">
        <f aca="false">IF(A1016="","",IF(G1016&gt;F1016,(B1016-F1016)/(G1016-F1016),0))</f>
        <v/>
      </c>
      <c r="I1016" s="10" t="str">
        <f aca="false">IF(A1016="","",IFERROR(INDEX(CV_RATES!$I:$I,MATCH(D1016,CV_RATES!$C:$C,0)),0))</f>
        <v/>
      </c>
      <c r="J1016" s="10" t="str">
        <f aca="false">IF(A1016="","",IFERROR(IF(E1016=MAX(MORTALITY!$A:$A),1000,INDEX(CV_RATES!$J:$J,MATCH(D1016,CV_RATES!$C:$C,0))),0))</f>
        <v/>
      </c>
      <c r="K1016" s="10" t="str">
        <f aca="false">IF(A1016="","",IFERROR(I1016+H1016*(J1016-I1016),0))</f>
        <v/>
      </c>
      <c r="L1016" s="10" t="str">
        <f aca="false">IF(A1016="","",IFERROR(K1016*Inputs!$B$9,0))</f>
        <v/>
      </c>
      <c r="M1016" s="10" t="str">
        <f aca="false">IF(A1016="","",IFERROR(K1016*Inputs!$B$10,0))</f>
        <v/>
      </c>
      <c r="N1016" s="10" t="str">
        <f aca="false">IF(A1016="","",Z1015)</f>
        <v/>
      </c>
      <c r="O1016" s="6" t="str">
        <f aca="false">IF(A1016="","",Inputs!$B$18+N1016)</f>
        <v/>
      </c>
      <c r="P1016" s="5" t="str">
        <f aca="false">IF(A1016="","",VLOOKUP(D1016,DIvidend_Assumption!$A$3:$CX$103,($E$2+2),0)/12)</f>
        <v/>
      </c>
      <c r="Q1016" s="10" t="str">
        <f aca="false">IF(A1016="","",IFERROR(AB1015*P1016,""))</f>
        <v/>
      </c>
      <c r="R1016" s="10" t="str">
        <f aca="false">IF(A1016="","",IFERROR(IF(Inputs!$B$22="Accumulate",T1016+Q1016,IF(Inputs!$B$22="Premium Offset",MAX(0,T1016+Q1016-Inputs!$B$25),T1016)),""))</f>
        <v/>
      </c>
      <c r="S1016" s="10" t="str">
        <f aca="false">IF(A1016="","",R1015)</f>
        <v/>
      </c>
      <c r="T1016" s="10" t="str">
        <f aca="false">IF(A1016="","",IFERROR(S1016*(1+Inputs!$B$23/12),""))</f>
        <v/>
      </c>
      <c r="U1016" s="6" t="str">
        <f aca="false">IF(A1016="","",IF(D1016&lt;=Inputs!$B$8,IF(Inputs!$B$22="Premium Offset",MAX(0,Inputs!$B$25-(Q1016+T1016)),Inputs!$B$25),0))</f>
        <v/>
      </c>
      <c r="V1016" s="10" t="str">
        <f aca="false">IF(A1016="","",IF(Inputs!$B$22="Cash",Q1016,0))</f>
        <v/>
      </c>
      <c r="W1016" s="10" t="str">
        <f aca="false">IF(A1016="","",IF(Inputs!$B$22="PUA",Q1016,0))</f>
        <v/>
      </c>
      <c r="X1016" s="12" t="str">
        <f aca="false">IF(A1016="","",IFERROR(INDEX(PUA_TABLE!$D$4:$D$105,MATCH(E1016,PUA_TABLE!$C$4:$C$105,1)),0))</f>
        <v/>
      </c>
      <c r="Y1016" s="10" t="str">
        <f aca="false">IF(A1016="","",IF(W1016&gt;0,IF(X1016&gt;0,W1016/X1016,0),0))</f>
        <v/>
      </c>
      <c r="Z1016" s="10" t="str">
        <f aca="false">IF(A1016="","",N1016+Y1016)</f>
        <v/>
      </c>
      <c r="AA1016" s="10" t="str">
        <f aca="false">IF(A1016="","",IFERROR(Z1016*INDEX(PUA_TABLE!$I$4:$I$105,MATCH(E1016,PUA_TABLE!$C$4:$C$105,1))/1000,0))</f>
        <v/>
      </c>
      <c r="AB1016" s="10" t="str">
        <f aca="false">IF(A1016="","",IFERROR(L1016+AA1016,0))</f>
        <v/>
      </c>
      <c r="AC1016" s="10" t="str">
        <f aca="false">IF(A1016="","",IF(Inputs!$B$22="Premium Offset",MIN(Inputs!$B$25,Q1016+T1016),0))</f>
        <v/>
      </c>
    </row>
    <row r="1017" customFormat="false" ht="15" hidden="false" customHeight="false" outlineLevel="0" collapsed="false">
      <c r="A1017" s="1" t="str">
        <f aca="false">IF(A1016="","",IF(INT((C1016+1)/12)+Inputs!$B$7&gt;MAX(MORTALITY!$A:$A),"",Inputs!$B$4))</f>
        <v/>
      </c>
      <c r="B1017" s="3" t="str">
        <f aca="false">IF(A1017="","",EOMONTH(B1016,1))</f>
        <v/>
      </c>
      <c r="C1017" s="1" t="str">
        <f aca="false">IF(A1017="","",C1016+1)</f>
        <v/>
      </c>
      <c r="D1017" s="1" t="str">
        <f aca="false">IF(A1017="","",INT(C1017/12))</f>
        <v/>
      </c>
      <c r="E1017" s="1" t="str">
        <f aca="false">IF(A1017="","",D1017+Inputs!$B$7)</f>
        <v/>
      </c>
      <c r="F1017" s="3" t="str">
        <f aca="false">IF(A1017="","",DATE(YEAR(B$2)+D1017,MONTH(B$2),DAY(B$2)))</f>
        <v/>
      </c>
      <c r="G1017" s="3" t="str">
        <f aca="false">IF(A1017="","",DATE(YEAR(F1017)+1,MONTH(F1017),DAY(F1017)))</f>
        <v/>
      </c>
      <c r="H1017" s="10" t="str">
        <f aca="false">IF(A1017="","",IF(G1017&gt;F1017,(B1017-F1017)/(G1017-F1017),0))</f>
        <v/>
      </c>
      <c r="I1017" s="10" t="str">
        <f aca="false">IF(A1017="","",IFERROR(INDEX(CV_RATES!$I:$I,MATCH(D1017,CV_RATES!$C:$C,0)),0))</f>
        <v/>
      </c>
      <c r="J1017" s="10" t="str">
        <f aca="false">IF(A1017="","",IFERROR(IF(E1017=MAX(MORTALITY!$A:$A),1000,INDEX(CV_RATES!$J:$J,MATCH(D1017,CV_RATES!$C:$C,0))),0))</f>
        <v/>
      </c>
      <c r="K1017" s="10" t="str">
        <f aca="false">IF(A1017="","",IFERROR(I1017+H1017*(J1017-I1017),0))</f>
        <v/>
      </c>
      <c r="L1017" s="10" t="str">
        <f aca="false">IF(A1017="","",IFERROR(K1017*Inputs!$B$9,0))</f>
        <v/>
      </c>
      <c r="M1017" s="10" t="str">
        <f aca="false">IF(A1017="","",IFERROR(K1017*Inputs!$B$10,0))</f>
        <v/>
      </c>
      <c r="N1017" s="10" t="str">
        <f aca="false">IF(A1017="","",Z1016)</f>
        <v/>
      </c>
      <c r="O1017" s="6" t="str">
        <f aca="false">IF(A1017="","",Inputs!$B$18+N1017)</f>
        <v/>
      </c>
      <c r="P1017" s="5" t="str">
        <f aca="false">IF(A1017="","",VLOOKUP(D1017,DIvidend_Assumption!$A$3:$CX$103,($E$2+2),0)/12)</f>
        <v/>
      </c>
      <c r="Q1017" s="10" t="str">
        <f aca="false">IF(A1017="","",IFERROR(AB1016*P1017,""))</f>
        <v/>
      </c>
      <c r="R1017" s="10" t="str">
        <f aca="false">IF(A1017="","",IFERROR(IF(Inputs!$B$22="Accumulate",T1017+Q1017,IF(Inputs!$B$22="Premium Offset",MAX(0,T1017+Q1017-Inputs!$B$25),T1017)),""))</f>
        <v/>
      </c>
      <c r="S1017" s="10" t="str">
        <f aca="false">IF(A1017="","",R1016)</f>
        <v/>
      </c>
      <c r="T1017" s="10" t="str">
        <f aca="false">IF(A1017="","",IFERROR(S1017*(1+Inputs!$B$23/12),""))</f>
        <v/>
      </c>
      <c r="U1017" s="6" t="str">
        <f aca="false">IF(A1017="","",IF(D1017&lt;=Inputs!$B$8,IF(Inputs!$B$22="Premium Offset",MAX(0,Inputs!$B$25-(Q1017+T1017)),Inputs!$B$25),0))</f>
        <v/>
      </c>
      <c r="V1017" s="10" t="str">
        <f aca="false">IF(A1017="","",IF(Inputs!$B$22="Cash",Q1017,0))</f>
        <v/>
      </c>
      <c r="W1017" s="10" t="str">
        <f aca="false">IF(A1017="","",IF(Inputs!$B$22="PUA",Q1017,0))</f>
        <v/>
      </c>
      <c r="X1017" s="12" t="str">
        <f aca="false">IF(A1017="","",IFERROR(INDEX(PUA_TABLE!$D$4:$D$105,MATCH(E1017,PUA_TABLE!$C$4:$C$105,1)),0))</f>
        <v/>
      </c>
      <c r="Y1017" s="10" t="str">
        <f aca="false">IF(A1017="","",IF(W1017&gt;0,IF(X1017&gt;0,W1017/X1017,0),0))</f>
        <v/>
      </c>
      <c r="Z1017" s="10" t="str">
        <f aca="false">IF(A1017="","",N1017+Y1017)</f>
        <v/>
      </c>
      <c r="AA1017" s="10" t="str">
        <f aca="false">IF(A1017="","",IFERROR(Z1017*INDEX(PUA_TABLE!$I$4:$I$105,MATCH(E1017,PUA_TABLE!$C$4:$C$105,1))/1000,0))</f>
        <v/>
      </c>
      <c r="AB1017" s="10" t="str">
        <f aca="false">IF(A1017="","",IFERROR(L1017+AA1017,0))</f>
        <v/>
      </c>
      <c r="AC1017" s="10" t="str">
        <f aca="false">IF(A1017="","",IF(Inputs!$B$22="Premium Offset",MIN(Inputs!$B$25,Q1017+T1017),0))</f>
        <v/>
      </c>
    </row>
    <row r="1018" customFormat="false" ht="15" hidden="false" customHeight="false" outlineLevel="0" collapsed="false">
      <c r="A1018" s="1" t="str">
        <f aca="false">IF(A1017="","",IF(INT((C1017+1)/12)+Inputs!$B$7&gt;MAX(MORTALITY!$A:$A),"",Inputs!$B$4))</f>
        <v/>
      </c>
      <c r="B1018" s="3" t="str">
        <f aca="false">IF(A1018="","",EOMONTH(B1017,1))</f>
        <v/>
      </c>
      <c r="C1018" s="1" t="str">
        <f aca="false">IF(A1018="","",C1017+1)</f>
        <v/>
      </c>
      <c r="D1018" s="1" t="str">
        <f aca="false">IF(A1018="","",INT(C1018/12))</f>
        <v/>
      </c>
      <c r="E1018" s="1" t="str">
        <f aca="false">IF(A1018="","",D1018+Inputs!$B$7)</f>
        <v/>
      </c>
      <c r="F1018" s="3" t="str">
        <f aca="false">IF(A1018="","",DATE(YEAR(B$2)+D1018,MONTH(B$2),DAY(B$2)))</f>
        <v/>
      </c>
      <c r="G1018" s="3" t="str">
        <f aca="false">IF(A1018="","",DATE(YEAR(F1018)+1,MONTH(F1018),DAY(F1018)))</f>
        <v/>
      </c>
      <c r="H1018" s="10" t="str">
        <f aca="false">IF(A1018="","",IF(G1018&gt;F1018,(B1018-F1018)/(G1018-F1018),0))</f>
        <v/>
      </c>
      <c r="I1018" s="10" t="str">
        <f aca="false">IF(A1018="","",IFERROR(INDEX(CV_RATES!$I:$I,MATCH(D1018,CV_RATES!$C:$C,0)),0))</f>
        <v/>
      </c>
      <c r="J1018" s="10" t="str">
        <f aca="false">IF(A1018="","",IFERROR(IF(E1018=MAX(MORTALITY!$A:$A),1000,INDEX(CV_RATES!$J:$J,MATCH(D1018,CV_RATES!$C:$C,0))),0))</f>
        <v/>
      </c>
      <c r="K1018" s="10" t="str">
        <f aca="false">IF(A1018="","",IFERROR(I1018+H1018*(J1018-I1018),0))</f>
        <v/>
      </c>
      <c r="L1018" s="10" t="str">
        <f aca="false">IF(A1018="","",IFERROR(K1018*Inputs!$B$9,0))</f>
        <v/>
      </c>
      <c r="M1018" s="10" t="str">
        <f aca="false">IF(A1018="","",IFERROR(K1018*Inputs!$B$10,0))</f>
        <v/>
      </c>
      <c r="N1018" s="10" t="str">
        <f aca="false">IF(A1018="","",Z1017)</f>
        <v/>
      </c>
      <c r="O1018" s="6" t="str">
        <f aca="false">IF(A1018="","",Inputs!$B$18+N1018)</f>
        <v/>
      </c>
      <c r="P1018" s="5" t="str">
        <f aca="false">IF(A1018="","",VLOOKUP(D1018,DIvidend_Assumption!$A$3:$CX$103,($E$2+2),0)/12)</f>
        <v/>
      </c>
      <c r="Q1018" s="10" t="str">
        <f aca="false">IF(A1018="","",IFERROR(AB1017*P1018,""))</f>
        <v/>
      </c>
      <c r="R1018" s="10" t="str">
        <f aca="false">IF(A1018="","",IFERROR(IF(Inputs!$B$22="Accumulate",T1018+Q1018,IF(Inputs!$B$22="Premium Offset",MAX(0,T1018+Q1018-Inputs!$B$25),T1018)),""))</f>
        <v/>
      </c>
      <c r="S1018" s="10" t="str">
        <f aca="false">IF(A1018="","",R1017)</f>
        <v/>
      </c>
      <c r="T1018" s="10" t="str">
        <f aca="false">IF(A1018="","",IFERROR(S1018*(1+Inputs!$B$23/12),""))</f>
        <v/>
      </c>
      <c r="U1018" s="6" t="str">
        <f aca="false">IF(A1018="","",IF(D1018&lt;=Inputs!$B$8,IF(Inputs!$B$22="Premium Offset",MAX(0,Inputs!$B$25-(Q1018+T1018)),Inputs!$B$25),0))</f>
        <v/>
      </c>
      <c r="V1018" s="10" t="str">
        <f aca="false">IF(A1018="","",IF(Inputs!$B$22="Cash",Q1018,0))</f>
        <v/>
      </c>
      <c r="W1018" s="10" t="str">
        <f aca="false">IF(A1018="","",IF(Inputs!$B$22="PUA",Q1018,0))</f>
        <v/>
      </c>
      <c r="X1018" s="12" t="str">
        <f aca="false">IF(A1018="","",IFERROR(INDEX(PUA_TABLE!$D$4:$D$105,MATCH(E1018,PUA_TABLE!$C$4:$C$105,1)),0))</f>
        <v/>
      </c>
      <c r="Y1018" s="10" t="str">
        <f aca="false">IF(A1018="","",IF(W1018&gt;0,IF(X1018&gt;0,W1018/X1018,0),0))</f>
        <v/>
      </c>
      <c r="Z1018" s="10" t="str">
        <f aca="false">IF(A1018="","",N1018+Y1018)</f>
        <v/>
      </c>
      <c r="AA1018" s="10" t="str">
        <f aca="false">IF(A1018="","",IFERROR(Z1018*INDEX(PUA_TABLE!$I$4:$I$105,MATCH(E1018,PUA_TABLE!$C$4:$C$105,1))/1000,0))</f>
        <v/>
      </c>
      <c r="AB1018" s="10" t="str">
        <f aca="false">IF(A1018="","",IFERROR(L1018+AA1018,0))</f>
        <v/>
      </c>
      <c r="AC1018" s="10" t="str">
        <f aca="false">IF(A1018="","",IF(Inputs!$B$22="Premium Offset",MIN(Inputs!$B$25,Q1018+T1018),0))</f>
        <v/>
      </c>
    </row>
    <row r="1019" customFormat="false" ht="15" hidden="false" customHeight="false" outlineLevel="0" collapsed="false">
      <c r="A1019" s="1" t="str">
        <f aca="false">IF(A1018="","",IF(INT((C1018+1)/12)+Inputs!$B$7&gt;MAX(MORTALITY!$A:$A),"",Inputs!$B$4))</f>
        <v/>
      </c>
      <c r="B1019" s="3" t="str">
        <f aca="false">IF(A1019="","",EOMONTH(B1018,1))</f>
        <v/>
      </c>
      <c r="C1019" s="1" t="str">
        <f aca="false">IF(A1019="","",C1018+1)</f>
        <v/>
      </c>
      <c r="D1019" s="1" t="str">
        <f aca="false">IF(A1019="","",INT(C1019/12))</f>
        <v/>
      </c>
      <c r="E1019" s="1" t="str">
        <f aca="false">IF(A1019="","",D1019+Inputs!$B$7)</f>
        <v/>
      </c>
      <c r="F1019" s="3" t="str">
        <f aca="false">IF(A1019="","",DATE(YEAR(B$2)+D1019,MONTH(B$2),DAY(B$2)))</f>
        <v/>
      </c>
      <c r="G1019" s="3" t="str">
        <f aca="false">IF(A1019="","",DATE(YEAR(F1019)+1,MONTH(F1019),DAY(F1019)))</f>
        <v/>
      </c>
      <c r="H1019" s="10" t="str">
        <f aca="false">IF(A1019="","",IF(G1019&gt;F1019,(B1019-F1019)/(G1019-F1019),0))</f>
        <v/>
      </c>
      <c r="I1019" s="10" t="str">
        <f aca="false">IF(A1019="","",IFERROR(INDEX(CV_RATES!$I:$I,MATCH(D1019,CV_RATES!$C:$C,0)),0))</f>
        <v/>
      </c>
      <c r="J1019" s="10" t="str">
        <f aca="false">IF(A1019="","",IFERROR(IF(E1019=MAX(MORTALITY!$A:$A),1000,INDEX(CV_RATES!$J:$J,MATCH(D1019,CV_RATES!$C:$C,0))),0))</f>
        <v/>
      </c>
      <c r="K1019" s="10" t="str">
        <f aca="false">IF(A1019="","",IFERROR(I1019+H1019*(J1019-I1019),0))</f>
        <v/>
      </c>
      <c r="L1019" s="10" t="str">
        <f aca="false">IF(A1019="","",IFERROR(K1019*Inputs!$B$9,0))</f>
        <v/>
      </c>
      <c r="M1019" s="10" t="str">
        <f aca="false">IF(A1019="","",IFERROR(K1019*Inputs!$B$10,0))</f>
        <v/>
      </c>
      <c r="N1019" s="10" t="str">
        <f aca="false">IF(A1019="","",Z1018)</f>
        <v/>
      </c>
      <c r="O1019" s="6" t="str">
        <f aca="false">IF(A1019="","",Inputs!$B$18+N1019)</f>
        <v/>
      </c>
      <c r="P1019" s="5" t="str">
        <f aca="false">IF(A1019="","",VLOOKUP(D1019,DIvidend_Assumption!$A$3:$CX$103,($E$2+2),0)/12)</f>
        <v/>
      </c>
      <c r="Q1019" s="10" t="str">
        <f aca="false">IF(A1019="","",IFERROR(AB1018*P1019,""))</f>
        <v/>
      </c>
      <c r="R1019" s="10" t="str">
        <f aca="false">IF(A1019="","",IFERROR(IF(Inputs!$B$22="Accumulate",T1019+Q1019,IF(Inputs!$B$22="Premium Offset",MAX(0,T1019+Q1019-Inputs!$B$25),T1019)),""))</f>
        <v/>
      </c>
      <c r="S1019" s="10" t="str">
        <f aca="false">IF(A1019="","",R1018)</f>
        <v/>
      </c>
      <c r="T1019" s="10" t="str">
        <f aca="false">IF(A1019="","",IFERROR(S1019*(1+Inputs!$B$23/12),""))</f>
        <v/>
      </c>
      <c r="U1019" s="6" t="str">
        <f aca="false">IF(A1019="","",IF(D1019&lt;=Inputs!$B$8,IF(Inputs!$B$22="Premium Offset",MAX(0,Inputs!$B$25-(Q1019+T1019)),Inputs!$B$25),0))</f>
        <v/>
      </c>
      <c r="V1019" s="10" t="str">
        <f aca="false">IF(A1019="","",IF(Inputs!$B$22="Cash",Q1019,0))</f>
        <v/>
      </c>
      <c r="W1019" s="10" t="str">
        <f aca="false">IF(A1019="","",IF(Inputs!$B$22="PUA",Q1019,0))</f>
        <v/>
      </c>
      <c r="X1019" s="12" t="str">
        <f aca="false">IF(A1019="","",IFERROR(INDEX(PUA_TABLE!$D$4:$D$105,MATCH(E1019,PUA_TABLE!$C$4:$C$105,1)),0))</f>
        <v/>
      </c>
      <c r="Y1019" s="10" t="str">
        <f aca="false">IF(A1019="","",IF(W1019&gt;0,IF(X1019&gt;0,W1019/X1019,0),0))</f>
        <v/>
      </c>
      <c r="Z1019" s="10" t="str">
        <f aca="false">IF(A1019="","",N1019+Y1019)</f>
        <v/>
      </c>
      <c r="AA1019" s="10" t="str">
        <f aca="false">IF(A1019="","",IFERROR(Z1019*INDEX(PUA_TABLE!$I$4:$I$105,MATCH(E1019,PUA_TABLE!$C$4:$C$105,1))/1000,0))</f>
        <v/>
      </c>
      <c r="AB1019" s="10" t="str">
        <f aca="false">IF(A1019="","",IFERROR(L1019+AA1019,0))</f>
        <v/>
      </c>
      <c r="AC1019" s="10" t="str">
        <f aca="false">IF(A1019="","",IF(Inputs!$B$22="Premium Offset",MIN(Inputs!$B$25,Q1019+T1019),0))</f>
        <v/>
      </c>
    </row>
    <row r="1020" customFormat="false" ht="15" hidden="false" customHeight="false" outlineLevel="0" collapsed="false">
      <c r="A1020" s="1" t="str">
        <f aca="false">IF(A1019="","",IF(INT((C1019+1)/12)+Inputs!$B$7&gt;MAX(MORTALITY!$A:$A),"",Inputs!$B$4))</f>
        <v/>
      </c>
      <c r="B1020" s="3" t="str">
        <f aca="false">IF(A1020="","",EOMONTH(B1019,1))</f>
        <v/>
      </c>
      <c r="C1020" s="1" t="str">
        <f aca="false">IF(A1020="","",C1019+1)</f>
        <v/>
      </c>
      <c r="D1020" s="1" t="str">
        <f aca="false">IF(A1020="","",INT(C1020/12))</f>
        <v/>
      </c>
      <c r="E1020" s="1" t="str">
        <f aca="false">IF(A1020="","",D1020+Inputs!$B$7)</f>
        <v/>
      </c>
      <c r="F1020" s="3" t="str">
        <f aca="false">IF(A1020="","",DATE(YEAR(B$2)+D1020,MONTH(B$2),DAY(B$2)))</f>
        <v/>
      </c>
      <c r="G1020" s="3" t="str">
        <f aca="false">IF(A1020="","",DATE(YEAR(F1020)+1,MONTH(F1020),DAY(F1020)))</f>
        <v/>
      </c>
      <c r="H1020" s="10" t="str">
        <f aca="false">IF(A1020="","",IF(G1020&gt;F1020,(B1020-F1020)/(G1020-F1020),0))</f>
        <v/>
      </c>
      <c r="I1020" s="10" t="str">
        <f aca="false">IF(A1020="","",IFERROR(INDEX(CV_RATES!$I:$I,MATCH(D1020,CV_RATES!$C:$C,0)),0))</f>
        <v/>
      </c>
      <c r="J1020" s="10" t="str">
        <f aca="false">IF(A1020="","",IFERROR(IF(E1020=MAX(MORTALITY!$A:$A),1000,INDEX(CV_RATES!$J:$J,MATCH(D1020,CV_RATES!$C:$C,0))),0))</f>
        <v/>
      </c>
      <c r="K1020" s="10" t="str">
        <f aca="false">IF(A1020="","",IFERROR(I1020+H1020*(J1020-I1020),0))</f>
        <v/>
      </c>
      <c r="L1020" s="10" t="str">
        <f aca="false">IF(A1020="","",IFERROR(K1020*Inputs!$B$9,0))</f>
        <v/>
      </c>
      <c r="M1020" s="10" t="str">
        <f aca="false">IF(A1020="","",IFERROR(K1020*Inputs!$B$10,0))</f>
        <v/>
      </c>
      <c r="N1020" s="10" t="str">
        <f aca="false">IF(A1020="","",Z1019)</f>
        <v/>
      </c>
      <c r="O1020" s="6" t="str">
        <f aca="false">IF(A1020="","",Inputs!$B$18+N1020)</f>
        <v/>
      </c>
      <c r="P1020" s="5" t="str">
        <f aca="false">IF(A1020="","",VLOOKUP(D1020,DIvidend_Assumption!$A$3:$CX$103,($E$2+2),0)/12)</f>
        <v/>
      </c>
      <c r="Q1020" s="10" t="str">
        <f aca="false">IF(A1020="","",IFERROR(AB1019*P1020,""))</f>
        <v/>
      </c>
      <c r="R1020" s="10" t="str">
        <f aca="false">IF(A1020="","",IFERROR(IF(Inputs!$B$22="Accumulate",T1020+Q1020,IF(Inputs!$B$22="Premium Offset",MAX(0,T1020+Q1020-Inputs!$B$25),T1020)),""))</f>
        <v/>
      </c>
      <c r="S1020" s="10" t="str">
        <f aca="false">IF(A1020="","",R1019)</f>
        <v/>
      </c>
      <c r="T1020" s="10" t="str">
        <f aca="false">IF(A1020="","",IFERROR(S1020*(1+Inputs!$B$23/12),""))</f>
        <v/>
      </c>
      <c r="U1020" s="6" t="str">
        <f aca="false">IF(A1020="","",IF(D1020&lt;=Inputs!$B$8,IF(Inputs!$B$22="Premium Offset",MAX(0,Inputs!$B$25-(Q1020+T1020)),Inputs!$B$25),0))</f>
        <v/>
      </c>
      <c r="V1020" s="10" t="str">
        <f aca="false">IF(A1020="","",IF(Inputs!$B$22="Cash",Q1020,0))</f>
        <v/>
      </c>
      <c r="W1020" s="10" t="str">
        <f aca="false">IF(A1020="","",IF(Inputs!$B$22="PUA",Q1020,0))</f>
        <v/>
      </c>
      <c r="X1020" s="12" t="str">
        <f aca="false">IF(A1020="","",IFERROR(INDEX(PUA_TABLE!$D$4:$D$105,MATCH(E1020,PUA_TABLE!$C$4:$C$105,1)),0))</f>
        <v/>
      </c>
      <c r="Y1020" s="10" t="str">
        <f aca="false">IF(A1020="","",IF(W1020&gt;0,IF(X1020&gt;0,W1020/X1020,0),0))</f>
        <v/>
      </c>
      <c r="Z1020" s="10" t="str">
        <f aca="false">IF(A1020="","",N1020+Y1020)</f>
        <v/>
      </c>
      <c r="AA1020" s="10" t="str">
        <f aca="false">IF(A1020="","",IFERROR(Z1020*INDEX(PUA_TABLE!$I$4:$I$105,MATCH(E1020,PUA_TABLE!$C$4:$C$105,1))/1000,0))</f>
        <v/>
      </c>
      <c r="AB1020" s="10" t="str">
        <f aca="false">IF(A1020="","",IFERROR(L1020+AA1020,0))</f>
        <v/>
      </c>
      <c r="AC1020" s="10" t="str">
        <f aca="false">IF(A1020="","",IF(Inputs!$B$22="Premium Offset",MIN(Inputs!$B$25,Q1020+T1020),0))</f>
        <v/>
      </c>
    </row>
    <row r="1021" customFormat="false" ht="15" hidden="false" customHeight="false" outlineLevel="0" collapsed="false">
      <c r="A1021" s="1" t="str">
        <f aca="false">IF(A1020="","",IF(INT((C1020+1)/12)+Inputs!$B$7&gt;MAX(MORTALITY!$A:$A),"",Inputs!$B$4))</f>
        <v/>
      </c>
      <c r="B1021" s="3" t="str">
        <f aca="false">IF(A1021="","",EOMONTH(B1020,1))</f>
        <v/>
      </c>
      <c r="C1021" s="1" t="str">
        <f aca="false">IF(A1021="","",C1020+1)</f>
        <v/>
      </c>
      <c r="D1021" s="1" t="str">
        <f aca="false">IF(A1021="","",INT(C1021/12))</f>
        <v/>
      </c>
      <c r="E1021" s="1" t="str">
        <f aca="false">IF(A1021="","",D1021+Inputs!$B$7)</f>
        <v/>
      </c>
      <c r="F1021" s="3" t="str">
        <f aca="false">IF(A1021="","",DATE(YEAR(B$2)+D1021,MONTH(B$2),DAY(B$2)))</f>
        <v/>
      </c>
      <c r="G1021" s="3" t="str">
        <f aca="false">IF(A1021="","",DATE(YEAR(F1021)+1,MONTH(F1021),DAY(F1021)))</f>
        <v/>
      </c>
      <c r="H1021" s="10" t="str">
        <f aca="false">IF(A1021="","",IF(G1021&gt;F1021,(B1021-F1021)/(G1021-F1021),0))</f>
        <v/>
      </c>
      <c r="I1021" s="10" t="str">
        <f aca="false">IF(A1021="","",IFERROR(INDEX(CV_RATES!$I:$I,MATCH(D1021,CV_RATES!$C:$C,0)),0))</f>
        <v/>
      </c>
      <c r="J1021" s="10" t="str">
        <f aca="false">IF(A1021="","",IFERROR(IF(E1021=MAX(MORTALITY!$A:$A),1000,INDEX(CV_RATES!$J:$J,MATCH(D1021,CV_RATES!$C:$C,0))),0))</f>
        <v/>
      </c>
      <c r="K1021" s="10" t="str">
        <f aca="false">IF(A1021="","",IFERROR(I1021+H1021*(J1021-I1021),0))</f>
        <v/>
      </c>
      <c r="L1021" s="10" t="str">
        <f aca="false">IF(A1021="","",IFERROR(K1021*Inputs!$B$9,0))</f>
        <v/>
      </c>
      <c r="M1021" s="10" t="str">
        <f aca="false">IF(A1021="","",IFERROR(K1021*Inputs!$B$10,0))</f>
        <v/>
      </c>
      <c r="N1021" s="10" t="str">
        <f aca="false">IF(A1021="","",Z1020)</f>
        <v/>
      </c>
      <c r="O1021" s="6" t="str">
        <f aca="false">IF(A1021="","",Inputs!$B$18+N1021)</f>
        <v/>
      </c>
      <c r="P1021" s="5" t="str">
        <f aca="false">IF(A1021="","",VLOOKUP(D1021,DIvidend_Assumption!$A$3:$CX$103,($E$2+2),0)/12)</f>
        <v/>
      </c>
      <c r="Q1021" s="10" t="str">
        <f aca="false">IF(A1021="","",IFERROR(AB1020*P1021,""))</f>
        <v/>
      </c>
      <c r="R1021" s="10" t="str">
        <f aca="false">IF(A1021="","",IFERROR(IF(Inputs!$B$22="Accumulate",T1021+Q1021,IF(Inputs!$B$22="Premium Offset",MAX(0,T1021+Q1021-Inputs!$B$25),T1021)),""))</f>
        <v/>
      </c>
      <c r="S1021" s="10" t="str">
        <f aca="false">IF(A1021="","",R1020)</f>
        <v/>
      </c>
      <c r="T1021" s="10" t="str">
        <f aca="false">IF(A1021="","",IFERROR(S1021*(1+Inputs!$B$23/12),""))</f>
        <v/>
      </c>
      <c r="U1021" s="6" t="str">
        <f aca="false">IF(A1021="","",IF(D1021&lt;=Inputs!$B$8,IF(Inputs!$B$22="Premium Offset",MAX(0,Inputs!$B$25-(Q1021+T1021)),Inputs!$B$25),0))</f>
        <v/>
      </c>
      <c r="V1021" s="10" t="str">
        <f aca="false">IF(A1021="","",IF(Inputs!$B$22="Cash",Q1021,0))</f>
        <v/>
      </c>
      <c r="W1021" s="10" t="str">
        <f aca="false">IF(A1021="","",IF(Inputs!$B$22="PUA",Q1021,0))</f>
        <v/>
      </c>
      <c r="X1021" s="12" t="str">
        <f aca="false">IF(A1021="","",IFERROR(INDEX(PUA_TABLE!$D$4:$D$105,MATCH(E1021,PUA_TABLE!$C$4:$C$105,1)),0))</f>
        <v/>
      </c>
      <c r="Y1021" s="10" t="str">
        <f aca="false">IF(A1021="","",IF(W1021&gt;0,IF(X1021&gt;0,W1021/X1021,0),0))</f>
        <v/>
      </c>
      <c r="Z1021" s="10" t="str">
        <f aca="false">IF(A1021="","",N1021+Y1021)</f>
        <v/>
      </c>
      <c r="AA1021" s="10" t="str">
        <f aca="false">IF(A1021="","",IFERROR(Z1021*INDEX(PUA_TABLE!$I$4:$I$105,MATCH(E1021,PUA_TABLE!$C$4:$C$105,1))/1000,0))</f>
        <v/>
      </c>
      <c r="AB1021" s="10" t="str">
        <f aca="false">IF(A1021="","",IFERROR(L1021+AA1021,0))</f>
        <v/>
      </c>
      <c r="AC1021" s="10" t="str">
        <f aca="false">IF(A1021="","",IF(Inputs!$B$22="Premium Offset",MIN(Inputs!$B$25,Q1021+T1021),0))</f>
        <v/>
      </c>
    </row>
    <row r="1022" customFormat="false" ht="15" hidden="false" customHeight="false" outlineLevel="0" collapsed="false">
      <c r="A1022" s="1" t="str">
        <f aca="false">IF(A1021="","",IF(INT((C1021+1)/12)+Inputs!$B$7&gt;MAX(MORTALITY!$A:$A),"",Inputs!$B$4))</f>
        <v/>
      </c>
      <c r="B1022" s="3" t="str">
        <f aca="false">IF(A1022="","",EOMONTH(B1021,1))</f>
        <v/>
      </c>
      <c r="C1022" s="1" t="str">
        <f aca="false">IF(A1022="","",C1021+1)</f>
        <v/>
      </c>
      <c r="D1022" s="1" t="str">
        <f aca="false">IF(A1022="","",INT(C1022/12))</f>
        <v/>
      </c>
      <c r="E1022" s="1" t="str">
        <f aca="false">IF(A1022="","",D1022+Inputs!$B$7)</f>
        <v/>
      </c>
      <c r="F1022" s="3" t="str">
        <f aca="false">IF(A1022="","",DATE(YEAR(B$2)+D1022,MONTH(B$2),DAY(B$2)))</f>
        <v/>
      </c>
      <c r="G1022" s="3" t="str">
        <f aca="false">IF(A1022="","",DATE(YEAR(F1022)+1,MONTH(F1022),DAY(F1022)))</f>
        <v/>
      </c>
      <c r="H1022" s="10" t="str">
        <f aca="false">IF(A1022="","",IF(G1022&gt;F1022,(B1022-F1022)/(G1022-F1022),0))</f>
        <v/>
      </c>
      <c r="I1022" s="10" t="str">
        <f aca="false">IF(A1022="","",IFERROR(INDEX(CV_RATES!$I:$I,MATCH(D1022,CV_RATES!$C:$C,0)),0))</f>
        <v/>
      </c>
      <c r="J1022" s="10" t="str">
        <f aca="false">IF(A1022="","",IFERROR(IF(E1022=MAX(MORTALITY!$A:$A),1000,INDEX(CV_RATES!$J:$J,MATCH(D1022,CV_RATES!$C:$C,0))),0))</f>
        <v/>
      </c>
      <c r="K1022" s="10" t="str">
        <f aca="false">IF(A1022="","",IFERROR(I1022+H1022*(J1022-I1022),0))</f>
        <v/>
      </c>
      <c r="L1022" s="10" t="str">
        <f aca="false">IF(A1022="","",IFERROR(K1022*Inputs!$B$9,0))</f>
        <v/>
      </c>
      <c r="M1022" s="10" t="str">
        <f aca="false">IF(A1022="","",IFERROR(K1022*Inputs!$B$10,0))</f>
        <v/>
      </c>
      <c r="N1022" s="10" t="str">
        <f aca="false">IF(A1022="","",Z1021)</f>
        <v/>
      </c>
      <c r="O1022" s="6" t="str">
        <f aca="false">IF(A1022="","",Inputs!$B$18+N1022)</f>
        <v/>
      </c>
      <c r="P1022" s="5" t="str">
        <f aca="false">IF(A1022="","",VLOOKUP(D1022,DIvidend_Assumption!$A$3:$CX$103,($E$2+2),0)/12)</f>
        <v/>
      </c>
      <c r="Q1022" s="10" t="str">
        <f aca="false">IF(A1022="","",IFERROR(AB1021*P1022,""))</f>
        <v/>
      </c>
      <c r="R1022" s="10" t="str">
        <f aca="false">IF(A1022="","",IFERROR(IF(Inputs!$B$22="Accumulate",T1022+Q1022,IF(Inputs!$B$22="Premium Offset",MAX(0,T1022+Q1022-Inputs!$B$25),T1022)),""))</f>
        <v/>
      </c>
      <c r="S1022" s="10" t="str">
        <f aca="false">IF(A1022="","",R1021)</f>
        <v/>
      </c>
      <c r="T1022" s="10" t="str">
        <f aca="false">IF(A1022="","",IFERROR(S1022*(1+Inputs!$B$23/12),""))</f>
        <v/>
      </c>
      <c r="U1022" s="6" t="str">
        <f aca="false">IF(A1022="","",IF(D1022&lt;=Inputs!$B$8,IF(Inputs!$B$22="Premium Offset",MAX(0,Inputs!$B$25-(Q1022+T1022)),Inputs!$B$25),0))</f>
        <v/>
      </c>
      <c r="V1022" s="10" t="str">
        <f aca="false">IF(A1022="","",IF(Inputs!$B$22="Cash",Q1022,0))</f>
        <v/>
      </c>
      <c r="W1022" s="10" t="str">
        <f aca="false">IF(A1022="","",IF(Inputs!$B$22="PUA",Q1022,0))</f>
        <v/>
      </c>
      <c r="X1022" s="12" t="str">
        <f aca="false">IF(A1022="","",IFERROR(INDEX(PUA_TABLE!$D$4:$D$105,MATCH(E1022,PUA_TABLE!$C$4:$C$105,1)),0))</f>
        <v/>
      </c>
      <c r="Y1022" s="10" t="str">
        <f aca="false">IF(A1022="","",IF(W1022&gt;0,IF(X1022&gt;0,W1022/X1022,0),0))</f>
        <v/>
      </c>
      <c r="Z1022" s="10" t="str">
        <f aca="false">IF(A1022="","",N1022+Y1022)</f>
        <v/>
      </c>
      <c r="AA1022" s="10" t="str">
        <f aca="false">IF(A1022="","",IFERROR(Z1022*INDEX(PUA_TABLE!$I$4:$I$105,MATCH(E1022,PUA_TABLE!$C$4:$C$105,1))/1000,0))</f>
        <v/>
      </c>
      <c r="AB1022" s="10" t="str">
        <f aca="false">IF(A1022="","",IFERROR(L1022+AA1022,0))</f>
        <v/>
      </c>
      <c r="AC1022" s="10" t="str">
        <f aca="false">IF(A1022="","",IF(Inputs!$B$22="Premium Offset",MIN(Inputs!$B$25,Q1022+T1022),0))</f>
        <v/>
      </c>
    </row>
    <row r="1023" customFormat="false" ht="15" hidden="false" customHeight="false" outlineLevel="0" collapsed="false">
      <c r="A1023" s="1" t="str">
        <f aca="false">IF(A1022="","",IF(INT((C1022+1)/12)+Inputs!$B$7&gt;MAX(MORTALITY!$A:$A),"",Inputs!$B$4))</f>
        <v/>
      </c>
      <c r="B1023" s="3" t="str">
        <f aca="false">IF(A1023="","",EOMONTH(B1022,1))</f>
        <v/>
      </c>
      <c r="C1023" s="1" t="str">
        <f aca="false">IF(A1023="","",C1022+1)</f>
        <v/>
      </c>
      <c r="D1023" s="1" t="str">
        <f aca="false">IF(A1023="","",INT(C1023/12))</f>
        <v/>
      </c>
      <c r="E1023" s="1" t="str">
        <f aca="false">IF(A1023="","",D1023+Inputs!$B$7)</f>
        <v/>
      </c>
      <c r="F1023" s="3" t="str">
        <f aca="false">IF(A1023="","",DATE(YEAR(B$2)+D1023,MONTH(B$2),DAY(B$2)))</f>
        <v/>
      </c>
      <c r="G1023" s="3" t="str">
        <f aca="false">IF(A1023="","",DATE(YEAR(F1023)+1,MONTH(F1023),DAY(F1023)))</f>
        <v/>
      </c>
      <c r="H1023" s="10" t="str">
        <f aca="false">IF(A1023="","",IF(G1023&gt;F1023,(B1023-F1023)/(G1023-F1023),0))</f>
        <v/>
      </c>
      <c r="I1023" s="10" t="str">
        <f aca="false">IF(A1023="","",IFERROR(INDEX(CV_RATES!$I:$I,MATCH(D1023,CV_RATES!$C:$C,0)),0))</f>
        <v/>
      </c>
      <c r="J1023" s="10" t="str">
        <f aca="false">IF(A1023="","",IFERROR(IF(E1023=MAX(MORTALITY!$A:$A),1000,INDEX(CV_RATES!$J:$J,MATCH(D1023,CV_RATES!$C:$C,0))),0))</f>
        <v/>
      </c>
      <c r="K1023" s="10" t="str">
        <f aca="false">IF(A1023="","",IFERROR(I1023+H1023*(J1023-I1023),0))</f>
        <v/>
      </c>
      <c r="L1023" s="10" t="str">
        <f aca="false">IF(A1023="","",IFERROR(K1023*Inputs!$B$9,0))</f>
        <v/>
      </c>
      <c r="M1023" s="10" t="str">
        <f aca="false">IF(A1023="","",IFERROR(K1023*Inputs!$B$10,0))</f>
        <v/>
      </c>
      <c r="N1023" s="10" t="str">
        <f aca="false">IF(A1023="","",Z1022)</f>
        <v/>
      </c>
      <c r="O1023" s="6" t="str">
        <f aca="false">IF(A1023="","",Inputs!$B$18+N1023)</f>
        <v/>
      </c>
      <c r="P1023" s="5" t="str">
        <f aca="false">IF(A1023="","",VLOOKUP(D1023,DIvidend_Assumption!$A$3:$CX$103,($E$2+2),0)/12)</f>
        <v/>
      </c>
      <c r="Q1023" s="10" t="str">
        <f aca="false">IF(A1023="","",IFERROR(AB1022*P1023,""))</f>
        <v/>
      </c>
      <c r="R1023" s="10" t="str">
        <f aca="false">IF(A1023="","",IFERROR(IF(Inputs!$B$22="Accumulate",T1023+Q1023,IF(Inputs!$B$22="Premium Offset",MAX(0,T1023+Q1023-Inputs!$B$25),T1023)),""))</f>
        <v/>
      </c>
      <c r="S1023" s="10" t="str">
        <f aca="false">IF(A1023="","",R1022)</f>
        <v/>
      </c>
      <c r="T1023" s="10" t="str">
        <f aca="false">IF(A1023="","",IFERROR(S1023*(1+Inputs!$B$23/12),""))</f>
        <v/>
      </c>
      <c r="U1023" s="6" t="str">
        <f aca="false">IF(A1023="","",IF(D1023&lt;=Inputs!$B$8,IF(Inputs!$B$22="Premium Offset",MAX(0,Inputs!$B$25-(Q1023+T1023)),Inputs!$B$25),0))</f>
        <v/>
      </c>
      <c r="V1023" s="10" t="str">
        <f aca="false">IF(A1023="","",IF(Inputs!$B$22="Cash",Q1023,0))</f>
        <v/>
      </c>
      <c r="W1023" s="10" t="str">
        <f aca="false">IF(A1023="","",IF(Inputs!$B$22="PUA",Q1023,0))</f>
        <v/>
      </c>
      <c r="X1023" s="12" t="str">
        <f aca="false">IF(A1023="","",IFERROR(INDEX(PUA_TABLE!$D$4:$D$105,MATCH(E1023,PUA_TABLE!$C$4:$C$105,1)),0))</f>
        <v/>
      </c>
      <c r="Y1023" s="10" t="str">
        <f aca="false">IF(A1023="","",IF(W1023&gt;0,IF(X1023&gt;0,W1023/X1023,0),0))</f>
        <v/>
      </c>
      <c r="Z1023" s="10" t="str">
        <f aca="false">IF(A1023="","",N1023+Y1023)</f>
        <v/>
      </c>
      <c r="AA1023" s="10" t="str">
        <f aca="false">IF(A1023="","",IFERROR(Z1023*INDEX(PUA_TABLE!$I$4:$I$105,MATCH(E1023,PUA_TABLE!$C$4:$C$105,1))/1000,0))</f>
        <v/>
      </c>
      <c r="AB1023" s="10" t="str">
        <f aca="false">IF(A1023="","",IFERROR(L1023+AA1023,0))</f>
        <v/>
      </c>
      <c r="AC1023" s="10" t="str">
        <f aca="false">IF(A1023="","",IF(Inputs!$B$22="Premium Offset",MIN(Inputs!$B$25,Q1023+T1023),0))</f>
        <v/>
      </c>
    </row>
    <row r="1024" customFormat="false" ht="15" hidden="false" customHeight="false" outlineLevel="0" collapsed="false">
      <c r="A1024" s="1" t="str">
        <f aca="false">IF(A1023="","",IF(INT((C1023+1)/12)+Inputs!$B$7&gt;MAX(MORTALITY!$A:$A),"",Inputs!$B$4))</f>
        <v/>
      </c>
      <c r="B1024" s="3" t="str">
        <f aca="false">IF(A1024="","",EOMONTH(B1023,1))</f>
        <v/>
      </c>
      <c r="C1024" s="1" t="str">
        <f aca="false">IF(A1024="","",C1023+1)</f>
        <v/>
      </c>
      <c r="D1024" s="1" t="str">
        <f aca="false">IF(A1024="","",INT(C1024/12))</f>
        <v/>
      </c>
      <c r="E1024" s="1" t="str">
        <f aca="false">IF(A1024="","",D1024+Inputs!$B$7)</f>
        <v/>
      </c>
      <c r="F1024" s="3" t="str">
        <f aca="false">IF(A1024="","",DATE(YEAR(B$2)+D1024,MONTH(B$2),DAY(B$2)))</f>
        <v/>
      </c>
      <c r="G1024" s="3" t="str">
        <f aca="false">IF(A1024="","",DATE(YEAR(F1024)+1,MONTH(F1024),DAY(F1024)))</f>
        <v/>
      </c>
      <c r="H1024" s="10" t="str">
        <f aca="false">IF(A1024="","",IF(G1024&gt;F1024,(B1024-F1024)/(G1024-F1024),0))</f>
        <v/>
      </c>
      <c r="I1024" s="10" t="str">
        <f aca="false">IF(A1024="","",IFERROR(INDEX(CV_RATES!$I:$I,MATCH(D1024,CV_RATES!$C:$C,0)),0))</f>
        <v/>
      </c>
      <c r="J1024" s="10" t="str">
        <f aca="false">IF(A1024="","",IFERROR(IF(E1024=MAX(MORTALITY!$A:$A),1000,INDEX(CV_RATES!$J:$J,MATCH(D1024,CV_RATES!$C:$C,0))),0))</f>
        <v/>
      </c>
      <c r="K1024" s="10" t="str">
        <f aca="false">IF(A1024="","",IFERROR(I1024+H1024*(J1024-I1024),0))</f>
        <v/>
      </c>
      <c r="L1024" s="10" t="str">
        <f aca="false">IF(A1024="","",IFERROR(K1024*Inputs!$B$9,0))</f>
        <v/>
      </c>
      <c r="M1024" s="10" t="str">
        <f aca="false">IF(A1024="","",IFERROR(K1024*Inputs!$B$10,0))</f>
        <v/>
      </c>
      <c r="N1024" s="10" t="str">
        <f aca="false">IF(A1024="","",Z1023)</f>
        <v/>
      </c>
      <c r="O1024" s="6" t="str">
        <f aca="false">IF(A1024="","",Inputs!$B$18+N1024)</f>
        <v/>
      </c>
      <c r="P1024" s="5" t="str">
        <f aca="false">IF(A1024="","",VLOOKUP(D1024,DIvidend_Assumption!$A$3:$CX$103,($E$2+2),0)/12)</f>
        <v/>
      </c>
      <c r="Q1024" s="10" t="str">
        <f aca="false">IF(A1024="","",IFERROR(AB1023*P1024,""))</f>
        <v/>
      </c>
      <c r="R1024" s="10" t="str">
        <f aca="false">IF(A1024="","",IFERROR(IF(Inputs!$B$22="Accumulate",T1024+Q1024,IF(Inputs!$B$22="Premium Offset",MAX(0,T1024+Q1024-Inputs!$B$25),T1024)),""))</f>
        <v/>
      </c>
      <c r="S1024" s="10" t="str">
        <f aca="false">IF(A1024="","",R1023)</f>
        <v/>
      </c>
      <c r="T1024" s="10" t="str">
        <f aca="false">IF(A1024="","",IFERROR(S1024*(1+Inputs!$B$23/12),""))</f>
        <v/>
      </c>
      <c r="U1024" s="6" t="str">
        <f aca="false">IF(A1024="","",IF(D1024&lt;=Inputs!$B$8,IF(Inputs!$B$22="Premium Offset",MAX(0,Inputs!$B$25-(Q1024+T1024)),Inputs!$B$25),0))</f>
        <v/>
      </c>
      <c r="V1024" s="10" t="str">
        <f aca="false">IF(A1024="","",IF(Inputs!$B$22="Cash",Q1024,0))</f>
        <v/>
      </c>
      <c r="W1024" s="10" t="str">
        <f aca="false">IF(A1024="","",IF(Inputs!$B$22="PUA",Q1024,0))</f>
        <v/>
      </c>
      <c r="X1024" s="12" t="str">
        <f aca="false">IF(A1024="","",IFERROR(INDEX(PUA_TABLE!$D$4:$D$105,MATCH(E1024,PUA_TABLE!$C$4:$C$105,1)),0))</f>
        <v/>
      </c>
      <c r="Y1024" s="10" t="str">
        <f aca="false">IF(A1024="","",IF(W1024&gt;0,IF(X1024&gt;0,W1024/X1024,0),0))</f>
        <v/>
      </c>
      <c r="Z1024" s="10" t="str">
        <f aca="false">IF(A1024="","",N1024+Y1024)</f>
        <v/>
      </c>
      <c r="AA1024" s="10" t="str">
        <f aca="false">IF(A1024="","",IFERROR(Z1024*INDEX(PUA_TABLE!$I$4:$I$105,MATCH(E1024,PUA_TABLE!$C$4:$C$105,1))/1000,0))</f>
        <v/>
      </c>
      <c r="AB1024" s="10" t="str">
        <f aca="false">IF(A1024="","",IFERROR(L1024+AA1024,0))</f>
        <v/>
      </c>
      <c r="AC1024" s="10" t="str">
        <f aca="false">IF(A1024="","",IF(Inputs!$B$22="Premium Offset",MIN(Inputs!$B$25,Q1024+T1024),0))</f>
        <v/>
      </c>
    </row>
    <row r="1025" customFormat="false" ht="15" hidden="false" customHeight="false" outlineLevel="0" collapsed="false">
      <c r="A1025" s="1" t="str">
        <f aca="false">IF(A1024="","",IF(INT((C1024+1)/12)+Inputs!$B$7&gt;MAX(MORTALITY!$A:$A),"",Inputs!$B$4))</f>
        <v/>
      </c>
      <c r="B1025" s="3" t="str">
        <f aca="false">IF(A1025="","",EOMONTH(B1024,1))</f>
        <v/>
      </c>
      <c r="C1025" s="1" t="str">
        <f aca="false">IF(A1025="","",C1024+1)</f>
        <v/>
      </c>
      <c r="D1025" s="1" t="str">
        <f aca="false">IF(A1025="","",INT(C1025/12))</f>
        <v/>
      </c>
      <c r="E1025" s="1" t="str">
        <f aca="false">IF(A1025="","",D1025+Inputs!$B$7)</f>
        <v/>
      </c>
      <c r="F1025" s="3" t="str">
        <f aca="false">IF(A1025="","",DATE(YEAR(B$2)+D1025,MONTH(B$2),DAY(B$2)))</f>
        <v/>
      </c>
      <c r="G1025" s="3" t="str">
        <f aca="false">IF(A1025="","",DATE(YEAR(F1025)+1,MONTH(F1025),DAY(F1025)))</f>
        <v/>
      </c>
      <c r="H1025" s="10" t="str">
        <f aca="false">IF(A1025="","",IF(G1025&gt;F1025,(B1025-F1025)/(G1025-F1025),0))</f>
        <v/>
      </c>
      <c r="I1025" s="10" t="str">
        <f aca="false">IF(A1025="","",IFERROR(INDEX(CV_RATES!$I:$I,MATCH(D1025,CV_RATES!$C:$C,0)),0))</f>
        <v/>
      </c>
      <c r="J1025" s="10" t="str">
        <f aca="false">IF(A1025="","",IFERROR(IF(E1025=MAX(MORTALITY!$A:$A),1000,INDEX(CV_RATES!$J:$J,MATCH(D1025,CV_RATES!$C:$C,0))),0))</f>
        <v/>
      </c>
      <c r="K1025" s="10" t="str">
        <f aca="false">IF(A1025="","",IFERROR(I1025+H1025*(J1025-I1025),0))</f>
        <v/>
      </c>
      <c r="L1025" s="10" t="str">
        <f aca="false">IF(A1025="","",IFERROR(K1025*Inputs!$B$9,0))</f>
        <v/>
      </c>
      <c r="M1025" s="10" t="str">
        <f aca="false">IF(A1025="","",IFERROR(K1025*Inputs!$B$10,0))</f>
        <v/>
      </c>
      <c r="N1025" s="10" t="str">
        <f aca="false">IF(A1025="","",Z1024)</f>
        <v/>
      </c>
      <c r="O1025" s="6" t="str">
        <f aca="false">IF(A1025="","",Inputs!$B$18+N1025)</f>
        <v/>
      </c>
      <c r="P1025" s="5" t="str">
        <f aca="false">IF(A1025="","",VLOOKUP(D1025,DIvidend_Assumption!$A$3:$CX$103,($E$2+2),0)/12)</f>
        <v/>
      </c>
      <c r="Q1025" s="10" t="str">
        <f aca="false">IF(A1025="","",IFERROR(AB1024*P1025,""))</f>
        <v/>
      </c>
      <c r="R1025" s="10" t="str">
        <f aca="false">IF(A1025="","",IFERROR(IF(Inputs!$B$22="Accumulate",T1025+Q1025,IF(Inputs!$B$22="Premium Offset",MAX(0,T1025+Q1025-Inputs!$B$25),T1025)),""))</f>
        <v/>
      </c>
      <c r="S1025" s="10" t="str">
        <f aca="false">IF(A1025="","",R1024)</f>
        <v/>
      </c>
      <c r="T1025" s="10" t="str">
        <f aca="false">IF(A1025="","",IFERROR(S1025*(1+Inputs!$B$23/12),""))</f>
        <v/>
      </c>
      <c r="U1025" s="6" t="str">
        <f aca="false">IF(A1025="","",IF(D1025&lt;=Inputs!$B$8,IF(Inputs!$B$22="Premium Offset",MAX(0,Inputs!$B$25-(Q1025+T1025)),Inputs!$B$25),0))</f>
        <v/>
      </c>
      <c r="V1025" s="10" t="str">
        <f aca="false">IF(A1025="","",IF(Inputs!$B$22="Cash",Q1025,0))</f>
        <v/>
      </c>
      <c r="W1025" s="10" t="str">
        <f aca="false">IF(A1025="","",IF(Inputs!$B$22="PUA",Q1025,0))</f>
        <v/>
      </c>
      <c r="X1025" s="12" t="str">
        <f aca="false">IF(A1025="","",IFERROR(INDEX(PUA_TABLE!$D$4:$D$105,MATCH(E1025,PUA_TABLE!$C$4:$C$105,1)),0))</f>
        <v/>
      </c>
      <c r="Y1025" s="10" t="str">
        <f aca="false">IF(A1025="","",IF(W1025&gt;0,IF(X1025&gt;0,W1025/X1025,0),0))</f>
        <v/>
      </c>
      <c r="Z1025" s="10" t="str">
        <f aca="false">IF(A1025="","",N1025+Y1025)</f>
        <v/>
      </c>
      <c r="AA1025" s="10" t="str">
        <f aca="false">IF(A1025="","",IFERROR(Z1025*INDEX(PUA_TABLE!$I$4:$I$105,MATCH(E1025,PUA_TABLE!$C$4:$C$105,1))/1000,0))</f>
        <v/>
      </c>
      <c r="AB1025" s="10" t="str">
        <f aca="false">IF(A1025="","",IFERROR(L1025+AA1025,0))</f>
        <v/>
      </c>
      <c r="AC1025" s="10" t="str">
        <f aca="false">IF(A1025="","",IF(Inputs!$B$22="Premium Offset",MIN(Inputs!$B$25,Q1025+T1025),0))</f>
        <v/>
      </c>
    </row>
    <row r="1026" customFormat="false" ht="15" hidden="false" customHeight="false" outlineLevel="0" collapsed="false">
      <c r="A1026" s="1" t="str">
        <f aca="false">IF(A1025="","",IF(INT((C1025+1)/12)+Inputs!$B$7&gt;MAX(MORTALITY!$A:$A),"",Inputs!$B$4))</f>
        <v/>
      </c>
      <c r="B1026" s="3" t="str">
        <f aca="false">IF(A1026="","",EOMONTH(B1025,1))</f>
        <v/>
      </c>
      <c r="C1026" s="1" t="str">
        <f aca="false">IF(A1026="","",C1025+1)</f>
        <v/>
      </c>
      <c r="D1026" s="1" t="str">
        <f aca="false">IF(A1026="","",INT(C1026/12))</f>
        <v/>
      </c>
      <c r="E1026" s="1" t="str">
        <f aca="false">IF(A1026="","",D1026+Inputs!$B$7)</f>
        <v/>
      </c>
      <c r="F1026" s="3" t="str">
        <f aca="false">IF(A1026="","",DATE(YEAR(B$2)+D1026,MONTH(B$2),DAY(B$2)))</f>
        <v/>
      </c>
      <c r="G1026" s="3" t="str">
        <f aca="false">IF(A1026="","",DATE(YEAR(F1026)+1,MONTH(F1026),DAY(F1026)))</f>
        <v/>
      </c>
      <c r="H1026" s="10" t="str">
        <f aca="false">IF(A1026="","",IF(G1026&gt;F1026,(B1026-F1026)/(G1026-F1026),0))</f>
        <v/>
      </c>
      <c r="I1026" s="10" t="str">
        <f aca="false">IF(A1026="","",IFERROR(INDEX(CV_RATES!$I:$I,MATCH(D1026,CV_RATES!$C:$C,0)),0))</f>
        <v/>
      </c>
      <c r="J1026" s="10" t="str">
        <f aca="false">IF(A1026="","",IFERROR(IF(E1026=MAX(MORTALITY!$A:$A),1000,INDEX(CV_RATES!$J:$J,MATCH(D1026,CV_RATES!$C:$C,0))),0))</f>
        <v/>
      </c>
      <c r="K1026" s="10" t="str">
        <f aca="false">IF(A1026="","",IFERROR(I1026+H1026*(J1026-I1026),0))</f>
        <v/>
      </c>
      <c r="L1026" s="10" t="str">
        <f aca="false">IF(A1026="","",IFERROR(K1026*Inputs!$B$9,0))</f>
        <v/>
      </c>
      <c r="M1026" s="10" t="str">
        <f aca="false">IF(A1026="","",IFERROR(K1026*Inputs!$B$10,0))</f>
        <v/>
      </c>
      <c r="N1026" s="10" t="str">
        <f aca="false">IF(A1026="","",Z1025)</f>
        <v/>
      </c>
      <c r="O1026" s="6" t="str">
        <f aca="false">IF(A1026="","",Inputs!$B$18+N1026)</f>
        <v/>
      </c>
      <c r="P1026" s="5" t="str">
        <f aca="false">IF(A1026="","",VLOOKUP(D1026,DIvidend_Assumption!$A$3:$CX$103,($E$2+2),0)/12)</f>
        <v/>
      </c>
      <c r="Q1026" s="10" t="str">
        <f aca="false">IF(A1026="","",IFERROR(AB1025*P1026,""))</f>
        <v/>
      </c>
      <c r="R1026" s="10" t="str">
        <f aca="false">IF(A1026="","",IFERROR(IF(Inputs!$B$22="Accumulate",T1026+Q1026,IF(Inputs!$B$22="Premium Offset",MAX(0,T1026+Q1026-Inputs!$B$25),T1026)),""))</f>
        <v/>
      </c>
      <c r="S1026" s="10" t="str">
        <f aca="false">IF(A1026="","",R1025)</f>
        <v/>
      </c>
      <c r="T1026" s="10" t="str">
        <f aca="false">IF(A1026="","",IFERROR(S1026*(1+Inputs!$B$23/12),""))</f>
        <v/>
      </c>
      <c r="U1026" s="6" t="str">
        <f aca="false">IF(A1026="","",IF(D1026&lt;=Inputs!$B$8,IF(Inputs!$B$22="Premium Offset",MAX(0,Inputs!$B$25-(Q1026+T1026)),Inputs!$B$25),0))</f>
        <v/>
      </c>
      <c r="V1026" s="10" t="str">
        <f aca="false">IF(A1026="","",IF(Inputs!$B$22="Cash",Q1026,0))</f>
        <v/>
      </c>
      <c r="W1026" s="10" t="str">
        <f aca="false">IF(A1026="","",IF(Inputs!$B$22="PUA",Q1026,0))</f>
        <v/>
      </c>
      <c r="X1026" s="12" t="str">
        <f aca="false">IF(A1026="","",IFERROR(INDEX(PUA_TABLE!$D$4:$D$105,MATCH(E1026,PUA_TABLE!$C$4:$C$105,1)),0))</f>
        <v/>
      </c>
      <c r="Y1026" s="10" t="str">
        <f aca="false">IF(A1026="","",IF(W1026&gt;0,IF(X1026&gt;0,W1026/X1026,0),0))</f>
        <v/>
      </c>
      <c r="Z1026" s="10" t="str">
        <f aca="false">IF(A1026="","",N1026+Y1026)</f>
        <v/>
      </c>
      <c r="AA1026" s="10" t="str">
        <f aca="false">IF(A1026="","",IFERROR(Z1026*INDEX(PUA_TABLE!$I$4:$I$105,MATCH(E1026,PUA_TABLE!$C$4:$C$105,1))/1000,0))</f>
        <v/>
      </c>
      <c r="AB1026" s="10" t="str">
        <f aca="false">IF(A1026="","",IFERROR(L1026+AA1026,0))</f>
        <v/>
      </c>
      <c r="AC1026" s="10" t="str">
        <f aca="false">IF(A1026="","",IF(Inputs!$B$22="Premium Offset",MIN(Inputs!$B$25,Q1026+T1026),0))</f>
        <v/>
      </c>
    </row>
    <row r="1027" customFormat="false" ht="15" hidden="false" customHeight="false" outlineLevel="0" collapsed="false">
      <c r="A1027" s="1" t="str">
        <f aca="false">IF(A1026="","",IF(INT((C1026+1)/12)+Inputs!$B$7&gt;MAX(MORTALITY!$A:$A),"",Inputs!$B$4))</f>
        <v/>
      </c>
      <c r="B1027" s="3" t="str">
        <f aca="false">IF(A1027="","",EOMONTH(B1026,1))</f>
        <v/>
      </c>
      <c r="C1027" s="1" t="str">
        <f aca="false">IF(A1027="","",C1026+1)</f>
        <v/>
      </c>
      <c r="D1027" s="1" t="str">
        <f aca="false">IF(A1027="","",INT(C1027/12))</f>
        <v/>
      </c>
      <c r="E1027" s="1" t="str">
        <f aca="false">IF(A1027="","",D1027+Inputs!$B$7)</f>
        <v/>
      </c>
      <c r="F1027" s="3" t="str">
        <f aca="false">IF(A1027="","",DATE(YEAR(B$2)+D1027,MONTH(B$2),DAY(B$2)))</f>
        <v/>
      </c>
      <c r="G1027" s="3" t="str">
        <f aca="false">IF(A1027="","",DATE(YEAR(F1027)+1,MONTH(F1027),DAY(F1027)))</f>
        <v/>
      </c>
      <c r="H1027" s="10" t="str">
        <f aca="false">IF(A1027="","",IF(G1027&gt;F1027,(B1027-F1027)/(G1027-F1027),0))</f>
        <v/>
      </c>
      <c r="I1027" s="10" t="str">
        <f aca="false">IF(A1027="","",IFERROR(INDEX(CV_RATES!$I:$I,MATCH(D1027,CV_RATES!$C:$C,0)),0))</f>
        <v/>
      </c>
      <c r="J1027" s="10" t="str">
        <f aca="false">IF(A1027="","",IFERROR(IF(E1027=MAX(MORTALITY!$A:$A),1000,INDEX(CV_RATES!$J:$J,MATCH(D1027,CV_RATES!$C:$C,0))),0))</f>
        <v/>
      </c>
      <c r="K1027" s="10" t="str">
        <f aca="false">IF(A1027="","",IFERROR(I1027+H1027*(J1027-I1027),0))</f>
        <v/>
      </c>
      <c r="L1027" s="10" t="str">
        <f aca="false">IF(A1027="","",IFERROR(K1027*Inputs!$B$9,0))</f>
        <v/>
      </c>
      <c r="M1027" s="10" t="str">
        <f aca="false">IF(A1027="","",IFERROR(K1027*Inputs!$B$10,0))</f>
        <v/>
      </c>
      <c r="N1027" s="10" t="str">
        <f aca="false">IF(A1027="","",Z1026)</f>
        <v/>
      </c>
      <c r="O1027" s="6" t="str">
        <f aca="false">IF(A1027="","",Inputs!$B$18+N1027)</f>
        <v/>
      </c>
      <c r="P1027" s="5" t="str">
        <f aca="false">IF(A1027="","",VLOOKUP(D1027,DIvidend_Assumption!$A$3:$CX$103,($E$2+2),0)/12)</f>
        <v/>
      </c>
      <c r="Q1027" s="10" t="str">
        <f aca="false">IF(A1027="","",IFERROR(AB1026*P1027,""))</f>
        <v/>
      </c>
      <c r="R1027" s="10" t="str">
        <f aca="false">IF(A1027="","",IFERROR(IF(Inputs!$B$22="Accumulate",T1027+Q1027,IF(Inputs!$B$22="Premium Offset",MAX(0,T1027+Q1027-Inputs!$B$25),T1027)),""))</f>
        <v/>
      </c>
      <c r="S1027" s="10" t="str">
        <f aca="false">IF(A1027="","",R1026)</f>
        <v/>
      </c>
      <c r="T1027" s="10" t="str">
        <f aca="false">IF(A1027="","",IFERROR(S1027*(1+Inputs!$B$23/12),""))</f>
        <v/>
      </c>
      <c r="U1027" s="6" t="str">
        <f aca="false">IF(A1027="","",IF(D1027&lt;=Inputs!$B$8,IF(Inputs!$B$22="Premium Offset",MAX(0,Inputs!$B$25-(Q1027+T1027)),Inputs!$B$25),0))</f>
        <v/>
      </c>
      <c r="V1027" s="10" t="str">
        <f aca="false">IF(A1027="","",IF(Inputs!$B$22="Cash",Q1027,0))</f>
        <v/>
      </c>
      <c r="W1027" s="10" t="str">
        <f aca="false">IF(A1027="","",IF(Inputs!$B$22="PUA",Q1027,0))</f>
        <v/>
      </c>
      <c r="X1027" s="12" t="str">
        <f aca="false">IF(A1027="","",IFERROR(INDEX(PUA_TABLE!$D$4:$D$105,MATCH(E1027,PUA_TABLE!$C$4:$C$105,1)),0))</f>
        <v/>
      </c>
      <c r="Y1027" s="10" t="str">
        <f aca="false">IF(A1027="","",IF(W1027&gt;0,IF(X1027&gt;0,W1027/X1027,0),0))</f>
        <v/>
      </c>
      <c r="Z1027" s="10" t="str">
        <f aca="false">IF(A1027="","",N1027+Y1027)</f>
        <v/>
      </c>
      <c r="AA1027" s="10" t="str">
        <f aca="false">IF(A1027="","",IFERROR(Z1027*INDEX(PUA_TABLE!$I$4:$I$105,MATCH(E1027,PUA_TABLE!$C$4:$C$105,1))/1000,0))</f>
        <v/>
      </c>
      <c r="AB1027" s="10" t="str">
        <f aca="false">IF(A1027="","",IFERROR(L1027+AA1027,0))</f>
        <v/>
      </c>
      <c r="AC1027" s="10" t="str">
        <f aca="false">IF(A1027="","",IF(Inputs!$B$22="Premium Offset",MIN(Inputs!$B$25,Q1027+T1027),0))</f>
        <v/>
      </c>
    </row>
    <row r="1028" customFormat="false" ht="15" hidden="false" customHeight="false" outlineLevel="0" collapsed="false">
      <c r="A1028" s="1" t="str">
        <f aca="false">IF(A1027="","",IF(INT((C1027+1)/12)+Inputs!$B$7&gt;MAX(MORTALITY!$A:$A),"",Inputs!$B$4))</f>
        <v/>
      </c>
      <c r="B1028" s="3" t="str">
        <f aca="false">IF(A1028="","",EOMONTH(B1027,1))</f>
        <v/>
      </c>
      <c r="C1028" s="1" t="str">
        <f aca="false">IF(A1028="","",C1027+1)</f>
        <v/>
      </c>
      <c r="D1028" s="1" t="str">
        <f aca="false">IF(A1028="","",INT(C1028/12))</f>
        <v/>
      </c>
      <c r="E1028" s="1" t="str">
        <f aca="false">IF(A1028="","",D1028+Inputs!$B$7)</f>
        <v/>
      </c>
      <c r="F1028" s="3" t="str">
        <f aca="false">IF(A1028="","",DATE(YEAR(B$2)+D1028,MONTH(B$2),DAY(B$2)))</f>
        <v/>
      </c>
      <c r="G1028" s="3" t="str">
        <f aca="false">IF(A1028="","",DATE(YEAR(F1028)+1,MONTH(F1028),DAY(F1028)))</f>
        <v/>
      </c>
      <c r="H1028" s="10" t="str">
        <f aca="false">IF(A1028="","",IF(G1028&gt;F1028,(B1028-F1028)/(G1028-F1028),0))</f>
        <v/>
      </c>
      <c r="I1028" s="10" t="str">
        <f aca="false">IF(A1028="","",IFERROR(INDEX(CV_RATES!$I:$I,MATCH(D1028,CV_RATES!$C:$C,0)),0))</f>
        <v/>
      </c>
      <c r="J1028" s="10" t="str">
        <f aca="false">IF(A1028="","",IFERROR(IF(E1028=MAX(MORTALITY!$A:$A),1000,INDEX(CV_RATES!$J:$J,MATCH(D1028,CV_RATES!$C:$C,0))),0))</f>
        <v/>
      </c>
      <c r="K1028" s="10" t="str">
        <f aca="false">IF(A1028="","",IFERROR(I1028+H1028*(J1028-I1028),0))</f>
        <v/>
      </c>
      <c r="L1028" s="10" t="str">
        <f aca="false">IF(A1028="","",IFERROR(K1028*Inputs!$B$9,0))</f>
        <v/>
      </c>
      <c r="M1028" s="10" t="str">
        <f aca="false">IF(A1028="","",IFERROR(K1028*Inputs!$B$10,0))</f>
        <v/>
      </c>
      <c r="N1028" s="10" t="str">
        <f aca="false">IF(A1028="","",Z1027)</f>
        <v/>
      </c>
      <c r="O1028" s="6" t="str">
        <f aca="false">IF(A1028="","",Inputs!$B$18+N1028)</f>
        <v/>
      </c>
      <c r="P1028" s="5" t="str">
        <f aca="false">IF(A1028="","",VLOOKUP(D1028,DIvidend_Assumption!$A$3:$CX$103,($E$2+2),0)/12)</f>
        <v/>
      </c>
      <c r="Q1028" s="10" t="str">
        <f aca="false">IF(A1028="","",IFERROR(AB1027*P1028,""))</f>
        <v/>
      </c>
      <c r="R1028" s="10" t="str">
        <f aca="false">IF(A1028="","",IFERROR(IF(Inputs!$B$22="Accumulate",T1028+Q1028,IF(Inputs!$B$22="Premium Offset",MAX(0,T1028+Q1028-Inputs!$B$25),T1028)),""))</f>
        <v/>
      </c>
      <c r="S1028" s="10" t="str">
        <f aca="false">IF(A1028="","",R1027)</f>
        <v/>
      </c>
      <c r="T1028" s="10" t="str">
        <f aca="false">IF(A1028="","",IFERROR(S1028*(1+Inputs!$B$23/12),""))</f>
        <v/>
      </c>
      <c r="U1028" s="6" t="str">
        <f aca="false">IF(A1028="","",IF(D1028&lt;=Inputs!$B$8,IF(Inputs!$B$22="Premium Offset",MAX(0,Inputs!$B$25-(Q1028+T1028)),Inputs!$B$25),0))</f>
        <v/>
      </c>
      <c r="V1028" s="10" t="str">
        <f aca="false">IF(A1028="","",IF(Inputs!$B$22="Cash",Q1028,0))</f>
        <v/>
      </c>
      <c r="W1028" s="10" t="str">
        <f aca="false">IF(A1028="","",IF(Inputs!$B$22="PUA",Q1028,0))</f>
        <v/>
      </c>
      <c r="X1028" s="12" t="str">
        <f aca="false">IF(A1028="","",IFERROR(INDEX(PUA_TABLE!$D$4:$D$105,MATCH(E1028,PUA_TABLE!$C$4:$C$105,1)),0))</f>
        <v/>
      </c>
      <c r="Y1028" s="10" t="str">
        <f aca="false">IF(A1028="","",IF(W1028&gt;0,IF(X1028&gt;0,W1028/X1028,0),0))</f>
        <v/>
      </c>
      <c r="Z1028" s="10" t="str">
        <f aca="false">IF(A1028="","",N1028+Y1028)</f>
        <v/>
      </c>
      <c r="AA1028" s="10" t="str">
        <f aca="false">IF(A1028="","",IFERROR(Z1028*INDEX(PUA_TABLE!$I$4:$I$105,MATCH(E1028,PUA_TABLE!$C$4:$C$105,1))/1000,0))</f>
        <v/>
      </c>
      <c r="AB1028" s="10" t="str">
        <f aca="false">IF(A1028="","",IFERROR(L1028+AA1028,0))</f>
        <v/>
      </c>
      <c r="AC1028" s="10" t="str">
        <f aca="false">IF(A1028="","",IF(Inputs!$B$22="Premium Offset",MIN(Inputs!$B$25,Q1028+T1028),0))</f>
        <v/>
      </c>
    </row>
    <row r="1029" customFormat="false" ht="15" hidden="false" customHeight="false" outlineLevel="0" collapsed="false">
      <c r="A1029" s="1" t="str">
        <f aca="false">IF(A1028="","",IF(INT((C1028+1)/12)+Inputs!$B$7&gt;MAX(MORTALITY!$A:$A),"",Inputs!$B$4))</f>
        <v/>
      </c>
      <c r="B1029" s="3" t="str">
        <f aca="false">IF(A1029="","",EOMONTH(B1028,1))</f>
        <v/>
      </c>
      <c r="C1029" s="1" t="str">
        <f aca="false">IF(A1029="","",C1028+1)</f>
        <v/>
      </c>
      <c r="D1029" s="1" t="str">
        <f aca="false">IF(A1029="","",INT(C1029/12))</f>
        <v/>
      </c>
      <c r="E1029" s="1" t="str">
        <f aca="false">IF(A1029="","",D1029+Inputs!$B$7)</f>
        <v/>
      </c>
      <c r="F1029" s="3" t="str">
        <f aca="false">IF(A1029="","",DATE(YEAR(B$2)+D1029,MONTH(B$2),DAY(B$2)))</f>
        <v/>
      </c>
      <c r="G1029" s="3" t="str">
        <f aca="false">IF(A1029="","",DATE(YEAR(F1029)+1,MONTH(F1029),DAY(F1029)))</f>
        <v/>
      </c>
      <c r="H1029" s="10" t="str">
        <f aca="false">IF(A1029="","",IF(G1029&gt;F1029,(B1029-F1029)/(G1029-F1029),0))</f>
        <v/>
      </c>
      <c r="I1029" s="10" t="str">
        <f aca="false">IF(A1029="","",IFERROR(INDEX(CV_RATES!$I:$I,MATCH(D1029,CV_RATES!$C:$C,0)),0))</f>
        <v/>
      </c>
      <c r="J1029" s="10" t="str">
        <f aca="false">IF(A1029="","",IFERROR(IF(E1029=MAX(MORTALITY!$A:$A),1000,INDEX(CV_RATES!$J:$J,MATCH(D1029,CV_RATES!$C:$C,0))),0))</f>
        <v/>
      </c>
      <c r="K1029" s="10" t="str">
        <f aca="false">IF(A1029="","",IFERROR(I1029+H1029*(J1029-I1029),0))</f>
        <v/>
      </c>
      <c r="L1029" s="10" t="str">
        <f aca="false">IF(A1029="","",IFERROR(K1029*Inputs!$B$9,0))</f>
        <v/>
      </c>
      <c r="M1029" s="10" t="str">
        <f aca="false">IF(A1029="","",IFERROR(K1029*Inputs!$B$10,0))</f>
        <v/>
      </c>
      <c r="N1029" s="10" t="str">
        <f aca="false">IF(A1029="","",Z1028)</f>
        <v/>
      </c>
      <c r="O1029" s="6" t="str">
        <f aca="false">IF(A1029="","",Inputs!$B$18+N1029)</f>
        <v/>
      </c>
      <c r="P1029" s="5" t="str">
        <f aca="false">IF(A1029="","",VLOOKUP(D1029,DIvidend_Assumption!$A$3:$CX$103,($E$2+2),0)/12)</f>
        <v/>
      </c>
      <c r="Q1029" s="10" t="str">
        <f aca="false">IF(A1029="","",IFERROR(AB1028*P1029,""))</f>
        <v/>
      </c>
      <c r="R1029" s="10" t="str">
        <f aca="false">IF(A1029="","",IFERROR(IF(Inputs!$B$22="Accumulate",T1029+Q1029,IF(Inputs!$B$22="Premium Offset",MAX(0,T1029+Q1029-Inputs!$B$25),T1029)),""))</f>
        <v/>
      </c>
      <c r="S1029" s="10" t="str">
        <f aca="false">IF(A1029="","",R1028)</f>
        <v/>
      </c>
      <c r="T1029" s="10" t="str">
        <f aca="false">IF(A1029="","",IFERROR(S1029*(1+Inputs!$B$23/12),""))</f>
        <v/>
      </c>
      <c r="U1029" s="6" t="str">
        <f aca="false">IF(A1029="","",IF(D1029&lt;=Inputs!$B$8,IF(Inputs!$B$22="Premium Offset",MAX(0,Inputs!$B$25-(Q1029+T1029)),Inputs!$B$25),0))</f>
        <v/>
      </c>
      <c r="V1029" s="10" t="str">
        <f aca="false">IF(A1029="","",IF(Inputs!$B$22="Cash",Q1029,0))</f>
        <v/>
      </c>
      <c r="W1029" s="10" t="str">
        <f aca="false">IF(A1029="","",IF(Inputs!$B$22="PUA",Q1029,0))</f>
        <v/>
      </c>
      <c r="X1029" s="12" t="str">
        <f aca="false">IF(A1029="","",IFERROR(INDEX(PUA_TABLE!$D$4:$D$105,MATCH(E1029,PUA_TABLE!$C$4:$C$105,1)),0))</f>
        <v/>
      </c>
      <c r="Y1029" s="10" t="str">
        <f aca="false">IF(A1029="","",IF(W1029&gt;0,IF(X1029&gt;0,W1029/X1029,0),0))</f>
        <v/>
      </c>
      <c r="Z1029" s="10" t="str">
        <f aca="false">IF(A1029="","",N1029+Y1029)</f>
        <v/>
      </c>
      <c r="AA1029" s="10" t="str">
        <f aca="false">IF(A1029="","",IFERROR(Z1029*INDEX(PUA_TABLE!$I$4:$I$105,MATCH(E1029,PUA_TABLE!$C$4:$C$105,1))/1000,0))</f>
        <v/>
      </c>
      <c r="AB1029" s="10" t="str">
        <f aca="false">IF(A1029="","",IFERROR(L1029+AA1029,0))</f>
        <v/>
      </c>
      <c r="AC1029" s="10" t="str">
        <f aca="false">IF(A1029="","",IF(Inputs!$B$22="Premium Offset",MIN(Inputs!$B$25,Q1029+T1029),0))</f>
        <v/>
      </c>
    </row>
    <row r="1030" customFormat="false" ht="15" hidden="false" customHeight="false" outlineLevel="0" collapsed="false">
      <c r="A1030" s="1" t="str">
        <f aca="false">IF(A1029="","",IF(INT((C1029+1)/12)+Inputs!$B$7&gt;MAX(MORTALITY!$A:$A),"",Inputs!$B$4))</f>
        <v/>
      </c>
      <c r="B1030" s="3" t="str">
        <f aca="false">IF(A1030="","",EOMONTH(B1029,1))</f>
        <v/>
      </c>
      <c r="C1030" s="1" t="str">
        <f aca="false">IF(A1030="","",C1029+1)</f>
        <v/>
      </c>
      <c r="D1030" s="1" t="str">
        <f aca="false">IF(A1030="","",INT(C1030/12))</f>
        <v/>
      </c>
      <c r="E1030" s="1" t="str">
        <f aca="false">IF(A1030="","",D1030+Inputs!$B$7)</f>
        <v/>
      </c>
      <c r="F1030" s="3" t="str">
        <f aca="false">IF(A1030="","",DATE(YEAR(B$2)+D1030,MONTH(B$2),DAY(B$2)))</f>
        <v/>
      </c>
      <c r="G1030" s="3" t="str">
        <f aca="false">IF(A1030="","",DATE(YEAR(F1030)+1,MONTH(F1030),DAY(F1030)))</f>
        <v/>
      </c>
      <c r="H1030" s="10" t="str">
        <f aca="false">IF(A1030="","",IF(G1030&gt;F1030,(B1030-F1030)/(G1030-F1030),0))</f>
        <v/>
      </c>
      <c r="I1030" s="10" t="str">
        <f aca="false">IF(A1030="","",IFERROR(INDEX(CV_RATES!$I:$I,MATCH(D1030,CV_RATES!$C:$C,0)),0))</f>
        <v/>
      </c>
      <c r="J1030" s="10" t="str">
        <f aca="false">IF(A1030="","",IFERROR(IF(E1030=MAX(MORTALITY!$A:$A),1000,INDEX(CV_RATES!$J:$J,MATCH(D1030,CV_RATES!$C:$C,0))),0))</f>
        <v/>
      </c>
      <c r="K1030" s="10" t="str">
        <f aca="false">IF(A1030="","",IFERROR(I1030+H1030*(J1030-I1030),0))</f>
        <v/>
      </c>
      <c r="L1030" s="10" t="str">
        <f aca="false">IF(A1030="","",IFERROR(K1030*Inputs!$B$9,0))</f>
        <v/>
      </c>
      <c r="M1030" s="10" t="str">
        <f aca="false">IF(A1030="","",IFERROR(K1030*Inputs!$B$10,0))</f>
        <v/>
      </c>
      <c r="N1030" s="10" t="str">
        <f aca="false">IF(A1030="","",Z1029)</f>
        <v/>
      </c>
      <c r="O1030" s="6" t="str">
        <f aca="false">IF(A1030="","",Inputs!$B$18+N1030)</f>
        <v/>
      </c>
      <c r="P1030" s="5" t="str">
        <f aca="false">IF(A1030="","",VLOOKUP(D1030,DIvidend_Assumption!$A$3:$CX$103,($E$2+2),0)/12)</f>
        <v/>
      </c>
      <c r="Q1030" s="10" t="str">
        <f aca="false">IF(A1030="","",IFERROR(AB1029*P1030,""))</f>
        <v/>
      </c>
      <c r="R1030" s="10" t="str">
        <f aca="false">IF(A1030="","",IFERROR(IF(Inputs!$B$22="Accumulate",T1030+Q1030,IF(Inputs!$B$22="Premium Offset",MAX(0,T1030+Q1030-Inputs!$B$25),T1030)),""))</f>
        <v/>
      </c>
      <c r="S1030" s="10" t="str">
        <f aca="false">IF(A1030="","",R1029)</f>
        <v/>
      </c>
      <c r="T1030" s="10" t="str">
        <f aca="false">IF(A1030="","",IFERROR(S1030*(1+Inputs!$B$23/12),""))</f>
        <v/>
      </c>
      <c r="U1030" s="6" t="str">
        <f aca="false">IF(A1030="","",IF(D1030&lt;=Inputs!$B$8,IF(Inputs!$B$22="Premium Offset",MAX(0,Inputs!$B$25-(Q1030+T1030)),Inputs!$B$25),0))</f>
        <v/>
      </c>
      <c r="V1030" s="10" t="str">
        <f aca="false">IF(A1030="","",IF(Inputs!$B$22="Cash",Q1030,0))</f>
        <v/>
      </c>
      <c r="W1030" s="10" t="str">
        <f aca="false">IF(A1030="","",IF(Inputs!$B$22="PUA",Q1030,0))</f>
        <v/>
      </c>
      <c r="X1030" s="12" t="str">
        <f aca="false">IF(A1030="","",IFERROR(INDEX(PUA_TABLE!$D$4:$D$105,MATCH(E1030,PUA_TABLE!$C$4:$C$105,1)),0))</f>
        <v/>
      </c>
      <c r="Y1030" s="10" t="str">
        <f aca="false">IF(A1030="","",IF(W1030&gt;0,IF(X1030&gt;0,W1030/X1030,0),0))</f>
        <v/>
      </c>
      <c r="Z1030" s="10" t="str">
        <f aca="false">IF(A1030="","",N1030+Y1030)</f>
        <v/>
      </c>
      <c r="AA1030" s="10" t="str">
        <f aca="false">IF(A1030="","",IFERROR(Z1030*INDEX(PUA_TABLE!$I$4:$I$105,MATCH(E1030,PUA_TABLE!$C$4:$C$105,1))/1000,0))</f>
        <v/>
      </c>
      <c r="AB1030" s="10" t="str">
        <f aca="false">IF(A1030="","",IFERROR(L1030+AA1030,0))</f>
        <v/>
      </c>
      <c r="AC1030" s="10" t="str">
        <f aca="false">IF(A1030="","",IF(Inputs!$B$22="Premium Offset",MIN(Inputs!$B$25,Q1030+T1030),0))</f>
        <v/>
      </c>
    </row>
    <row r="1031" customFormat="false" ht="15" hidden="false" customHeight="false" outlineLevel="0" collapsed="false">
      <c r="A1031" s="1" t="str">
        <f aca="false">IF(A1030="","",IF(INT((C1030+1)/12)+Inputs!$B$7&gt;MAX(MORTALITY!$A:$A),"",Inputs!$B$4))</f>
        <v/>
      </c>
      <c r="B1031" s="3" t="str">
        <f aca="false">IF(A1031="","",EOMONTH(B1030,1))</f>
        <v/>
      </c>
      <c r="C1031" s="1" t="str">
        <f aca="false">IF(A1031="","",C1030+1)</f>
        <v/>
      </c>
      <c r="D1031" s="1" t="str">
        <f aca="false">IF(A1031="","",INT(C1031/12))</f>
        <v/>
      </c>
      <c r="E1031" s="1" t="str">
        <f aca="false">IF(A1031="","",D1031+Inputs!$B$7)</f>
        <v/>
      </c>
      <c r="F1031" s="3" t="str">
        <f aca="false">IF(A1031="","",DATE(YEAR(B$2)+D1031,MONTH(B$2),DAY(B$2)))</f>
        <v/>
      </c>
      <c r="G1031" s="3" t="str">
        <f aca="false">IF(A1031="","",DATE(YEAR(F1031)+1,MONTH(F1031),DAY(F1031)))</f>
        <v/>
      </c>
      <c r="H1031" s="10" t="str">
        <f aca="false">IF(A1031="","",IF(G1031&gt;F1031,(B1031-F1031)/(G1031-F1031),0))</f>
        <v/>
      </c>
      <c r="I1031" s="10" t="str">
        <f aca="false">IF(A1031="","",IFERROR(INDEX(CV_RATES!$I:$I,MATCH(D1031,CV_RATES!$C:$C,0)),0))</f>
        <v/>
      </c>
      <c r="J1031" s="10" t="str">
        <f aca="false">IF(A1031="","",IFERROR(IF(E1031=MAX(MORTALITY!$A:$A),1000,INDEX(CV_RATES!$J:$J,MATCH(D1031,CV_RATES!$C:$C,0))),0))</f>
        <v/>
      </c>
      <c r="K1031" s="10" t="str">
        <f aca="false">IF(A1031="","",IFERROR(I1031+H1031*(J1031-I1031),0))</f>
        <v/>
      </c>
      <c r="L1031" s="10" t="str">
        <f aca="false">IF(A1031="","",IFERROR(K1031*Inputs!$B$9,0))</f>
        <v/>
      </c>
      <c r="M1031" s="10" t="str">
        <f aca="false">IF(A1031="","",IFERROR(K1031*Inputs!$B$10,0))</f>
        <v/>
      </c>
      <c r="N1031" s="10" t="str">
        <f aca="false">IF(A1031="","",Z1030)</f>
        <v/>
      </c>
      <c r="O1031" s="6" t="str">
        <f aca="false">IF(A1031="","",Inputs!$B$18+N1031)</f>
        <v/>
      </c>
      <c r="P1031" s="5" t="str">
        <f aca="false">IF(A1031="","",VLOOKUP(D1031,DIvidend_Assumption!$A$3:$CX$103,($E$2+2),0)/12)</f>
        <v/>
      </c>
      <c r="Q1031" s="10" t="str">
        <f aca="false">IF(A1031="","",IFERROR(AB1030*P1031,""))</f>
        <v/>
      </c>
      <c r="R1031" s="10" t="str">
        <f aca="false">IF(A1031="","",IFERROR(IF(Inputs!$B$22="Accumulate",T1031+Q1031,IF(Inputs!$B$22="Premium Offset",MAX(0,T1031+Q1031-Inputs!$B$25),T1031)),""))</f>
        <v/>
      </c>
      <c r="S1031" s="10" t="str">
        <f aca="false">IF(A1031="","",R1030)</f>
        <v/>
      </c>
      <c r="T1031" s="10" t="str">
        <f aca="false">IF(A1031="","",IFERROR(S1031*(1+Inputs!$B$23/12),""))</f>
        <v/>
      </c>
      <c r="U1031" s="6" t="str">
        <f aca="false">IF(A1031="","",IF(D1031&lt;=Inputs!$B$8,IF(Inputs!$B$22="Premium Offset",MAX(0,Inputs!$B$25-(Q1031+T1031)),Inputs!$B$25),0))</f>
        <v/>
      </c>
      <c r="V1031" s="10" t="str">
        <f aca="false">IF(A1031="","",IF(Inputs!$B$22="Cash",Q1031,0))</f>
        <v/>
      </c>
      <c r="W1031" s="10" t="str">
        <f aca="false">IF(A1031="","",IF(Inputs!$B$22="PUA",Q1031,0))</f>
        <v/>
      </c>
      <c r="X1031" s="12" t="str">
        <f aca="false">IF(A1031="","",IFERROR(INDEX(PUA_TABLE!$D$4:$D$105,MATCH(E1031,PUA_TABLE!$C$4:$C$105,1)),0))</f>
        <v/>
      </c>
      <c r="Y1031" s="10" t="str">
        <f aca="false">IF(A1031="","",IF(W1031&gt;0,IF(X1031&gt;0,W1031/X1031,0),0))</f>
        <v/>
      </c>
      <c r="Z1031" s="10" t="str">
        <f aca="false">IF(A1031="","",N1031+Y1031)</f>
        <v/>
      </c>
      <c r="AA1031" s="10" t="str">
        <f aca="false">IF(A1031="","",IFERROR(Z1031*INDEX(PUA_TABLE!$I$4:$I$105,MATCH(E1031,PUA_TABLE!$C$4:$C$105,1))/1000,0))</f>
        <v/>
      </c>
      <c r="AB1031" s="10" t="str">
        <f aca="false">IF(A1031="","",IFERROR(L1031+AA1031,0))</f>
        <v/>
      </c>
      <c r="AC1031" s="10" t="str">
        <f aca="false">IF(A1031="","",IF(Inputs!$B$22="Premium Offset",MIN(Inputs!$B$25,Q1031+T1031),0))</f>
        <v/>
      </c>
    </row>
    <row r="1032" customFormat="false" ht="15" hidden="false" customHeight="false" outlineLevel="0" collapsed="false">
      <c r="A1032" s="1" t="str">
        <f aca="false">IF(A1031="","",IF(INT((C1031+1)/12)+Inputs!$B$7&gt;MAX(MORTALITY!$A:$A),"",Inputs!$B$4))</f>
        <v/>
      </c>
      <c r="B1032" s="3" t="str">
        <f aca="false">IF(A1032="","",EOMONTH(B1031,1))</f>
        <v/>
      </c>
      <c r="C1032" s="1" t="str">
        <f aca="false">IF(A1032="","",C1031+1)</f>
        <v/>
      </c>
      <c r="D1032" s="1" t="str">
        <f aca="false">IF(A1032="","",INT(C1032/12))</f>
        <v/>
      </c>
      <c r="E1032" s="1" t="str">
        <f aca="false">IF(A1032="","",D1032+Inputs!$B$7)</f>
        <v/>
      </c>
      <c r="F1032" s="3" t="str">
        <f aca="false">IF(A1032="","",DATE(YEAR(B$2)+D1032,MONTH(B$2),DAY(B$2)))</f>
        <v/>
      </c>
      <c r="G1032" s="3" t="str">
        <f aca="false">IF(A1032="","",DATE(YEAR(F1032)+1,MONTH(F1032),DAY(F1032)))</f>
        <v/>
      </c>
      <c r="H1032" s="10" t="str">
        <f aca="false">IF(A1032="","",IF(G1032&gt;F1032,(B1032-F1032)/(G1032-F1032),0))</f>
        <v/>
      </c>
      <c r="I1032" s="10" t="str">
        <f aca="false">IF(A1032="","",IFERROR(INDEX(CV_RATES!$I:$I,MATCH(D1032,CV_RATES!$C:$C,0)),0))</f>
        <v/>
      </c>
      <c r="J1032" s="10" t="str">
        <f aca="false">IF(A1032="","",IFERROR(IF(E1032=MAX(MORTALITY!$A:$A),1000,INDEX(CV_RATES!$J:$J,MATCH(D1032,CV_RATES!$C:$C,0))),0))</f>
        <v/>
      </c>
      <c r="K1032" s="10" t="str">
        <f aca="false">IF(A1032="","",IFERROR(I1032+H1032*(J1032-I1032),0))</f>
        <v/>
      </c>
      <c r="L1032" s="10" t="str">
        <f aca="false">IF(A1032="","",IFERROR(K1032*Inputs!$B$9,0))</f>
        <v/>
      </c>
      <c r="M1032" s="10" t="str">
        <f aca="false">IF(A1032="","",IFERROR(K1032*Inputs!$B$10,0))</f>
        <v/>
      </c>
      <c r="N1032" s="10" t="str">
        <f aca="false">IF(A1032="","",Z1031)</f>
        <v/>
      </c>
      <c r="O1032" s="6" t="str">
        <f aca="false">IF(A1032="","",Inputs!$B$18+N1032)</f>
        <v/>
      </c>
      <c r="P1032" s="5" t="str">
        <f aca="false">IF(A1032="","",VLOOKUP(D1032,DIvidend_Assumption!$A$3:$CX$103,($E$2+2),0)/12)</f>
        <v/>
      </c>
      <c r="Q1032" s="10" t="str">
        <f aca="false">IF(A1032="","",IFERROR(AB1031*P1032,""))</f>
        <v/>
      </c>
      <c r="R1032" s="10" t="str">
        <f aca="false">IF(A1032="","",IFERROR(IF(Inputs!$B$22="Accumulate",T1032+Q1032,IF(Inputs!$B$22="Premium Offset",MAX(0,T1032+Q1032-Inputs!$B$25),T1032)),""))</f>
        <v/>
      </c>
      <c r="S1032" s="10" t="str">
        <f aca="false">IF(A1032="","",R1031)</f>
        <v/>
      </c>
      <c r="T1032" s="10" t="str">
        <f aca="false">IF(A1032="","",IFERROR(S1032*(1+Inputs!$B$23/12),""))</f>
        <v/>
      </c>
      <c r="U1032" s="6" t="str">
        <f aca="false">IF(A1032="","",IF(D1032&lt;=Inputs!$B$8,IF(Inputs!$B$22="Premium Offset",MAX(0,Inputs!$B$25-(Q1032+T1032)),Inputs!$B$25),0))</f>
        <v/>
      </c>
      <c r="V1032" s="10" t="str">
        <f aca="false">IF(A1032="","",IF(Inputs!$B$22="Cash",Q1032,0))</f>
        <v/>
      </c>
      <c r="W1032" s="10" t="str">
        <f aca="false">IF(A1032="","",IF(Inputs!$B$22="PUA",Q1032,0))</f>
        <v/>
      </c>
      <c r="X1032" s="12" t="str">
        <f aca="false">IF(A1032="","",IFERROR(INDEX(PUA_TABLE!$D$4:$D$105,MATCH(E1032,PUA_TABLE!$C$4:$C$105,1)),0))</f>
        <v/>
      </c>
      <c r="Y1032" s="10" t="str">
        <f aca="false">IF(A1032="","",IF(W1032&gt;0,IF(X1032&gt;0,W1032/X1032,0),0))</f>
        <v/>
      </c>
      <c r="Z1032" s="10" t="str">
        <f aca="false">IF(A1032="","",N1032+Y1032)</f>
        <v/>
      </c>
      <c r="AA1032" s="10" t="str">
        <f aca="false">IF(A1032="","",IFERROR(Z1032*INDEX(PUA_TABLE!$I$4:$I$105,MATCH(E1032,PUA_TABLE!$C$4:$C$105,1))/1000,0))</f>
        <v/>
      </c>
      <c r="AB1032" s="10" t="str">
        <f aca="false">IF(A1032="","",IFERROR(L1032+AA1032,0))</f>
        <v/>
      </c>
      <c r="AC1032" s="10" t="str">
        <f aca="false">IF(A1032="","",IF(Inputs!$B$22="Premium Offset",MIN(Inputs!$B$25,Q1032+T1032),0))</f>
        <v/>
      </c>
    </row>
    <row r="1033" customFormat="false" ht="15" hidden="false" customHeight="false" outlineLevel="0" collapsed="false">
      <c r="A1033" s="1" t="str">
        <f aca="false">IF(A1032="","",IF(INT((C1032+1)/12)+Inputs!$B$7&gt;MAX(MORTALITY!$A:$A),"",Inputs!$B$4))</f>
        <v/>
      </c>
      <c r="B1033" s="3" t="str">
        <f aca="false">IF(A1033="","",EOMONTH(B1032,1))</f>
        <v/>
      </c>
      <c r="C1033" s="1" t="str">
        <f aca="false">IF(A1033="","",C1032+1)</f>
        <v/>
      </c>
      <c r="D1033" s="1" t="str">
        <f aca="false">IF(A1033="","",INT(C1033/12))</f>
        <v/>
      </c>
      <c r="E1033" s="1" t="str">
        <f aca="false">IF(A1033="","",D1033+Inputs!$B$7)</f>
        <v/>
      </c>
      <c r="F1033" s="3" t="str">
        <f aca="false">IF(A1033="","",DATE(YEAR(B$2)+D1033,MONTH(B$2),DAY(B$2)))</f>
        <v/>
      </c>
      <c r="G1033" s="3" t="str">
        <f aca="false">IF(A1033="","",DATE(YEAR(F1033)+1,MONTH(F1033),DAY(F1033)))</f>
        <v/>
      </c>
      <c r="H1033" s="10" t="str">
        <f aca="false">IF(A1033="","",IF(G1033&gt;F1033,(B1033-F1033)/(G1033-F1033),0))</f>
        <v/>
      </c>
      <c r="I1033" s="10" t="str">
        <f aca="false">IF(A1033="","",IFERROR(INDEX(CV_RATES!$I:$I,MATCH(D1033,CV_RATES!$C:$C,0)),0))</f>
        <v/>
      </c>
      <c r="J1033" s="10" t="str">
        <f aca="false">IF(A1033="","",IFERROR(IF(E1033=MAX(MORTALITY!$A:$A),1000,INDEX(CV_RATES!$J:$J,MATCH(D1033,CV_RATES!$C:$C,0))),0))</f>
        <v/>
      </c>
      <c r="K1033" s="10" t="str">
        <f aca="false">IF(A1033="","",IFERROR(I1033+H1033*(J1033-I1033),0))</f>
        <v/>
      </c>
      <c r="L1033" s="10" t="str">
        <f aca="false">IF(A1033="","",IFERROR(K1033*Inputs!$B$9,0))</f>
        <v/>
      </c>
      <c r="M1033" s="10" t="str">
        <f aca="false">IF(A1033="","",IFERROR(K1033*Inputs!$B$10,0))</f>
        <v/>
      </c>
      <c r="N1033" s="10" t="str">
        <f aca="false">IF(A1033="","",Z1032)</f>
        <v/>
      </c>
      <c r="O1033" s="6" t="str">
        <f aca="false">IF(A1033="","",Inputs!$B$18+N1033)</f>
        <v/>
      </c>
      <c r="P1033" s="5" t="str">
        <f aca="false">IF(A1033="","",VLOOKUP(D1033,DIvidend_Assumption!$A$3:$CX$103,($E$2+2),0)/12)</f>
        <v/>
      </c>
      <c r="Q1033" s="10" t="str">
        <f aca="false">IF(A1033="","",IFERROR(AB1032*P1033,""))</f>
        <v/>
      </c>
      <c r="R1033" s="10" t="str">
        <f aca="false">IF(A1033="","",IFERROR(IF(Inputs!$B$22="Accumulate",T1033+Q1033,IF(Inputs!$B$22="Premium Offset",MAX(0,T1033+Q1033-Inputs!$B$25),T1033)),""))</f>
        <v/>
      </c>
      <c r="S1033" s="10" t="str">
        <f aca="false">IF(A1033="","",R1032)</f>
        <v/>
      </c>
      <c r="T1033" s="10" t="str">
        <f aca="false">IF(A1033="","",IFERROR(S1033*(1+Inputs!$B$23/12),""))</f>
        <v/>
      </c>
      <c r="U1033" s="6" t="str">
        <f aca="false">IF(A1033="","",IF(D1033&lt;=Inputs!$B$8,IF(Inputs!$B$22="Premium Offset",MAX(0,Inputs!$B$25-(Q1033+T1033)),Inputs!$B$25),0))</f>
        <v/>
      </c>
      <c r="V1033" s="10" t="str">
        <f aca="false">IF(A1033="","",IF(Inputs!$B$22="Cash",Q1033,0))</f>
        <v/>
      </c>
      <c r="W1033" s="10" t="str">
        <f aca="false">IF(A1033="","",IF(Inputs!$B$22="PUA",Q1033,0))</f>
        <v/>
      </c>
      <c r="X1033" s="12" t="str">
        <f aca="false">IF(A1033="","",IFERROR(INDEX(PUA_TABLE!$D$4:$D$105,MATCH(E1033,PUA_TABLE!$C$4:$C$105,1)),0))</f>
        <v/>
      </c>
      <c r="Y1033" s="10" t="str">
        <f aca="false">IF(A1033="","",IF(W1033&gt;0,IF(X1033&gt;0,W1033/X1033,0),0))</f>
        <v/>
      </c>
      <c r="Z1033" s="10" t="str">
        <f aca="false">IF(A1033="","",N1033+Y1033)</f>
        <v/>
      </c>
      <c r="AA1033" s="10" t="str">
        <f aca="false">IF(A1033="","",IFERROR(Z1033*INDEX(PUA_TABLE!$I$4:$I$105,MATCH(E1033,PUA_TABLE!$C$4:$C$105,1))/1000,0))</f>
        <v/>
      </c>
      <c r="AB1033" s="10" t="str">
        <f aca="false">IF(A1033="","",IFERROR(L1033+AA1033,0))</f>
        <v/>
      </c>
      <c r="AC1033" s="10" t="str">
        <f aca="false">IF(A1033="","",IF(Inputs!$B$22="Premium Offset",MIN(Inputs!$B$25,Q1033+T1033),0))</f>
        <v/>
      </c>
    </row>
    <row r="1034" customFormat="false" ht="15" hidden="false" customHeight="false" outlineLevel="0" collapsed="false">
      <c r="A1034" s="1" t="str">
        <f aca="false">IF(A1033="","",IF(INT((C1033+1)/12)+Inputs!$B$7&gt;MAX(MORTALITY!$A:$A),"",Inputs!$B$4))</f>
        <v/>
      </c>
      <c r="B1034" s="3" t="str">
        <f aca="false">IF(A1034="","",EOMONTH(B1033,1))</f>
        <v/>
      </c>
      <c r="C1034" s="1" t="str">
        <f aca="false">IF(A1034="","",C1033+1)</f>
        <v/>
      </c>
      <c r="D1034" s="1" t="str">
        <f aca="false">IF(A1034="","",INT(C1034/12))</f>
        <v/>
      </c>
      <c r="E1034" s="1" t="str">
        <f aca="false">IF(A1034="","",D1034+Inputs!$B$7)</f>
        <v/>
      </c>
      <c r="F1034" s="3" t="str">
        <f aca="false">IF(A1034="","",DATE(YEAR(B$2)+D1034,MONTH(B$2),DAY(B$2)))</f>
        <v/>
      </c>
      <c r="G1034" s="3" t="str">
        <f aca="false">IF(A1034="","",DATE(YEAR(F1034)+1,MONTH(F1034),DAY(F1034)))</f>
        <v/>
      </c>
      <c r="H1034" s="10" t="str">
        <f aca="false">IF(A1034="","",IF(G1034&gt;F1034,(B1034-F1034)/(G1034-F1034),0))</f>
        <v/>
      </c>
      <c r="I1034" s="10" t="str">
        <f aca="false">IF(A1034="","",IFERROR(INDEX(CV_RATES!$I:$I,MATCH(D1034,CV_RATES!$C:$C,0)),0))</f>
        <v/>
      </c>
      <c r="J1034" s="10" t="str">
        <f aca="false">IF(A1034="","",IFERROR(IF(E1034=MAX(MORTALITY!$A:$A),1000,INDEX(CV_RATES!$J:$J,MATCH(D1034,CV_RATES!$C:$C,0))),0))</f>
        <v/>
      </c>
      <c r="K1034" s="10" t="str">
        <f aca="false">IF(A1034="","",IFERROR(I1034+H1034*(J1034-I1034),0))</f>
        <v/>
      </c>
      <c r="L1034" s="10" t="str">
        <f aca="false">IF(A1034="","",IFERROR(K1034*Inputs!$B$9,0))</f>
        <v/>
      </c>
      <c r="M1034" s="10" t="str">
        <f aca="false">IF(A1034="","",IFERROR(K1034*Inputs!$B$10,0))</f>
        <v/>
      </c>
      <c r="N1034" s="10" t="str">
        <f aca="false">IF(A1034="","",Z1033)</f>
        <v/>
      </c>
      <c r="O1034" s="6" t="str">
        <f aca="false">IF(A1034="","",Inputs!$B$18+N1034)</f>
        <v/>
      </c>
      <c r="P1034" s="5" t="str">
        <f aca="false">IF(A1034="","",VLOOKUP(D1034,DIvidend_Assumption!$A$3:$CX$103,($E$2+2),0)/12)</f>
        <v/>
      </c>
      <c r="Q1034" s="10" t="str">
        <f aca="false">IF(A1034="","",IFERROR(AB1033*P1034,""))</f>
        <v/>
      </c>
      <c r="R1034" s="10" t="str">
        <f aca="false">IF(A1034="","",IFERROR(IF(Inputs!$B$22="Accumulate",T1034+Q1034,IF(Inputs!$B$22="Premium Offset",MAX(0,T1034+Q1034-Inputs!$B$25),T1034)),""))</f>
        <v/>
      </c>
      <c r="S1034" s="10" t="str">
        <f aca="false">IF(A1034="","",R1033)</f>
        <v/>
      </c>
      <c r="T1034" s="10" t="str">
        <f aca="false">IF(A1034="","",IFERROR(S1034*(1+Inputs!$B$23/12),""))</f>
        <v/>
      </c>
      <c r="U1034" s="6" t="str">
        <f aca="false">IF(A1034="","",IF(D1034&lt;=Inputs!$B$8,IF(Inputs!$B$22="Premium Offset",MAX(0,Inputs!$B$25-(Q1034+T1034)),Inputs!$B$25),0))</f>
        <v/>
      </c>
      <c r="V1034" s="10" t="str">
        <f aca="false">IF(A1034="","",IF(Inputs!$B$22="Cash",Q1034,0))</f>
        <v/>
      </c>
      <c r="W1034" s="10" t="str">
        <f aca="false">IF(A1034="","",IF(Inputs!$B$22="PUA",Q1034,0))</f>
        <v/>
      </c>
      <c r="X1034" s="12" t="str">
        <f aca="false">IF(A1034="","",IFERROR(INDEX(PUA_TABLE!$D$4:$D$105,MATCH(E1034,PUA_TABLE!$C$4:$C$105,1)),0))</f>
        <v/>
      </c>
      <c r="Y1034" s="10" t="str">
        <f aca="false">IF(A1034="","",IF(W1034&gt;0,IF(X1034&gt;0,W1034/X1034,0),0))</f>
        <v/>
      </c>
      <c r="Z1034" s="10" t="str">
        <f aca="false">IF(A1034="","",N1034+Y1034)</f>
        <v/>
      </c>
      <c r="AA1034" s="10" t="str">
        <f aca="false">IF(A1034="","",IFERROR(Z1034*INDEX(PUA_TABLE!$I$4:$I$105,MATCH(E1034,PUA_TABLE!$C$4:$C$105,1))/1000,0))</f>
        <v/>
      </c>
      <c r="AB1034" s="10" t="str">
        <f aca="false">IF(A1034="","",IFERROR(L1034+AA1034,0))</f>
        <v/>
      </c>
      <c r="AC1034" s="10" t="str">
        <f aca="false">IF(A1034="","",IF(Inputs!$B$22="Premium Offset",MIN(Inputs!$B$25,Q1034+T1034),0))</f>
        <v/>
      </c>
    </row>
    <row r="1035" customFormat="false" ht="15" hidden="false" customHeight="false" outlineLevel="0" collapsed="false">
      <c r="A1035" s="1" t="str">
        <f aca="false">IF(A1034="","",IF(INT((C1034+1)/12)+Inputs!$B$7&gt;MAX(MORTALITY!$A:$A),"",Inputs!$B$4))</f>
        <v/>
      </c>
      <c r="B1035" s="3" t="str">
        <f aca="false">IF(A1035="","",EOMONTH(B1034,1))</f>
        <v/>
      </c>
      <c r="C1035" s="1" t="str">
        <f aca="false">IF(A1035="","",C1034+1)</f>
        <v/>
      </c>
      <c r="D1035" s="1" t="str">
        <f aca="false">IF(A1035="","",INT(C1035/12))</f>
        <v/>
      </c>
      <c r="E1035" s="1" t="str">
        <f aca="false">IF(A1035="","",D1035+Inputs!$B$7)</f>
        <v/>
      </c>
      <c r="F1035" s="3" t="str">
        <f aca="false">IF(A1035="","",DATE(YEAR(B$2)+D1035,MONTH(B$2),DAY(B$2)))</f>
        <v/>
      </c>
      <c r="G1035" s="3" t="str">
        <f aca="false">IF(A1035="","",DATE(YEAR(F1035)+1,MONTH(F1035),DAY(F1035)))</f>
        <v/>
      </c>
      <c r="H1035" s="10" t="str">
        <f aca="false">IF(A1035="","",IF(G1035&gt;F1035,(B1035-F1035)/(G1035-F1035),0))</f>
        <v/>
      </c>
      <c r="I1035" s="10" t="str">
        <f aca="false">IF(A1035="","",IFERROR(INDEX(CV_RATES!$I:$I,MATCH(D1035,CV_RATES!$C:$C,0)),0))</f>
        <v/>
      </c>
      <c r="J1035" s="10" t="str">
        <f aca="false">IF(A1035="","",IFERROR(IF(E1035=MAX(MORTALITY!$A:$A),1000,INDEX(CV_RATES!$J:$J,MATCH(D1035,CV_RATES!$C:$C,0))),0))</f>
        <v/>
      </c>
      <c r="K1035" s="10" t="str">
        <f aca="false">IF(A1035="","",IFERROR(I1035+H1035*(J1035-I1035),0))</f>
        <v/>
      </c>
      <c r="L1035" s="10" t="str">
        <f aca="false">IF(A1035="","",IFERROR(K1035*Inputs!$B$9,0))</f>
        <v/>
      </c>
      <c r="M1035" s="10" t="str">
        <f aca="false">IF(A1035="","",IFERROR(K1035*Inputs!$B$10,0))</f>
        <v/>
      </c>
      <c r="N1035" s="10" t="str">
        <f aca="false">IF(A1035="","",Z1034)</f>
        <v/>
      </c>
      <c r="O1035" s="6" t="str">
        <f aca="false">IF(A1035="","",Inputs!$B$18+N1035)</f>
        <v/>
      </c>
      <c r="P1035" s="5" t="str">
        <f aca="false">IF(A1035="","",VLOOKUP(D1035,DIvidend_Assumption!$A$3:$CX$103,($E$2+2),0)/12)</f>
        <v/>
      </c>
      <c r="Q1035" s="10" t="str">
        <f aca="false">IF(A1035="","",IFERROR(AB1034*P1035,""))</f>
        <v/>
      </c>
      <c r="R1035" s="10" t="str">
        <f aca="false">IF(A1035="","",IFERROR(IF(Inputs!$B$22="Accumulate",T1035+Q1035,IF(Inputs!$B$22="Premium Offset",MAX(0,T1035+Q1035-Inputs!$B$25),T1035)),""))</f>
        <v/>
      </c>
      <c r="S1035" s="10" t="str">
        <f aca="false">IF(A1035="","",R1034)</f>
        <v/>
      </c>
      <c r="T1035" s="10" t="str">
        <f aca="false">IF(A1035="","",IFERROR(S1035*(1+Inputs!$B$23/12),""))</f>
        <v/>
      </c>
      <c r="U1035" s="6" t="str">
        <f aca="false">IF(A1035="","",IF(D1035&lt;=Inputs!$B$8,IF(Inputs!$B$22="Premium Offset",MAX(0,Inputs!$B$25-(Q1035+T1035)),Inputs!$B$25),0))</f>
        <v/>
      </c>
      <c r="V1035" s="10" t="str">
        <f aca="false">IF(A1035="","",IF(Inputs!$B$22="Cash",Q1035,0))</f>
        <v/>
      </c>
      <c r="W1035" s="10" t="str">
        <f aca="false">IF(A1035="","",IF(Inputs!$B$22="PUA",Q1035,0))</f>
        <v/>
      </c>
      <c r="X1035" s="12" t="str">
        <f aca="false">IF(A1035="","",IFERROR(INDEX(PUA_TABLE!$D$4:$D$105,MATCH(E1035,PUA_TABLE!$C$4:$C$105,1)),0))</f>
        <v/>
      </c>
      <c r="Y1035" s="10" t="str">
        <f aca="false">IF(A1035="","",IF(W1035&gt;0,IF(X1035&gt;0,W1035/X1035,0),0))</f>
        <v/>
      </c>
      <c r="Z1035" s="10" t="str">
        <f aca="false">IF(A1035="","",N1035+Y1035)</f>
        <v/>
      </c>
      <c r="AA1035" s="10" t="str">
        <f aca="false">IF(A1035="","",IFERROR(Z1035*INDEX(PUA_TABLE!$I$4:$I$105,MATCH(E1035,PUA_TABLE!$C$4:$C$105,1))/1000,0))</f>
        <v/>
      </c>
      <c r="AB1035" s="10" t="str">
        <f aca="false">IF(A1035="","",IFERROR(L1035+AA1035,0))</f>
        <v/>
      </c>
      <c r="AC1035" s="10" t="str">
        <f aca="false">IF(A1035="","",IF(Inputs!$B$22="Premium Offset",MIN(Inputs!$B$25,Q1035+T1035),0))</f>
        <v/>
      </c>
    </row>
    <row r="1036" customFormat="false" ht="15" hidden="false" customHeight="false" outlineLevel="0" collapsed="false">
      <c r="A1036" s="1" t="str">
        <f aca="false">IF(A1035="","",IF(INT((C1035+1)/12)+Inputs!$B$7&gt;MAX(MORTALITY!$A:$A),"",Inputs!$B$4))</f>
        <v/>
      </c>
      <c r="B1036" s="3" t="str">
        <f aca="false">IF(A1036="","",EOMONTH(B1035,1))</f>
        <v/>
      </c>
      <c r="C1036" s="1" t="str">
        <f aca="false">IF(A1036="","",C1035+1)</f>
        <v/>
      </c>
      <c r="D1036" s="1" t="str">
        <f aca="false">IF(A1036="","",INT(C1036/12))</f>
        <v/>
      </c>
      <c r="E1036" s="1" t="str">
        <f aca="false">IF(A1036="","",D1036+Inputs!$B$7)</f>
        <v/>
      </c>
      <c r="F1036" s="3" t="str">
        <f aca="false">IF(A1036="","",DATE(YEAR(B$2)+D1036,MONTH(B$2),DAY(B$2)))</f>
        <v/>
      </c>
      <c r="G1036" s="3" t="str">
        <f aca="false">IF(A1036="","",DATE(YEAR(F1036)+1,MONTH(F1036),DAY(F1036)))</f>
        <v/>
      </c>
      <c r="H1036" s="10" t="str">
        <f aca="false">IF(A1036="","",IF(G1036&gt;F1036,(B1036-F1036)/(G1036-F1036),0))</f>
        <v/>
      </c>
      <c r="I1036" s="10" t="str">
        <f aca="false">IF(A1036="","",IFERROR(INDEX(CV_RATES!$I:$I,MATCH(D1036,CV_RATES!$C:$C,0)),0))</f>
        <v/>
      </c>
      <c r="J1036" s="10" t="str">
        <f aca="false">IF(A1036="","",IFERROR(IF(E1036=MAX(MORTALITY!$A:$A),1000,INDEX(CV_RATES!$J:$J,MATCH(D1036,CV_RATES!$C:$C,0))),0))</f>
        <v/>
      </c>
      <c r="K1036" s="10" t="str">
        <f aca="false">IF(A1036="","",IFERROR(I1036+H1036*(J1036-I1036),0))</f>
        <v/>
      </c>
      <c r="L1036" s="10" t="str">
        <f aca="false">IF(A1036="","",IFERROR(K1036*Inputs!$B$9,0))</f>
        <v/>
      </c>
      <c r="M1036" s="10" t="str">
        <f aca="false">IF(A1036="","",IFERROR(K1036*Inputs!$B$10,0))</f>
        <v/>
      </c>
      <c r="N1036" s="10" t="str">
        <f aca="false">IF(A1036="","",Z1035)</f>
        <v/>
      </c>
      <c r="O1036" s="6" t="str">
        <f aca="false">IF(A1036="","",Inputs!$B$18+N1036)</f>
        <v/>
      </c>
      <c r="P1036" s="5" t="str">
        <f aca="false">IF(A1036="","",VLOOKUP(D1036,DIvidend_Assumption!$A$3:$CX$103,($E$2+2),0)/12)</f>
        <v/>
      </c>
      <c r="Q1036" s="10" t="str">
        <f aca="false">IF(A1036="","",IFERROR(AB1035*P1036,""))</f>
        <v/>
      </c>
      <c r="R1036" s="10" t="str">
        <f aca="false">IF(A1036="","",IFERROR(IF(Inputs!$B$22="Accumulate",T1036+Q1036,IF(Inputs!$B$22="Premium Offset",MAX(0,T1036+Q1036-Inputs!$B$25),T1036)),""))</f>
        <v/>
      </c>
      <c r="S1036" s="10" t="str">
        <f aca="false">IF(A1036="","",R1035)</f>
        <v/>
      </c>
      <c r="T1036" s="10" t="str">
        <f aca="false">IF(A1036="","",IFERROR(S1036*(1+Inputs!$B$23/12),""))</f>
        <v/>
      </c>
      <c r="U1036" s="6" t="str">
        <f aca="false">IF(A1036="","",IF(D1036&lt;=Inputs!$B$8,IF(Inputs!$B$22="Premium Offset",MAX(0,Inputs!$B$25-(Q1036+T1036)),Inputs!$B$25),0))</f>
        <v/>
      </c>
      <c r="V1036" s="10" t="str">
        <f aca="false">IF(A1036="","",IF(Inputs!$B$22="Cash",Q1036,0))</f>
        <v/>
      </c>
      <c r="W1036" s="10" t="str">
        <f aca="false">IF(A1036="","",IF(Inputs!$B$22="PUA",Q1036,0))</f>
        <v/>
      </c>
      <c r="X1036" s="12" t="str">
        <f aca="false">IF(A1036="","",IFERROR(INDEX(PUA_TABLE!$D$4:$D$105,MATCH(E1036,PUA_TABLE!$C$4:$C$105,1)),0))</f>
        <v/>
      </c>
      <c r="Y1036" s="10" t="str">
        <f aca="false">IF(A1036="","",IF(W1036&gt;0,IF(X1036&gt;0,W1036/X1036,0),0))</f>
        <v/>
      </c>
      <c r="Z1036" s="10" t="str">
        <f aca="false">IF(A1036="","",N1036+Y1036)</f>
        <v/>
      </c>
      <c r="AA1036" s="10" t="str">
        <f aca="false">IF(A1036="","",IFERROR(Z1036*INDEX(PUA_TABLE!$I$4:$I$105,MATCH(E1036,PUA_TABLE!$C$4:$C$105,1))/1000,0))</f>
        <v/>
      </c>
      <c r="AB1036" s="10" t="str">
        <f aca="false">IF(A1036="","",IFERROR(L1036+AA1036,0))</f>
        <v/>
      </c>
      <c r="AC1036" s="10" t="str">
        <f aca="false">IF(A1036="","",IF(Inputs!$B$22="Premium Offset",MIN(Inputs!$B$25,Q1036+T1036),0))</f>
        <v/>
      </c>
    </row>
    <row r="1037" customFormat="false" ht="15" hidden="false" customHeight="false" outlineLevel="0" collapsed="false">
      <c r="A1037" s="1" t="str">
        <f aca="false">IF(A1036="","",IF(INT((C1036+1)/12)+Inputs!$B$7&gt;MAX(MORTALITY!$A:$A),"",Inputs!$B$4))</f>
        <v/>
      </c>
      <c r="B1037" s="3" t="str">
        <f aca="false">IF(A1037="","",EOMONTH(B1036,1))</f>
        <v/>
      </c>
      <c r="C1037" s="1" t="str">
        <f aca="false">IF(A1037="","",C1036+1)</f>
        <v/>
      </c>
      <c r="D1037" s="1" t="str">
        <f aca="false">IF(A1037="","",INT(C1037/12))</f>
        <v/>
      </c>
      <c r="E1037" s="1" t="str">
        <f aca="false">IF(A1037="","",D1037+Inputs!$B$7)</f>
        <v/>
      </c>
      <c r="F1037" s="3" t="str">
        <f aca="false">IF(A1037="","",DATE(YEAR(B$2)+D1037,MONTH(B$2),DAY(B$2)))</f>
        <v/>
      </c>
      <c r="G1037" s="3" t="str">
        <f aca="false">IF(A1037="","",DATE(YEAR(F1037)+1,MONTH(F1037),DAY(F1037)))</f>
        <v/>
      </c>
      <c r="H1037" s="10" t="str">
        <f aca="false">IF(A1037="","",IF(G1037&gt;F1037,(B1037-F1037)/(G1037-F1037),0))</f>
        <v/>
      </c>
      <c r="I1037" s="10" t="str">
        <f aca="false">IF(A1037="","",IFERROR(INDEX(CV_RATES!$I:$I,MATCH(D1037,CV_RATES!$C:$C,0)),0))</f>
        <v/>
      </c>
      <c r="J1037" s="10" t="str">
        <f aca="false">IF(A1037="","",IFERROR(IF(E1037=MAX(MORTALITY!$A:$A),1000,INDEX(CV_RATES!$J:$J,MATCH(D1037,CV_RATES!$C:$C,0))),0))</f>
        <v/>
      </c>
      <c r="K1037" s="10" t="str">
        <f aca="false">IF(A1037="","",IFERROR(I1037+H1037*(J1037-I1037),0))</f>
        <v/>
      </c>
      <c r="L1037" s="10" t="str">
        <f aca="false">IF(A1037="","",IFERROR(K1037*Inputs!$B$9,0))</f>
        <v/>
      </c>
      <c r="M1037" s="10" t="str">
        <f aca="false">IF(A1037="","",IFERROR(K1037*Inputs!$B$10,0))</f>
        <v/>
      </c>
      <c r="N1037" s="10" t="str">
        <f aca="false">IF(A1037="","",Z1036)</f>
        <v/>
      </c>
      <c r="O1037" s="6" t="str">
        <f aca="false">IF(A1037="","",Inputs!$B$18+N1037)</f>
        <v/>
      </c>
      <c r="P1037" s="5" t="str">
        <f aca="false">IF(A1037="","",VLOOKUP(D1037,DIvidend_Assumption!$A$3:$CX$103,($E$2+2),0)/12)</f>
        <v/>
      </c>
      <c r="Q1037" s="10" t="str">
        <f aca="false">IF(A1037="","",IFERROR(AB1036*P1037,""))</f>
        <v/>
      </c>
      <c r="R1037" s="10" t="str">
        <f aca="false">IF(A1037="","",IFERROR(IF(Inputs!$B$22="Accumulate",T1037+Q1037,IF(Inputs!$B$22="Premium Offset",MAX(0,T1037+Q1037-Inputs!$B$25),T1037)),""))</f>
        <v/>
      </c>
      <c r="S1037" s="10" t="str">
        <f aca="false">IF(A1037="","",R1036)</f>
        <v/>
      </c>
      <c r="T1037" s="10" t="str">
        <f aca="false">IF(A1037="","",IFERROR(S1037*(1+Inputs!$B$23/12),""))</f>
        <v/>
      </c>
      <c r="U1037" s="6" t="str">
        <f aca="false">IF(A1037="","",IF(D1037&lt;=Inputs!$B$8,IF(Inputs!$B$22="Premium Offset",MAX(0,Inputs!$B$25-(Q1037+T1037)),Inputs!$B$25),0))</f>
        <v/>
      </c>
      <c r="V1037" s="10" t="str">
        <f aca="false">IF(A1037="","",IF(Inputs!$B$22="Cash",Q1037,0))</f>
        <v/>
      </c>
      <c r="W1037" s="10" t="str">
        <f aca="false">IF(A1037="","",IF(Inputs!$B$22="PUA",Q1037,0))</f>
        <v/>
      </c>
      <c r="X1037" s="12" t="str">
        <f aca="false">IF(A1037="","",IFERROR(INDEX(PUA_TABLE!$D$4:$D$105,MATCH(E1037,PUA_TABLE!$C$4:$C$105,1)),0))</f>
        <v/>
      </c>
      <c r="Y1037" s="10" t="str">
        <f aca="false">IF(A1037="","",IF(W1037&gt;0,IF(X1037&gt;0,W1037/X1037,0),0))</f>
        <v/>
      </c>
      <c r="Z1037" s="10" t="str">
        <f aca="false">IF(A1037="","",N1037+Y1037)</f>
        <v/>
      </c>
      <c r="AA1037" s="10" t="str">
        <f aca="false">IF(A1037="","",IFERROR(Z1037*INDEX(PUA_TABLE!$I$4:$I$105,MATCH(E1037,PUA_TABLE!$C$4:$C$105,1))/1000,0))</f>
        <v/>
      </c>
      <c r="AB1037" s="10" t="str">
        <f aca="false">IF(A1037="","",IFERROR(L1037+AA1037,0))</f>
        <v/>
      </c>
      <c r="AC1037" s="10" t="str">
        <f aca="false">IF(A1037="","",IF(Inputs!$B$22="Premium Offset",MIN(Inputs!$B$25,Q1037+T1037),0))</f>
        <v/>
      </c>
    </row>
    <row r="1038" customFormat="false" ht="15" hidden="false" customHeight="false" outlineLevel="0" collapsed="false">
      <c r="A1038" s="1" t="str">
        <f aca="false">IF(A1037="","",IF(INT((C1037+1)/12)+Inputs!$B$7&gt;MAX(MORTALITY!$A:$A),"",Inputs!$B$4))</f>
        <v/>
      </c>
      <c r="B1038" s="3" t="str">
        <f aca="false">IF(A1038="","",EOMONTH(B1037,1))</f>
        <v/>
      </c>
      <c r="C1038" s="1" t="str">
        <f aca="false">IF(A1038="","",C1037+1)</f>
        <v/>
      </c>
      <c r="D1038" s="1" t="str">
        <f aca="false">IF(A1038="","",INT(C1038/12))</f>
        <v/>
      </c>
      <c r="E1038" s="1" t="str">
        <f aca="false">IF(A1038="","",D1038+Inputs!$B$7)</f>
        <v/>
      </c>
      <c r="F1038" s="3" t="str">
        <f aca="false">IF(A1038="","",DATE(YEAR(B$2)+D1038,MONTH(B$2),DAY(B$2)))</f>
        <v/>
      </c>
      <c r="G1038" s="3" t="str">
        <f aca="false">IF(A1038="","",DATE(YEAR(F1038)+1,MONTH(F1038),DAY(F1038)))</f>
        <v/>
      </c>
      <c r="H1038" s="10" t="str">
        <f aca="false">IF(A1038="","",IF(G1038&gt;F1038,(B1038-F1038)/(G1038-F1038),0))</f>
        <v/>
      </c>
      <c r="I1038" s="10" t="str">
        <f aca="false">IF(A1038="","",IFERROR(INDEX(CV_RATES!$I:$I,MATCH(D1038,CV_RATES!$C:$C,0)),0))</f>
        <v/>
      </c>
      <c r="J1038" s="10" t="str">
        <f aca="false">IF(A1038="","",IFERROR(IF(E1038=MAX(MORTALITY!$A:$A),1000,INDEX(CV_RATES!$J:$J,MATCH(D1038,CV_RATES!$C:$C,0))),0))</f>
        <v/>
      </c>
      <c r="K1038" s="10" t="str">
        <f aca="false">IF(A1038="","",IFERROR(I1038+H1038*(J1038-I1038),0))</f>
        <v/>
      </c>
      <c r="L1038" s="10" t="str">
        <f aca="false">IF(A1038="","",IFERROR(K1038*Inputs!$B$9,0))</f>
        <v/>
      </c>
      <c r="M1038" s="10" t="str">
        <f aca="false">IF(A1038="","",IFERROR(K1038*Inputs!$B$10,0))</f>
        <v/>
      </c>
      <c r="N1038" s="10" t="str">
        <f aca="false">IF(A1038="","",Z1037)</f>
        <v/>
      </c>
      <c r="O1038" s="6" t="str">
        <f aca="false">IF(A1038="","",Inputs!$B$18+N1038)</f>
        <v/>
      </c>
      <c r="P1038" s="5" t="str">
        <f aca="false">IF(A1038="","",VLOOKUP(D1038,DIvidend_Assumption!$A$3:$CX$103,($E$2+2),0)/12)</f>
        <v/>
      </c>
      <c r="Q1038" s="10" t="str">
        <f aca="false">IF(A1038="","",IFERROR(AB1037*P1038,""))</f>
        <v/>
      </c>
      <c r="R1038" s="10" t="str">
        <f aca="false">IF(A1038="","",IFERROR(IF(Inputs!$B$22="Accumulate",T1038+Q1038,IF(Inputs!$B$22="Premium Offset",MAX(0,T1038+Q1038-Inputs!$B$25),T1038)),""))</f>
        <v/>
      </c>
      <c r="S1038" s="10" t="str">
        <f aca="false">IF(A1038="","",R1037)</f>
        <v/>
      </c>
      <c r="T1038" s="10" t="str">
        <f aca="false">IF(A1038="","",IFERROR(S1038*(1+Inputs!$B$23/12),""))</f>
        <v/>
      </c>
      <c r="U1038" s="6" t="str">
        <f aca="false">IF(A1038="","",IF(D1038&lt;=Inputs!$B$8,IF(Inputs!$B$22="Premium Offset",MAX(0,Inputs!$B$25-(Q1038+T1038)),Inputs!$B$25),0))</f>
        <v/>
      </c>
      <c r="V1038" s="10" t="str">
        <f aca="false">IF(A1038="","",IF(Inputs!$B$22="Cash",Q1038,0))</f>
        <v/>
      </c>
      <c r="W1038" s="10" t="str">
        <f aca="false">IF(A1038="","",IF(Inputs!$B$22="PUA",Q1038,0))</f>
        <v/>
      </c>
      <c r="X1038" s="12" t="str">
        <f aca="false">IF(A1038="","",IFERROR(INDEX(PUA_TABLE!$D$4:$D$105,MATCH(E1038,PUA_TABLE!$C$4:$C$105,1)),0))</f>
        <v/>
      </c>
      <c r="Y1038" s="10" t="str">
        <f aca="false">IF(A1038="","",IF(W1038&gt;0,IF(X1038&gt;0,W1038/X1038,0),0))</f>
        <v/>
      </c>
      <c r="Z1038" s="10" t="str">
        <f aca="false">IF(A1038="","",N1038+Y1038)</f>
        <v/>
      </c>
      <c r="AA1038" s="10" t="str">
        <f aca="false">IF(A1038="","",IFERROR(Z1038*INDEX(PUA_TABLE!$I$4:$I$105,MATCH(E1038,PUA_TABLE!$C$4:$C$105,1))/1000,0))</f>
        <v/>
      </c>
      <c r="AB1038" s="10" t="str">
        <f aca="false">IF(A1038="","",IFERROR(L1038+AA1038,0))</f>
        <v/>
      </c>
      <c r="AC1038" s="10" t="str">
        <f aca="false">IF(A1038="","",IF(Inputs!$B$22="Premium Offset",MIN(Inputs!$B$25,Q1038+T1038),0))</f>
        <v/>
      </c>
    </row>
    <row r="1039" customFormat="false" ht="15" hidden="false" customHeight="false" outlineLevel="0" collapsed="false">
      <c r="A1039" s="1" t="str">
        <f aca="false">IF(A1038="","",IF(INT((C1038+1)/12)+Inputs!$B$7&gt;MAX(MORTALITY!$A:$A),"",Inputs!$B$4))</f>
        <v/>
      </c>
      <c r="B1039" s="3" t="str">
        <f aca="false">IF(A1039="","",EOMONTH(B1038,1))</f>
        <v/>
      </c>
      <c r="C1039" s="1" t="str">
        <f aca="false">IF(A1039="","",C1038+1)</f>
        <v/>
      </c>
      <c r="D1039" s="1" t="str">
        <f aca="false">IF(A1039="","",INT(C1039/12))</f>
        <v/>
      </c>
      <c r="E1039" s="1" t="str">
        <f aca="false">IF(A1039="","",D1039+Inputs!$B$7)</f>
        <v/>
      </c>
      <c r="F1039" s="3" t="str">
        <f aca="false">IF(A1039="","",DATE(YEAR(B$2)+D1039,MONTH(B$2),DAY(B$2)))</f>
        <v/>
      </c>
      <c r="G1039" s="3" t="str">
        <f aca="false">IF(A1039="","",DATE(YEAR(F1039)+1,MONTH(F1039),DAY(F1039)))</f>
        <v/>
      </c>
      <c r="H1039" s="10" t="str">
        <f aca="false">IF(A1039="","",IF(G1039&gt;F1039,(B1039-F1039)/(G1039-F1039),0))</f>
        <v/>
      </c>
      <c r="I1039" s="10" t="str">
        <f aca="false">IF(A1039="","",IFERROR(INDEX(CV_RATES!$I:$I,MATCH(D1039,CV_RATES!$C:$C,0)),0))</f>
        <v/>
      </c>
      <c r="J1039" s="10" t="str">
        <f aca="false">IF(A1039="","",IFERROR(IF(E1039=MAX(MORTALITY!$A:$A),1000,INDEX(CV_RATES!$J:$J,MATCH(D1039,CV_RATES!$C:$C,0))),0))</f>
        <v/>
      </c>
      <c r="K1039" s="10" t="str">
        <f aca="false">IF(A1039="","",IFERROR(I1039+H1039*(J1039-I1039),0))</f>
        <v/>
      </c>
      <c r="L1039" s="10" t="str">
        <f aca="false">IF(A1039="","",IFERROR(K1039*Inputs!$B$9,0))</f>
        <v/>
      </c>
      <c r="M1039" s="10" t="str">
        <f aca="false">IF(A1039="","",IFERROR(K1039*Inputs!$B$10,0))</f>
        <v/>
      </c>
      <c r="N1039" s="10" t="str">
        <f aca="false">IF(A1039="","",Z1038)</f>
        <v/>
      </c>
      <c r="O1039" s="6" t="str">
        <f aca="false">IF(A1039="","",Inputs!$B$18+N1039)</f>
        <v/>
      </c>
      <c r="P1039" s="5" t="str">
        <f aca="false">IF(A1039="","",VLOOKUP(D1039,DIvidend_Assumption!$A$3:$CX$103,($E$2+2),0)/12)</f>
        <v/>
      </c>
      <c r="Q1039" s="10" t="str">
        <f aca="false">IF(A1039="","",IFERROR(AB1038*P1039,""))</f>
        <v/>
      </c>
      <c r="R1039" s="10" t="str">
        <f aca="false">IF(A1039="","",IFERROR(IF(Inputs!$B$22="Accumulate",T1039+Q1039,IF(Inputs!$B$22="Premium Offset",MAX(0,T1039+Q1039-Inputs!$B$25),T1039)),""))</f>
        <v/>
      </c>
      <c r="S1039" s="10" t="str">
        <f aca="false">IF(A1039="","",R1038)</f>
        <v/>
      </c>
      <c r="T1039" s="10" t="str">
        <f aca="false">IF(A1039="","",IFERROR(S1039*(1+Inputs!$B$23/12),""))</f>
        <v/>
      </c>
      <c r="U1039" s="6" t="str">
        <f aca="false">IF(A1039="","",IF(D1039&lt;=Inputs!$B$8,IF(Inputs!$B$22="Premium Offset",MAX(0,Inputs!$B$25-(Q1039+T1039)),Inputs!$B$25),0))</f>
        <v/>
      </c>
      <c r="V1039" s="10" t="str">
        <f aca="false">IF(A1039="","",IF(Inputs!$B$22="Cash",Q1039,0))</f>
        <v/>
      </c>
      <c r="W1039" s="10" t="str">
        <f aca="false">IF(A1039="","",IF(Inputs!$B$22="PUA",Q1039,0))</f>
        <v/>
      </c>
      <c r="X1039" s="12" t="str">
        <f aca="false">IF(A1039="","",IFERROR(INDEX(PUA_TABLE!$D$4:$D$105,MATCH(E1039,PUA_TABLE!$C$4:$C$105,1)),0))</f>
        <v/>
      </c>
      <c r="Y1039" s="10" t="str">
        <f aca="false">IF(A1039="","",IF(W1039&gt;0,IF(X1039&gt;0,W1039/X1039,0),0))</f>
        <v/>
      </c>
      <c r="Z1039" s="10" t="str">
        <f aca="false">IF(A1039="","",N1039+Y1039)</f>
        <v/>
      </c>
      <c r="AA1039" s="10" t="str">
        <f aca="false">IF(A1039="","",IFERROR(Z1039*INDEX(PUA_TABLE!$I$4:$I$105,MATCH(E1039,PUA_TABLE!$C$4:$C$105,1))/1000,0))</f>
        <v/>
      </c>
      <c r="AB1039" s="10" t="str">
        <f aca="false">IF(A1039="","",IFERROR(L1039+AA1039,0))</f>
        <v/>
      </c>
      <c r="AC1039" s="10" t="str">
        <f aca="false">IF(A1039="","",IF(Inputs!$B$22="Premium Offset",MIN(Inputs!$B$25,Q1039+T1039),0))</f>
        <v/>
      </c>
    </row>
    <row r="1040" customFormat="false" ht="15" hidden="false" customHeight="false" outlineLevel="0" collapsed="false">
      <c r="A1040" s="1" t="str">
        <f aca="false">IF(A1039="","",IF(INT((C1039+1)/12)+Inputs!$B$7&gt;MAX(MORTALITY!$A:$A),"",Inputs!$B$4))</f>
        <v/>
      </c>
      <c r="B1040" s="3" t="str">
        <f aca="false">IF(A1040="","",EOMONTH(B1039,1))</f>
        <v/>
      </c>
      <c r="C1040" s="1" t="str">
        <f aca="false">IF(A1040="","",C1039+1)</f>
        <v/>
      </c>
      <c r="D1040" s="1" t="str">
        <f aca="false">IF(A1040="","",INT(C1040/12))</f>
        <v/>
      </c>
      <c r="E1040" s="1" t="str">
        <f aca="false">IF(A1040="","",D1040+Inputs!$B$7)</f>
        <v/>
      </c>
      <c r="F1040" s="3" t="str">
        <f aca="false">IF(A1040="","",DATE(YEAR(B$2)+D1040,MONTH(B$2),DAY(B$2)))</f>
        <v/>
      </c>
      <c r="G1040" s="3" t="str">
        <f aca="false">IF(A1040="","",DATE(YEAR(F1040)+1,MONTH(F1040),DAY(F1040)))</f>
        <v/>
      </c>
      <c r="H1040" s="10" t="str">
        <f aca="false">IF(A1040="","",IF(G1040&gt;F1040,(B1040-F1040)/(G1040-F1040),0))</f>
        <v/>
      </c>
      <c r="I1040" s="10" t="str">
        <f aca="false">IF(A1040="","",IFERROR(INDEX(CV_RATES!$I:$I,MATCH(D1040,CV_RATES!$C:$C,0)),0))</f>
        <v/>
      </c>
      <c r="J1040" s="10" t="str">
        <f aca="false">IF(A1040="","",IFERROR(IF(E1040=MAX(MORTALITY!$A:$A),1000,INDEX(CV_RATES!$J:$J,MATCH(D1040,CV_RATES!$C:$C,0))),0))</f>
        <v/>
      </c>
      <c r="K1040" s="10" t="str">
        <f aca="false">IF(A1040="","",IFERROR(I1040+H1040*(J1040-I1040),0))</f>
        <v/>
      </c>
      <c r="L1040" s="10" t="str">
        <f aca="false">IF(A1040="","",IFERROR(K1040*Inputs!$B$9,0))</f>
        <v/>
      </c>
      <c r="M1040" s="10" t="str">
        <f aca="false">IF(A1040="","",IFERROR(K1040*Inputs!$B$10,0))</f>
        <v/>
      </c>
      <c r="N1040" s="10" t="str">
        <f aca="false">IF(A1040="","",Z1039)</f>
        <v/>
      </c>
      <c r="O1040" s="6" t="str">
        <f aca="false">IF(A1040="","",Inputs!$B$18+N1040)</f>
        <v/>
      </c>
      <c r="P1040" s="5" t="str">
        <f aca="false">IF(A1040="","",VLOOKUP(D1040,DIvidend_Assumption!$A$3:$CX$103,($E$2+2),0)/12)</f>
        <v/>
      </c>
      <c r="Q1040" s="10" t="str">
        <f aca="false">IF(A1040="","",IFERROR(AB1039*P1040,""))</f>
        <v/>
      </c>
      <c r="R1040" s="10" t="str">
        <f aca="false">IF(A1040="","",IFERROR(IF(Inputs!$B$22="Accumulate",T1040+Q1040,IF(Inputs!$B$22="Premium Offset",MAX(0,T1040+Q1040-Inputs!$B$25),T1040)),""))</f>
        <v/>
      </c>
      <c r="S1040" s="10" t="str">
        <f aca="false">IF(A1040="","",R1039)</f>
        <v/>
      </c>
      <c r="T1040" s="10" t="str">
        <f aca="false">IF(A1040="","",IFERROR(S1040*(1+Inputs!$B$23/12),""))</f>
        <v/>
      </c>
      <c r="U1040" s="6" t="str">
        <f aca="false">IF(A1040="","",IF(D1040&lt;=Inputs!$B$8,IF(Inputs!$B$22="Premium Offset",MAX(0,Inputs!$B$25-(Q1040+T1040)),Inputs!$B$25),0))</f>
        <v/>
      </c>
      <c r="V1040" s="10" t="str">
        <f aca="false">IF(A1040="","",IF(Inputs!$B$22="Cash",Q1040,0))</f>
        <v/>
      </c>
      <c r="W1040" s="10" t="str">
        <f aca="false">IF(A1040="","",IF(Inputs!$B$22="PUA",Q1040,0))</f>
        <v/>
      </c>
      <c r="X1040" s="12" t="str">
        <f aca="false">IF(A1040="","",IFERROR(INDEX(PUA_TABLE!$D$4:$D$105,MATCH(E1040,PUA_TABLE!$C$4:$C$105,1)),0))</f>
        <v/>
      </c>
      <c r="Y1040" s="10" t="str">
        <f aca="false">IF(A1040="","",IF(W1040&gt;0,IF(X1040&gt;0,W1040/X1040,0),0))</f>
        <v/>
      </c>
      <c r="Z1040" s="10" t="str">
        <f aca="false">IF(A1040="","",N1040+Y1040)</f>
        <v/>
      </c>
      <c r="AA1040" s="10" t="str">
        <f aca="false">IF(A1040="","",IFERROR(Z1040*INDEX(PUA_TABLE!$I$4:$I$105,MATCH(E1040,PUA_TABLE!$C$4:$C$105,1))/1000,0))</f>
        <v/>
      </c>
      <c r="AB1040" s="10" t="str">
        <f aca="false">IF(A1040="","",IFERROR(L1040+AA1040,0))</f>
        <v/>
      </c>
      <c r="AC1040" s="10" t="str">
        <f aca="false">IF(A1040="","",IF(Inputs!$B$22="Premium Offset",MIN(Inputs!$B$25,Q1040+T1040),0))</f>
        <v/>
      </c>
    </row>
    <row r="1041" customFormat="false" ht="15" hidden="false" customHeight="false" outlineLevel="0" collapsed="false">
      <c r="A1041" s="1" t="str">
        <f aca="false">IF(A1040="","",IF(INT((C1040+1)/12)+Inputs!$B$7&gt;MAX(MORTALITY!$A:$A),"",Inputs!$B$4))</f>
        <v/>
      </c>
      <c r="B1041" s="3" t="str">
        <f aca="false">IF(A1041="","",EOMONTH(B1040,1))</f>
        <v/>
      </c>
      <c r="C1041" s="1" t="str">
        <f aca="false">IF(A1041="","",C1040+1)</f>
        <v/>
      </c>
      <c r="D1041" s="1" t="str">
        <f aca="false">IF(A1041="","",INT(C1041/12))</f>
        <v/>
      </c>
      <c r="E1041" s="1" t="str">
        <f aca="false">IF(A1041="","",D1041+Inputs!$B$7)</f>
        <v/>
      </c>
      <c r="F1041" s="3" t="str">
        <f aca="false">IF(A1041="","",DATE(YEAR(B$2)+D1041,MONTH(B$2),DAY(B$2)))</f>
        <v/>
      </c>
      <c r="G1041" s="3" t="str">
        <f aca="false">IF(A1041="","",DATE(YEAR(F1041)+1,MONTH(F1041),DAY(F1041)))</f>
        <v/>
      </c>
      <c r="H1041" s="10" t="str">
        <f aca="false">IF(A1041="","",IF(G1041&gt;F1041,(B1041-F1041)/(G1041-F1041),0))</f>
        <v/>
      </c>
      <c r="I1041" s="10" t="str">
        <f aca="false">IF(A1041="","",IFERROR(INDEX(CV_RATES!$I:$I,MATCH(D1041,CV_RATES!$C:$C,0)),0))</f>
        <v/>
      </c>
      <c r="J1041" s="10" t="str">
        <f aca="false">IF(A1041="","",IFERROR(IF(E1041=MAX(MORTALITY!$A:$A),1000,INDEX(CV_RATES!$J:$J,MATCH(D1041,CV_RATES!$C:$C,0))),0))</f>
        <v/>
      </c>
      <c r="K1041" s="10" t="str">
        <f aca="false">IF(A1041="","",IFERROR(I1041+H1041*(J1041-I1041),0))</f>
        <v/>
      </c>
      <c r="L1041" s="10" t="str">
        <f aca="false">IF(A1041="","",IFERROR(K1041*Inputs!$B$9,0))</f>
        <v/>
      </c>
      <c r="M1041" s="10" t="str">
        <f aca="false">IF(A1041="","",IFERROR(K1041*Inputs!$B$10,0))</f>
        <v/>
      </c>
      <c r="N1041" s="10" t="str">
        <f aca="false">IF(A1041="","",Z1040)</f>
        <v/>
      </c>
      <c r="O1041" s="6" t="str">
        <f aca="false">IF(A1041="","",Inputs!$B$18+N1041)</f>
        <v/>
      </c>
      <c r="P1041" s="5" t="str">
        <f aca="false">IF(A1041="","",VLOOKUP(D1041,DIvidend_Assumption!$A$3:$CX$103,($E$2+2),0)/12)</f>
        <v/>
      </c>
      <c r="Q1041" s="10" t="str">
        <f aca="false">IF(A1041="","",IFERROR(AB1040*P1041,""))</f>
        <v/>
      </c>
      <c r="R1041" s="10" t="str">
        <f aca="false">IF(A1041="","",IFERROR(IF(Inputs!$B$22="Accumulate",T1041+Q1041,IF(Inputs!$B$22="Premium Offset",MAX(0,T1041+Q1041-Inputs!$B$25),T1041)),""))</f>
        <v/>
      </c>
      <c r="S1041" s="10" t="str">
        <f aca="false">IF(A1041="","",R1040)</f>
        <v/>
      </c>
      <c r="T1041" s="10" t="str">
        <f aca="false">IF(A1041="","",IFERROR(S1041*(1+Inputs!$B$23/12),""))</f>
        <v/>
      </c>
      <c r="U1041" s="6" t="str">
        <f aca="false">IF(A1041="","",IF(D1041&lt;=Inputs!$B$8,IF(Inputs!$B$22="Premium Offset",MAX(0,Inputs!$B$25-(Q1041+T1041)),Inputs!$B$25),0))</f>
        <v/>
      </c>
      <c r="V1041" s="10" t="str">
        <f aca="false">IF(A1041="","",IF(Inputs!$B$22="Cash",Q1041,0))</f>
        <v/>
      </c>
      <c r="W1041" s="10" t="str">
        <f aca="false">IF(A1041="","",IF(Inputs!$B$22="PUA",Q1041,0))</f>
        <v/>
      </c>
      <c r="X1041" s="12" t="str">
        <f aca="false">IF(A1041="","",IFERROR(INDEX(PUA_TABLE!$D$4:$D$105,MATCH(E1041,PUA_TABLE!$C$4:$C$105,1)),0))</f>
        <v/>
      </c>
      <c r="Y1041" s="10" t="str">
        <f aca="false">IF(A1041="","",IF(W1041&gt;0,IF(X1041&gt;0,W1041/X1041,0),0))</f>
        <v/>
      </c>
      <c r="Z1041" s="10" t="str">
        <f aca="false">IF(A1041="","",N1041+Y1041)</f>
        <v/>
      </c>
      <c r="AA1041" s="10" t="str">
        <f aca="false">IF(A1041="","",IFERROR(Z1041*INDEX(PUA_TABLE!$I$4:$I$105,MATCH(E1041,PUA_TABLE!$C$4:$C$105,1))/1000,0))</f>
        <v/>
      </c>
      <c r="AB1041" s="10" t="str">
        <f aca="false">IF(A1041="","",IFERROR(L1041+AA1041,0))</f>
        <v/>
      </c>
      <c r="AC1041" s="10" t="str">
        <f aca="false">IF(A1041="","",IF(Inputs!$B$22="Premium Offset",MIN(Inputs!$B$25,Q1041+T1041),0))</f>
        <v/>
      </c>
    </row>
    <row r="1042" customFormat="false" ht="15" hidden="false" customHeight="false" outlineLevel="0" collapsed="false">
      <c r="A1042" s="1" t="str">
        <f aca="false">IF(A1041="","",IF(INT((C1041+1)/12)+Inputs!$B$7&gt;MAX(MORTALITY!$A:$A),"",Inputs!$B$4))</f>
        <v/>
      </c>
      <c r="B1042" s="3" t="str">
        <f aca="false">IF(A1042="","",EOMONTH(B1041,1))</f>
        <v/>
      </c>
      <c r="C1042" s="1" t="str">
        <f aca="false">IF(A1042="","",C1041+1)</f>
        <v/>
      </c>
      <c r="D1042" s="1" t="str">
        <f aca="false">IF(A1042="","",INT(C1042/12))</f>
        <v/>
      </c>
      <c r="E1042" s="1" t="str">
        <f aca="false">IF(A1042="","",D1042+Inputs!$B$7)</f>
        <v/>
      </c>
      <c r="F1042" s="3" t="str">
        <f aca="false">IF(A1042="","",DATE(YEAR(B$2)+D1042,MONTH(B$2),DAY(B$2)))</f>
        <v/>
      </c>
      <c r="G1042" s="3" t="str">
        <f aca="false">IF(A1042="","",DATE(YEAR(F1042)+1,MONTH(F1042),DAY(F1042)))</f>
        <v/>
      </c>
      <c r="H1042" s="10" t="str">
        <f aca="false">IF(A1042="","",IF(G1042&gt;F1042,(B1042-F1042)/(G1042-F1042),0))</f>
        <v/>
      </c>
      <c r="I1042" s="10" t="str">
        <f aca="false">IF(A1042="","",IFERROR(INDEX(CV_RATES!$I:$I,MATCH(D1042,CV_RATES!$C:$C,0)),0))</f>
        <v/>
      </c>
      <c r="J1042" s="10" t="str">
        <f aca="false">IF(A1042="","",IFERROR(IF(E1042=MAX(MORTALITY!$A:$A),1000,INDEX(CV_RATES!$J:$J,MATCH(D1042,CV_RATES!$C:$C,0))),0))</f>
        <v/>
      </c>
      <c r="K1042" s="10" t="str">
        <f aca="false">IF(A1042="","",IFERROR(I1042+H1042*(J1042-I1042),0))</f>
        <v/>
      </c>
      <c r="L1042" s="10" t="str">
        <f aca="false">IF(A1042="","",IFERROR(K1042*Inputs!$B$9,0))</f>
        <v/>
      </c>
      <c r="M1042" s="10" t="str">
        <f aca="false">IF(A1042="","",IFERROR(K1042*Inputs!$B$10,0))</f>
        <v/>
      </c>
      <c r="N1042" s="10" t="str">
        <f aca="false">IF(A1042="","",Z1041)</f>
        <v/>
      </c>
      <c r="O1042" s="6" t="str">
        <f aca="false">IF(A1042="","",Inputs!$B$18+N1042)</f>
        <v/>
      </c>
      <c r="P1042" s="5" t="str">
        <f aca="false">IF(A1042="","",VLOOKUP(D1042,DIvidend_Assumption!$A$3:$CX$103,($E$2+2),0)/12)</f>
        <v/>
      </c>
      <c r="Q1042" s="10" t="str">
        <f aca="false">IF(A1042="","",IFERROR(AB1041*P1042,""))</f>
        <v/>
      </c>
      <c r="R1042" s="10" t="str">
        <f aca="false">IF(A1042="","",IFERROR(IF(Inputs!$B$22="Accumulate",T1042+Q1042,IF(Inputs!$B$22="Premium Offset",MAX(0,T1042+Q1042-Inputs!$B$25),T1042)),""))</f>
        <v/>
      </c>
      <c r="S1042" s="10" t="str">
        <f aca="false">IF(A1042="","",R1041)</f>
        <v/>
      </c>
      <c r="T1042" s="10" t="str">
        <f aca="false">IF(A1042="","",IFERROR(S1042*(1+Inputs!$B$23/12),""))</f>
        <v/>
      </c>
      <c r="U1042" s="6" t="str">
        <f aca="false">IF(A1042="","",IF(D1042&lt;=Inputs!$B$8,IF(Inputs!$B$22="Premium Offset",MAX(0,Inputs!$B$25-(Q1042+T1042)),Inputs!$B$25),0))</f>
        <v/>
      </c>
      <c r="V1042" s="10" t="str">
        <f aca="false">IF(A1042="","",IF(Inputs!$B$22="Cash",Q1042,0))</f>
        <v/>
      </c>
      <c r="W1042" s="10" t="str">
        <f aca="false">IF(A1042="","",IF(Inputs!$B$22="PUA",Q1042,0))</f>
        <v/>
      </c>
      <c r="X1042" s="12" t="str">
        <f aca="false">IF(A1042="","",IFERROR(INDEX(PUA_TABLE!$D$4:$D$105,MATCH(E1042,PUA_TABLE!$C$4:$C$105,1)),0))</f>
        <v/>
      </c>
      <c r="Y1042" s="10" t="str">
        <f aca="false">IF(A1042="","",IF(W1042&gt;0,IF(X1042&gt;0,W1042/X1042,0),0))</f>
        <v/>
      </c>
      <c r="Z1042" s="10" t="str">
        <f aca="false">IF(A1042="","",N1042+Y1042)</f>
        <v/>
      </c>
      <c r="AA1042" s="10" t="str">
        <f aca="false">IF(A1042="","",IFERROR(Z1042*INDEX(PUA_TABLE!$I$4:$I$105,MATCH(E1042,PUA_TABLE!$C$4:$C$105,1))/1000,0))</f>
        <v/>
      </c>
      <c r="AB1042" s="10" t="str">
        <f aca="false">IF(A1042="","",IFERROR(L1042+AA1042,0))</f>
        <v/>
      </c>
      <c r="AC1042" s="10" t="str">
        <f aca="false">IF(A1042="","",IF(Inputs!$B$22="Premium Offset",MIN(Inputs!$B$25,Q1042+T1042),0))</f>
        <v/>
      </c>
    </row>
    <row r="1043" customFormat="false" ht="15" hidden="false" customHeight="false" outlineLevel="0" collapsed="false">
      <c r="A1043" s="1" t="str">
        <f aca="false">IF(A1042="","",IF(INT((C1042+1)/12)+Inputs!$B$7&gt;MAX(MORTALITY!$A:$A),"",Inputs!$B$4))</f>
        <v/>
      </c>
      <c r="B1043" s="3" t="str">
        <f aca="false">IF(A1043="","",EOMONTH(B1042,1))</f>
        <v/>
      </c>
      <c r="C1043" s="1" t="str">
        <f aca="false">IF(A1043="","",C1042+1)</f>
        <v/>
      </c>
      <c r="D1043" s="1" t="str">
        <f aca="false">IF(A1043="","",INT(C1043/12))</f>
        <v/>
      </c>
      <c r="E1043" s="1" t="str">
        <f aca="false">IF(A1043="","",D1043+Inputs!$B$7)</f>
        <v/>
      </c>
      <c r="F1043" s="3" t="str">
        <f aca="false">IF(A1043="","",DATE(YEAR(B$2)+D1043,MONTH(B$2),DAY(B$2)))</f>
        <v/>
      </c>
      <c r="G1043" s="3" t="str">
        <f aca="false">IF(A1043="","",DATE(YEAR(F1043)+1,MONTH(F1043),DAY(F1043)))</f>
        <v/>
      </c>
      <c r="H1043" s="10" t="str">
        <f aca="false">IF(A1043="","",IF(G1043&gt;F1043,(B1043-F1043)/(G1043-F1043),0))</f>
        <v/>
      </c>
      <c r="I1043" s="10" t="str">
        <f aca="false">IF(A1043="","",IFERROR(INDEX(CV_RATES!$I:$I,MATCH(D1043,CV_RATES!$C:$C,0)),0))</f>
        <v/>
      </c>
      <c r="J1043" s="10" t="str">
        <f aca="false">IF(A1043="","",IFERROR(IF(E1043=MAX(MORTALITY!$A:$A),1000,INDEX(CV_RATES!$J:$J,MATCH(D1043,CV_RATES!$C:$C,0))),0))</f>
        <v/>
      </c>
      <c r="K1043" s="10" t="str">
        <f aca="false">IF(A1043="","",IFERROR(I1043+H1043*(J1043-I1043),0))</f>
        <v/>
      </c>
      <c r="L1043" s="10" t="str">
        <f aca="false">IF(A1043="","",IFERROR(K1043*Inputs!$B$9,0))</f>
        <v/>
      </c>
      <c r="M1043" s="10" t="str">
        <f aca="false">IF(A1043="","",IFERROR(K1043*Inputs!$B$10,0))</f>
        <v/>
      </c>
      <c r="N1043" s="10" t="str">
        <f aca="false">IF(A1043="","",Z1042)</f>
        <v/>
      </c>
      <c r="O1043" s="6" t="str">
        <f aca="false">IF(A1043="","",Inputs!$B$18+N1043)</f>
        <v/>
      </c>
      <c r="P1043" s="5" t="str">
        <f aca="false">IF(A1043="","",VLOOKUP(D1043,DIvidend_Assumption!$A$3:$CX$103,($E$2+2),0)/12)</f>
        <v/>
      </c>
      <c r="Q1043" s="10" t="str">
        <f aca="false">IF(A1043="","",IFERROR(AB1042*P1043,""))</f>
        <v/>
      </c>
      <c r="R1043" s="10" t="str">
        <f aca="false">IF(A1043="","",IFERROR(IF(Inputs!$B$22="Accumulate",T1043+Q1043,IF(Inputs!$B$22="Premium Offset",MAX(0,T1043+Q1043-Inputs!$B$25),T1043)),""))</f>
        <v/>
      </c>
      <c r="S1043" s="10" t="str">
        <f aca="false">IF(A1043="","",R1042)</f>
        <v/>
      </c>
      <c r="T1043" s="10" t="str">
        <f aca="false">IF(A1043="","",IFERROR(S1043*(1+Inputs!$B$23/12),""))</f>
        <v/>
      </c>
      <c r="U1043" s="6" t="str">
        <f aca="false">IF(A1043="","",IF(D1043&lt;=Inputs!$B$8,IF(Inputs!$B$22="Premium Offset",MAX(0,Inputs!$B$25-(Q1043+T1043)),Inputs!$B$25),0))</f>
        <v/>
      </c>
      <c r="V1043" s="10" t="str">
        <f aca="false">IF(A1043="","",IF(Inputs!$B$22="Cash",Q1043,0))</f>
        <v/>
      </c>
      <c r="W1043" s="10" t="str">
        <f aca="false">IF(A1043="","",IF(Inputs!$B$22="PUA",Q1043,0))</f>
        <v/>
      </c>
      <c r="X1043" s="12" t="str">
        <f aca="false">IF(A1043="","",IFERROR(INDEX(PUA_TABLE!$D$4:$D$105,MATCH(E1043,PUA_TABLE!$C$4:$C$105,1)),0))</f>
        <v/>
      </c>
      <c r="Y1043" s="10" t="str">
        <f aca="false">IF(A1043="","",IF(W1043&gt;0,IF(X1043&gt;0,W1043/X1043,0),0))</f>
        <v/>
      </c>
      <c r="Z1043" s="10" t="str">
        <f aca="false">IF(A1043="","",N1043+Y1043)</f>
        <v/>
      </c>
      <c r="AA1043" s="10" t="str">
        <f aca="false">IF(A1043="","",IFERROR(Z1043*INDEX(PUA_TABLE!$I$4:$I$105,MATCH(E1043,PUA_TABLE!$C$4:$C$105,1))/1000,0))</f>
        <v/>
      </c>
      <c r="AB1043" s="10" t="str">
        <f aca="false">IF(A1043="","",IFERROR(L1043+AA1043,0))</f>
        <v/>
      </c>
      <c r="AC1043" s="10" t="str">
        <f aca="false">IF(A1043="","",IF(Inputs!$B$22="Premium Offset",MIN(Inputs!$B$25,Q1043+T1043),0))</f>
        <v/>
      </c>
    </row>
    <row r="1044" customFormat="false" ht="15" hidden="false" customHeight="false" outlineLevel="0" collapsed="false">
      <c r="A1044" s="1" t="str">
        <f aca="false">IF(A1043="","",IF(INT((C1043+1)/12)+Inputs!$B$7&gt;MAX(MORTALITY!$A:$A),"",Inputs!$B$4))</f>
        <v/>
      </c>
      <c r="B1044" s="3" t="str">
        <f aca="false">IF(A1044="","",EOMONTH(B1043,1))</f>
        <v/>
      </c>
      <c r="C1044" s="1" t="str">
        <f aca="false">IF(A1044="","",C1043+1)</f>
        <v/>
      </c>
      <c r="D1044" s="1" t="str">
        <f aca="false">IF(A1044="","",INT(C1044/12))</f>
        <v/>
      </c>
      <c r="E1044" s="1" t="str">
        <f aca="false">IF(A1044="","",D1044+Inputs!$B$7)</f>
        <v/>
      </c>
      <c r="F1044" s="3" t="str">
        <f aca="false">IF(A1044="","",DATE(YEAR(B$2)+D1044,MONTH(B$2),DAY(B$2)))</f>
        <v/>
      </c>
      <c r="G1044" s="3" t="str">
        <f aca="false">IF(A1044="","",DATE(YEAR(F1044)+1,MONTH(F1044),DAY(F1044)))</f>
        <v/>
      </c>
      <c r="H1044" s="10" t="str">
        <f aca="false">IF(A1044="","",IF(G1044&gt;F1044,(B1044-F1044)/(G1044-F1044),0))</f>
        <v/>
      </c>
      <c r="I1044" s="10" t="str">
        <f aca="false">IF(A1044="","",IFERROR(INDEX(CV_RATES!$I:$I,MATCH(D1044,CV_RATES!$C:$C,0)),0))</f>
        <v/>
      </c>
      <c r="J1044" s="10" t="str">
        <f aca="false">IF(A1044="","",IFERROR(IF(E1044=MAX(MORTALITY!$A:$A),1000,INDEX(CV_RATES!$J:$J,MATCH(D1044,CV_RATES!$C:$C,0))),0))</f>
        <v/>
      </c>
      <c r="K1044" s="10" t="str">
        <f aca="false">IF(A1044="","",IFERROR(I1044+H1044*(J1044-I1044),0))</f>
        <v/>
      </c>
      <c r="L1044" s="10" t="str">
        <f aca="false">IF(A1044="","",IFERROR(K1044*Inputs!$B$9,0))</f>
        <v/>
      </c>
      <c r="M1044" s="10" t="str">
        <f aca="false">IF(A1044="","",IFERROR(K1044*Inputs!$B$10,0))</f>
        <v/>
      </c>
      <c r="N1044" s="10" t="str">
        <f aca="false">IF(A1044="","",Z1043)</f>
        <v/>
      </c>
      <c r="O1044" s="6" t="str">
        <f aca="false">IF(A1044="","",Inputs!$B$18+N1044)</f>
        <v/>
      </c>
      <c r="P1044" s="5" t="str">
        <f aca="false">IF(A1044="","",VLOOKUP(D1044,DIvidend_Assumption!$A$3:$CX$103,($E$2+2),0)/12)</f>
        <v/>
      </c>
      <c r="Q1044" s="10" t="str">
        <f aca="false">IF(A1044="","",IFERROR(AB1043*P1044,""))</f>
        <v/>
      </c>
      <c r="R1044" s="10" t="str">
        <f aca="false">IF(A1044="","",IFERROR(IF(Inputs!$B$22="Accumulate",T1044+Q1044,IF(Inputs!$B$22="Premium Offset",MAX(0,T1044+Q1044-Inputs!$B$25),T1044)),""))</f>
        <v/>
      </c>
      <c r="S1044" s="10" t="str">
        <f aca="false">IF(A1044="","",R1043)</f>
        <v/>
      </c>
      <c r="T1044" s="10" t="str">
        <f aca="false">IF(A1044="","",IFERROR(S1044*(1+Inputs!$B$23/12),""))</f>
        <v/>
      </c>
      <c r="U1044" s="6" t="str">
        <f aca="false">IF(A1044="","",IF(D1044&lt;=Inputs!$B$8,IF(Inputs!$B$22="Premium Offset",MAX(0,Inputs!$B$25-(Q1044+T1044)),Inputs!$B$25),0))</f>
        <v/>
      </c>
      <c r="V1044" s="10" t="str">
        <f aca="false">IF(A1044="","",IF(Inputs!$B$22="Cash",Q1044,0))</f>
        <v/>
      </c>
      <c r="W1044" s="10" t="str">
        <f aca="false">IF(A1044="","",IF(Inputs!$B$22="PUA",Q1044,0))</f>
        <v/>
      </c>
      <c r="X1044" s="12" t="str">
        <f aca="false">IF(A1044="","",IFERROR(INDEX(PUA_TABLE!$D$4:$D$105,MATCH(E1044,PUA_TABLE!$C$4:$C$105,1)),0))</f>
        <v/>
      </c>
      <c r="Y1044" s="10" t="str">
        <f aca="false">IF(A1044="","",IF(W1044&gt;0,IF(X1044&gt;0,W1044/X1044,0),0))</f>
        <v/>
      </c>
      <c r="Z1044" s="10" t="str">
        <f aca="false">IF(A1044="","",N1044+Y1044)</f>
        <v/>
      </c>
      <c r="AA1044" s="10" t="str">
        <f aca="false">IF(A1044="","",IFERROR(Z1044*INDEX(PUA_TABLE!$I$4:$I$105,MATCH(E1044,PUA_TABLE!$C$4:$C$105,1))/1000,0))</f>
        <v/>
      </c>
      <c r="AB1044" s="10" t="str">
        <f aca="false">IF(A1044="","",IFERROR(L1044+AA1044,0))</f>
        <v/>
      </c>
      <c r="AC1044" s="10" t="str">
        <f aca="false">IF(A1044="","",IF(Inputs!$B$22="Premium Offset",MIN(Inputs!$B$25,Q1044+T1044),0))</f>
        <v/>
      </c>
    </row>
    <row r="1045" customFormat="false" ht="15" hidden="false" customHeight="false" outlineLevel="0" collapsed="false">
      <c r="A1045" s="1" t="str">
        <f aca="false">IF(A1044="","",IF(INT((C1044+1)/12)+Inputs!$B$7&gt;MAX(MORTALITY!$A:$A),"",Inputs!$B$4))</f>
        <v/>
      </c>
      <c r="B1045" s="3" t="str">
        <f aca="false">IF(A1045="","",EOMONTH(B1044,1))</f>
        <v/>
      </c>
      <c r="C1045" s="1" t="str">
        <f aca="false">IF(A1045="","",C1044+1)</f>
        <v/>
      </c>
      <c r="D1045" s="1" t="str">
        <f aca="false">IF(A1045="","",INT(C1045/12))</f>
        <v/>
      </c>
      <c r="E1045" s="1" t="str">
        <f aca="false">IF(A1045="","",D1045+Inputs!$B$7)</f>
        <v/>
      </c>
      <c r="F1045" s="3" t="str">
        <f aca="false">IF(A1045="","",DATE(YEAR(B$2)+D1045,MONTH(B$2),DAY(B$2)))</f>
        <v/>
      </c>
      <c r="G1045" s="3" t="str">
        <f aca="false">IF(A1045="","",DATE(YEAR(F1045)+1,MONTH(F1045),DAY(F1045)))</f>
        <v/>
      </c>
      <c r="H1045" s="10" t="str">
        <f aca="false">IF(A1045="","",IF(G1045&gt;F1045,(B1045-F1045)/(G1045-F1045),0))</f>
        <v/>
      </c>
      <c r="I1045" s="10" t="str">
        <f aca="false">IF(A1045="","",IFERROR(INDEX(CV_RATES!$I:$I,MATCH(D1045,CV_RATES!$C:$C,0)),0))</f>
        <v/>
      </c>
      <c r="J1045" s="10" t="str">
        <f aca="false">IF(A1045="","",IFERROR(IF(E1045=MAX(MORTALITY!$A:$A),1000,INDEX(CV_RATES!$J:$J,MATCH(D1045,CV_RATES!$C:$C,0))),0))</f>
        <v/>
      </c>
      <c r="K1045" s="10" t="str">
        <f aca="false">IF(A1045="","",IFERROR(I1045+H1045*(J1045-I1045),0))</f>
        <v/>
      </c>
      <c r="L1045" s="10" t="str">
        <f aca="false">IF(A1045="","",IFERROR(K1045*Inputs!$B$9,0))</f>
        <v/>
      </c>
      <c r="M1045" s="10" t="str">
        <f aca="false">IF(A1045="","",IFERROR(K1045*Inputs!$B$10,0))</f>
        <v/>
      </c>
      <c r="N1045" s="10" t="str">
        <f aca="false">IF(A1045="","",Z1044)</f>
        <v/>
      </c>
      <c r="O1045" s="6" t="str">
        <f aca="false">IF(A1045="","",Inputs!$B$18+N1045)</f>
        <v/>
      </c>
      <c r="P1045" s="5" t="str">
        <f aca="false">IF(A1045="","",VLOOKUP(D1045,DIvidend_Assumption!$A$3:$CX$103,($E$2+2),0)/12)</f>
        <v/>
      </c>
      <c r="Q1045" s="10" t="str">
        <f aca="false">IF(A1045="","",IFERROR(AB1044*P1045,""))</f>
        <v/>
      </c>
      <c r="R1045" s="10" t="str">
        <f aca="false">IF(A1045="","",IFERROR(IF(Inputs!$B$22="Accumulate",T1045+Q1045,IF(Inputs!$B$22="Premium Offset",MAX(0,T1045+Q1045-Inputs!$B$25),T1045)),""))</f>
        <v/>
      </c>
      <c r="S1045" s="10" t="str">
        <f aca="false">IF(A1045="","",R1044)</f>
        <v/>
      </c>
      <c r="T1045" s="10" t="str">
        <f aca="false">IF(A1045="","",IFERROR(S1045*(1+Inputs!$B$23/12),""))</f>
        <v/>
      </c>
      <c r="U1045" s="6" t="str">
        <f aca="false">IF(A1045="","",IF(D1045&lt;=Inputs!$B$8,IF(Inputs!$B$22="Premium Offset",MAX(0,Inputs!$B$25-(Q1045+T1045)),Inputs!$B$25),0))</f>
        <v/>
      </c>
      <c r="V1045" s="10" t="str">
        <f aca="false">IF(A1045="","",IF(Inputs!$B$22="Cash",Q1045,0))</f>
        <v/>
      </c>
      <c r="W1045" s="10" t="str">
        <f aca="false">IF(A1045="","",IF(Inputs!$B$22="PUA",Q1045,0))</f>
        <v/>
      </c>
      <c r="X1045" s="12" t="str">
        <f aca="false">IF(A1045="","",IFERROR(INDEX(PUA_TABLE!$D$4:$D$105,MATCH(E1045,PUA_TABLE!$C$4:$C$105,1)),0))</f>
        <v/>
      </c>
      <c r="Y1045" s="10" t="str">
        <f aca="false">IF(A1045="","",IF(W1045&gt;0,IF(X1045&gt;0,W1045/X1045,0),0))</f>
        <v/>
      </c>
      <c r="Z1045" s="10" t="str">
        <f aca="false">IF(A1045="","",N1045+Y1045)</f>
        <v/>
      </c>
      <c r="AA1045" s="10" t="str">
        <f aca="false">IF(A1045="","",IFERROR(Z1045*INDEX(PUA_TABLE!$I$4:$I$105,MATCH(E1045,PUA_TABLE!$C$4:$C$105,1))/1000,0))</f>
        <v/>
      </c>
      <c r="AB1045" s="10" t="str">
        <f aca="false">IF(A1045="","",IFERROR(L1045+AA1045,0))</f>
        <v/>
      </c>
      <c r="AC1045" s="10" t="str">
        <f aca="false">IF(A1045="","",IF(Inputs!$B$22="Premium Offset",MIN(Inputs!$B$25,Q1045+T1045),0))</f>
        <v/>
      </c>
    </row>
    <row r="1046" customFormat="false" ht="15" hidden="false" customHeight="false" outlineLevel="0" collapsed="false">
      <c r="A1046" s="1" t="str">
        <f aca="false">IF(A1045="","",IF(INT((C1045+1)/12)+Inputs!$B$7&gt;MAX(MORTALITY!$A:$A),"",Inputs!$B$4))</f>
        <v/>
      </c>
      <c r="B1046" s="3" t="str">
        <f aca="false">IF(A1046="","",EOMONTH(B1045,1))</f>
        <v/>
      </c>
      <c r="C1046" s="1" t="str">
        <f aca="false">IF(A1046="","",C1045+1)</f>
        <v/>
      </c>
      <c r="D1046" s="1" t="str">
        <f aca="false">IF(A1046="","",INT(C1046/12))</f>
        <v/>
      </c>
      <c r="E1046" s="1" t="str">
        <f aca="false">IF(A1046="","",D1046+Inputs!$B$7)</f>
        <v/>
      </c>
      <c r="F1046" s="3" t="str">
        <f aca="false">IF(A1046="","",DATE(YEAR(B$2)+D1046,MONTH(B$2),DAY(B$2)))</f>
        <v/>
      </c>
      <c r="G1046" s="3" t="str">
        <f aca="false">IF(A1046="","",DATE(YEAR(F1046)+1,MONTH(F1046),DAY(F1046)))</f>
        <v/>
      </c>
      <c r="H1046" s="10" t="str">
        <f aca="false">IF(A1046="","",IF(G1046&gt;F1046,(B1046-F1046)/(G1046-F1046),0))</f>
        <v/>
      </c>
      <c r="I1046" s="10" t="str">
        <f aca="false">IF(A1046="","",IFERROR(INDEX(CV_RATES!$I:$I,MATCH(D1046,CV_RATES!$C:$C,0)),0))</f>
        <v/>
      </c>
      <c r="J1046" s="10" t="str">
        <f aca="false">IF(A1046="","",IFERROR(IF(E1046=MAX(MORTALITY!$A:$A),1000,INDEX(CV_RATES!$J:$J,MATCH(D1046,CV_RATES!$C:$C,0))),0))</f>
        <v/>
      </c>
      <c r="K1046" s="10" t="str">
        <f aca="false">IF(A1046="","",IFERROR(I1046+H1046*(J1046-I1046),0))</f>
        <v/>
      </c>
      <c r="L1046" s="10" t="str">
        <f aca="false">IF(A1046="","",IFERROR(K1046*Inputs!$B$9,0))</f>
        <v/>
      </c>
      <c r="M1046" s="10" t="str">
        <f aca="false">IF(A1046="","",IFERROR(K1046*Inputs!$B$10,0))</f>
        <v/>
      </c>
      <c r="N1046" s="10" t="str">
        <f aca="false">IF(A1046="","",Z1045)</f>
        <v/>
      </c>
      <c r="O1046" s="6" t="str">
        <f aca="false">IF(A1046="","",Inputs!$B$18+N1046)</f>
        <v/>
      </c>
      <c r="P1046" s="5" t="str">
        <f aca="false">IF(A1046="","",VLOOKUP(D1046,DIvidend_Assumption!$A$3:$CX$103,($E$2+2),0)/12)</f>
        <v/>
      </c>
      <c r="Q1046" s="10" t="str">
        <f aca="false">IF(A1046="","",IFERROR(AB1045*P1046,""))</f>
        <v/>
      </c>
      <c r="R1046" s="10" t="str">
        <f aca="false">IF(A1046="","",IFERROR(IF(Inputs!$B$22="Accumulate",T1046+Q1046,IF(Inputs!$B$22="Premium Offset",MAX(0,T1046+Q1046-Inputs!$B$25),T1046)),""))</f>
        <v/>
      </c>
      <c r="S1046" s="10" t="str">
        <f aca="false">IF(A1046="","",R1045)</f>
        <v/>
      </c>
      <c r="T1046" s="10" t="str">
        <f aca="false">IF(A1046="","",IFERROR(S1046*(1+Inputs!$B$23/12),""))</f>
        <v/>
      </c>
      <c r="U1046" s="6" t="str">
        <f aca="false">IF(A1046="","",IF(D1046&lt;=Inputs!$B$8,IF(Inputs!$B$22="Premium Offset",MAX(0,Inputs!$B$25-(Q1046+T1046)),Inputs!$B$25),0))</f>
        <v/>
      </c>
      <c r="V1046" s="10" t="str">
        <f aca="false">IF(A1046="","",IF(Inputs!$B$22="Cash",Q1046,0))</f>
        <v/>
      </c>
      <c r="W1046" s="10" t="str">
        <f aca="false">IF(A1046="","",IF(Inputs!$B$22="PUA",Q1046,0))</f>
        <v/>
      </c>
      <c r="X1046" s="12" t="str">
        <f aca="false">IF(A1046="","",IFERROR(INDEX(PUA_TABLE!$D$4:$D$105,MATCH(E1046,PUA_TABLE!$C$4:$C$105,1)),0))</f>
        <v/>
      </c>
      <c r="Y1046" s="10" t="str">
        <f aca="false">IF(A1046="","",IF(W1046&gt;0,IF(X1046&gt;0,W1046/X1046,0),0))</f>
        <v/>
      </c>
      <c r="Z1046" s="10" t="str">
        <f aca="false">IF(A1046="","",N1046+Y1046)</f>
        <v/>
      </c>
      <c r="AA1046" s="10" t="str">
        <f aca="false">IF(A1046="","",IFERROR(Z1046*INDEX(PUA_TABLE!$I$4:$I$105,MATCH(E1046,PUA_TABLE!$C$4:$C$105,1))/1000,0))</f>
        <v/>
      </c>
      <c r="AB1046" s="10" t="str">
        <f aca="false">IF(A1046="","",IFERROR(L1046+AA1046,0))</f>
        <v/>
      </c>
      <c r="AC1046" s="10" t="str">
        <f aca="false">IF(A1046="","",IF(Inputs!$B$22="Premium Offset",MIN(Inputs!$B$25,Q1046+T1046),0))</f>
        <v/>
      </c>
    </row>
    <row r="1047" customFormat="false" ht="15" hidden="false" customHeight="false" outlineLevel="0" collapsed="false">
      <c r="A1047" s="1" t="str">
        <f aca="false">IF(A1046="","",IF(INT((C1046+1)/12)+Inputs!$B$7&gt;MAX(MORTALITY!$A:$A),"",Inputs!$B$4))</f>
        <v/>
      </c>
      <c r="B1047" s="3" t="str">
        <f aca="false">IF(A1047="","",EOMONTH(B1046,1))</f>
        <v/>
      </c>
      <c r="C1047" s="1" t="str">
        <f aca="false">IF(A1047="","",C1046+1)</f>
        <v/>
      </c>
      <c r="D1047" s="1" t="str">
        <f aca="false">IF(A1047="","",INT(C1047/12))</f>
        <v/>
      </c>
      <c r="E1047" s="1" t="str">
        <f aca="false">IF(A1047="","",D1047+Inputs!$B$7)</f>
        <v/>
      </c>
      <c r="F1047" s="3" t="str">
        <f aca="false">IF(A1047="","",DATE(YEAR(B$2)+D1047,MONTH(B$2),DAY(B$2)))</f>
        <v/>
      </c>
      <c r="G1047" s="3" t="str">
        <f aca="false">IF(A1047="","",DATE(YEAR(F1047)+1,MONTH(F1047),DAY(F1047)))</f>
        <v/>
      </c>
      <c r="H1047" s="10" t="str">
        <f aca="false">IF(A1047="","",IF(G1047&gt;F1047,(B1047-F1047)/(G1047-F1047),0))</f>
        <v/>
      </c>
      <c r="I1047" s="10" t="str">
        <f aca="false">IF(A1047="","",IFERROR(INDEX(CV_RATES!$I:$I,MATCH(D1047,CV_RATES!$C:$C,0)),0))</f>
        <v/>
      </c>
      <c r="J1047" s="10" t="str">
        <f aca="false">IF(A1047="","",IFERROR(IF(E1047=MAX(MORTALITY!$A:$A),1000,INDEX(CV_RATES!$J:$J,MATCH(D1047,CV_RATES!$C:$C,0))),0))</f>
        <v/>
      </c>
      <c r="K1047" s="10" t="str">
        <f aca="false">IF(A1047="","",IFERROR(I1047+H1047*(J1047-I1047),0))</f>
        <v/>
      </c>
      <c r="L1047" s="10" t="str">
        <f aca="false">IF(A1047="","",IFERROR(K1047*Inputs!$B$9,0))</f>
        <v/>
      </c>
      <c r="M1047" s="10" t="str">
        <f aca="false">IF(A1047="","",IFERROR(K1047*Inputs!$B$10,0))</f>
        <v/>
      </c>
      <c r="N1047" s="10" t="str">
        <f aca="false">IF(A1047="","",Z1046)</f>
        <v/>
      </c>
      <c r="O1047" s="6" t="str">
        <f aca="false">IF(A1047="","",Inputs!$B$18+N1047)</f>
        <v/>
      </c>
      <c r="P1047" s="5" t="str">
        <f aca="false">IF(A1047="","",VLOOKUP(D1047,DIvidend_Assumption!$A$3:$CX$103,($E$2+2),0)/12)</f>
        <v/>
      </c>
      <c r="Q1047" s="10" t="str">
        <f aca="false">IF(A1047="","",IFERROR(AB1046*P1047,""))</f>
        <v/>
      </c>
      <c r="R1047" s="10" t="str">
        <f aca="false">IF(A1047="","",IFERROR(IF(Inputs!$B$22="Accumulate",T1047+Q1047,IF(Inputs!$B$22="Premium Offset",MAX(0,T1047+Q1047-Inputs!$B$25),T1047)),""))</f>
        <v/>
      </c>
      <c r="S1047" s="10" t="str">
        <f aca="false">IF(A1047="","",R1046)</f>
        <v/>
      </c>
      <c r="T1047" s="10" t="str">
        <f aca="false">IF(A1047="","",IFERROR(S1047*(1+Inputs!$B$23/12),""))</f>
        <v/>
      </c>
      <c r="U1047" s="6" t="str">
        <f aca="false">IF(A1047="","",IF(D1047&lt;=Inputs!$B$8,IF(Inputs!$B$22="Premium Offset",MAX(0,Inputs!$B$25-(Q1047+T1047)),Inputs!$B$25),0))</f>
        <v/>
      </c>
      <c r="V1047" s="10" t="str">
        <f aca="false">IF(A1047="","",IF(Inputs!$B$22="Cash",Q1047,0))</f>
        <v/>
      </c>
      <c r="W1047" s="10" t="str">
        <f aca="false">IF(A1047="","",IF(Inputs!$B$22="PUA",Q1047,0))</f>
        <v/>
      </c>
      <c r="X1047" s="12" t="str">
        <f aca="false">IF(A1047="","",IFERROR(INDEX(PUA_TABLE!$D$4:$D$105,MATCH(E1047,PUA_TABLE!$C$4:$C$105,1)),0))</f>
        <v/>
      </c>
      <c r="Y1047" s="10" t="str">
        <f aca="false">IF(A1047="","",IF(W1047&gt;0,IF(X1047&gt;0,W1047/X1047,0),0))</f>
        <v/>
      </c>
      <c r="Z1047" s="10" t="str">
        <f aca="false">IF(A1047="","",N1047+Y1047)</f>
        <v/>
      </c>
      <c r="AA1047" s="10" t="str">
        <f aca="false">IF(A1047="","",IFERROR(Z1047*INDEX(PUA_TABLE!$I$4:$I$105,MATCH(E1047,PUA_TABLE!$C$4:$C$105,1))/1000,0))</f>
        <v/>
      </c>
      <c r="AB1047" s="10" t="str">
        <f aca="false">IF(A1047="","",IFERROR(L1047+AA1047,0))</f>
        <v/>
      </c>
      <c r="AC1047" s="10" t="str">
        <f aca="false">IF(A1047="","",IF(Inputs!$B$22="Premium Offset",MIN(Inputs!$B$25,Q1047+T1047),0))</f>
        <v/>
      </c>
    </row>
    <row r="1048" customFormat="false" ht="15" hidden="false" customHeight="false" outlineLevel="0" collapsed="false">
      <c r="A1048" s="1" t="str">
        <f aca="false">IF(A1047="","",IF(INT((C1047+1)/12)+Inputs!$B$7&gt;MAX(MORTALITY!$A:$A),"",Inputs!$B$4))</f>
        <v/>
      </c>
      <c r="B1048" s="3" t="str">
        <f aca="false">IF(A1048="","",EOMONTH(B1047,1))</f>
        <v/>
      </c>
      <c r="C1048" s="1" t="str">
        <f aca="false">IF(A1048="","",C1047+1)</f>
        <v/>
      </c>
      <c r="D1048" s="1" t="str">
        <f aca="false">IF(A1048="","",INT(C1048/12))</f>
        <v/>
      </c>
      <c r="E1048" s="1" t="str">
        <f aca="false">IF(A1048="","",D1048+Inputs!$B$7)</f>
        <v/>
      </c>
      <c r="F1048" s="3" t="str">
        <f aca="false">IF(A1048="","",DATE(YEAR(B$2)+D1048,MONTH(B$2),DAY(B$2)))</f>
        <v/>
      </c>
      <c r="G1048" s="3" t="str">
        <f aca="false">IF(A1048="","",DATE(YEAR(F1048)+1,MONTH(F1048),DAY(F1048)))</f>
        <v/>
      </c>
      <c r="H1048" s="10" t="str">
        <f aca="false">IF(A1048="","",IF(G1048&gt;F1048,(B1048-F1048)/(G1048-F1048),0))</f>
        <v/>
      </c>
      <c r="I1048" s="10" t="str">
        <f aca="false">IF(A1048="","",IFERROR(INDEX(CV_RATES!$I:$I,MATCH(D1048,CV_RATES!$C:$C,0)),0))</f>
        <v/>
      </c>
      <c r="J1048" s="10" t="str">
        <f aca="false">IF(A1048="","",IFERROR(IF(E1048=MAX(MORTALITY!$A:$A),1000,INDEX(CV_RATES!$J:$J,MATCH(D1048,CV_RATES!$C:$C,0))),0))</f>
        <v/>
      </c>
      <c r="K1048" s="10" t="str">
        <f aca="false">IF(A1048="","",IFERROR(I1048+H1048*(J1048-I1048),0))</f>
        <v/>
      </c>
      <c r="L1048" s="10" t="str">
        <f aca="false">IF(A1048="","",IFERROR(K1048*Inputs!$B$9,0))</f>
        <v/>
      </c>
      <c r="M1048" s="10" t="str">
        <f aca="false">IF(A1048="","",IFERROR(K1048*Inputs!$B$10,0))</f>
        <v/>
      </c>
      <c r="N1048" s="10" t="str">
        <f aca="false">IF(A1048="","",Z1047)</f>
        <v/>
      </c>
      <c r="O1048" s="6" t="str">
        <f aca="false">IF(A1048="","",Inputs!$B$18+N1048)</f>
        <v/>
      </c>
      <c r="P1048" s="5" t="str">
        <f aca="false">IF(A1048="","",VLOOKUP(D1048,DIvidend_Assumption!$A$3:$CX$103,($E$2+2),0)/12)</f>
        <v/>
      </c>
      <c r="Q1048" s="10" t="str">
        <f aca="false">IF(A1048="","",IFERROR(AB1047*P1048,""))</f>
        <v/>
      </c>
      <c r="R1048" s="10" t="str">
        <f aca="false">IF(A1048="","",IFERROR(IF(Inputs!$B$22="Accumulate",T1048+Q1048,IF(Inputs!$B$22="Premium Offset",MAX(0,T1048+Q1048-Inputs!$B$25),T1048)),""))</f>
        <v/>
      </c>
      <c r="S1048" s="10" t="str">
        <f aca="false">IF(A1048="","",R1047)</f>
        <v/>
      </c>
      <c r="T1048" s="10" t="str">
        <f aca="false">IF(A1048="","",IFERROR(S1048*(1+Inputs!$B$23/12),""))</f>
        <v/>
      </c>
      <c r="U1048" s="6" t="str">
        <f aca="false">IF(A1048="","",IF(D1048&lt;=Inputs!$B$8,IF(Inputs!$B$22="Premium Offset",MAX(0,Inputs!$B$25-(Q1048+T1048)),Inputs!$B$25),0))</f>
        <v/>
      </c>
      <c r="V1048" s="10" t="str">
        <f aca="false">IF(A1048="","",IF(Inputs!$B$22="Cash",Q1048,0))</f>
        <v/>
      </c>
      <c r="W1048" s="10" t="str">
        <f aca="false">IF(A1048="","",IF(Inputs!$B$22="PUA",Q1048,0))</f>
        <v/>
      </c>
      <c r="X1048" s="12" t="str">
        <f aca="false">IF(A1048="","",IFERROR(INDEX(PUA_TABLE!$D$4:$D$105,MATCH(E1048,PUA_TABLE!$C$4:$C$105,1)),0))</f>
        <v/>
      </c>
      <c r="Y1048" s="10" t="str">
        <f aca="false">IF(A1048="","",IF(W1048&gt;0,IF(X1048&gt;0,W1048/X1048,0),0))</f>
        <v/>
      </c>
      <c r="Z1048" s="10" t="str">
        <f aca="false">IF(A1048="","",N1048+Y1048)</f>
        <v/>
      </c>
      <c r="AA1048" s="10" t="str">
        <f aca="false">IF(A1048="","",IFERROR(Z1048*INDEX(PUA_TABLE!$I$4:$I$105,MATCH(E1048,PUA_TABLE!$C$4:$C$105,1))/1000,0))</f>
        <v/>
      </c>
      <c r="AB1048" s="10" t="str">
        <f aca="false">IF(A1048="","",IFERROR(L1048+AA1048,0))</f>
        <v/>
      </c>
      <c r="AC1048" s="10" t="str">
        <f aca="false">IF(A1048="","",IF(Inputs!$B$22="Premium Offset",MIN(Inputs!$B$25,Q1048+T1048),0))</f>
        <v/>
      </c>
    </row>
    <row r="1049" customFormat="false" ht="15" hidden="false" customHeight="false" outlineLevel="0" collapsed="false">
      <c r="A1049" s="1" t="str">
        <f aca="false">IF(A1048="","",IF(INT((C1048+1)/12)+Inputs!$B$7&gt;MAX(MORTALITY!$A:$A),"",Inputs!$B$4))</f>
        <v/>
      </c>
      <c r="B1049" s="3" t="str">
        <f aca="false">IF(A1049="","",EOMONTH(B1048,1))</f>
        <v/>
      </c>
      <c r="C1049" s="1" t="str">
        <f aca="false">IF(A1049="","",C1048+1)</f>
        <v/>
      </c>
      <c r="D1049" s="1" t="str">
        <f aca="false">IF(A1049="","",INT(C1049/12))</f>
        <v/>
      </c>
      <c r="E1049" s="1" t="str">
        <f aca="false">IF(A1049="","",D1049+Inputs!$B$7)</f>
        <v/>
      </c>
      <c r="F1049" s="3" t="str">
        <f aca="false">IF(A1049="","",DATE(YEAR(B$2)+D1049,MONTH(B$2),DAY(B$2)))</f>
        <v/>
      </c>
      <c r="G1049" s="3" t="str">
        <f aca="false">IF(A1049="","",DATE(YEAR(F1049)+1,MONTH(F1049),DAY(F1049)))</f>
        <v/>
      </c>
      <c r="H1049" s="10" t="str">
        <f aca="false">IF(A1049="","",IF(G1049&gt;F1049,(B1049-F1049)/(G1049-F1049),0))</f>
        <v/>
      </c>
      <c r="I1049" s="10" t="str">
        <f aca="false">IF(A1049="","",IFERROR(INDEX(CV_RATES!$I:$I,MATCH(D1049,CV_RATES!$C:$C,0)),0))</f>
        <v/>
      </c>
      <c r="J1049" s="10" t="str">
        <f aca="false">IF(A1049="","",IFERROR(IF(E1049=MAX(MORTALITY!$A:$A),1000,INDEX(CV_RATES!$J:$J,MATCH(D1049,CV_RATES!$C:$C,0))),0))</f>
        <v/>
      </c>
      <c r="K1049" s="10" t="str">
        <f aca="false">IF(A1049="","",IFERROR(I1049+H1049*(J1049-I1049),0))</f>
        <v/>
      </c>
      <c r="L1049" s="10" t="str">
        <f aca="false">IF(A1049="","",IFERROR(K1049*Inputs!$B$9,0))</f>
        <v/>
      </c>
      <c r="M1049" s="10" t="str">
        <f aca="false">IF(A1049="","",IFERROR(K1049*Inputs!$B$10,0))</f>
        <v/>
      </c>
      <c r="N1049" s="10" t="str">
        <f aca="false">IF(A1049="","",Z1048)</f>
        <v/>
      </c>
      <c r="O1049" s="6" t="str">
        <f aca="false">IF(A1049="","",Inputs!$B$18+N1049)</f>
        <v/>
      </c>
      <c r="P1049" s="5" t="str">
        <f aca="false">IF(A1049="","",VLOOKUP(D1049,DIvidend_Assumption!$A$3:$CX$103,($E$2+2),0)/12)</f>
        <v/>
      </c>
      <c r="Q1049" s="10" t="str">
        <f aca="false">IF(A1049="","",IFERROR(AB1048*P1049,""))</f>
        <v/>
      </c>
      <c r="R1049" s="10" t="str">
        <f aca="false">IF(A1049="","",IFERROR(IF(Inputs!$B$22="Accumulate",T1049+Q1049,IF(Inputs!$B$22="Premium Offset",MAX(0,T1049+Q1049-Inputs!$B$25),T1049)),""))</f>
        <v/>
      </c>
      <c r="S1049" s="10" t="str">
        <f aca="false">IF(A1049="","",R1048)</f>
        <v/>
      </c>
      <c r="T1049" s="10" t="str">
        <f aca="false">IF(A1049="","",IFERROR(S1049*(1+Inputs!$B$23/12),""))</f>
        <v/>
      </c>
      <c r="U1049" s="6" t="str">
        <f aca="false">IF(A1049="","",IF(D1049&lt;=Inputs!$B$8,IF(Inputs!$B$22="Premium Offset",MAX(0,Inputs!$B$25-(Q1049+T1049)),Inputs!$B$25),0))</f>
        <v/>
      </c>
      <c r="V1049" s="10" t="str">
        <f aca="false">IF(A1049="","",IF(Inputs!$B$22="Cash",Q1049,0))</f>
        <v/>
      </c>
      <c r="W1049" s="10" t="str">
        <f aca="false">IF(A1049="","",IF(Inputs!$B$22="PUA",Q1049,0))</f>
        <v/>
      </c>
      <c r="X1049" s="12" t="str">
        <f aca="false">IF(A1049="","",IFERROR(INDEX(PUA_TABLE!$D$4:$D$105,MATCH(E1049,PUA_TABLE!$C$4:$C$105,1)),0))</f>
        <v/>
      </c>
      <c r="Y1049" s="10" t="str">
        <f aca="false">IF(A1049="","",IF(W1049&gt;0,IF(X1049&gt;0,W1049/X1049,0),0))</f>
        <v/>
      </c>
      <c r="Z1049" s="10" t="str">
        <f aca="false">IF(A1049="","",N1049+Y1049)</f>
        <v/>
      </c>
      <c r="AA1049" s="10" t="str">
        <f aca="false">IF(A1049="","",IFERROR(Z1049*INDEX(PUA_TABLE!$I$4:$I$105,MATCH(E1049,PUA_TABLE!$C$4:$C$105,1))/1000,0))</f>
        <v/>
      </c>
      <c r="AB1049" s="10" t="str">
        <f aca="false">IF(A1049="","",IFERROR(L1049+AA1049,0))</f>
        <v/>
      </c>
      <c r="AC1049" s="10" t="str">
        <f aca="false">IF(A1049="","",IF(Inputs!$B$22="Premium Offset",MIN(Inputs!$B$25,Q1049+T1049),0))</f>
        <v/>
      </c>
    </row>
    <row r="1050" customFormat="false" ht="15" hidden="false" customHeight="false" outlineLevel="0" collapsed="false">
      <c r="A1050" s="1" t="str">
        <f aca="false">IF(A1049="","",IF(INT((C1049+1)/12)+Inputs!$B$7&gt;MAX(MORTALITY!$A:$A),"",Inputs!$B$4))</f>
        <v/>
      </c>
      <c r="B1050" s="3" t="str">
        <f aca="false">IF(A1050="","",EOMONTH(B1049,1))</f>
        <v/>
      </c>
      <c r="C1050" s="1" t="str">
        <f aca="false">IF(A1050="","",C1049+1)</f>
        <v/>
      </c>
      <c r="D1050" s="1" t="str">
        <f aca="false">IF(A1050="","",INT(C1050/12))</f>
        <v/>
      </c>
      <c r="E1050" s="1" t="str">
        <f aca="false">IF(A1050="","",D1050+Inputs!$B$7)</f>
        <v/>
      </c>
      <c r="F1050" s="3" t="str">
        <f aca="false">IF(A1050="","",DATE(YEAR(B$2)+D1050,MONTH(B$2),DAY(B$2)))</f>
        <v/>
      </c>
      <c r="G1050" s="3" t="str">
        <f aca="false">IF(A1050="","",DATE(YEAR(F1050)+1,MONTH(F1050),DAY(F1050)))</f>
        <v/>
      </c>
      <c r="H1050" s="10" t="str">
        <f aca="false">IF(A1050="","",IF(G1050&gt;F1050,(B1050-F1050)/(G1050-F1050),0))</f>
        <v/>
      </c>
      <c r="I1050" s="10" t="str">
        <f aca="false">IF(A1050="","",IFERROR(INDEX(CV_RATES!$I:$I,MATCH(D1050,CV_RATES!$C:$C,0)),0))</f>
        <v/>
      </c>
      <c r="J1050" s="10" t="str">
        <f aca="false">IF(A1050="","",IFERROR(IF(E1050=MAX(MORTALITY!$A:$A),1000,INDEX(CV_RATES!$J:$J,MATCH(D1050,CV_RATES!$C:$C,0))),0))</f>
        <v/>
      </c>
      <c r="K1050" s="10" t="str">
        <f aca="false">IF(A1050="","",IFERROR(I1050+H1050*(J1050-I1050),0))</f>
        <v/>
      </c>
      <c r="L1050" s="10" t="str">
        <f aca="false">IF(A1050="","",IFERROR(K1050*Inputs!$B$9,0))</f>
        <v/>
      </c>
      <c r="M1050" s="10" t="str">
        <f aca="false">IF(A1050="","",IFERROR(K1050*Inputs!$B$10,0))</f>
        <v/>
      </c>
      <c r="N1050" s="10" t="str">
        <f aca="false">IF(A1050="","",Z1049)</f>
        <v/>
      </c>
      <c r="O1050" s="6" t="str">
        <f aca="false">IF(A1050="","",Inputs!$B$18+N1050)</f>
        <v/>
      </c>
      <c r="P1050" s="5" t="str">
        <f aca="false">IF(A1050="","",VLOOKUP(D1050,DIvidend_Assumption!$A$3:$CX$103,($E$2+2),0)/12)</f>
        <v/>
      </c>
      <c r="Q1050" s="10" t="str">
        <f aca="false">IF(A1050="","",IFERROR(AB1049*P1050,""))</f>
        <v/>
      </c>
      <c r="R1050" s="10" t="str">
        <f aca="false">IF(A1050="","",IFERROR(IF(Inputs!$B$22="Accumulate",T1050+Q1050,IF(Inputs!$B$22="Premium Offset",MAX(0,T1050+Q1050-Inputs!$B$25),T1050)),""))</f>
        <v/>
      </c>
      <c r="S1050" s="10" t="str">
        <f aca="false">IF(A1050="","",R1049)</f>
        <v/>
      </c>
      <c r="T1050" s="10" t="str">
        <f aca="false">IF(A1050="","",IFERROR(S1050*(1+Inputs!$B$23/12),""))</f>
        <v/>
      </c>
      <c r="U1050" s="6" t="str">
        <f aca="false">IF(A1050="","",IF(D1050&lt;=Inputs!$B$8,IF(Inputs!$B$22="Premium Offset",MAX(0,Inputs!$B$25-(Q1050+T1050)),Inputs!$B$25),0))</f>
        <v/>
      </c>
      <c r="V1050" s="10" t="str">
        <f aca="false">IF(A1050="","",IF(Inputs!$B$22="Cash",Q1050,0))</f>
        <v/>
      </c>
      <c r="W1050" s="10" t="str">
        <f aca="false">IF(A1050="","",IF(Inputs!$B$22="PUA",Q1050,0))</f>
        <v/>
      </c>
      <c r="X1050" s="12" t="str">
        <f aca="false">IF(A1050="","",IFERROR(INDEX(PUA_TABLE!$D$4:$D$105,MATCH(E1050,PUA_TABLE!$C$4:$C$105,1)),0))</f>
        <v/>
      </c>
      <c r="Y1050" s="10" t="str">
        <f aca="false">IF(A1050="","",IF(W1050&gt;0,IF(X1050&gt;0,W1050/X1050,0),0))</f>
        <v/>
      </c>
      <c r="Z1050" s="10" t="str">
        <f aca="false">IF(A1050="","",N1050+Y1050)</f>
        <v/>
      </c>
      <c r="AA1050" s="10" t="str">
        <f aca="false">IF(A1050="","",IFERROR(Z1050*INDEX(PUA_TABLE!$I$4:$I$105,MATCH(E1050,PUA_TABLE!$C$4:$C$105,1))/1000,0))</f>
        <v/>
      </c>
      <c r="AB1050" s="10" t="str">
        <f aca="false">IF(A1050="","",IFERROR(L1050+AA1050,0))</f>
        <v/>
      </c>
      <c r="AC1050" s="10" t="str">
        <f aca="false">IF(A1050="","",IF(Inputs!$B$22="Premium Offset",MIN(Inputs!$B$25,Q1050+T1050),0))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3.54"/>
    <col collapsed="false" customWidth="true" hidden="false" outlineLevel="0" max="2" min="2" style="1" width="27.27"/>
    <col collapsed="false" customWidth="true" hidden="false" outlineLevel="0" max="4" min="4" style="1" width="32"/>
    <col collapsed="false" customWidth="true" hidden="false" outlineLevel="0" max="5" min="5" style="1" width="22"/>
  </cols>
  <sheetData>
    <row r="1" customFormat="false" ht="15" hidden="false" customHeight="false" outlineLevel="0" collapsed="false">
      <c r="A1" s="1" t="s">
        <v>156</v>
      </c>
    </row>
    <row r="3" customFormat="false" ht="15" hidden="false" customHeight="false" outlineLevel="0" collapsed="false">
      <c r="A3" s="1" t="s">
        <v>157</v>
      </c>
      <c r="B3" s="1" t="str">
        <f aca="false">IF(Inputs!$B$30=FALSE(),"N/A - Policy is already Paid-Up (beyond PPT)","Applicable")</f>
        <v>N/A - Policy is already Paid-Up (beyond PPT)</v>
      </c>
    </row>
    <row r="4" customFormat="false" ht="15" hidden="false" customHeight="false" outlineLevel="0" collapsed="false">
      <c r="A4" s="1" t="s">
        <v>116</v>
      </c>
      <c r="B4" s="1" t="str">
        <f aca="false">IF(Inputs!$B$30=FALSE(),"",Inputs!$B$15)</f>
        <v/>
      </c>
    </row>
    <row r="5" customFormat="false" ht="15" hidden="false" customHeight="false" outlineLevel="0" collapsed="false">
      <c r="A5" s="1" t="s">
        <v>158</v>
      </c>
      <c r="B5" s="1" t="str">
        <f aca="false">IF(Inputs!$B$30=FALSE(),"",Inputs!$B$18)</f>
        <v/>
      </c>
    </row>
    <row r="7" customFormat="false" ht="15" hidden="false" customHeight="false" outlineLevel="0" collapsed="false">
      <c r="A7" s="1" t="s">
        <v>159</v>
      </c>
    </row>
    <row r="8" customFormat="false" ht="15" hidden="false" customHeight="false" outlineLevel="0" collapsed="false">
      <c r="A8" s="1" t="s">
        <v>160</v>
      </c>
      <c r="B8" s="1" t="str">
        <f aca="false">IF(Inputs!$B$30=FALSE(),"",INDEX(CV_RATES!$J:$J,MATCH(Inputs!$B$16,CV_RATES!$C:$C,0))/1000*Inputs!$B$18)</f>
        <v/>
      </c>
    </row>
    <row r="9" customFormat="false" ht="15" hidden="false" customHeight="false" outlineLevel="0" collapsed="false">
      <c r="A9" s="1" t="s">
        <v>161</v>
      </c>
      <c r="B9" s="1" t="str">
        <f aca="false">IF(Inputs!$B$30=FALSE(),"",INDEX(Commutation!$K:$K,MATCH(Inputs!$B$15,Commutation!$A:$A,0)))</f>
        <v/>
      </c>
    </row>
    <row r="10" customFormat="false" ht="15" hidden="false" customHeight="false" outlineLevel="0" collapsed="false">
      <c r="A10" s="1" t="s">
        <v>162</v>
      </c>
      <c r="B10" s="1" t="str">
        <f aca="false">IF(Inputs!$B$30=FALSE(),"",IFERROR(B8/B9,""))</f>
        <v/>
      </c>
    </row>
    <row r="12" customFormat="false" ht="15" hidden="false" customHeight="false" outlineLevel="0" collapsed="false">
      <c r="A12" s="1" t="s">
        <v>163</v>
      </c>
    </row>
    <row r="13" customFormat="false" ht="15" hidden="false" customHeight="false" outlineLevel="0" collapsed="false">
      <c r="A13" s="1" t="s">
        <v>164</v>
      </c>
      <c r="B13" s="1" t="str">
        <f aca="false">IF(Inputs!$B$30=FALSE(),"",INDEX(CV_RATES!$J:$J,MATCH(Inputs!$B$16,CV_RATES!$C:$C,0)))</f>
        <v/>
      </c>
    </row>
    <row r="14" customFormat="false" ht="15" hidden="false" customHeight="false" outlineLevel="0" collapsed="false">
      <c r="A14" s="1" t="s">
        <v>165</v>
      </c>
      <c r="B14" s="1" t="str">
        <f aca="false">IF(Inputs!$B$30=FALSE(),"",IFERROR(B5*(B13/1000)/B9,""))</f>
        <v/>
      </c>
    </row>
    <row r="16" customFormat="false" ht="15" hidden="false" customHeight="false" outlineLevel="0" collapsed="false">
      <c r="A16" s="1" t="s">
        <v>166</v>
      </c>
    </row>
    <row r="17" customFormat="false" ht="15" hidden="false" customHeight="false" outlineLevel="0" collapsed="false">
      <c r="A17" s="1" t="s">
        <v>167</v>
      </c>
      <c r="B17" s="1" t="str">
        <f aca="false">IF(Inputs!$B$30=FALSE(),"",MIN(B10,B5))</f>
        <v/>
      </c>
    </row>
    <row r="19" customFormat="false" ht="15" hidden="false" customHeight="false" outlineLevel="0" collapsed="false">
      <c r="A19" s="1" t="s">
        <v>168</v>
      </c>
    </row>
    <row r="20" customFormat="false" ht="15" hidden="false" customHeight="false" outlineLevel="0" collapsed="false">
      <c r="A20" s="1" t="s">
        <v>169</v>
      </c>
      <c r="B20" s="1" t="str">
        <f aca="false">IF(Inputs!$B$30=FALSE(),"",IF(B10&gt;B5,"YES - Calculated RPU exceeds Original SA","NO - Within limits"))</f>
        <v/>
      </c>
    </row>
    <row r="22" customFormat="false" ht="15" hidden="false" customHeight="false" outlineLevel="0" collapsed="false">
      <c r="A22" s="1" t="s">
        <v>170</v>
      </c>
    </row>
    <row r="23" customFormat="false" ht="15" hidden="false" customHeight="false" outlineLevel="0" collapsed="false">
      <c r="A23" s="1" t="s">
        <v>171</v>
      </c>
    </row>
    <row r="24" customFormat="false" ht="15" hidden="false" customHeight="false" outlineLevel="0" collapsed="false">
      <c r="A24" s="1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.18"/>
    <col collapsed="false" customWidth="true" hidden="false" outlineLevel="0" max="2" min="2" style="1" width="20"/>
    <col collapsed="false" customWidth="true" hidden="false" outlineLevel="0" max="3" min="3" style="1" width="17.73"/>
    <col collapsed="false" customWidth="true" hidden="false" outlineLevel="0" max="4" min="4" style="1" width="23.18"/>
    <col collapsed="false" customWidth="true" hidden="false" outlineLevel="0" max="5" min="5" style="1" width="19.54"/>
    <col collapsed="false" customWidth="true" hidden="false" outlineLevel="0" max="6" min="6" style="1" width="12.27"/>
  </cols>
  <sheetData>
    <row r="1" customFormat="false" ht="15" hidden="false" customHeight="false" outlineLevel="0" collapsed="false">
      <c r="A1" s="1" t="s">
        <v>173</v>
      </c>
    </row>
    <row r="2" customFormat="false" ht="15" hidden="false" customHeight="false" outlineLevel="0" collapsed="false">
      <c r="D2" s="1" t="s">
        <v>157</v>
      </c>
      <c r="E2" s="1" t="str">
        <f aca="false">IF(Inputs!$B$30=FALSE(),"N/A - Policy is already Paid-Up (beyond PPT)","Applicable")</f>
        <v>N/A - Policy is already Paid-Up (beyond PPT)</v>
      </c>
    </row>
    <row r="3" customFormat="false" ht="15" hidden="false" customHeight="false" outlineLevel="0" collapsed="false">
      <c r="A3" s="1" t="s">
        <v>174</v>
      </c>
      <c r="B3" s="5" t="n">
        <f aca="false">Inputs!$B$23</f>
        <v>0.025</v>
      </c>
      <c r="D3" s="1" t="s">
        <v>175</v>
      </c>
      <c r="E3" s="1" t="str">
        <f aca="false" t="array" ref="E3:E3">IF(Inputs!$B$30=FALSE(),"",IFERROR(MATCH(TRUE(),E9:E51&lt;0,0)-1,SUMPRODUCT((E9:E51&lt;&gt;"")*1)))</f>
        <v/>
      </c>
    </row>
    <row r="4" customFormat="false" ht="15" hidden="false" customHeight="false" outlineLevel="0" collapsed="false">
      <c r="A4" s="1" t="s">
        <v>176</v>
      </c>
      <c r="B4" s="1" t="str">
        <f aca="false">IF(Inputs!$B$30=FALSE(),"",Inputs!$B$18)</f>
        <v/>
      </c>
      <c r="D4" s="1" t="s">
        <v>177</v>
      </c>
      <c r="E4" s="5" t="str">
        <f aca="false" t="array" ref="E4:E4">IF(Inputs!$B$30=FALSE(),"",IFERROR(IF(E3="","",IF(INDEX(E9:E51,E3+1)&lt;0,INDEX(E9:E51,E3)/(INDEX(E9:E51,E3)-INDEX(E9:E51,E3+1)),0)),""))</f>
        <v/>
      </c>
    </row>
    <row r="5" customFormat="false" ht="15" hidden="false" customHeight="false" outlineLevel="0" collapsed="false">
      <c r="A5" s="1" t="s">
        <v>178</v>
      </c>
      <c r="B5" s="6" t="e">
        <f aca="false">Inputs!$E$2</f>
        <v>#NAME?</v>
      </c>
      <c r="D5" s="1" t="s">
        <v>179</v>
      </c>
      <c r="E5" s="10" t="str">
        <f aca="false">IF(Inputs!$B$30=FALSE(),"",IFERROR(IF(OR(E3="",E4=""),"",E3+E4),""))</f>
        <v/>
      </c>
    </row>
    <row r="6" customFormat="false" ht="15" hidden="false" customHeight="false" outlineLevel="0" collapsed="false">
      <c r="A6" s="1" t="s">
        <v>180</v>
      </c>
      <c r="B6" s="1" t="str">
        <f aca="false">IF(Inputs!$B$30=FALSE(),"",Inputs!B15)</f>
        <v/>
      </c>
      <c r="D6" s="1" t="s">
        <v>181</v>
      </c>
      <c r="E6" s="3" t="str">
        <f aca="false">IF(Inputs!$B$30=FALSE(),"",IFERROR(IF(E5="","",Inputs!B12+365*E5),""))</f>
        <v/>
      </c>
    </row>
    <row r="7" customFormat="false" ht="15" hidden="false" customHeight="false" outlineLevel="0" collapsed="false">
      <c r="A7" s="1" t="s">
        <v>182</v>
      </c>
      <c r="B7" s="15" t="n">
        <f aca="false">1/(1+B3)</f>
        <v>0.975609756097561</v>
      </c>
    </row>
    <row r="8" customFormat="false" ht="15" hidden="false" customHeight="false" outlineLevel="0" collapsed="false">
      <c r="A8" s="1" t="s">
        <v>183</v>
      </c>
      <c r="B8" s="1" t="s">
        <v>93</v>
      </c>
      <c r="C8" s="1" t="s">
        <v>184</v>
      </c>
      <c r="D8" s="1" t="s">
        <v>185</v>
      </c>
      <c r="E8" s="1" t="s">
        <v>186</v>
      </c>
      <c r="F8" s="1" t="s">
        <v>187</v>
      </c>
    </row>
    <row r="9" customFormat="false" ht="15" hidden="false" customHeight="false" outlineLevel="0" collapsed="false">
      <c r="A9" s="1" t="str">
        <f aca="false">IF(Inputs!$B$30=FALSE(),"",IF($B$6&gt;MAX(MORTALITY!$A:$A),"",1))</f>
        <v/>
      </c>
      <c r="B9" s="1" t="str">
        <f aca="false">B6</f>
        <v/>
      </c>
      <c r="C9" s="14" t="str">
        <f aca="false">IF(A9="","",IFERROR(INDEX(TERM_RATES!$E:$E,MATCH(B9,TERM_RATES!$A:$A,0)),""))</f>
        <v/>
      </c>
      <c r="D9" s="10" t="str">
        <f aca="false">IF(A9="","",IFERROR(C9*$B$4,""))</f>
        <v/>
      </c>
      <c r="E9" s="10" t="str">
        <f aca="false">IF(A9="","",IFERROR($B$5-SUM($D$9),""))</f>
        <v/>
      </c>
      <c r="F9" s="1" t="str">
        <f aca="false">IF(A9="","",IF(AND(E10&lt;0,E9&gt;0),1,0))</f>
        <v/>
      </c>
    </row>
    <row r="10" customFormat="false" ht="15" hidden="false" customHeight="false" outlineLevel="0" collapsed="false">
      <c r="A10" s="1" t="str">
        <f aca="false">IF(OR(A9="",B9&gt;=MAX(MORTALITY!$A:$A)),"",A9+1)</f>
        <v/>
      </c>
      <c r="B10" s="1" t="str">
        <f aca="false">IF(OR(B9="",B9&gt;=MAX(MORTALITY!$A:$A)),"",B9+1)</f>
        <v/>
      </c>
      <c r="C10" s="14" t="str">
        <f aca="false">IF(A10="","",IFERROR(INDEX(TERM_RATES!$E:$E,MATCH(B10,TERM_RATES!$A:$A,0)),""))</f>
        <v/>
      </c>
      <c r="D10" s="10" t="str">
        <f aca="false">IF(A10="","",IFERROR(C10*$B$4,""))</f>
        <v/>
      </c>
      <c r="E10" s="10" t="str">
        <f aca="false">IF(A10="","",IFERROR($B$5-SUM($D$9:D10),""))</f>
        <v/>
      </c>
      <c r="F10" s="1" t="str">
        <f aca="false">IF(A10="","",IF(AND(E11&lt;0,E10&gt;0),1,0))</f>
        <v/>
      </c>
    </row>
    <row r="11" customFormat="false" ht="15" hidden="false" customHeight="false" outlineLevel="0" collapsed="false">
      <c r="A11" s="1" t="str">
        <f aca="false">IF(OR(A10="",B10&gt;=MAX(MORTALITY!$A:$A)),"",A10+1)</f>
        <v/>
      </c>
      <c r="B11" s="1" t="str">
        <f aca="false">IF(OR(B10="",B10&gt;=MAX(MORTALITY!$A:$A)),"",B10+1)</f>
        <v/>
      </c>
      <c r="C11" s="14" t="str">
        <f aca="false">IF(A11="","",IFERROR(INDEX(TERM_RATES!$E:$E,MATCH(B11,TERM_RATES!$A:$A,0)),""))</f>
        <v/>
      </c>
      <c r="D11" s="10" t="str">
        <f aca="false">IF(A11="","",IFERROR(C11*$B$4,""))</f>
        <v/>
      </c>
      <c r="E11" s="10" t="str">
        <f aca="false">IF(A11="","",IFERROR($B$5-SUM($D$9:D11),""))</f>
        <v/>
      </c>
      <c r="F11" s="1" t="str">
        <f aca="false">IF(A11="","",IF(AND(E12&lt;0,E11&gt;0),1,0))</f>
        <v/>
      </c>
    </row>
    <row r="12" customFormat="false" ht="15" hidden="false" customHeight="false" outlineLevel="0" collapsed="false">
      <c r="A12" s="1" t="str">
        <f aca="false">IF(OR(A11="",B11&gt;=MAX(MORTALITY!$A:$A)),"",A11+1)</f>
        <v/>
      </c>
      <c r="B12" s="1" t="str">
        <f aca="false">IF(OR(B11="",B11&gt;=MAX(MORTALITY!$A:$A)),"",B11+1)</f>
        <v/>
      </c>
      <c r="C12" s="14" t="str">
        <f aca="false">IF(A12="","",IFERROR(INDEX(TERM_RATES!$E:$E,MATCH(B12,TERM_RATES!$A:$A,0)),""))</f>
        <v/>
      </c>
      <c r="D12" s="10" t="str">
        <f aca="false">IF(A12="","",IFERROR(C12*$B$4,""))</f>
        <v/>
      </c>
      <c r="E12" s="10" t="str">
        <f aca="false">IF(A12="","",IFERROR($B$5-SUM($D$9:D12),""))</f>
        <v/>
      </c>
      <c r="F12" s="1" t="str">
        <f aca="false">IF(A12="","",IF(AND(E13&lt;0,E12&gt;0),1,0))</f>
        <v/>
      </c>
    </row>
    <row r="13" customFormat="false" ht="15" hidden="false" customHeight="false" outlineLevel="0" collapsed="false">
      <c r="A13" s="1" t="str">
        <f aca="false">IF(OR(A12="",B12&gt;=MAX(MORTALITY!$A:$A)),"",A12+1)</f>
        <v/>
      </c>
      <c r="B13" s="1" t="str">
        <f aca="false">IF(OR(B12="",B12&gt;=MAX(MORTALITY!$A:$A)),"",B12+1)</f>
        <v/>
      </c>
      <c r="C13" s="1" t="str">
        <f aca="false">IF(A13="","",IFERROR(INDEX(TERM_RATES!$E:$E,MATCH(B13,TERM_RATES!$A:$A,0)),""))</f>
        <v/>
      </c>
      <c r="D13" s="10" t="str">
        <f aca="false">IF(A13="","",IFERROR(C13*$B$4,""))</f>
        <v/>
      </c>
      <c r="E13" s="10" t="str">
        <f aca="false">IF(A13="","",IFERROR($B$5-SUM($D$9:D13),""))</f>
        <v/>
      </c>
      <c r="F13" s="1" t="str">
        <f aca="false">IF(A13="","",IF(AND(E14&lt;0,E13&gt;0),1,0))</f>
        <v/>
      </c>
    </row>
    <row r="14" customFormat="false" ht="15" hidden="false" customHeight="false" outlineLevel="0" collapsed="false">
      <c r="A14" s="1" t="str">
        <f aca="false">IF(OR(A13="",B13&gt;=MAX(MORTALITY!$A:$A)),"",A13+1)</f>
        <v/>
      </c>
      <c r="B14" s="1" t="str">
        <f aca="false">IF(OR(B13="",B13&gt;=MAX(MORTALITY!$A:$A)),"",B13+1)</f>
        <v/>
      </c>
      <c r="C14" s="1" t="str">
        <f aca="false">IF(A14="","",IFERROR(INDEX(TERM_RATES!$E:$E,MATCH(B14,TERM_RATES!$A:$A,0)),""))</f>
        <v/>
      </c>
      <c r="D14" s="10" t="str">
        <f aca="false">IF(A14="","",IFERROR(C14*$B$4,""))</f>
        <v/>
      </c>
      <c r="E14" s="10" t="str">
        <f aca="false">IF(A14="","",IFERROR($B$5-SUM($D$9:D14),""))</f>
        <v/>
      </c>
      <c r="F14" s="1" t="str">
        <f aca="false">IF(A14="","",IF(AND(E15&lt;0,E14&gt;0),1,0))</f>
        <v/>
      </c>
    </row>
    <row r="15" customFormat="false" ht="15" hidden="false" customHeight="false" outlineLevel="0" collapsed="false">
      <c r="A15" s="1" t="str">
        <f aca="false">IF(OR(A14="",B14&gt;=MAX(MORTALITY!$A:$A)),"",A14+1)</f>
        <v/>
      </c>
      <c r="B15" s="1" t="str">
        <f aca="false">IF(OR(B14="",B14&gt;=MAX(MORTALITY!$A:$A)),"",B14+1)</f>
        <v/>
      </c>
      <c r="C15" s="1" t="str">
        <f aca="false">IF(A15="","",IFERROR(INDEX(TERM_RATES!$E:$E,MATCH(B15,TERM_RATES!$A:$A,0)),""))</f>
        <v/>
      </c>
      <c r="D15" s="10" t="str">
        <f aca="false">IF(A15="","",IFERROR(C15*$B$4,""))</f>
        <v/>
      </c>
      <c r="E15" s="10" t="str">
        <f aca="false">IF(A15="","",IFERROR($B$5-SUM($D$9:D15),""))</f>
        <v/>
      </c>
      <c r="F15" s="1" t="str">
        <f aca="false">IF(A15="","",IF(AND(E16&lt;0,E15&gt;0),1,0))</f>
        <v/>
      </c>
    </row>
    <row r="16" customFormat="false" ht="15" hidden="false" customHeight="false" outlineLevel="0" collapsed="false">
      <c r="A16" s="1" t="str">
        <f aca="false">IF(OR(A15="",B15&gt;=MAX(MORTALITY!$A:$A)),"",A15+1)</f>
        <v/>
      </c>
      <c r="B16" s="1" t="str">
        <f aca="false">IF(OR(B15="",B15&gt;=MAX(MORTALITY!$A:$A)),"",B15+1)</f>
        <v/>
      </c>
      <c r="C16" s="1" t="str">
        <f aca="false">IF(A16="","",IFERROR(INDEX(TERM_RATES!$E:$E,MATCH(B16,TERM_RATES!$A:$A,0)),""))</f>
        <v/>
      </c>
      <c r="D16" s="10" t="str">
        <f aca="false">IF(A16="","",IFERROR(C16*$B$4,""))</f>
        <v/>
      </c>
      <c r="E16" s="10" t="str">
        <f aca="false">IF(A16="","",IFERROR($B$5-SUM($D$9:D16),""))</f>
        <v/>
      </c>
      <c r="F16" s="1" t="str">
        <f aca="false">IF(A16="","",IF(AND(E17&lt;0,E16&gt;0),1,0))</f>
        <v/>
      </c>
    </row>
    <row r="17" customFormat="false" ht="15" hidden="false" customHeight="false" outlineLevel="0" collapsed="false">
      <c r="A17" s="1" t="str">
        <f aca="false">IF(OR(A16="",B16&gt;=MAX(MORTALITY!$A:$A)),"",A16+1)</f>
        <v/>
      </c>
      <c r="B17" s="1" t="str">
        <f aca="false">IF(OR(B16="",B16&gt;=MAX(MORTALITY!$A:$A)),"",B16+1)</f>
        <v/>
      </c>
      <c r="C17" s="1" t="str">
        <f aca="false">IF(A17="","",IFERROR(INDEX(TERM_RATES!$E:$E,MATCH(B17,TERM_RATES!$A:$A,0)),""))</f>
        <v/>
      </c>
      <c r="D17" s="10" t="str">
        <f aca="false">IF(A17="","",IFERROR(C17*$B$4,""))</f>
        <v/>
      </c>
      <c r="E17" s="10" t="str">
        <f aca="false">IF(A17="","",IFERROR($B$5-SUM($D$9:D17),""))</f>
        <v/>
      </c>
      <c r="F17" s="1" t="str">
        <f aca="false">IF(A17="","",IF(AND(E18&lt;0,E17&gt;0),1,0))</f>
        <v/>
      </c>
    </row>
    <row r="18" customFormat="false" ht="15" hidden="false" customHeight="false" outlineLevel="0" collapsed="false">
      <c r="A18" s="1" t="str">
        <f aca="false">IF(OR(A17="",B17&gt;=MAX(MORTALITY!$A:$A)),"",A17+1)</f>
        <v/>
      </c>
      <c r="B18" s="1" t="str">
        <f aca="false">IF(OR(B17="",B17&gt;=MAX(MORTALITY!$A:$A)),"",B17+1)</f>
        <v/>
      </c>
      <c r="C18" s="1" t="str">
        <f aca="false">IF(A18="","",IFERROR(INDEX(TERM_RATES!$E:$E,MATCH(B18,TERM_RATES!$A:$A,0)),""))</f>
        <v/>
      </c>
      <c r="D18" s="10" t="str">
        <f aca="false">IF(A18="","",IFERROR(C18*$B$4,""))</f>
        <v/>
      </c>
      <c r="E18" s="10" t="str">
        <f aca="false">IF(A18="","",IFERROR($B$5-SUM($D$9:D18),""))</f>
        <v/>
      </c>
      <c r="F18" s="1" t="str">
        <f aca="false">IF(A18="","",IF(AND(E19&lt;0,E18&gt;0),1,0))</f>
        <v/>
      </c>
    </row>
    <row r="19" customFormat="false" ht="15" hidden="false" customHeight="false" outlineLevel="0" collapsed="false">
      <c r="A19" s="1" t="str">
        <f aca="false">IF(OR(A18="",B18&gt;=MAX(MORTALITY!$A:$A)),"",A18+1)</f>
        <v/>
      </c>
      <c r="B19" s="1" t="str">
        <f aca="false">IF(OR(B18="",B18&gt;=MAX(MORTALITY!$A:$A)),"",B18+1)</f>
        <v/>
      </c>
      <c r="C19" s="1" t="str">
        <f aca="false">IF(A19="","",IFERROR(INDEX(TERM_RATES!$E:$E,MATCH(B19,TERM_RATES!$A:$A,0)),""))</f>
        <v/>
      </c>
      <c r="D19" s="10" t="str">
        <f aca="false">IF(A19="","",IFERROR(C19*$B$4,""))</f>
        <v/>
      </c>
      <c r="E19" s="10" t="str">
        <f aca="false">IF(A19="","",IFERROR($B$5-SUM($D$9:D19),""))</f>
        <v/>
      </c>
      <c r="F19" s="1" t="str">
        <f aca="false">IF(A19="","",IF(AND(E20&lt;0,E19&gt;0),1,0))</f>
        <v/>
      </c>
    </row>
    <row r="20" customFormat="false" ht="15" hidden="false" customHeight="false" outlineLevel="0" collapsed="false">
      <c r="A20" s="1" t="str">
        <f aca="false">IF(OR(A19="",B19&gt;=MAX(MORTALITY!$A:$A)),"",A19+1)</f>
        <v/>
      </c>
      <c r="B20" s="1" t="str">
        <f aca="false">IF(OR(B19="",B19&gt;=MAX(MORTALITY!$A:$A)),"",B19+1)</f>
        <v/>
      </c>
      <c r="C20" s="1" t="str">
        <f aca="false">IF(A20="","",IFERROR(INDEX(TERM_RATES!$E:$E,MATCH(B20,TERM_RATES!$A:$A,0)),""))</f>
        <v/>
      </c>
      <c r="D20" s="10" t="str">
        <f aca="false">IF(A20="","",IFERROR(C20*$B$4,""))</f>
        <v/>
      </c>
      <c r="E20" s="10" t="str">
        <f aca="false">IF(A20="","",IFERROR($B$5-SUM($D$9:D20),""))</f>
        <v/>
      </c>
      <c r="F20" s="1" t="str">
        <f aca="false">IF(A20="","",IF(AND(E21&lt;0,E20&gt;0),1,0))</f>
        <v/>
      </c>
    </row>
    <row r="21" customFormat="false" ht="15" hidden="false" customHeight="false" outlineLevel="0" collapsed="false">
      <c r="A21" s="1" t="str">
        <f aca="false">IF(OR(A20="",B20&gt;=MAX(MORTALITY!$A:$A)),"",A20+1)</f>
        <v/>
      </c>
      <c r="B21" s="1" t="str">
        <f aca="false">IF(OR(B20="",B20&gt;=MAX(MORTALITY!$A:$A)),"",B20+1)</f>
        <v/>
      </c>
      <c r="C21" s="1" t="str">
        <f aca="false">IF(A21="","",IFERROR(INDEX(TERM_RATES!$E:$E,MATCH(B21,TERM_RATES!$A:$A,0)),""))</f>
        <v/>
      </c>
      <c r="D21" s="10" t="str">
        <f aca="false">IF(A21="","",IFERROR(C21*$B$4,""))</f>
        <v/>
      </c>
      <c r="E21" s="10" t="str">
        <f aca="false">IF(A21="","",IFERROR($B$5-SUM($D$9:D21),""))</f>
        <v/>
      </c>
      <c r="F21" s="1" t="str">
        <f aca="false">IF(A21="","",IF(AND(E22&lt;0,E21&gt;0),1,0))</f>
        <v/>
      </c>
    </row>
    <row r="22" customFormat="false" ht="15" hidden="false" customHeight="false" outlineLevel="0" collapsed="false">
      <c r="A22" s="1" t="str">
        <f aca="false">IF(OR(A21="",B21&gt;=MAX(MORTALITY!$A:$A)),"",A21+1)</f>
        <v/>
      </c>
      <c r="B22" s="1" t="str">
        <f aca="false">IF(OR(B21="",B21&gt;=MAX(MORTALITY!$A:$A)),"",B21+1)</f>
        <v/>
      </c>
      <c r="C22" s="1" t="str">
        <f aca="false">IF(A22="","",IFERROR(INDEX(TERM_RATES!$E:$E,MATCH(B22,TERM_RATES!$A:$A,0)),""))</f>
        <v/>
      </c>
      <c r="D22" s="10" t="str">
        <f aca="false">IF(A22="","",IFERROR(C22*$B$4,""))</f>
        <v/>
      </c>
      <c r="E22" s="10" t="str">
        <f aca="false">IF(A22="","",IFERROR($B$5-SUM($D$9:D22),""))</f>
        <v/>
      </c>
      <c r="F22" s="1" t="str">
        <f aca="false">IF(A22="","",IF(AND(E23&lt;0,E22&gt;0),1,0))</f>
        <v/>
      </c>
    </row>
    <row r="23" customFormat="false" ht="15" hidden="false" customHeight="false" outlineLevel="0" collapsed="false">
      <c r="A23" s="1" t="str">
        <f aca="false">IF(OR(A22="",B22&gt;=MAX(MORTALITY!$A:$A)),"",A22+1)</f>
        <v/>
      </c>
      <c r="B23" s="1" t="str">
        <f aca="false">IF(OR(B22="",B22&gt;=MAX(MORTALITY!$A:$A)),"",B22+1)</f>
        <v/>
      </c>
      <c r="C23" s="1" t="str">
        <f aca="false">IF(A23="","",IFERROR(INDEX(TERM_RATES!$E:$E,MATCH(B23,TERM_RATES!$A:$A,0)),""))</f>
        <v/>
      </c>
      <c r="D23" s="10" t="str">
        <f aca="false">IF(A23="","",IFERROR(C23*$B$4,""))</f>
        <v/>
      </c>
      <c r="E23" s="10" t="str">
        <f aca="false">IF(A23="","",IFERROR($B$5-SUM($D$9:D23),""))</f>
        <v/>
      </c>
      <c r="F23" s="1" t="str">
        <f aca="false">IF(A23="","",IF(AND(E24&lt;0,E23&gt;0),1,0))</f>
        <v/>
      </c>
    </row>
    <row r="24" customFormat="false" ht="15" hidden="false" customHeight="false" outlineLevel="0" collapsed="false">
      <c r="A24" s="1" t="str">
        <f aca="false">IF(OR(A23="",B23&gt;=MAX(MORTALITY!$A:$A)),"",A23+1)</f>
        <v/>
      </c>
      <c r="B24" s="1" t="str">
        <f aca="false">IF(OR(B23="",B23&gt;=MAX(MORTALITY!$A:$A)),"",B23+1)</f>
        <v/>
      </c>
      <c r="C24" s="1" t="str">
        <f aca="false">IF(A24="","",IFERROR(INDEX(TERM_RATES!$E:$E,MATCH(B24,TERM_RATES!$A:$A,0)),""))</f>
        <v/>
      </c>
      <c r="D24" s="10" t="str">
        <f aca="false">IF(A24="","",IFERROR(C24*$B$4,""))</f>
        <v/>
      </c>
      <c r="E24" s="10" t="str">
        <f aca="false">IF(A24="","",IFERROR($B$5-SUM($D$9:D24),""))</f>
        <v/>
      </c>
      <c r="F24" s="1" t="str">
        <f aca="false">IF(A24="","",IF(AND(E25&lt;0,E24&gt;0),1,0))</f>
        <v/>
      </c>
    </row>
    <row r="25" customFormat="false" ht="15" hidden="false" customHeight="false" outlineLevel="0" collapsed="false">
      <c r="A25" s="1" t="str">
        <f aca="false">IF(OR(A24="",B24&gt;=MAX(MORTALITY!$A:$A)),"",A24+1)</f>
        <v/>
      </c>
      <c r="B25" s="1" t="str">
        <f aca="false">IF(OR(B24="",B24&gt;=MAX(MORTALITY!$A:$A)),"",B24+1)</f>
        <v/>
      </c>
      <c r="C25" s="1" t="str">
        <f aca="false">IF(A25="","",IFERROR(INDEX(TERM_RATES!$E:$E,MATCH(B25,TERM_RATES!$A:$A,0)),""))</f>
        <v/>
      </c>
      <c r="D25" s="10" t="str">
        <f aca="false">IF(A25="","",IFERROR(C25*$B$4,""))</f>
        <v/>
      </c>
      <c r="E25" s="10" t="str">
        <f aca="false">IF(A25="","",IFERROR($B$5-SUM($D$9:D25),""))</f>
        <v/>
      </c>
      <c r="F25" s="1" t="str">
        <f aca="false">IF(A25="","",IF(AND(E26&lt;0,E25&gt;0),1,0))</f>
        <v/>
      </c>
    </row>
    <row r="26" customFormat="false" ht="15" hidden="false" customHeight="false" outlineLevel="0" collapsed="false">
      <c r="A26" s="1" t="str">
        <f aca="false">IF(OR(A25="",B25&gt;=MAX(MORTALITY!$A:$A)),"",A25+1)</f>
        <v/>
      </c>
      <c r="B26" s="1" t="str">
        <f aca="false">IF(OR(B25="",B25&gt;=MAX(MORTALITY!$A:$A)),"",B25+1)</f>
        <v/>
      </c>
      <c r="C26" s="1" t="str">
        <f aca="false">IF(A26="","",IFERROR(INDEX(TERM_RATES!$E:$E,MATCH(B26,TERM_RATES!$A:$A,0)),""))</f>
        <v/>
      </c>
      <c r="D26" s="10" t="str">
        <f aca="false">IF(A26="","",IFERROR(C26*$B$4,""))</f>
        <v/>
      </c>
      <c r="E26" s="10" t="str">
        <f aca="false">IF(A26="","",IFERROR($B$5-SUM($D$9:D26),""))</f>
        <v/>
      </c>
      <c r="F26" s="1" t="str">
        <f aca="false">IF(A26="","",IF(AND(E27&lt;0,E26&gt;0),1,0))</f>
        <v/>
      </c>
    </row>
    <row r="27" customFormat="false" ht="15" hidden="false" customHeight="false" outlineLevel="0" collapsed="false">
      <c r="A27" s="1" t="str">
        <f aca="false">IF(OR(A26="",B26&gt;=MAX(MORTALITY!$A:$A)),"",A26+1)</f>
        <v/>
      </c>
      <c r="B27" s="1" t="str">
        <f aca="false">IF(OR(B26="",B26&gt;=MAX(MORTALITY!$A:$A)),"",B26+1)</f>
        <v/>
      </c>
      <c r="C27" s="1" t="str">
        <f aca="false">IF(A27="","",IFERROR(INDEX(TERM_RATES!$E:$E,MATCH(B27,TERM_RATES!$A:$A,0)),""))</f>
        <v/>
      </c>
      <c r="D27" s="10" t="str">
        <f aca="false">IF(A27="","",IFERROR(C27*$B$4,""))</f>
        <v/>
      </c>
      <c r="E27" s="10" t="str">
        <f aca="false">IF(A27="","",IFERROR($B$5-SUM($D$9:D27),""))</f>
        <v/>
      </c>
      <c r="F27" s="1" t="str">
        <f aca="false">IF(A27="","",IF(AND(E28&lt;0,E27&gt;0),1,0))</f>
        <v/>
      </c>
    </row>
    <row r="28" customFormat="false" ht="15" hidden="false" customHeight="false" outlineLevel="0" collapsed="false">
      <c r="A28" s="1" t="str">
        <f aca="false">IF(OR(A27="",B27&gt;=MAX(MORTALITY!$A:$A)),"",A27+1)</f>
        <v/>
      </c>
      <c r="B28" s="1" t="str">
        <f aca="false">IF(OR(B27="",B27&gt;=MAX(MORTALITY!$A:$A)),"",B27+1)</f>
        <v/>
      </c>
      <c r="C28" s="1" t="str">
        <f aca="false">IF(A28="","",IFERROR(INDEX(TERM_RATES!$E:$E,MATCH(B28,TERM_RATES!$A:$A,0)),""))</f>
        <v/>
      </c>
      <c r="D28" s="10" t="str">
        <f aca="false">IF(A28="","",IFERROR(C28*$B$4,""))</f>
        <v/>
      </c>
      <c r="E28" s="10" t="str">
        <f aca="false">IF(A28="","",IFERROR($B$5-SUM($D$9:D28),""))</f>
        <v/>
      </c>
      <c r="F28" s="1" t="str">
        <f aca="false">IF(A28="","",IF(AND(E29&lt;0,E28&gt;0),1,0))</f>
        <v/>
      </c>
    </row>
    <row r="29" customFormat="false" ht="15" hidden="false" customHeight="false" outlineLevel="0" collapsed="false">
      <c r="A29" s="1" t="str">
        <f aca="false">IF(OR(A28="",B28&gt;=MAX(MORTALITY!$A:$A)),"",A28+1)</f>
        <v/>
      </c>
      <c r="B29" s="1" t="str">
        <f aca="false">IF(OR(B28="",B28&gt;=MAX(MORTALITY!$A:$A)),"",B28+1)</f>
        <v/>
      </c>
      <c r="C29" s="1" t="str">
        <f aca="false">IF(A29="","",IFERROR(INDEX(TERM_RATES!$E:$E,MATCH(B29,TERM_RATES!$A:$A,0)),""))</f>
        <v/>
      </c>
      <c r="D29" s="10" t="str">
        <f aca="false">IF(A29="","",IFERROR(C29*$B$4,""))</f>
        <v/>
      </c>
      <c r="E29" s="10" t="str">
        <f aca="false">IF(A29="","",IFERROR($B$5-SUM($D$9:D29),""))</f>
        <v/>
      </c>
      <c r="F29" s="1" t="str">
        <f aca="false">IF(A29="","",IF(AND(E30&lt;0,E29&gt;0),1,0))</f>
        <v/>
      </c>
    </row>
    <row r="30" customFormat="false" ht="15" hidden="false" customHeight="false" outlineLevel="0" collapsed="false">
      <c r="A30" s="1" t="str">
        <f aca="false">IF(OR(A29="",B29&gt;=MAX(MORTALITY!$A:$A)),"",A29+1)</f>
        <v/>
      </c>
      <c r="B30" s="1" t="str">
        <f aca="false">IF(OR(B29="",B29&gt;=MAX(MORTALITY!$A:$A)),"",B29+1)</f>
        <v/>
      </c>
      <c r="C30" s="1" t="str">
        <f aca="false">IF(A30="","",IFERROR(INDEX(TERM_RATES!$E:$E,MATCH(B30,TERM_RATES!$A:$A,0)),""))</f>
        <v/>
      </c>
      <c r="D30" s="10" t="str">
        <f aca="false">IF(A30="","",IFERROR(C30*$B$4,""))</f>
        <v/>
      </c>
      <c r="E30" s="10" t="str">
        <f aca="false">IF(A30="","",IFERROR($B$5-SUM($D$9:D30),""))</f>
        <v/>
      </c>
      <c r="F30" s="1" t="str">
        <f aca="false">IF(A30="","",IF(AND(E31&lt;0,E30&gt;0),1,0))</f>
        <v/>
      </c>
    </row>
    <row r="31" customFormat="false" ht="15" hidden="false" customHeight="false" outlineLevel="0" collapsed="false">
      <c r="A31" s="1" t="str">
        <f aca="false">IF(OR(A30="",B30&gt;=MAX(MORTALITY!$A:$A)),"",A30+1)</f>
        <v/>
      </c>
      <c r="B31" s="1" t="str">
        <f aca="false">IF(OR(B30="",B30&gt;=MAX(MORTALITY!$A:$A)),"",B30+1)</f>
        <v/>
      </c>
      <c r="C31" s="1" t="str">
        <f aca="false">IF(A31="","",IFERROR(INDEX(TERM_RATES!$E:$E,MATCH(B31,TERM_RATES!$A:$A,0)),""))</f>
        <v/>
      </c>
      <c r="D31" s="10" t="str">
        <f aca="false">IF(A31="","",IFERROR(C31*$B$4,""))</f>
        <v/>
      </c>
      <c r="E31" s="10" t="str">
        <f aca="false">IF(A31="","",IFERROR($B$5-SUM($D$9:D31),""))</f>
        <v/>
      </c>
      <c r="F31" s="1" t="str">
        <f aca="false">IF(A31="","",IF(AND(E32&lt;0,E31&gt;0),1,0))</f>
        <v/>
      </c>
    </row>
    <row r="32" customFormat="false" ht="15" hidden="false" customHeight="false" outlineLevel="0" collapsed="false">
      <c r="A32" s="1" t="str">
        <f aca="false">IF(OR(A31="",B31&gt;=MAX(MORTALITY!$A:$A)),"",A31+1)</f>
        <v/>
      </c>
      <c r="B32" s="1" t="str">
        <f aca="false">IF(OR(B31="",B31&gt;=MAX(MORTALITY!$A:$A)),"",B31+1)</f>
        <v/>
      </c>
      <c r="C32" s="1" t="str">
        <f aca="false">IF(A32="","",IFERROR(INDEX(TERM_RATES!$E:$E,MATCH(B32,TERM_RATES!$A:$A,0)),""))</f>
        <v/>
      </c>
      <c r="D32" s="10" t="str">
        <f aca="false">IF(A32="","",IFERROR(C32*$B$4,""))</f>
        <v/>
      </c>
      <c r="E32" s="10" t="str">
        <f aca="false">IF(A32="","",IFERROR($B$5-SUM($D$9:D32),""))</f>
        <v/>
      </c>
      <c r="F32" s="1" t="str">
        <f aca="false">IF(A32="","",IF(AND(E33&lt;0,E32&gt;0),1,0))</f>
        <v/>
      </c>
    </row>
    <row r="33" customFormat="false" ht="15" hidden="false" customHeight="false" outlineLevel="0" collapsed="false">
      <c r="A33" s="1" t="str">
        <f aca="false">IF(OR(A32="",B32&gt;=MAX(MORTALITY!$A:$A)),"",A32+1)</f>
        <v/>
      </c>
      <c r="B33" s="1" t="str">
        <f aca="false">IF(OR(B32="",B32&gt;=MAX(MORTALITY!$A:$A)),"",B32+1)</f>
        <v/>
      </c>
      <c r="C33" s="1" t="str">
        <f aca="false">IF(A33="","",IFERROR(INDEX(TERM_RATES!$E:$E,MATCH(B33,TERM_RATES!$A:$A,0)),""))</f>
        <v/>
      </c>
      <c r="D33" s="10" t="str">
        <f aca="false">IF(A33="","",IFERROR(C33*$B$4,""))</f>
        <v/>
      </c>
      <c r="E33" s="10" t="str">
        <f aca="false">IF(A33="","",IFERROR($B$5-SUM($D$9:D33),""))</f>
        <v/>
      </c>
      <c r="F33" s="1" t="str">
        <f aca="false">IF(A33="","",IF(AND(E34&lt;0,E33&gt;0),1,0))</f>
        <v/>
      </c>
    </row>
    <row r="34" customFormat="false" ht="15" hidden="false" customHeight="false" outlineLevel="0" collapsed="false">
      <c r="A34" s="1" t="str">
        <f aca="false">IF(OR(A33="",B33&gt;=MAX(MORTALITY!$A:$A)),"",A33+1)</f>
        <v/>
      </c>
      <c r="B34" s="1" t="str">
        <f aca="false">IF(OR(B33="",B33&gt;=MAX(MORTALITY!$A:$A)),"",B33+1)</f>
        <v/>
      </c>
      <c r="C34" s="1" t="str">
        <f aca="false">IF(A34="","",IFERROR(INDEX(TERM_RATES!$E:$E,MATCH(B34,TERM_RATES!$A:$A,0)),""))</f>
        <v/>
      </c>
      <c r="D34" s="10" t="str">
        <f aca="false">IF(A34="","",IFERROR(C34*$B$4,""))</f>
        <v/>
      </c>
      <c r="E34" s="10" t="str">
        <f aca="false">IF(A34="","",IFERROR($B$5-SUM($D$9:D34),""))</f>
        <v/>
      </c>
      <c r="F34" s="1" t="str">
        <f aca="false">IF(A34="","",IF(AND(E35&lt;0,E34&gt;0),1,0))</f>
        <v/>
      </c>
    </row>
    <row r="35" customFormat="false" ht="15" hidden="false" customHeight="false" outlineLevel="0" collapsed="false">
      <c r="A35" s="1" t="str">
        <f aca="false">IF(OR(A34="",B34&gt;=MAX(MORTALITY!$A:$A)),"",A34+1)</f>
        <v/>
      </c>
      <c r="B35" s="1" t="str">
        <f aca="false">IF(OR(B34="",B34&gt;=MAX(MORTALITY!$A:$A)),"",B34+1)</f>
        <v/>
      </c>
      <c r="C35" s="1" t="str">
        <f aca="false">IF(A35="","",IFERROR(INDEX(TERM_RATES!$E:$E,MATCH(B35,TERM_RATES!$A:$A,0)),""))</f>
        <v/>
      </c>
      <c r="D35" s="10" t="str">
        <f aca="false">IF(A35="","",IFERROR(C35*$B$4,""))</f>
        <v/>
      </c>
      <c r="E35" s="10" t="str">
        <f aca="false">IF(A35="","",IFERROR($B$5-SUM($D$9:D35),""))</f>
        <v/>
      </c>
      <c r="F35" s="1" t="str">
        <f aca="false">IF(A35="","",IF(AND(E36&lt;0,E35&gt;0),1,0))</f>
        <v/>
      </c>
    </row>
    <row r="36" customFormat="false" ht="15" hidden="false" customHeight="false" outlineLevel="0" collapsed="false">
      <c r="A36" s="1" t="str">
        <f aca="false">IF(OR(A35="",B35&gt;=MAX(MORTALITY!$A:$A)),"",A35+1)</f>
        <v/>
      </c>
      <c r="B36" s="1" t="str">
        <f aca="false">IF(OR(B35="",B35&gt;=MAX(MORTALITY!$A:$A)),"",B35+1)</f>
        <v/>
      </c>
      <c r="C36" s="1" t="str">
        <f aca="false">IF(A36="","",IFERROR(INDEX(TERM_RATES!$E:$E,MATCH(B36,TERM_RATES!$A:$A,0)),""))</f>
        <v/>
      </c>
      <c r="D36" s="10" t="str">
        <f aca="false">IF(A36="","",IFERROR(C36*$B$4,""))</f>
        <v/>
      </c>
      <c r="E36" s="10" t="str">
        <f aca="false">IF(A36="","",IFERROR($B$5-SUM($D$9:D36),""))</f>
        <v/>
      </c>
      <c r="F36" s="1" t="str">
        <f aca="false">IF(A36="","",IF(AND(E37&lt;0,E36&gt;0),1,0))</f>
        <v/>
      </c>
    </row>
    <row r="37" customFormat="false" ht="15" hidden="false" customHeight="false" outlineLevel="0" collapsed="false">
      <c r="A37" s="1" t="str">
        <f aca="false">IF(OR(A36="",B36&gt;=MAX(MORTALITY!$A:$A)),"",A36+1)</f>
        <v/>
      </c>
      <c r="B37" s="1" t="str">
        <f aca="false">IF(OR(B36="",B36&gt;=MAX(MORTALITY!$A:$A)),"",B36+1)</f>
        <v/>
      </c>
      <c r="C37" s="1" t="str">
        <f aca="false">IF(A37="","",IFERROR(INDEX(TERM_RATES!$E:$E,MATCH(B37,TERM_RATES!$A:$A,0)),""))</f>
        <v/>
      </c>
      <c r="D37" s="10" t="str">
        <f aca="false">IF(A37="","",IFERROR(C37*$B$4,""))</f>
        <v/>
      </c>
      <c r="E37" s="10" t="str">
        <f aca="false">IF(A37="","",IFERROR($B$5-SUM($D$9:D37),""))</f>
        <v/>
      </c>
      <c r="F37" s="1" t="str">
        <f aca="false">IF(A37="","",IF(AND(E38&lt;0,E37&gt;0),1,0))</f>
        <v/>
      </c>
    </row>
    <row r="38" customFormat="false" ht="15" hidden="false" customHeight="false" outlineLevel="0" collapsed="false">
      <c r="A38" s="1" t="str">
        <f aca="false">IF(OR(A37="",B37&gt;=MAX(MORTALITY!$A:$A)),"",A37+1)</f>
        <v/>
      </c>
      <c r="B38" s="1" t="str">
        <f aca="false">IF(OR(B37="",B37&gt;=MAX(MORTALITY!$A:$A)),"",B37+1)</f>
        <v/>
      </c>
      <c r="C38" s="1" t="str">
        <f aca="false">IF(A38="","",IFERROR(INDEX(TERM_RATES!$E:$E,MATCH(B38,TERM_RATES!$A:$A,0)),""))</f>
        <v/>
      </c>
      <c r="D38" s="10" t="str">
        <f aca="false">IF(A38="","",IFERROR(C38*$B$4,""))</f>
        <v/>
      </c>
      <c r="E38" s="10" t="str">
        <f aca="false">IF(A38="","",IFERROR($B$5-SUM($D$9:D38),""))</f>
        <v/>
      </c>
      <c r="F38" s="1" t="str">
        <f aca="false">IF(A38="","",IF(AND(E39&lt;0,E38&gt;0),1,0))</f>
        <v/>
      </c>
    </row>
    <row r="39" customFormat="false" ht="15" hidden="false" customHeight="false" outlineLevel="0" collapsed="false">
      <c r="A39" s="1" t="str">
        <f aca="false">IF(OR(A38="",B38&gt;=MAX(MORTALITY!$A:$A)),"",A38+1)</f>
        <v/>
      </c>
      <c r="B39" s="1" t="str">
        <f aca="false">IF(OR(B38="",B38&gt;=MAX(MORTALITY!$A:$A)),"",B38+1)</f>
        <v/>
      </c>
      <c r="C39" s="1" t="str">
        <f aca="false">IF(A39="","",IFERROR(INDEX(TERM_RATES!$E:$E,MATCH(B39,TERM_RATES!$A:$A,0)),""))</f>
        <v/>
      </c>
      <c r="D39" s="10" t="str">
        <f aca="false">IF(A39="","",IFERROR(C39*$B$4,""))</f>
        <v/>
      </c>
      <c r="E39" s="10" t="str">
        <f aca="false">IF(A39="","",IFERROR($B$5-SUM($D$9:D39),""))</f>
        <v/>
      </c>
      <c r="F39" s="1" t="str">
        <f aca="false">IF(A39="","",IF(AND(E40&lt;0,E39&gt;0),1,0))</f>
        <v/>
      </c>
    </row>
    <row r="40" customFormat="false" ht="15" hidden="false" customHeight="false" outlineLevel="0" collapsed="false">
      <c r="A40" s="1" t="str">
        <f aca="false">IF(OR(A39="",B39&gt;=MAX(MORTALITY!$A:$A)),"",A39+1)</f>
        <v/>
      </c>
      <c r="B40" s="1" t="str">
        <f aca="false">IF(OR(B39="",B39&gt;=MAX(MORTALITY!$A:$A)),"",B39+1)</f>
        <v/>
      </c>
      <c r="C40" s="1" t="str">
        <f aca="false">IF(A40="","",IFERROR(INDEX(TERM_RATES!$E:$E,MATCH(B40,TERM_RATES!$A:$A,0)),""))</f>
        <v/>
      </c>
      <c r="D40" s="10" t="str">
        <f aca="false">IF(A40="","",IFERROR(C40*$B$4,""))</f>
        <v/>
      </c>
      <c r="E40" s="10" t="str">
        <f aca="false">IF(A40="","",IFERROR($B$5-SUM($D$9:D40),""))</f>
        <v/>
      </c>
      <c r="F40" s="1" t="str">
        <f aca="false">IF(A40="","",IF(AND(E41&lt;0,E40&gt;0),1,0))</f>
        <v/>
      </c>
    </row>
    <row r="41" customFormat="false" ht="15" hidden="false" customHeight="false" outlineLevel="0" collapsed="false">
      <c r="A41" s="1" t="str">
        <f aca="false">IF(OR(A40="",B40&gt;=MAX(MORTALITY!$A:$A)),"",A40+1)</f>
        <v/>
      </c>
      <c r="B41" s="1" t="str">
        <f aca="false">IF(OR(B40="",B40&gt;=MAX(MORTALITY!$A:$A)),"",B40+1)</f>
        <v/>
      </c>
      <c r="C41" s="1" t="str">
        <f aca="false">IF(A41="","",IFERROR(INDEX(TERM_RATES!$E:$E,MATCH(B41,TERM_RATES!$A:$A,0)),""))</f>
        <v/>
      </c>
      <c r="D41" s="10" t="str">
        <f aca="false">IF(A41="","",IFERROR(C41*$B$4,""))</f>
        <v/>
      </c>
      <c r="E41" s="10" t="str">
        <f aca="false">IF(A41="","",IFERROR($B$5-SUM($D$9:D41),""))</f>
        <v/>
      </c>
      <c r="F41" s="1" t="str">
        <f aca="false">IF(A41="","",IF(AND(E42&lt;0,E41&gt;0),1,0))</f>
        <v/>
      </c>
    </row>
    <row r="42" customFormat="false" ht="15" hidden="false" customHeight="false" outlineLevel="0" collapsed="false">
      <c r="A42" s="1" t="str">
        <f aca="false">IF(OR(A41="",B41&gt;=MAX(MORTALITY!$A:$A)),"",A41+1)</f>
        <v/>
      </c>
      <c r="B42" s="1" t="str">
        <f aca="false">IF(OR(B41="",B41&gt;=MAX(MORTALITY!$A:$A)),"",B41+1)</f>
        <v/>
      </c>
      <c r="C42" s="1" t="str">
        <f aca="false">IF(A42="","",IFERROR(INDEX(TERM_RATES!$E:$E,MATCH(B42,TERM_RATES!$A:$A,0)),""))</f>
        <v/>
      </c>
      <c r="D42" s="10" t="str">
        <f aca="false">IF(A42="","",IFERROR(C42*$B$4,""))</f>
        <v/>
      </c>
      <c r="E42" s="10" t="str">
        <f aca="false">IF(A42="","",IFERROR($B$5-SUM($D$9:D42),""))</f>
        <v/>
      </c>
      <c r="F42" s="1" t="str">
        <f aca="false">IF(A42="","",IF(AND(E43&lt;0,E42&gt;0),1,0))</f>
        <v/>
      </c>
    </row>
    <row r="43" customFormat="false" ht="15" hidden="false" customHeight="false" outlineLevel="0" collapsed="false">
      <c r="A43" s="1" t="str">
        <f aca="false">IF(OR(A42="",B42&gt;=MAX(MORTALITY!$A:$A)),"",A42+1)</f>
        <v/>
      </c>
      <c r="B43" s="1" t="str">
        <f aca="false">IF(OR(B42="",B42&gt;=MAX(MORTALITY!$A:$A)),"",B42+1)</f>
        <v/>
      </c>
      <c r="C43" s="1" t="str">
        <f aca="false">IF(A43="","",IFERROR(INDEX(TERM_RATES!$E:$E,MATCH(B43,TERM_RATES!$A:$A,0)),""))</f>
        <v/>
      </c>
      <c r="D43" s="10" t="str">
        <f aca="false">IF(A43="","",IFERROR(C43*$B$4,""))</f>
        <v/>
      </c>
      <c r="E43" s="10" t="str">
        <f aca="false">IF(A43="","",IFERROR($B$5-SUM($D$9:D43),""))</f>
        <v/>
      </c>
      <c r="F43" s="1" t="str">
        <f aca="false">IF(A43="","",IF(AND(E44&lt;0,E43&gt;0),1,0))</f>
        <v/>
      </c>
    </row>
    <row r="44" customFormat="false" ht="15" hidden="false" customHeight="false" outlineLevel="0" collapsed="false">
      <c r="A44" s="1" t="str">
        <f aca="false">IF(OR(A43="",B43&gt;=MAX(MORTALITY!$A:$A)),"",A43+1)</f>
        <v/>
      </c>
      <c r="B44" s="1" t="str">
        <f aca="false">IF(OR(B43="",B43&gt;=MAX(MORTALITY!$A:$A)),"",B43+1)</f>
        <v/>
      </c>
      <c r="C44" s="1" t="str">
        <f aca="false">IF(A44="","",IFERROR(INDEX(TERM_RATES!$E:$E,MATCH(B44,TERM_RATES!$A:$A,0)),""))</f>
        <v/>
      </c>
      <c r="D44" s="10" t="str">
        <f aca="false">IF(A44="","",IFERROR(C44*$B$4,""))</f>
        <v/>
      </c>
      <c r="E44" s="10" t="str">
        <f aca="false">IF(A44="","",IFERROR($B$5-SUM($D$9:D44),""))</f>
        <v/>
      </c>
      <c r="F44" s="1" t="str">
        <f aca="false">IF(A44="","",IF(AND(E45&lt;0,E44&gt;0),1,0))</f>
        <v/>
      </c>
    </row>
    <row r="45" customFormat="false" ht="15" hidden="false" customHeight="false" outlineLevel="0" collapsed="false">
      <c r="A45" s="1" t="str">
        <f aca="false">IF(OR(A44="",B44&gt;=MAX(MORTALITY!$A:$A)),"",A44+1)</f>
        <v/>
      </c>
      <c r="B45" s="1" t="str">
        <f aca="false">IF(OR(B44="",B44&gt;=MAX(MORTALITY!$A:$A)),"",B44+1)</f>
        <v/>
      </c>
      <c r="C45" s="1" t="str">
        <f aca="false">IF(A45="","",IFERROR(INDEX(TERM_RATES!$E:$E,MATCH(B45,TERM_RATES!$A:$A,0)),""))</f>
        <v/>
      </c>
      <c r="D45" s="10" t="str">
        <f aca="false">IF(A45="","",IFERROR(C45*$B$4,""))</f>
        <v/>
      </c>
      <c r="E45" s="10" t="str">
        <f aca="false">IF(A45="","",IFERROR($B$5-SUM($D$9:D45),""))</f>
        <v/>
      </c>
      <c r="F45" s="1" t="str">
        <f aca="false">IF(A45="","",IF(AND(E46&lt;0,E45&gt;0),1,0))</f>
        <v/>
      </c>
    </row>
    <row r="46" customFormat="false" ht="15" hidden="false" customHeight="false" outlineLevel="0" collapsed="false">
      <c r="A46" s="1" t="str">
        <f aca="false">IF(OR(A45="",B45&gt;=MAX(MORTALITY!$A:$A)),"",A45+1)</f>
        <v/>
      </c>
      <c r="B46" s="1" t="str">
        <f aca="false">IF(OR(B45="",B45&gt;=MAX(MORTALITY!$A:$A)),"",B45+1)</f>
        <v/>
      </c>
      <c r="C46" s="1" t="str">
        <f aca="false">IF(A46="","",IFERROR(INDEX(TERM_RATES!$E:$E,MATCH(B46,TERM_RATES!$A:$A,0)),""))</f>
        <v/>
      </c>
      <c r="D46" s="10" t="str">
        <f aca="false">IF(A46="","",IFERROR(C46*$B$4,""))</f>
        <v/>
      </c>
      <c r="E46" s="10" t="str">
        <f aca="false">IF(A46="","",IFERROR($B$5-SUM($D$9:D46),""))</f>
        <v/>
      </c>
      <c r="F46" s="1" t="str">
        <f aca="false">IF(A46="","",IF(AND(E47&lt;0,E46&gt;0),1,0))</f>
        <v/>
      </c>
    </row>
    <row r="47" customFormat="false" ht="15" hidden="false" customHeight="false" outlineLevel="0" collapsed="false">
      <c r="A47" s="1" t="str">
        <f aca="false">IF(OR(A46="",B46&gt;=MAX(MORTALITY!$A:$A)),"",A46+1)</f>
        <v/>
      </c>
      <c r="B47" s="1" t="str">
        <f aca="false">IF(OR(B46="",B46&gt;=MAX(MORTALITY!$A:$A)),"",B46+1)</f>
        <v/>
      </c>
      <c r="C47" s="1" t="str">
        <f aca="false">IF(A47="","",IFERROR(INDEX(TERM_RATES!$E:$E,MATCH(B47,TERM_RATES!$A:$A,0)),""))</f>
        <v/>
      </c>
      <c r="D47" s="10" t="str">
        <f aca="false">IF(A47="","",IFERROR(C47*$B$4,""))</f>
        <v/>
      </c>
      <c r="E47" s="10" t="str">
        <f aca="false">IF(A47="","",IFERROR($B$5-SUM($D$9:D47),""))</f>
        <v/>
      </c>
      <c r="F47" s="1" t="str">
        <f aca="false">IF(A47="","",IF(AND(E48&lt;0,E47&gt;0),1,0))</f>
        <v/>
      </c>
    </row>
    <row r="48" customFormat="false" ht="15" hidden="false" customHeight="false" outlineLevel="0" collapsed="false">
      <c r="A48" s="1" t="str">
        <f aca="false">IF(OR(A47="",B47&gt;=MAX(MORTALITY!$A:$A)),"",A47+1)</f>
        <v/>
      </c>
      <c r="B48" s="1" t="str">
        <f aca="false">IF(OR(B47="",B47&gt;=MAX(MORTALITY!$A:$A)),"",B47+1)</f>
        <v/>
      </c>
      <c r="C48" s="1" t="str">
        <f aca="false">IF(A48="","",IFERROR(INDEX(TERM_RATES!$E:$E,MATCH(B48,TERM_RATES!$A:$A,0)),""))</f>
        <v/>
      </c>
      <c r="D48" s="10" t="str">
        <f aca="false">IF(A48="","",IFERROR(C48*$B$4,""))</f>
        <v/>
      </c>
      <c r="E48" s="10" t="str">
        <f aca="false">IF(A48="","",IFERROR($B$5-SUM($D$9:D48),""))</f>
        <v/>
      </c>
      <c r="F48" s="1" t="str">
        <f aca="false">IF(A48="","",IF(AND(E49&lt;0,E48&gt;0),1,0))</f>
        <v/>
      </c>
    </row>
    <row r="49" customFormat="false" ht="15" hidden="false" customHeight="false" outlineLevel="0" collapsed="false">
      <c r="A49" s="1" t="str">
        <f aca="false">IF(OR(A48="",B48&gt;=MAX(MORTALITY!$A:$A)),"",A48+1)</f>
        <v/>
      </c>
      <c r="B49" s="1" t="str">
        <f aca="false">IF(OR(B48="",B48&gt;=MAX(MORTALITY!$A:$A)),"",B48+1)</f>
        <v/>
      </c>
      <c r="C49" s="1" t="str">
        <f aca="false">IF(A49="","",IFERROR(INDEX(TERM_RATES!$E:$E,MATCH(B49,TERM_RATES!$A:$A,0)),""))</f>
        <v/>
      </c>
      <c r="D49" s="10" t="str">
        <f aca="false">IF(A49="","",IFERROR(C49*$B$4,""))</f>
        <v/>
      </c>
      <c r="E49" s="10" t="str">
        <f aca="false">IF(A49="","",IFERROR($B$5-SUM($D$9:D49),""))</f>
        <v/>
      </c>
      <c r="F49" s="1" t="str">
        <f aca="false">IF(A49="","",IF(AND(E50&lt;0,E49&gt;0),1,0))</f>
        <v/>
      </c>
    </row>
    <row r="50" customFormat="false" ht="15" hidden="false" customHeight="false" outlineLevel="0" collapsed="false">
      <c r="A50" s="1" t="str">
        <f aca="false">IF(OR(A49="",B49&gt;=MAX(MORTALITY!$A:$A)),"",A49+1)</f>
        <v/>
      </c>
      <c r="B50" s="1" t="str">
        <f aca="false">IF(OR(B49="",B49&gt;=MAX(MORTALITY!$A:$A)),"",B49+1)</f>
        <v/>
      </c>
      <c r="C50" s="1" t="str">
        <f aca="false">IF(A50="","",IFERROR(INDEX(TERM_RATES!$E:$E,MATCH(B50,TERM_RATES!$A:$A,0)),""))</f>
        <v/>
      </c>
      <c r="D50" s="10" t="str">
        <f aca="false">IF(A50="","",IFERROR(C50*$B$4,""))</f>
        <v/>
      </c>
      <c r="E50" s="10" t="str">
        <f aca="false">IF(A50="","",IFERROR($B$5-SUM($D$9:D50),""))</f>
        <v/>
      </c>
      <c r="F50" s="1" t="str">
        <f aca="false">IF(A50="","",IF(AND(E51&lt;0,E50&gt;0),1,0))</f>
        <v/>
      </c>
    </row>
    <row r="51" customFormat="false" ht="15" hidden="false" customHeight="false" outlineLevel="0" collapsed="false">
      <c r="A51" s="1" t="str">
        <f aca="false">IF(OR(A50="",B50&gt;=MAX(MORTALITY!$A:$A)),"",A50+1)</f>
        <v/>
      </c>
      <c r="B51" s="1" t="str">
        <f aca="false">IF(OR(B50="",B50&gt;=MAX(MORTALITY!$A:$A)),"",B50+1)</f>
        <v/>
      </c>
      <c r="C51" s="1" t="str">
        <f aca="false">IF(A51="","",IFERROR(INDEX(TERM_RATES!$E:$E,MATCH(B51,TERM_RATES!$A:$A,0)),""))</f>
        <v/>
      </c>
      <c r="D51" s="10" t="str">
        <f aca="false">IF(A51="","",IFERROR(C51*$B$4,""))</f>
        <v/>
      </c>
      <c r="E51" s="10" t="str">
        <f aca="false">IF(A51="","",IFERROR($B$5-SUM($D$9:D51),""))</f>
        <v/>
      </c>
      <c r="F51" s="1" t="str">
        <f aca="false">IF(A51="","",0)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27"/>
    <col collapsed="false" customWidth="true" hidden="false" outlineLevel="0" max="2" min="2" style="1" width="16.45"/>
    <col collapsed="false" customWidth="true" hidden="false" outlineLevel="0" max="3" min="3" style="1" width="15.82"/>
    <col collapsed="false" customWidth="true" hidden="false" outlineLevel="0" max="4" min="4" style="1" width="7.45"/>
    <col collapsed="false" customWidth="true" hidden="false" outlineLevel="0" max="5" min="5" style="1" width="13.82"/>
    <col collapsed="false" customWidth="true" hidden="false" outlineLevel="0" max="6" min="6" style="1" width="21.82"/>
    <col collapsed="false" customWidth="true" hidden="false" outlineLevel="0" max="7" min="7" style="1" width="20.18"/>
    <col collapsed="false" customWidth="true" hidden="false" outlineLevel="0" max="8" min="8" style="1" width="28.18"/>
    <col collapsed="false" customWidth="true" hidden="false" outlineLevel="0" max="9" min="9" style="1" width="11.36"/>
    <col collapsed="false" customWidth="true" hidden="false" outlineLevel="0" max="10" min="10" style="1" width="8.36"/>
    <col collapsed="false" customWidth="true" hidden="false" outlineLevel="0" max="12" min="12" style="1" width="9.45"/>
  </cols>
  <sheetData>
    <row r="1" customFormat="false" ht="15" hidden="false" customHeight="false" outlineLevel="0" collapsed="false">
      <c r="A1" s="1" t="s">
        <v>188</v>
      </c>
    </row>
    <row r="3" customFormat="false" ht="15" hidden="false" customHeight="false" outlineLevel="0" collapsed="false">
      <c r="A3" s="1" t="s">
        <v>189</v>
      </c>
      <c r="B3" s="7" t="b">
        <f aca="false">TRUE()</f>
        <v>1</v>
      </c>
      <c r="D3" s="1" t="s">
        <v>17</v>
      </c>
      <c r="F3" s="1" t="s">
        <v>190</v>
      </c>
    </row>
    <row r="4" customFormat="false" ht="15" hidden="false" customHeight="false" outlineLevel="0" collapsed="false">
      <c r="A4" s="1" t="s">
        <v>191</v>
      </c>
      <c r="B4" s="17" t="n">
        <v>0.08</v>
      </c>
      <c r="F4" s="1" t="s">
        <v>26</v>
      </c>
    </row>
    <row r="5" customFormat="false" ht="15" hidden="false" customHeight="false" outlineLevel="0" collapsed="false">
      <c r="A5" s="1" t="s">
        <v>192</v>
      </c>
      <c r="B5" s="1" t="n">
        <f aca="false">Inputs!$B$27</f>
        <v>1</v>
      </c>
      <c r="F5" s="1" t="s">
        <v>34</v>
      </c>
    </row>
    <row r="6" customFormat="false" ht="15" hidden="false" customHeight="false" outlineLevel="0" collapsed="false">
      <c r="A6" s="1" t="s">
        <v>47</v>
      </c>
      <c r="B6" s="3" t="n">
        <f aca="false">Inputs!$B$12</f>
        <v>46178</v>
      </c>
    </row>
    <row r="7" customFormat="false" ht="15" hidden="false" customHeight="false" outlineLevel="0" collapsed="false">
      <c r="A7" s="1" t="s">
        <v>193</v>
      </c>
      <c r="B7" s="6" t="str">
        <f aca="false">IF(Inputs!$B$30=FALSE(),"",IFERROR(INDEX(Inputs!B:B,MATCH("Annual Base Premium",Inputs!A:A,0)),0))</f>
        <v/>
      </c>
    </row>
    <row r="8" customFormat="false" ht="15" hidden="false" customHeight="false" outlineLevel="0" collapsed="false">
      <c r="A8" s="1" t="s">
        <v>72</v>
      </c>
      <c r="B8" s="6" t="str">
        <f aca="false">IF(Inputs!$B$30=FALSE(),"",IFERROR(INDEX(Inputs!B:B,MATCH("Modal Premium",Inputs!A:A,0)),IF(B7&gt;0,B7/B5,0)))</f>
        <v/>
      </c>
      <c r="E8" s="1" t="s">
        <v>157</v>
      </c>
      <c r="F8" s="1" t="str">
        <f aca="false">IF(Inputs!$B$30=FALSE(),"N/A - Policy is already Paid-Up (beyond PPT)","Applicable")</f>
        <v>N/A - Policy is already Paid-Up (beyond PPT)</v>
      </c>
    </row>
    <row r="9" customFormat="false" ht="15" hidden="false" customHeight="false" outlineLevel="0" collapsed="false">
      <c r="A9" s="1" t="s">
        <v>194</v>
      </c>
      <c r="B9" s="6" t="e">
        <f aca="false">Inputs!$E$2</f>
        <v>#NAME?</v>
      </c>
      <c r="E9" s="1" t="s">
        <v>195</v>
      </c>
      <c r="F9" s="3" t="n">
        <f aca="false">EDATE(Inputs!$B$11,Inputs!$B$8*12)</f>
        <v>32664</v>
      </c>
    </row>
    <row r="10" customFormat="false" ht="15" hidden="false" customHeight="false" outlineLevel="0" collapsed="false">
      <c r="A10" s="1" t="s">
        <v>196</v>
      </c>
      <c r="B10" s="17" t="n">
        <v>0.8</v>
      </c>
      <c r="E10" s="1" t="s">
        <v>197</v>
      </c>
      <c r="F10" s="3" t="str">
        <f aca="false">IFERROR(_xlfn.xlookup(1,J14:J199,B14:B199),"")</f>
        <v/>
      </c>
    </row>
    <row r="11" customFormat="false" ht="15" hidden="false" customHeight="false" outlineLevel="0" collapsed="false">
      <c r="A11" s="1" t="s">
        <v>44</v>
      </c>
      <c r="B11" s="6" t="n">
        <f aca="false">Inputs!$B$8</f>
        <v>30</v>
      </c>
    </row>
    <row r="13" customFormat="false" ht="15" hidden="false" customHeight="false" outlineLevel="0" collapsed="false">
      <c r="A13" s="1" t="s">
        <v>198</v>
      </c>
      <c r="B13" s="1" t="s">
        <v>199</v>
      </c>
      <c r="C13" s="1" t="s">
        <v>200</v>
      </c>
      <c r="D13" s="1" t="s">
        <v>201</v>
      </c>
      <c r="E13" s="1" t="s">
        <v>202</v>
      </c>
      <c r="F13" s="1" t="s">
        <v>203</v>
      </c>
      <c r="G13" s="1" t="s">
        <v>204</v>
      </c>
      <c r="H13" s="1" t="s">
        <v>205</v>
      </c>
      <c r="I13" s="1" t="s">
        <v>206</v>
      </c>
      <c r="J13" s="1" t="s">
        <v>187</v>
      </c>
    </row>
    <row r="14" customFormat="false" ht="15" hidden="false" customHeight="false" outlineLevel="0" collapsed="false">
      <c r="A14" s="1" t="str">
        <f aca="false">IF(Inputs!$B$30=FALSE(),"",1)</f>
        <v/>
      </c>
      <c r="B14" s="3" t="str">
        <f aca="false">IF(Inputs!$B$30=FALSE(),"",B6)</f>
        <v/>
      </c>
      <c r="C14" s="6" t="str">
        <f aca="false">IF(Inputs!$B$30=FALSE(),"",0)</f>
        <v/>
      </c>
      <c r="D14" s="6" t="str">
        <f aca="false">IF(Inputs!$B$30=FALSE(),"",C14*$B$4/$B$5)</f>
        <v/>
      </c>
      <c r="E14" s="6" t="str">
        <f aca="false">IF(Inputs!$B$30=FALSE(),"",IF(AND(B14&lt;=$F$9,$B$8+C14+D14&lt;$B$9*$B$10),$B$8,0))</f>
        <v/>
      </c>
      <c r="F14" s="1" t="str">
        <f aca="false">IF(Inputs!$B$30=FALSE(),"",MIN($B$8,E14))</f>
        <v/>
      </c>
      <c r="G14" s="6" t="str">
        <f aca="false">IF(Inputs!$B$30=FALSE(),"",C14+D14+E14)</f>
        <v/>
      </c>
      <c r="H14" s="6" t="str">
        <f aca="false">IF(A14="","",IF(Inputs!$B$30=FALSE(),"",$B$9-G14))</f>
        <v/>
      </c>
      <c r="I14" s="1" t="str">
        <f aca="false">IF(Inputs!$B$30=FALSE(),"",IF(H14&gt;0,"Active","LAPSED"))</f>
        <v/>
      </c>
      <c r="J14" s="1" t="str">
        <f aca="false">IF(A14="","",IF(AND(H15&lt;0,H14&gt;0),1,0))</f>
        <v/>
      </c>
    </row>
    <row r="15" customFormat="false" ht="15" hidden="false" customHeight="false" outlineLevel="0" collapsed="false">
      <c r="A15" s="1" t="str">
        <f aca="false">IF(OR(A14="",H14&lt;=0),"",A14+1)</f>
        <v/>
      </c>
      <c r="B15" s="3" t="str">
        <f aca="false">IF(A15="","",EOMONTH(B14,12/$B$5))</f>
        <v/>
      </c>
      <c r="C15" s="6" t="str">
        <f aca="false">IF(A15="","",G14)</f>
        <v/>
      </c>
      <c r="D15" s="6" t="str">
        <f aca="false">IF(A15="","",C15*$B$4/$B$5)</f>
        <v/>
      </c>
      <c r="E15" s="6" t="str">
        <f aca="false">IF(A15="","",IF(AND(B15&lt;=$F$9,C15+D15+$B$8&lt;VLOOKUP(B15,Projection_Monthly!$B:$AB,26,TRUE())*$B$10),$B$8,0))</f>
        <v/>
      </c>
      <c r="F15" s="1" t="str">
        <f aca="false">IF(A15="","",MIN($B$8,E15))</f>
        <v/>
      </c>
      <c r="G15" s="6" t="str">
        <f aca="false">IF(A15="","",C15+D15+E15)</f>
        <v/>
      </c>
      <c r="H15" s="6" t="str">
        <f aca="false">IF(A15="","",IF(Inputs!$B$30=FALSE(),"",$B$9-G15))</f>
        <v/>
      </c>
      <c r="I15" s="1" t="str">
        <f aca="false">IF(A15="","",IF(H15&gt;0,"Active","LAPSED"))</f>
        <v/>
      </c>
      <c r="J15" s="1" t="str">
        <f aca="false">IF(A15="","",IF(AND(H16&lt;0,H15&gt;0),1,0))</f>
        <v/>
      </c>
    </row>
    <row r="16" customFormat="false" ht="15" hidden="false" customHeight="false" outlineLevel="0" collapsed="false">
      <c r="A16" s="1" t="str">
        <f aca="false">IF(OR(A15="",H15&lt;=0),"",A15+1)</f>
        <v/>
      </c>
      <c r="B16" s="3" t="str">
        <f aca="false">IF(A16="","",EOMONTH(B15,12/$B$5))</f>
        <v/>
      </c>
      <c r="C16" s="6" t="str">
        <f aca="false">IF(A16="","",G15)</f>
        <v/>
      </c>
      <c r="D16" s="6" t="str">
        <f aca="false">IF(A16="","",C16*$B$4/$B$5)</f>
        <v/>
      </c>
      <c r="E16" s="6" t="str">
        <f aca="false">IF(A16="","",IF(AND(B16&lt;=$F$9,C16+D16+$B$8&lt;VLOOKUP(B16,Projection_Monthly!$B:$AB,26,TRUE())*$B$10),$B$8,0))</f>
        <v/>
      </c>
      <c r="F16" s="1" t="str">
        <f aca="false">IF(A16="","",MIN($B$8,E16))</f>
        <v/>
      </c>
      <c r="G16" s="6" t="str">
        <f aca="false">IF(A16="","",C16+D16+E16)</f>
        <v/>
      </c>
      <c r="H16" s="6" t="str">
        <f aca="false">IF(A16="","",IF(Inputs!$B$30=FALSE(),"",$B$9-G16))</f>
        <v/>
      </c>
      <c r="I16" s="1" t="str">
        <f aca="false">IF(A16="","",IF(H16&gt;0,"Active","LAPSED"))</f>
        <v/>
      </c>
      <c r="J16" s="1" t="str">
        <f aca="false">IF(A16="","",IF(AND(H17&lt;0,H16&gt;0),1,0))</f>
        <v/>
      </c>
    </row>
    <row r="17" customFormat="false" ht="15" hidden="false" customHeight="false" outlineLevel="0" collapsed="false">
      <c r="A17" s="1" t="str">
        <f aca="false">IF(OR(A16="",H16&lt;=0),"",A16+1)</f>
        <v/>
      </c>
      <c r="B17" s="3" t="str">
        <f aca="false">IF(A17="","",EOMONTH(B16,12/$B$5))</f>
        <v/>
      </c>
      <c r="C17" s="6" t="str">
        <f aca="false">IF(A17="","",G16)</f>
        <v/>
      </c>
      <c r="D17" s="6" t="str">
        <f aca="false">IF(A17="","",C17*$B$4/$B$5)</f>
        <v/>
      </c>
      <c r="E17" s="6" t="str">
        <f aca="false">IF(A17="","",IF(AND(B17&lt;=$F$9,C17+D17+$B$8&lt;VLOOKUP(B17,Projection_Monthly!$B:$AB,26,TRUE())*$B$10),$B$8,0))</f>
        <v/>
      </c>
      <c r="F17" s="1" t="str">
        <f aca="false">IF(A17="","",MIN($B$8,E17))</f>
        <v/>
      </c>
      <c r="G17" s="6" t="str">
        <f aca="false">IF(A17="","",C17+D17+E17)</f>
        <v/>
      </c>
      <c r="H17" s="6" t="str">
        <f aca="false">IF(A17="","",IF(Inputs!$B$30=FALSE(),"",$B$9-G17))</f>
        <v/>
      </c>
      <c r="I17" s="1" t="str">
        <f aca="false">IF(A17="","",IF(H17&gt;0,"Active","LAPSED"))</f>
        <v/>
      </c>
      <c r="J17" s="1" t="str">
        <f aca="false">IF(A17="","",IF(AND(H18&lt;0,H17&gt;0),1,0))</f>
        <v/>
      </c>
    </row>
    <row r="18" customFormat="false" ht="15" hidden="false" customHeight="false" outlineLevel="0" collapsed="false">
      <c r="A18" s="1" t="str">
        <f aca="false">IF(OR(A17="",H17&lt;=0),"",A17+1)</f>
        <v/>
      </c>
      <c r="B18" s="3" t="str">
        <f aca="false">IF(A18="","",EOMONTH(B17,12/$B$5))</f>
        <v/>
      </c>
      <c r="C18" s="6" t="str">
        <f aca="false">IF(A18="","",G17)</f>
        <v/>
      </c>
      <c r="D18" s="6" t="str">
        <f aca="false">IF(A18="","",C18*$B$4/$B$5)</f>
        <v/>
      </c>
      <c r="E18" s="6" t="str">
        <f aca="false">IF(A18="","",IF(AND(B18&lt;=$F$9,C18+D18+$B$8&lt;VLOOKUP(B18,Projection_Monthly!$B:$AB,26,TRUE())*$B$10),$B$8,0))</f>
        <v/>
      </c>
      <c r="F18" s="1" t="str">
        <f aca="false">IF(A18="","",MIN($B$8,E18))</f>
        <v/>
      </c>
      <c r="G18" s="6" t="str">
        <f aca="false">IF(A18="","",C18+D18+E18)</f>
        <v/>
      </c>
      <c r="H18" s="6" t="str">
        <f aca="false">IF(A18="","",IF(Inputs!$B$30=FALSE(),"",$B$9-G18))</f>
        <v/>
      </c>
      <c r="I18" s="1" t="str">
        <f aca="false">IF(A18="","",IF(H18&gt;0,"Active","LAPSED"))</f>
        <v/>
      </c>
      <c r="J18" s="1" t="str">
        <f aca="false">IF(A18="","",IF(AND(H19&lt;0,H18&gt;0),1,0))</f>
        <v/>
      </c>
    </row>
    <row r="19" customFormat="false" ht="15" hidden="false" customHeight="false" outlineLevel="0" collapsed="false">
      <c r="A19" s="1" t="str">
        <f aca="false">IF(OR(A18="",H18&lt;=0),"",A18+1)</f>
        <v/>
      </c>
      <c r="B19" s="3" t="str">
        <f aca="false">IF(A19="","",EOMONTH(B18,12/$B$5))</f>
        <v/>
      </c>
      <c r="C19" s="6" t="str">
        <f aca="false">IF(A19="","",G18)</f>
        <v/>
      </c>
      <c r="D19" s="6" t="str">
        <f aca="false">IF(A19="","",C19*$B$4/$B$5)</f>
        <v/>
      </c>
      <c r="E19" s="6" t="str">
        <f aca="false">IF(A19="","",IF(AND(B19&lt;=$F$9,C19+D19+$B$8&lt;VLOOKUP(B19,Projection_Monthly!$B:$AB,26,TRUE())*$B$10),$B$8,0))</f>
        <v/>
      </c>
      <c r="F19" s="1" t="str">
        <f aca="false">IF(A19="","",MIN($B$8,E19))</f>
        <v/>
      </c>
      <c r="G19" s="6" t="str">
        <f aca="false">IF(A19="","",C19+D19+E19)</f>
        <v/>
      </c>
      <c r="H19" s="6" t="str">
        <f aca="false">IF(A19="","",IF(Inputs!$B$30=FALSE(),"",$B$9-G19))</f>
        <v/>
      </c>
      <c r="I19" s="1" t="str">
        <f aca="false">IF(A19="","",IF(H19&gt;0,"Active","LAPSED"))</f>
        <v/>
      </c>
      <c r="J19" s="1" t="str">
        <f aca="false">IF(A19="","",IF(AND(H20&lt;0,H19&gt;0),1,0))</f>
        <v/>
      </c>
    </row>
    <row r="20" customFormat="false" ht="15" hidden="false" customHeight="false" outlineLevel="0" collapsed="false">
      <c r="A20" s="1" t="str">
        <f aca="false">IF(OR(A19="",H19&lt;=0),"",A19+1)</f>
        <v/>
      </c>
      <c r="B20" s="3" t="str">
        <f aca="false">IF(A20="","",EOMONTH(B19,12/$B$5))</f>
        <v/>
      </c>
      <c r="C20" s="6" t="str">
        <f aca="false">IF(A20="","",G19)</f>
        <v/>
      </c>
      <c r="D20" s="6" t="str">
        <f aca="false">IF(A20="","",C20*$B$4/$B$5)</f>
        <v/>
      </c>
      <c r="E20" s="6" t="str">
        <f aca="false">IF(A20="","",IF(AND(B20&lt;=$F$9,C20+D20+$B$8&lt;VLOOKUP(B20,Projection_Monthly!$B:$AB,26,TRUE())*$B$10),$B$8,0))</f>
        <v/>
      </c>
      <c r="F20" s="1" t="str">
        <f aca="false">IF(A20="","",MIN($B$8,E20))</f>
        <v/>
      </c>
      <c r="G20" s="6" t="str">
        <f aca="false">IF(A20="","",C20+D20+E20)</f>
        <v/>
      </c>
      <c r="H20" s="6" t="str">
        <f aca="false">IF(A20="","",IF(Inputs!$B$30=FALSE(),"",$B$9-G20))</f>
        <v/>
      </c>
      <c r="I20" s="1" t="str">
        <f aca="false">IF(A20="","",IF(H20&gt;0,"Active","LAPSED"))</f>
        <v/>
      </c>
      <c r="J20" s="1" t="str">
        <f aca="false">IF(A20="","",IF(AND(H21&lt;0,H20&gt;0),1,0))</f>
        <v/>
      </c>
    </row>
    <row r="21" customFormat="false" ht="15" hidden="false" customHeight="false" outlineLevel="0" collapsed="false">
      <c r="A21" s="1" t="str">
        <f aca="false">IF(OR(A20="",H20&lt;=0),"",A20+1)</f>
        <v/>
      </c>
      <c r="B21" s="3" t="str">
        <f aca="false">IF(A21="","",EOMONTH(B20,12/$B$5))</f>
        <v/>
      </c>
      <c r="C21" s="6" t="str">
        <f aca="false">IF(A21="","",G20)</f>
        <v/>
      </c>
      <c r="D21" s="6" t="str">
        <f aca="false">IF(A21="","",C21*$B$4/$B$5)</f>
        <v/>
      </c>
      <c r="E21" s="6" t="str">
        <f aca="false">IF(A21="","",IF(AND(B21&lt;=$F$9,C21+D21+$B$8&lt;VLOOKUP(B21,Projection_Monthly!$B:$AB,26,TRUE())*$B$10),$B$8,0))</f>
        <v/>
      </c>
      <c r="F21" s="1" t="str">
        <f aca="false">IF(A21="","",MIN($B$8,E21))</f>
        <v/>
      </c>
      <c r="G21" s="6" t="str">
        <f aca="false">IF(A21="","",C21+D21+E21)</f>
        <v/>
      </c>
      <c r="H21" s="6" t="str">
        <f aca="false">IF(A21="","",IF(Inputs!$B$30=FALSE(),"",$B$9-G21))</f>
        <v/>
      </c>
      <c r="I21" s="1" t="str">
        <f aca="false">IF(A21="","",IF(H21&gt;0,"Active","LAPSED"))</f>
        <v/>
      </c>
      <c r="J21" s="1" t="str">
        <f aca="false">IF(A21="","",IF(AND(H22&lt;0,H21&gt;0),1,0))</f>
        <v/>
      </c>
    </row>
    <row r="22" customFormat="false" ht="15" hidden="false" customHeight="false" outlineLevel="0" collapsed="false">
      <c r="A22" s="1" t="str">
        <f aca="false">IF(OR(A21="",H21&lt;=0),"",A21+1)</f>
        <v/>
      </c>
      <c r="B22" s="3" t="str">
        <f aca="false">IF(A22="","",EOMONTH(B21,12/$B$5))</f>
        <v/>
      </c>
      <c r="C22" s="6" t="str">
        <f aca="false">IF(A22="","",G21)</f>
        <v/>
      </c>
      <c r="D22" s="6" t="str">
        <f aca="false">IF(A22="","",C22*$B$4/$B$5)</f>
        <v/>
      </c>
      <c r="E22" s="6" t="str">
        <f aca="false">IF(A22="","",IF(AND(B22&lt;=$F$9,C22+D22+$B$8&lt;VLOOKUP(B22,Projection_Monthly!$B:$AB,26,TRUE())*$B$10),$B$8,0))</f>
        <v/>
      </c>
      <c r="F22" s="1" t="str">
        <f aca="false">IF(A22="","",MIN($B$8,E22))</f>
        <v/>
      </c>
      <c r="G22" s="6" t="str">
        <f aca="false">IF(A22="","",C22+D22+E22)</f>
        <v/>
      </c>
      <c r="H22" s="6" t="str">
        <f aca="false">IF(A22="","",IF(Inputs!$B$30=FALSE(),"",$B$9-G22))</f>
        <v/>
      </c>
      <c r="I22" s="1" t="str">
        <f aca="false">IF(A22="","",IF(H22&gt;0,"Active","LAPSED"))</f>
        <v/>
      </c>
      <c r="J22" s="1" t="str">
        <f aca="false">IF(A22="","",IF(AND(H23&lt;0,H22&gt;0),1,0))</f>
        <v/>
      </c>
    </row>
    <row r="23" customFormat="false" ht="15" hidden="false" customHeight="false" outlineLevel="0" collapsed="false">
      <c r="A23" s="1" t="str">
        <f aca="false">IF(OR(A22="",H22&lt;=0),"",A22+1)</f>
        <v/>
      </c>
      <c r="B23" s="3" t="str">
        <f aca="false">IF(A23="","",EOMONTH(B22,12/$B$5))</f>
        <v/>
      </c>
      <c r="C23" s="6" t="str">
        <f aca="false">IF(A23="","",G22)</f>
        <v/>
      </c>
      <c r="D23" s="6" t="str">
        <f aca="false">IF(A23="","",C23*$B$4/$B$5)</f>
        <v/>
      </c>
      <c r="E23" s="6" t="str">
        <f aca="false">IF(A23="","",IF(AND(B23&lt;=$F$9,C23+D23+$B$8&lt;VLOOKUP(B23,Projection_Monthly!$B:$AB,26,TRUE())*$B$10),$B$8,0))</f>
        <v/>
      </c>
      <c r="F23" s="1" t="str">
        <f aca="false">IF(A23="","",MIN($B$8,E23))</f>
        <v/>
      </c>
      <c r="G23" s="6" t="str">
        <f aca="false">IF(A23="","",C23+D23+E23)</f>
        <v/>
      </c>
      <c r="H23" s="6" t="str">
        <f aca="false">IF(A23="","",IF(Inputs!$B$30=FALSE(),"",$B$9-G23))</f>
        <v/>
      </c>
      <c r="I23" s="1" t="str">
        <f aca="false">IF(A23="","",IF(H23&gt;0,"Active","LAPSED"))</f>
        <v/>
      </c>
      <c r="J23" s="1" t="str">
        <f aca="false">IF(A23="","",IF(AND(H24&lt;0,H23&gt;0),1,0))</f>
        <v/>
      </c>
    </row>
    <row r="24" customFormat="false" ht="15" hidden="false" customHeight="false" outlineLevel="0" collapsed="false">
      <c r="A24" s="1" t="str">
        <f aca="false">IF(OR(A23="",H23&lt;=0),"",A23+1)</f>
        <v/>
      </c>
      <c r="B24" s="3" t="str">
        <f aca="false">IF(A24="","",EOMONTH(B23,12/$B$5))</f>
        <v/>
      </c>
      <c r="C24" s="6" t="str">
        <f aca="false">IF(A24="","",G23)</f>
        <v/>
      </c>
      <c r="D24" s="6" t="str">
        <f aca="false">IF(A24="","",C24*$B$4/$B$5)</f>
        <v/>
      </c>
      <c r="E24" s="6" t="str">
        <f aca="false">IF(A24="","",IF(AND(B24&lt;=$F$9,C24+D24+$B$8&lt;VLOOKUP(B24,Projection_Monthly!$B:$AB,26,TRUE())*$B$10),$B$8,0))</f>
        <v/>
      </c>
      <c r="F24" s="1" t="str">
        <f aca="false">IF(A24="","",MIN($B$8,E24))</f>
        <v/>
      </c>
      <c r="G24" s="6" t="str">
        <f aca="false">IF(A24="","",C24+D24+E24)</f>
        <v/>
      </c>
      <c r="H24" s="6" t="str">
        <f aca="false">IF(A24="","",IF(Inputs!$B$30=FALSE(),"",$B$9-G24))</f>
        <v/>
      </c>
      <c r="I24" s="1" t="str">
        <f aca="false">IF(A24="","",IF(H24&gt;0,"Active","LAPSED"))</f>
        <v/>
      </c>
      <c r="J24" s="1" t="str">
        <f aca="false">IF(A24="","",IF(AND(H25&lt;0,H24&gt;0),1,0))</f>
        <v/>
      </c>
    </row>
    <row r="25" customFormat="false" ht="15" hidden="false" customHeight="false" outlineLevel="0" collapsed="false">
      <c r="A25" s="1" t="str">
        <f aca="false">IF(OR(A24="",H24&lt;=0),"",A24+1)</f>
        <v/>
      </c>
      <c r="B25" s="3" t="str">
        <f aca="false">IF(A25="","",EOMONTH(B24,12/$B$5))</f>
        <v/>
      </c>
      <c r="C25" s="6" t="str">
        <f aca="false">IF(A25="","",G24)</f>
        <v/>
      </c>
      <c r="D25" s="6" t="str">
        <f aca="false">IF(A25="","",C25*$B$4/$B$5)</f>
        <v/>
      </c>
      <c r="E25" s="6" t="str">
        <f aca="false">IF(A25="","",IF(AND(B25&lt;=$F$9,C25+D25+$B$8&lt;VLOOKUP(B25,Projection_Monthly!$B:$AB,26,TRUE())*$B$10),$B$8,0))</f>
        <v/>
      </c>
      <c r="F25" s="1" t="str">
        <f aca="false">IF(A25="","",MIN($B$8,E25))</f>
        <v/>
      </c>
      <c r="G25" s="6" t="str">
        <f aca="false">IF(A25="","",C25+D25+E25)</f>
        <v/>
      </c>
      <c r="H25" s="6" t="str">
        <f aca="false">IF(A25="","",IF(Inputs!$B$30=FALSE(),"",$B$9-G25))</f>
        <v/>
      </c>
      <c r="I25" s="1" t="str">
        <f aca="false">IF(A25="","",IF(H25&gt;0,"Active","LAPSED"))</f>
        <v/>
      </c>
      <c r="J25" s="1" t="str">
        <f aca="false">IF(A25="","",IF(AND(H26&lt;0,H25&gt;0),1,0))</f>
        <v/>
      </c>
    </row>
    <row r="26" customFormat="false" ht="15" hidden="false" customHeight="false" outlineLevel="0" collapsed="false">
      <c r="A26" s="1" t="str">
        <f aca="false">IF(OR(A25="",H25&lt;=0),"",A25+1)</f>
        <v/>
      </c>
      <c r="B26" s="3" t="str">
        <f aca="false">IF(A26="","",EOMONTH(B25,12/$B$5))</f>
        <v/>
      </c>
      <c r="C26" s="6" t="str">
        <f aca="false">IF(A26="","",G25)</f>
        <v/>
      </c>
      <c r="D26" s="6" t="str">
        <f aca="false">IF(A26="","",C26*$B$4/$B$5)</f>
        <v/>
      </c>
      <c r="E26" s="6" t="str">
        <f aca="false">IF(A26="","",IF(AND(B26&lt;=$F$9,C26+D26+$B$8&lt;VLOOKUP(B26,Projection_Monthly!$B:$AB,26,TRUE())*$B$10),$B$8,0))</f>
        <v/>
      </c>
      <c r="F26" s="1" t="str">
        <f aca="false">IF(A26="","",MIN($B$8,E26))</f>
        <v/>
      </c>
      <c r="G26" s="6" t="str">
        <f aca="false">IF(A26="","",C26+D26+E26)</f>
        <v/>
      </c>
      <c r="H26" s="6" t="str">
        <f aca="false">IF(A26="","",IF(Inputs!$B$30=FALSE(),"",$B$9-G26))</f>
        <v/>
      </c>
      <c r="I26" s="1" t="str">
        <f aca="false">IF(A26="","",IF(H26&gt;0,"Active","LAPSED"))</f>
        <v/>
      </c>
      <c r="J26" s="1" t="str">
        <f aca="false">IF(A26="","",IF(AND(H27&lt;0,H26&gt;0),1,0))</f>
        <v/>
      </c>
    </row>
    <row r="27" customFormat="false" ht="15" hidden="false" customHeight="false" outlineLevel="0" collapsed="false">
      <c r="A27" s="1" t="str">
        <f aca="false">IF(OR(A26="",H26&lt;=0),"",A26+1)</f>
        <v/>
      </c>
      <c r="B27" s="3" t="str">
        <f aca="false">IF(A27="","",EOMONTH(B26,12/$B$5))</f>
        <v/>
      </c>
      <c r="C27" s="6" t="str">
        <f aca="false">IF(A27="","",G26)</f>
        <v/>
      </c>
      <c r="D27" s="6" t="str">
        <f aca="false">IF(A27="","",C27*$B$4/$B$5)</f>
        <v/>
      </c>
      <c r="E27" s="6" t="str">
        <f aca="false">IF(A27="","",IF(AND(B27&lt;=$F$9,C27+D27+$B$8&lt;VLOOKUP(B27,Projection_Monthly!$B:$AB,26,TRUE())*$B$10),$B$8,0))</f>
        <v/>
      </c>
      <c r="F27" s="1" t="str">
        <f aca="false">IF(A27="","",MIN($B$8,E27))</f>
        <v/>
      </c>
      <c r="G27" s="6" t="str">
        <f aca="false">IF(A27="","",C27+D27+E27)</f>
        <v/>
      </c>
      <c r="H27" s="6" t="str">
        <f aca="false">IF(A27="","",IF(Inputs!$B$30=FALSE(),"",$B$9-G27))</f>
        <v/>
      </c>
      <c r="I27" s="1" t="str">
        <f aca="false">IF(A27="","",IF(H27&gt;0,"Active","LAPSED"))</f>
        <v/>
      </c>
      <c r="J27" s="1" t="str">
        <f aca="false">IF(A27="","",IF(AND(H28&lt;0,H27&gt;0),1,0))</f>
        <v/>
      </c>
    </row>
    <row r="28" customFormat="false" ht="15" hidden="false" customHeight="false" outlineLevel="0" collapsed="false">
      <c r="A28" s="1" t="str">
        <f aca="false">IF(OR(A27="",H27&lt;=0),"",A27+1)</f>
        <v/>
      </c>
      <c r="B28" s="3" t="str">
        <f aca="false">IF(A28="","",EOMONTH(B27,12/$B$5))</f>
        <v/>
      </c>
      <c r="C28" s="6" t="str">
        <f aca="false">IF(A28="","",G27)</f>
        <v/>
      </c>
      <c r="D28" s="6" t="str">
        <f aca="false">IF(A28="","",C28*$B$4/$B$5)</f>
        <v/>
      </c>
      <c r="E28" s="6" t="str">
        <f aca="false">IF(A28="","",IF(AND(B28&lt;=$F$9,C28+D28+$B$8&lt;VLOOKUP(B28,Projection_Monthly!$B:$AB,26,TRUE())*$B$10),$B$8,0))</f>
        <v/>
      </c>
      <c r="F28" s="1" t="str">
        <f aca="false">IF(A28="","",MIN($B$8,E28))</f>
        <v/>
      </c>
      <c r="G28" s="6" t="str">
        <f aca="false">IF(A28="","",C28+D28+E28)</f>
        <v/>
      </c>
      <c r="H28" s="6" t="str">
        <f aca="false">IF(A28="","",IF(Inputs!$B$30=FALSE(),"",$B$9-G28))</f>
        <v/>
      </c>
      <c r="I28" s="1" t="str">
        <f aca="false">IF(A28="","",IF(H28&gt;0,"Active","LAPSED"))</f>
        <v/>
      </c>
      <c r="J28" s="1" t="str">
        <f aca="false">IF(A28="","",IF(AND(H29&lt;0,H28&gt;0),1,0))</f>
        <v/>
      </c>
    </row>
    <row r="29" customFormat="false" ht="15" hidden="false" customHeight="false" outlineLevel="0" collapsed="false">
      <c r="A29" s="1" t="str">
        <f aca="false">IF(OR(A28="",H28&lt;=0),"",A28+1)</f>
        <v/>
      </c>
      <c r="B29" s="3" t="str">
        <f aca="false">IF(A29="","",EOMONTH(B28,12/$B$5))</f>
        <v/>
      </c>
      <c r="C29" s="6" t="str">
        <f aca="false">IF(A29="","",G28)</f>
        <v/>
      </c>
      <c r="D29" s="6" t="str">
        <f aca="false">IF(A29="","",C29*$B$4/$B$5)</f>
        <v/>
      </c>
      <c r="E29" s="6" t="str">
        <f aca="false">IF(A29="","",IF(AND(B29&lt;=$F$9,C29+D29+$B$8&lt;VLOOKUP(B29,Projection_Monthly!$B:$AB,26,TRUE())*$B$10),$B$8,0))</f>
        <v/>
      </c>
      <c r="F29" s="1" t="str">
        <f aca="false">IF(A29="","",MIN($B$8,E29))</f>
        <v/>
      </c>
      <c r="G29" s="6" t="str">
        <f aca="false">IF(A29="","",C29+D29+E29)</f>
        <v/>
      </c>
      <c r="H29" s="6" t="str">
        <f aca="false">IF(A29="","",IF(Inputs!$B$30=FALSE(),"",$B$9-G29))</f>
        <v/>
      </c>
      <c r="I29" s="1" t="str">
        <f aca="false">IF(A29="","",IF(H29&gt;0,"Active","LAPSED"))</f>
        <v/>
      </c>
      <c r="J29" s="1" t="str">
        <f aca="false">IF(A29="","",IF(AND(H30&lt;0,H29&gt;0),1,0))</f>
        <v/>
      </c>
    </row>
    <row r="30" customFormat="false" ht="15" hidden="false" customHeight="false" outlineLevel="0" collapsed="false">
      <c r="A30" s="1" t="str">
        <f aca="false">IF(OR(A29="",H29&lt;=0),"",A29+1)</f>
        <v/>
      </c>
      <c r="B30" s="3" t="str">
        <f aca="false">IF(A30="","",EOMONTH(B29,12/$B$5))</f>
        <v/>
      </c>
      <c r="C30" s="6" t="str">
        <f aca="false">IF(A30="","",G29)</f>
        <v/>
      </c>
      <c r="D30" s="6" t="str">
        <f aca="false">IF(A30="","",C30*$B$4/$B$5)</f>
        <v/>
      </c>
      <c r="E30" s="6" t="str">
        <f aca="false">IF(A30="","",IF(AND(B30&lt;=$F$9,C30+D30+$B$8&lt;VLOOKUP(B30,Projection_Monthly!$B:$AB,26,TRUE())*$B$10),$B$8,0))</f>
        <v/>
      </c>
      <c r="F30" s="1" t="str">
        <f aca="false">IF(A30="","",MIN($B$8,E30))</f>
        <v/>
      </c>
      <c r="G30" s="6" t="str">
        <f aca="false">IF(A30="","",C30+D30+E30)</f>
        <v/>
      </c>
      <c r="H30" s="6" t="str">
        <f aca="false">IF(A30="","",IF(Inputs!$B$30=FALSE(),"",$B$9-G30))</f>
        <v/>
      </c>
      <c r="I30" s="1" t="str">
        <f aca="false">IF(A30="","",IF(H30&gt;0,"Active","LAPSED"))</f>
        <v/>
      </c>
      <c r="J30" s="1" t="str">
        <f aca="false">IF(A30="","",IF(AND(H31&lt;0,H30&gt;0),1,0))</f>
        <v/>
      </c>
    </row>
    <row r="31" customFormat="false" ht="15" hidden="false" customHeight="false" outlineLevel="0" collapsed="false">
      <c r="A31" s="1" t="str">
        <f aca="false">IF(OR(A30="",H30&lt;=0),"",A30+1)</f>
        <v/>
      </c>
      <c r="B31" s="3" t="str">
        <f aca="false">IF(A31="","",EOMONTH(B30,12/$B$5))</f>
        <v/>
      </c>
      <c r="C31" s="6" t="str">
        <f aca="false">IF(A31="","",G30)</f>
        <v/>
      </c>
      <c r="D31" s="6" t="str">
        <f aca="false">IF(A31="","",C31*$B$4/$B$5)</f>
        <v/>
      </c>
      <c r="E31" s="6" t="str">
        <f aca="false">IF(A31="","",IF(AND(B31&lt;=$F$9,C31+D31+$B$8&lt;VLOOKUP(B31,Projection_Monthly!$B:$AB,26,TRUE())*$B$10),$B$8,0))</f>
        <v/>
      </c>
      <c r="F31" s="1" t="str">
        <f aca="false">IF(A31="","",MIN($B$8,E31))</f>
        <v/>
      </c>
      <c r="G31" s="6" t="str">
        <f aca="false">IF(A31="","",C31+D31+E31)</f>
        <v/>
      </c>
      <c r="H31" s="6" t="str">
        <f aca="false">IF(A31="","",IF(Inputs!$B$30=FALSE(),"",$B$9-G31))</f>
        <v/>
      </c>
      <c r="I31" s="1" t="str">
        <f aca="false">IF(A31="","",IF(H31&gt;0,"Active","LAPSED"))</f>
        <v/>
      </c>
      <c r="J31" s="1" t="str">
        <f aca="false">IF(A31="","",IF(AND(H32&lt;0,H31&gt;0),1,0))</f>
        <v/>
      </c>
    </row>
    <row r="32" customFormat="false" ht="15" hidden="false" customHeight="false" outlineLevel="0" collapsed="false">
      <c r="A32" s="1" t="str">
        <f aca="false">IF(OR(A31="",H31&lt;=0),"",A31+1)</f>
        <v/>
      </c>
      <c r="B32" s="3" t="str">
        <f aca="false">IF(A32="","",EOMONTH(B31,12/$B$5))</f>
        <v/>
      </c>
      <c r="C32" s="6" t="str">
        <f aca="false">IF(A32="","",G31)</f>
        <v/>
      </c>
      <c r="D32" s="6" t="str">
        <f aca="false">IF(A32="","",C32*$B$4/$B$5)</f>
        <v/>
      </c>
      <c r="E32" s="6" t="str">
        <f aca="false">IF(A32="","",IF(AND(B32&lt;=$F$9,C32+D32+$B$8&lt;VLOOKUP(B32,Projection_Monthly!$B:$AB,26,TRUE())*$B$10),$B$8,0))</f>
        <v/>
      </c>
      <c r="F32" s="1" t="str">
        <f aca="false">IF(A32="","",MIN($B$8,E32))</f>
        <v/>
      </c>
      <c r="G32" s="6" t="str">
        <f aca="false">IF(A32="","",C32+D32+E32)</f>
        <v/>
      </c>
      <c r="H32" s="6" t="str">
        <f aca="false">IF(A32="","",IF(Inputs!$B$30=FALSE(),"",$B$9-G32))</f>
        <v/>
      </c>
      <c r="I32" s="1" t="str">
        <f aca="false">IF(A32="","",IF(H32&gt;0,"Active","LAPSED"))</f>
        <v/>
      </c>
      <c r="J32" s="1" t="str">
        <f aca="false">IF(A32="","",IF(AND(H33&lt;0,H32&gt;0),1,0))</f>
        <v/>
      </c>
    </row>
    <row r="33" customFormat="false" ht="15" hidden="false" customHeight="false" outlineLevel="0" collapsed="false">
      <c r="A33" s="1" t="str">
        <f aca="false">IF(OR(A32="",H32&lt;=0),"",A32+1)</f>
        <v/>
      </c>
      <c r="B33" s="3" t="str">
        <f aca="false">IF(A33="","",EOMONTH(B32,12/$B$5))</f>
        <v/>
      </c>
      <c r="C33" s="6" t="str">
        <f aca="false">IF(A33="","",G32)</f>
        <v/>
      </c>
      <c r="D33" s="6" t="str">
        <f aca="false">IF(A33="","",C33*$B$4/$B$5)</f>
        <v/>
      </c>
      <c r="E33" s="6" t="str">
        <f aca="false">IF(A33="","",IF(AND(B33&lt;=$F$9,C33+D33+$B$8&lt;VLOOKUP(B33,Projection_Monthly!$B:$AB,26,TRUE())*$B$10),$B$8,0))</f>
        <v/>
      </c>
      <c r="F33" s="1" t="str">
        <f aca="false">IF(A33="","",MIN($B$8,E33))</f>
        <v/>
      </c>
      <c r="G33" s="6" t="str">
        <f aca="false">IF(A33="","",C33+D33+E33)</f>
        <v/>
      </c>
      <c r="H33" s="6" t="str">
        <f aca="false">IF(A33="","",IF(Inputs!$B$30=FALSE(),"",$B$9-G33))</f>
        <v/>
      </c>
      <c r="I33" s="1" t="str">
        <f aca="false">IF(A33="","",IF(H33&gt;0,"Active","LAPSED"))</f>
        <v/>
      </c>
      <c r="J33" s="1" t="str">
        <f aca="false">IF(A33="","",IF(AND(H34&lt;0,H33&gt;0),1,0))</f>
        <v/>
      </c>
    </row>
    <row r="34" customFormat="false" ht="15" hidden="false" customHeight="false" outlineLevel="0" collapsed="false">
      <c r="A34" s="1" t="str">
        <f aca="false">IF(OR(A33="",H33&lt;=0),"",A33+1)</f>
        <v/>
      </c>
      <c r="B34" s="3" t="str">
        <f aca="false">IF(A34="","",EOMONTH(B33,12/$B$5))</f>
        <v/>
      </c>
      <c r="C34" s="6" t="str">
        <f aca="false">IF(A34="","",G33)</f>
        <v/>
      </c>
      <c r="D34" s="6" t="str">
        <f aca="false">IF(A34="","",C34*$B$4/$B$5)</f>
        <v/>
      </c>
      <c r="E34" s="6" t="str">
        <f aca="false">IF(A34="","",IF(AND(B34&lt;=$F$9,C34+D34+$B$8&lt;VLOOKUP(B34,Projection_Monthly!$B:$AB,26,TRUE())*$B$10),$B$8,0))</f>
        <v/>
      </c>
      <c r="F34" s="1" t="str">
        <f aca="false">IF(A34="","",MIN($B$8,E34))</f>
        <v/>
      </c>
      <c r="G34" s="6" t="str">
        <f aca="false">IF(A34="","",C34+D34+E34)</f>
        <v/>
      </c>
      <c r="H34" s="6" t="str">
        <f aca="false">IF(A34="","",IF(Inputs!$B$30=FALSE(),"",$B$9-G34))</f>
        <v/>
      </c>
      <c r="I34" s="1" t="str">
        <f aca="false">IF(A34="","",IF(H34&gt;0,"Active","LAPSED"))</f>
        <v/>
      </c>
      <c r="J34" s="1" t="str">
        <f aca="false">IF(A34="","",IF(AND(H35&lt;0,H34&gt;0),1,0))</f>
        <v/>
      </c>
    </row>
    <row r="35" customFormat="false" ht="15" hidden="false" customHeight="false" outlineLevel="0" collapsed="false">
      <c r="A35" s="1" t="str">
        <f aca="false">IF(OR(A34="",H34&lt;=0),"",A34+1)</f>
        <v/>
      </c>
      <c r="B35" s="3" t="str">
        <f aca="false">IF(A35="","",EOMONTH(B34,12/$B$5))</f>
        <v/>
      </c>
      <c r="C35" s="6" t="str">
        <f aca="false">IF(A35="","",G34)</f>
        <v/>
      </c>
      <c r="D35" s="6" t="str">
        <f aca="false">IF(A35="","",C35*$B$4/$B$5)</f>
        <v/>
      </c>
      <c r="E35" s="6" t="str">
        <f aca="false">IF(A35="","",IF(AND(B35&lt;=$F$9,C35+D35+$B$8&lt;VLOOKUP(B35,Projection_Monthly!$B:$AB,26,TRUE())*$B$10),$B$8,0))</f>
        <v/>
      </c>
      <c r="F35" s="1" t="str">
        <f aca="false">IF(A35="","",MIN($B$8,E35))</f>
        <v/>
      </c>
      <c r="G35" s="6" t="str">
        <f aca="false">IF(A35="","",C35+D35+E35)</f>
        <v/>
      </c>
      <c r="H35" s="6" t="str">
        <f aca="false">IF(A35="","",IF(Inputs!$B$30=FALSE(),"",$B$9-G35))</f>
        <v/>
      </c>
      <c r="I35" s="1" t="str">
        <f aca="false">IF(A35="","",IF(H35&gt;0,"Active","LAPSED"))</f>
        <v/>
      </c>
      <c r="J35" s="1" t="str">
        <f aca="false">IF(A35="","",IF(AND(H36&lt;0,H35&gt;0),1,0))</f>
        <v/>
      </c>
    </row>
    <row r="36" customFormat="false" ht="15" hidden="false" customHeight="false" outlineLevel="0" collapsed="false">
      <c r="A36" s="1" t="str">
        <f aca="false">IF(OR(A35="",H35&lt;=0),"",A35+1)</f>
        <v/>
      </c>
      <c r="B36" s="3" t="str">
        <f aca="false">IF(A36="","",EOMONTH(B35,12/$B$5))</f>
        <v/>
      </c>
      <c r="C36" s="6" t="str">
        <f aca="false">IF(A36="","",G35)</f>
        <v/>
      </c>
      <c r="D36" s="6" t="str">
        <f aca="false">IF(A36="","",C36*$B$4/$B$5)</f>
        <v/>
      </c>
      <c r="E36" s="6" t="str">
        <f aca="false">IF(A36="","",IF(AND(B36&lt;=$F$9,C36+D36+$B$8&lt;VLOOKUP(B36,Projection_Monthly!$B:$AB,26,TRUE())*$B$10),$B$8,0))</f>
        <v/>
      </c>
      <c r="F36" s="1" t="str">
        <f aca="false">IF(A36="","",MIN($B$8,E36))</f>
        <v/>
      </c>
      <c r="G36" s="6" t="str">
        <f aca="false">IF(A36="","",C36+D36+E36)</f>
        <v/>
      </c>
      <c r="H36" s="6" t="str">
        <f aca="false">IF(A36="","",IF(Inputs!$B$30=FALSE(),"",$B$9-G36))</f>
        <v/>
      </c>
      <c r="I36" s="1" t="str">
        <f aca="false">IF(A36="","",IF(H36&gt;0,"Active","LAPSED"))</f>
        <v/>
      </c>
      <c r="J36" s="1" t="str">
        <f aca="false">IF(A36="","",IF(AND(H37&lt;0,H36&gt;0),1,0))</f>
        <v/>
      </c>
    </row>
    <row r="37" customFormat="false" ht="15" hidden="false" customHeight="false" outlineLevel="0" collapsed="false">
      <c r="A37" s="1" t="str">
        <f aca="false">IF(OR(A36="",H36&lt;=0),"",A36+1)</f>
        <v/>
      </c>
      <c r="B37" s="3" t="str">
        <f aca="false">IF(A37="","",EOMONTH(B36,12/$B$5))</f>
        <v/>
      </c>
      <c r="C37" s="6" t="str">
        <f aca="false">IF(A37="","",G36)</f>
        <v/>
      </c>
      <c r="D37" s="6" t="str">
        <f aca="false">IF(A37="","",C37*$B$4/$B$5)</f>
        <v/>
      </c>
      <c r="E37" s="6" t="str">
        <f aca="false">IF(A37="","",IF(AND(B37&lt;=$F$9,C37+D37+$B$8&lt;VLOOKUP(B37,Projection_Monthly!$B:$AB,26,TRUE())*$B$10),$B$8,0))</f>
        <v/>
      </c>
      <c r="F37" s="1" t="str">
        <f aca="false">IF(A37="","",MIN($B$8,E37))</f>
        <v/>
      </c>
      <c r="G37" s="6" t="str">
        <f aca="false">IF(A37="","",C37+D37+E37)</f>
        <v/>
      </c>
      <c r="H37" s="6" t="str">
        <f aca="false">IF(A37="","",IF(Inputs!$B$30=FALSE(),"",$B$9-G37))</f>
        <v/>
      </c>
      <c r="I37" s="1" t="str">
        <f aca="false">IF(A37="","",IF(H37&gt;0,"Active","LAPSED"))</f>
        <v/>
      </c>
      <c r="J37" s="1" t="str">
        <f aca="false">IF(A37="","",IF(AND(H38&lt;0,H37&gt;0),1,0))</f>
        <v/>
      </c>
    </row>
    <row r="38" customFormat="false" ht="15" hidden="false" customHeight="false" outlineLevel="0" collapsed="false">
      <c r="A38" s="1" t="str">
        <f aca="false">IF(OR(A37="",H37&lt;=0),"",A37+1)</f>
        <v/>
      </c>
      <c r="B38" s="3" t="str">
        <f aca="false">IF(A38="","",EOMONTH(B37,12/$B$5))</f>
        <v/>
      </c>
      <c r="C38" s="6" t="str">
        <f aca="false">IF(A38="","",G37)</f>
        <v/>
      </c>
      <c r="D38" s="6" t="str">
        <f aca="false">IF(A38="","",C38*$B$4/$B$5)</f>
        <v/>
      </c>
      <c r="E38" s="6" t="str">
        <f aca="false">IF(A38="","",IF(AND(B38&lt;=$F$9,C38+D38+$B$8&lt;VLOOKUP(B38,Projection_Monthly!$B:$AB,26,TRUE())*$B$10),$B$8,0))</f>
        <v/>
      </c>
      <c r="F38" s="1" t="str">
        <f aca="false">IF(A38="","",MIN($B$8,E38))</f>
        <v/>
      </c>
      <c r="G38" s="6" t="str">
        <f aca="false">IF(A38="","",C38+D38+E38)</f>
        <v/>
      </c>
      <c r="H38" s="6" t="str">
        <f aca="false">IF(A38="","",IF(Inputs!$B$30=FALSE(),"",$B$9-G38))</f>
        <v/>
      </c>
      <c r="I38" s="1" t="str">
        <f aca="false">IF(A38="","",IF(H38&gt;0,"Active","LAPSED"))</f>
        <v/>
      </c>
      <c r="J38" s="1" t="str">
        <f aca="false">IF(A38="","",IF(AND(H39&lt;0,H38&gt;0),1,0))</f>
        <v/>
      </c>
    </row>
    <row r="39" customFormat="false" ht="15" hidden="false" customHeight="false" outlineLevel="0" collapsed="false">
      <c r="A39" s="1" t="str">
        <f aca="false">IF(OR(A38="",H38&lt;=0),"",A38+1)</f>
        <v/>
      </c>
      <c r="B39" s="3" t="str">
        <f aca="false">IF(A39="","",EOMONTH(B38,12/$B$5))</f>
        <v/>
      </c>
      <c r="C39" s="6" t="str">
        <f aca="false">IF(A39="","",G38)</f>
        <v/>
      </c>
      <c r="D39" s="6" t="str">
        <f aca="false">IF(A39="","",C39*$B$4/$B$5)</f>
        <v/>
      </c>
      <c r="E39" s="6" t="str">
        <f aca="false">IF(A39="","",IF(AND(B39&lt;=$F$9,C39+D39+$B$8&lt;VLOOKUP(B39,Projection_Monthly!$B:$AB,26,TRUE())*$B$10),$B$8,0))</f>
        <v/>
      </c>
      <c r="F39" s="1" t="str">
        <f aca="false">IF(A39="","",MIN($B$8,E39))</f>
        <v/>
      </c>
      <c r="G39" s="6" t="str">
        <f aca="false">IF(A39="","",C39+D39+E39)</f>
        <v/>
      </c>
      <c r="H39" s="6" t="str">
        <f aca="false">IF(A39="","",IF(Inputs!$B$30=FALSE(),"",$B$9-G39))</f>
        <v/>
      </c>
      <c r="I39" s="1" t="str">
        <f aca="false">IF(A39="","",IF(H39&gt;0,"Active","LAPSED"))</f>
        <v/>
      </c>
      <c r="J39" s="1" t="str">
        <f aca="false">IF(A39="","",IF(AND(H40&lt;0,H39&gt;0),1,0))</f>
        <v/>
      </c>
    </row>
    <row r="40" customFormat="false" ht="15" hidden="false" customHeight="false" outlineLevel="0" collapsed="false">
      <c r="A40" s="1" t="str">
        <f aca="false">IF(OR(A39="",H39&lt;=0),"",A39+1)</f>
        <v/>
      </c>
      <c r="B40" s="3" t="str">
        <f aca="false">IF(A40="","",EOMONTH(B39,12/$B$5))</f>
        <v/>
      </c>
      <c r="C40" s="6" t="str">
        <f aca="false">IF(A40="","",G39)</f>
        <v/>
      </c>
      <c r="D40" s="6" t="str">
        <f aca="false">IF(A40="","",C40*$B$4/$B$5)</f>
        <v/>
      </c>
      <c r="E40" s="6" t="str">
        <f aca="false">IF(A40="","",IF(AND(B40&lt;=$F$9,C40+D40+$B$8&lt;VLOOKUP(B40,Projection_Monthly!$B:$AB,26,TRUE())*$B$10),$B$8,0))</f>
        <v/>
      </c>
      <c r="F40" s="1" t="str">
        <f aca="false">IF(A40="","",MIN($B$8,E40))</f>
        <v/>
      </c>
      <c r="G40" s="6" t="str">
        <f aca="false">IF(A40="","",C40+D40+E40)</f>
        <v/>
      </c>
      <c r="H40" s="6" t="str">
        <f aca="false">IF(A40="","",IF(Inputs!$B$30=FALSE(),"",$B$9-G40))</f>
        <v/>
      </c>
      <c r="I40" s="1" t="str">
        <f aca="false">IF(A40="","",IF(H40&gt;0,"Active","LAPSED"))</f>
        <v/>
      </c>
      <c r="J40" s="1" t="str">
        <f aca="false">IF(A40="","",IF(AND(H41&lt;0,H40&gt;0),1,0))</f>
        <v/>
      </c>
    </row>
    <row r="41" customFormat="false" ht="15" hidden="false" customHeight="false" outlineLevel="0" collapsed="false">
      <c r="A41" s="1" t="str">
        <f aca="false">IF(OR(A40="",H40&lt;=0),"",A40+1)</f>
        <v/>
      </c>
      <c r="B41" s="3" t="str">
        <f aca="false">IF(A41="","",EOMONTH(B40,12/$B$5))</f>
        <v/>
      </c>
      <c r="C41" s="6" t="str">
        <f aca="false">IF(A41="","",G40)</f>
        <v/>
      </c>
      <c r="D41" s="6" t="str">
        <f aca="false">IF(A41="","",C41*$B$4/$B$5)</f>
        <v/>
      </c>
      <c r="E41" s="6" t="str">
        <f aca="false">IF(A41="","",IF(AND(B41&lt;=$F$9,C41+D41+$B$8&lt;VLOOKUP(B41,Projection_Monthly!$B:$AB,26,TRUE())*$B$10),$B$8,0))</f>
        <v/>
      </c>
      <c r="F41" s="1" t="str">
        <f aca="false">IF(A41="","",MIN($B$8,E41))</f>
        <v/>
      </c>
      <c r="G41" s="6" t="str">
        <f aca="false">IF(A41="","",C41+D41+E41)</f>
        <v/>
      </c>
      <c r="H41" s="6" t="str">
        <f aca="false">IF(A41="","",IF(Inputs!$B$30=FALSE(),"",$B$9-G41))</f>
        <v/>
      </c>
      <c r="I41" s="1" t="str">
        <f aca="false">IF(A41="","",IF(H41&gt;0,"Active","LAPSED"))</f>
        <v/>
      </c>
      <c r="J41" s="1" t="str">
        <f aca="false">IF(A41="","",IF(AND(H42&lt;0,H41&gt;0),1,0))</f>
        <v/>
      </c>
    </row>
    <row r="42" customFormat="false" ht="15" hidden="false" customHeight="false" outlineLevel="0" collapsed="false">
      <c r="A42" s="1" t="str">
        <f aca="false">IF(OR(A41="",H41&lt;=0),"",A41+1)</f>
        <v/>
      </c>
      <c r="B42" s="3" t="str">
        <f aca="false">IF(A42="","",EOMONTH(B41,12/$B$5))</f>
        <v/>
      </c>
      <c r="C42" s="6" t="str">
        <f aca="false">IF(A42="","",G41)</f>
        <v/>
      </c>
      <c r="D42" s="6" t="str">
        <f aca="false">IF(A42="","",C42*$B$4/$B$5)</f>
        <v/>
      </c>
      <c r="E42" s="6" t="str">
        <f aca="false">IF(A42="","",IF(AND(B42&lt;=$F$9,C42+D42+$B$8&lt;VLOOKUP(B42,Projection_Monthly!$B:$AB,26,TRUE())*$B$10),$B$8,0))</f>
        <v/>
      </c>
      <c r="F42" s="1" t="str">
        <f aca="false">IF(A42="","",MIN($B$8,E42))</f>
        <v/>
      </c>
      <c r="G42" s="6" t="str">
        <f aca="false">IF(A42="","",C42+D42+E42)</f>
        <v/>
      </c>
      <c r="H42" s="6" t="str">
        <f aca="false">IF(A42="","",IF(Inputs!$B$30=FALSE(),"",$B$9-G42))</f>
        <v/>
      </c>
      <c r="I42" s="1" t="str">
        <f aca="false">IF(A42="","",IF(H42&gt;0,"Active","LAPSED"))</f>
        <v/>
      </c>
      <c r="J42" s="1" t="str">
        <f aca="false">IF(A42="","",IF(AND(H43&lt;0,H42&gt;0),1,0))</f>
        <v/>
      </c>
    </row>
    <row r="43" customFormat="false" ht="15" hidden="false" customHeight="false" outlineLevel="0" collapsed="false">
      <c r="A43" s="1" t="str">
        <f aca="false">IF(OR(A42="",H42&lt;=0),"",A42+1)</f>
        <v/>
      </c>
      <c r="B43" s="3" t="str">
        <f aca="false">IF(A43="","",EOMONTH(B42,12/$B$5))</f>
        <v/>
      </c>
      <c r="C43" s="6" t="str">
        <f aca="false">IF(A43="","",G42)</f>
        <v/>
      </c>
      <c r="D43" s="6" t="str">
        <f aca="false">IF(A43="","",C43*$B$4/$B$5)</f>
        <v/>
      </c>
      <c r="E43" s="6" t="str">
        <f aca="false">IF(A43="","",IF(AND(B43&lt;=$F$9,C43+D43+$B$8&lt;VLOOKUP(B43,Projection_Monthly!$B:$AB,26,TRUE())*$B$10),$B$8,0))</f>
        <v/>
      </c>
      <c r="F43" s="1" t="str">
        <f aca="false">IF(A43="","",MIN($B$8,E43))</f>
        <v/>
      </c>
      <c r="G43" s="6" t="str">
        <f aca="false">IF(A43="","",C43+D43+E43)</f>
        <v/>
      </c>
      <c r="H43" s="6" t="str">
        <f aca="false">IF(A43="","",IF(Inputs!$B$30=FALSE(),"",$B$9-G43))</f>
        <v/>
      </c>
      <c r="I43" s="1" t="str">
        <f aca="false">IF(A43="","",IF(H43&gt;0,"Active","LAPSED"))</f>
        <v/>
      </c>
      <c r="J43" s="1" t="str">
        <f aca="false">IF(A43="","",IF(AND(H44&lt;0,H43&gt;0),1,0))</f>
        <v/>
      </c>
    </row>
    <row r="44" customFormat="false" ht="15" hidden="false" customHeight="false" outlineLevel="0" collapsed="false">
      <c r="A44" s="1" t="str">
        <f aca="false">IF(OR(A43="",H43&lt;=0),"",A43+1)</f>
        <v/>
      </c>
      <c r="B44" s="3" t="str">
        <f aca="false">IF(A44="","",EOMONTH(B43,12/$B$5))</f>
        <v/>
      </c>
      <c r="C44" s="6" t="str">
        <f aca="false">IF(A44="","",G43)</f>
        <v/>
      </c>
      <c r="D44" s="6" t="str">
        <f aca="false">IF(A44="","",C44*$B$4/$B$5)</f>
        <v/>
      </c>
      <c r="E44" s="6" t="str">
        <f aca="false">IF(A44="","",IF(AND(B44&lt;=$F$9,C44+D44+$B$8&lt;VLOOKUP(B44,Projection_Monthly!$B:$AB,26,TRUE())*$B$10),$B$8,0))</f>
        <v/>
      </c>
      <c r="F44" s="1" t="str">
        <f aca="false">IF(A44="","",MIN($B$8,E44))</f>
        <v/>
      </c>
      <c r="G44" s="6" t="str">
        <f aca="false">IF(A44="","",C44+D44+E44)</f>
        <v/>
      </c>
      <c r="H44" s="6" t="str">
        <f aca="false">IF(A44="","",IF(Inputs!$B$30=FALSE(),"",$B$9-G44))</f>
        <v/>
      </c>
      <c r="I44" s="1" t="str">
        <f aca="false">IF(A44="","",IF(H44&gt;0,"Active","LAPSED"))</f>
        <v/>
      </c>
      <c r="J44" s="1" t="str">
        <f aca="false">IF(A44="","",IF(AND(H45&lt;0,H44&gt;0),1,0))</f>
        <v/>
      </c>
    </row>
    <row r="45" customFormat="false" ht="15" hidden="false" customHeight="false" outlineLevel="0" collapsed="false">
      <c r="A45" s="1" t="str">
        <f aca="false">IF(OR(A44="",H44&lt;=0),"",A44+1)</f>
        <v/>
      </c>
      <c r="B45" s="3" t="str">
        <f aca="false">IF(A45="","",EOMONTH(B44,12/$B$5))</f>
        <v/>
      </c>
      <c r="C45" s="6" t="str">
        <f aca="false">IF(A45="","",G44)</f>
        <v/>
      </c>
      <c r="D45" s="6" t="str">
        <f aca="false">IF(A45="","",C45*$B$4/$B$5)</f>
        <v/>
      </c>
      <c r="E45" s="6" t="str">
        <f aca="false">IF(A45="","",IF(AND(B45&lt;=$F$9,C45+D45+$B$8&lt;VLOOKUP(B45,Projection_Monthly!$B:$AB,26,TRUE())*$B$10),$B$8,0))</f>
        <v/>
      </c>
      <c r="F45" s="1" t="str">
        <f aca="false">IF(A45="","",MIN($B$8,E45))</f>
        <v/>
      </c>
      <c r="G45" s="6" t="str">
        <f aca="false">IF(A45="","",C45+D45+E45)</f>
        <v/>
      </c>
      <c r="H45" s="6" t="str">
        <f aca="false">IF(A45="","",IF(Inputs!$B$30=FALSE(),"",$B$9-G45))</f>
        <v/>
      </c>
      <c r="I45" s="1" t="str">
        <f aca="false">IF(A45="","",IF(H45&gt;0,"Active","LAPSED"))</f>
        <v/>
      </c>
      <c r="J45" s="1" t="str">
        <f aca="false">IF(A45="","",IF(AND(H46&lt;0,H45&gt;0),1,0))</f>
        <v/>
      </c>
    </row>
    <row r="46" customFormat="false" ht="15" hidden="false" customHeight="false" outlineLevel="0" collapsed="false">
      <c r="A46" s="1" t="str">
        <f aca="false">IF(OR(A45="",H45&lt;=0),"",A45+1)</f>
        <v/>
      </c>
      <c r="B46" s="3" t="str">
        <f aca="false">IF(A46="","",EOMONTH(B45,12/$B$5))</f>
        <v/>
      </c>
      <c r="C46" s="6" t="str">
        <f aca="false">IF(A46="","",G45)</f>
        <v/>
      </c>
      <c r="D46" s="6" t="str">
        <f aca="false">IF(A46="","",C46*$B$4/$B$5)</f>
        <v/>
      </c>
      <c r="E46" s="6" t="str">
        <f aca="false">IF(A46="","",IF(AND(B46&lt;=$F$9,C46+D46+$B$8&lt;VLOOKUP(B46,Projection_Monthly!$B:$AB,26,TRUE())*$B$10),$B$8,0))</f>
        <v/>
      </c>
      <c r="F46" s="1" t="str">
        <f aca="false">IF(A46="","",MIN($B$8,E46))</f>
        <v/>
      </c>
      <c r="G46" s="6" t="str">
        <f aca="false">IF(A46="","",C46+D46+E46)</f>
        <v/>
      </c>
      <c r="H46" s="6" t="str">
        <f aca="false">IF(A46="","",IF(Inputs!$B$30=FALSE(),"",$B$9-G46))</f>
        <v/>
      </c>
      <c r="I46" s="1" t="str">
        <f aca="false">IF(A46="","",IF(H46&gt;0,"Active","LAPSED"))</f>
        <v/>
      </c>
      <c r="J46" s="1" t="str">
        <f aca="false">IF(A46="","",IF(AND(H47&lt;0,H46&gt;0),1,0))</f>
        <v/>
      </c>
    </row>
    <row r="47" customFormat="false" ht="15" hidden="false" customHeight="false" outlineLevel="0" collapsed="false">
      <c r="A47" s="1" t="str">
        <f aca="false">IF(OR(A46="",H46&lt;=0),"",A46+1)</f>
        <v/>
      </c>
      <c r="B47" s="3" t="str">
        <f aca="false">IF(A47="","",EOMONTH(B46,12/$B$5))</f>
        <v/>
      </c>
      <c r="C47" s="6" t="str">
        <f aca="false">IF(A47="","",G46)</f>
        <v/>
      </c>
      <c r="D47" s="6" t="str">
        <f aca="false">IF(A47="","",C47*$B$4/$B$5)</f>
        <v/>
      </c>
      <c r="E47" s="6" t="str">
        <f aca="false">IF(A47="","",IF(AND(B47&lt;=$F$9,C47+D47+$B$8&lt;VLOOKUP(B47,Projection_Monthly!$B:$AB,26,TRUE())*$B$10),$B$8,0))</f>
        <v/>
      </c>
      <c r="F47" s="1" t="str">
        <f aca="false">IF(A47="","",MIN($B$8,E47))</f>
        <v/>
      </c>
      <c r="G47" s="6" t="str">
        <f aca="false">IF(A47="","",C47+D47+E47)</f>
        <v/>
      </c>
      <c r="H47" s="6" t="str">
        <f aca="false">IF(A47="","",IF(Inputs!$B$30=FALSE(),"",$B$9-G47))</f>
        <v/>
      </c>
      <c r="I47" s="1" t="str">
        <f aca="false">IF(A47="","",IF(H47&gt;0,"Active","LAPSED"))</f>
        <v/>
      </c>
      <c r="J47" s="1" t="str">
        <f aca="false">IF(A47="","",IF(AND(H48&lt;0,H47&gt;0),1,0))</f>
        <v/>
      </c>
    </row>
    <row r="48" customFormat="false" ht="15" hidden="false" customHeight="false" outlineLevel="0" collapsed="false">
      <c r="A48" s="1" t="str">
        <f aca="false">IF(OR(A47="",H47&lt;=0),"",A47+1)</f>
        <v/>
      </c>
      <c r="B48" s="3" t="str">
        <f aca="false">IF(A48="","",EOMONTH(B47,12/$B$5))</f>
        <v/>
      </c>
      <c r="C48" s="6" t="str">
        <f aca="false">IF(A48="","",G47)</f>
        <v/>
      </c>
      <c r="D48" s="6" t="str">
        <f aca="false">IF(A48="","",C48*$B$4/$B$5)</f>
        <v/>
      </c>
      <c r="E48" s="6" t="str">
        <f aca="false">IF(A48="","",IF(AND(B48&lt;=$F$9,C48+D48+$B$8&lt;VLOOKUP(B48,Projection_Monthly!$B:$AB,26,TRUE())*$B$10),$B$8,0))</f>
        <v/>
      </c>
      <c r="F48" s="1" t="str">
        <f aca="false">IF(A48="","",MIN($B$8,E48))</f>
        <v/>
      </c>
      <c r="G48" s="6" t="str">
        <f aca="false">IF(A48="","",C48+D48+E48)</f>
        <v/>
      </c>
      <c r="H48" s="6" t="str">
        <f aca="false">IF(A48="","",IF(Inputs!$B$30=FALSE(),"",$B$9-G48))</f>
        <v/>
      </c>
      <c r="I48" s="1" t="str">
        <f aca="false">IF(A48="","",IF(H48&gt;0,"Active","LAPSED"))</f>
        <v/>
      </c>
      <c r="J48" s="1" t="str">
        <f aca="false">IF(A48="","",IF(AND(H49&lt;0,H48&gt;0),1,0))</f>
        <v/>
      </c>
    </row>
    <row r="49" customFormat="false" ht="15" hidden="false" customHeight="false" outlineLevel="0" collapsed="false">
      <c r="A49" s="1" t="str">
        <f aca="false">IF(OR(A48="",H48&lt;=0),"",A48+1)</f>
        <v/>
      </c>
      <c r="B49" s="3" t="str">
        <f aca="false">IF(A49="","",EOMONTH(B48,12/$B$5))</f>
        <v/>
      </c>
      <c r="C49" s="6" t="str">
        <f aca="false">IF(A49="","",G48)</f>
        <v/>
      </c>
      <c r="D49" s="6" t="str">
        <f aca="false">IF(A49="","",C49*$B$4/$B$5)</f>
        <v/>
      </c>
      <c r="E49" s="6" t="str">
        <f aca="false">IF(A49="","",IF(AND(B49&lt;=$F$9,C49+D49+$B$8&lt;VLOOKUP(B49,Projection_Monthly!$B:$AB,26,TRUE())*$B$10),$B$8,0))</f>
        <v/>
      </c>
      <c r="F49" s="1" t="str">
        <f aca="false">IF(A49="","",MIN($B$8,E49))</f>
        <v/>
      </c>
      <c r="G49" s="6" t="str">
        <f aca="false">IF(A49="","",C49+D49+E49)</f>
        <v/>
      </c>
      <c r="H49" s="6" t="str">
        <f aca="false">IF(A49="","",IF(Inputs!$B$30=FALSE(),"",$B$9-G49))</f>
        <v/>
      </c>
      <c r="I49" s="1" t="str">
        <f aca="false">IF(A49="","",IF(H49&gt;0,"Active","LAPSED"))</f>
        <v/>
      </c>
      <c r="J49" s="1" t="str">
        <f aca="false">IF(A49="","",IF(AND(H50&lt;0,H49&gt;0),1,0))</f>
        <v/>
      </c>
    </row>
    <row r="50" customFormat="false" ht="15" hidden="false" customHeight="false" outlineLevel="0" collapsed="false">
      <c r="A50" s="1" t="str">
        <f aca="false">IF(OR(A49="",H49&lt;=0),"",A49+1)</f>
        <v/>
      </c>
      <c r="B50" s="3" t="str">
        <f aca="false">IF(A50="","",EOMONTH(B49,12/$B$5))</f>
        <v/>
      </c>
      <c r="C50" s="6" t="str">
        <f aca="false">IF(A50="","",G49)</f>
        <v/>
      </c>
      <c r="D50" s="6" t="str">
        <f aca="false">IF(A50="","",C50*$B$4/$B$5)</f>
        <v/>
      </c>
      <c r="E50" s="6" t="str">
        <f aca="false">IF(A50="","",IF(AND(B50&lt;=$F$9,C50+D50+$B$8&lt;VLOOKUP(B50,Projection_Monthly!$B:$AB,26,TRUE())*$B$10),$B$8,0))</f>
        <v/>
      </c>
      <c r="F50" s="1" t="str">
        <f aca="false">IF(A50="","",MIN($B$8,E50))</f>
        <v/>
      </c>
      <c r="G50" s="6" t="str">
        <f aca="false">IF(A50="","",C50+D50+E50)</f>
        <v/>
      </c>
      <c r="H50" s="6" t="str">
        <f aca="false">IF(A50="","",IF(Inputs!$B$30=FALSE(),"",$B$9-G50))</f>
        <v/>
      </c>
      <c r="I50" s="1" t="str">
        <f aca="false">IF(A50="","",IF(H50&gt;0,"Active","LAPSED"))</f>
        <v/>
      </c>
      <c r="J50" s="1" t="str">
        <f aca="false">IF(A50="","",IF(AND(H51&lt;0,H50&gt;0),1,0))</f>
        <v/>
      </c>
    </row>
    <row r="51" customFormat="false" ht="15" hidden="false" customHeight="false" outlineLevel="0" collapsed="false">
      <c r="A51" s="1" t="str">
        <f aca="false">IF(OR(A50="",H50&lt;=0),"",A50+1)</f>
        <v/>
      </c>
      <c r="B51" s="3" t="str">
        <f aca="false">IF(A51="","",EOMONTH(B50,12/$B$5))</f>
        <v/>
      </c>
      <c r="C51" s="6" t="str">
        <f aca="false">IF(A51="","",G50)</f>
        <v/>
      </c>
      <c r="D51" s="6" t="str">
        <f aca="false">IF(A51="","",C51*$B$4/$B$5)</f>
        <v/>
      </c>
      <c r="E51" s="6" t="str">
        <f aca="false">IF(A51="","",IF(AND(B51&lt;=$F$9,C51+D51+$B$8&lt;VLOOKUP(B51,Projection_Monthly!$B:$AB,26,TRUE())*$B$10),$B$8,0))</f>
        <v/>
      </c>
      <c r="F51" s="1" t="str">
        <f aca="false">IF(A51="","",MIN($B$8,E51))</f>
        <v/>
      </c>
      <c r="G51" s="6" t="str">
        <f aca="false">IF(A51="","",C51+D51+E51)</f>
        <v/>
      </c>
      <c r="H51" s="6" t="str">
        <f aca="false">IF(A51="","",IF(Inputs!$B$30=FALSE(),"",$B$9-G51))</f>
        <v/>
      </c>
      <c r="I51" s="1" t="str">
        <f aca="false">IF(A51="","",IF(H51&gt;0,"Active","LAPSED"))</f>
        <v/>
      </c>
      <c r="J51" s="1" t="str">
        <f aca="false">IF(A51="","",IF(AND(H52&lt;0,H51&gt;0),1,0))</f>
        <v/>
      </c>
    </row>
    <row r="52" customFormat="false" ht="15" hidden="false" customHeight="false" outlineLevel="0" collapsed="false">
      <c r="A52" s="1" t="str">
        <f aca="false">IF(OR(A51="",H51&lt;=0),"",A51+1)</f>
        <v/>
      </c>
      <c r="B52" s="3" t="str">
        <f aca="false">IF(A52="","",EOMONTH(B51,12/$B$5))</f>
        <v/>
      </c>
      <c r="C52" s="6" t="str">
        <f aca="false">IF(A52="","",G51)</f>
        <v/>
      </c>
      <c r="D52" s="6" t="str">
        <f aca="false">IF(A52="","",C52*$B$4/$B$5)</f>
        <v/>
      </c>
      <c r="E52" s="6" t="str">
        <f aca="false">IF(A52="","",IF(AND(B52&lt;=$F$9,C52+D52+$B$8&lt;VLOOKUP(B52,Projection_Monthly!$B:$AB,26,TRUE())*$B$10),$B$8,0))</f>
        <v/>
      </c>
      <c r="F52" s="1" t="str">
        <f aca="false">IF(A52="","",MIN($B$8,E52))</f>
        <v/>
      </c>
      <c r="G52" s="6" t="str">
        <f aca="false">IF(A52="","",C52+D52+E52)</f>
        <v/>
      </c>
      <c r="H52" s="6" t="str">
        <f aca="false">IF(A52="","",IF(Inputs!$B$30=FALSE(),"",$B$9-G52))</f>
        <v/>
      </c>
      <c r="I52" s="1" t="str">
        <f aca="false">IF(A52="","",IF(H52&gt;0,"Active","LAPSED"))</f>
        <v/>
      </c>
      <c r="J52" s="1" t="str">
        <f aca="false">IF(A52="","",IF(AND(H53&lt;0,H52&gt;0),1,0))</f>
        <v/>
      </c>
    </row>
    <row r="53" customFormat="false" ht="15" hidden="false" customHeight="false" outlineLevel="0" collapsed="false">
      <c r="A53" s="1" t="str">
        <f aca="false">IF(OR(A52="",H52&lt;=0),"",A52+1)</f>
        <v/>
      </c>
      <c r="B53" s="3" t="str">
        <f aca="false">IF(A53="","",EOMONTH(B52,12/$B$5))</f>
        <v/>
      </c>
      <c r="C53" s="6" t="str">
        <f aca="false">IF(A53="","",G52)</f>
        <v/>
      </c>
      <c r="D53" s="6" t="str">
        <f aca="false">IF(A53="","",C53*$B$4/$B$5)</f>
        <v/>
      </c>
      <c r="E53" s="6" t="str">
        <f aca="false">IF(A53="","",IF(AND(B53&lt;=$F$9,C53+D53+$B$8&lt;VLOOKUP(B53,Projection_Monthly!$B:$AB,26,TRUE())*$B$10),$B$8,0))</f>
        <v/>
      </c>
      <c r="F53" s="1" t="str">
        <f aca="false">IF(A53="","",MIN($B$8,E53))</f>
        <v/>
      </c>
      <c r="G53" s="6" t="str">
        <f aca="false">IF(A53="","",C53+D53+E53)</f>
        <v/>
      </c>
      <c r="H53" s="6" t="str">
        <f aca="false">IF(A53="","",IF(Inputs!$B$30=FALSE(),"",$B$9-G53))</f>
        <v/>
      </c>
      <c r="I53" s="1" t="str">
        <f aca="false">IF(A53="","",IF(H53&gt;0,"Active","LAPSED"))</f>
        <v/>
      </c>
      <c r="J53" s="1" t="str">
        <f aca="false">IF(A53="","",IF(AND(H54&lt;0,H53&gt;0),1,0))</f>
        <v/>
      </c>
    </row>
    <row r="54" customFormat="false" ht="15" hidden="false" customHeight="false" outlineLevel="0" collapsed="false">
      <c r="A54" s="1" t="str">
        <f aca="false">IF(OR(A53="",H53&lt;=0),"",A53+1)</f>
        <v/>
      </c>
      <c r="B54" s="3" t="str">
        <f aca="false">IF(A54="","",EOMONTH(B53,12/$B$5))</f>
        <v/>
      </c>
      <c r="C54" s="6" t="str">
        <f aca="false">IF(A54="","",G53)</f>
        <v/>
      </c>
      <c r="D54" s="6" t="str">
        <f aca="false">IF(A54="","",C54*$B$4/$B$5)</f>
        <v/>
      </c>
      <c r="E54" s="6" t="str">
        <f aca="false">IF(A54="","",IF(AND(B54&lt;=$F$9,C54+D54+$B$8&lt;VLOOKUP(B54,Projection_Monthly!$B:$AB,26,TRUE())*$B$10),$B$8,0))</f>
        <v/>
      </c>
      <c r="F54" s="1" t="str">
        <f aca="false">IF(A54="","",MIN($B$8,E54))</f>
        <v/>
      </c>
      <c r="G54" s="6" t="str">
        <f aca="false">IF(A54="","",C54+D54+E54)</f>
        <v/>
      </c>
      <c r="H54" s="6" t="str">
        <f aca="false">IF(A54="","",IF(Inputs!$B$30=FALSE(),"",$B$9-G54))</f>
        <v/>
      </c>
      <c r="I54" s="1" t="str">
        <f aca="false">IF(A54="","",IF(H54&gt;0,"Active","LAPSED"))</f>
        <v/>
      </c>
      <c r="J54" s="1" t="str">
        <f aca="false">IF(A54="","",IF(AND(H55&lt;0,H54&gt;0),1,0))</f>
        <v/>
      </c>
    </row>
    <row r="55" customFormat="false" ht="15" hidden="false" customHeight="false" outlineLevel="0" collapsed="false">
      <c r="A55" s="1" t="str">
        <f aca="false">IF(OR(A54="",H54&lt;=0),"",A54+1)</f>
        <v/>
      </c>
      <c r="B55" s="3" t="str">
        <f aca="false">IF(A55="","",EOMONTH(B54,12/$B$5))</f>
        <v/>
      </c>
      <c r="C55" s="6" t="str">
        <f aca="false">IF(A55="","",G54)</f>
        <v/>
      </c>
      <c r="D55" s="6" t="str">
        <f aca="false">IF(A55="","",C55*$B$4/$B$5)</f>
        <v/>
      </c>
      <c r="E55" s="6" t="str">
        <f aca="false">IF(A55="","",IF(AND(B55&lt;=$F$9,C55+D55+$B$8&lt;VLOOKUP(B55,Projection_Monthly!$B:$AB,26,TRUE())*$B$10),$B$8,0))</f>
        <v/>
      </c>
      <c r="F55" s="1" t="str">
        <f aca="false">IF(A55="","",MIN($B$8,E55))</f>
        <v/>
      </c>
      <c r="G55" s="6" t="str">
        <f aca="false">IF(A55="","",C55+D55+E55)</f>
        <v/>
      </c>
      <c r="H55" s="6" t="str">
        <f aca="false">IF(A55="","",IF(Inputs!$B$30=FALSE(),"",$B$9-G55))</f>
        <v/>
      </c>
      <c r="I55" s="1" t="str">
        <f aca="false">IF(A55="","",IF(H55&gt;0,"Active","LAPSED"))</f>
        <v/>
      </c>
      <c r="J55" s="1" t="str">
        <f aca="false">IF(A55="","",IF(AND(H56&lt;0,H55&gt;0),1,0))</f>
        <v/>
      </c>
    </row>
    <row r="56" customFormat="false" ht="15" hidden="false" customHeight="false" outlineLevel="0" collapsed="false">
      <c r="A56" s="1" t="str">
        <f aca="false">IF(OR(A55="",H55&lt;=0),"",A55+1)</f>
        <v/>
      </c>
      <c r="B56" s="3" t="str">
        <f aca="false">IF(A56="","",EOMONTH(B55,12/$B$5))</f>
        <v/>
      </c>
      <c r="C56" s="6" t="str">
        <f aca="false">IF(A56="","",G55)</f>
        <v/>
      </c>
      <c r="D56" s="6" t="str">
        <f aca="false">IF(A56="","",C56*$B$4/$B$5)</f>
        <v/>
      </c>
      <c r="E56" s="6" t="str">
        <f aca="false">IF(A56="","",IF(AND(B56&lt;=$F$9,C56+D56+$B$8&lt;VLOOKUP(B56,Projection_Monthly!$B:$AB,26,TRUE())*$B$10),$B$8,0))</f>
        <v/>
      </c>
      <c r="F56" s="1" t="str">
        <f aca="false">IF(A56="","",MIN($B$8,E56))</f>
        <v/>
      </c>
      <c r="G56" s="6" t="str">
        <f aca="false">IF(A56="","",C56+D56+E56)</f>
        <v/>
      </c>
      <c r="H56" s="6" t="str">
        <f aca="false">IF(A56="","",IF(Inputs!$B$30=FALSE(),"",$B$9-G56))</f>
        <v/>
      </c>
      <c r="I56" s="1" t="str">
        <f aca="false">IF(A56="","",IF(H56&gt;0,"Active","LAPSED"))</f>
        <v/>
      </c>
      <c r="J56" s="1" t="str">
        <f aca="false">IF(A56="","",IF(AND(H57&lt;0,H56&gt;0),1,0))</f>
        <v/>
      </c>
    </row>
    <row r="57" customFormat="false" ht="15" hidden="false" customHeight="false" outlineLevel="0" collapsed="false">
      <c r="A57" s="1" t="str">
        <f aca="false">IF(OR(A56="",H56&lt;=0),"",A56+1)</f>
        <v/>
      </c>
      <c r="B57" s="3" t="str">
        <f aca="false">IF(A57="","",EOMONTH(B56,12/$B$5))</f>
        <v/>
      </c>
      <c r="C57" s="6" t="str">
        <f aca="false">IF(A57="","",G56)</f>
        <v/>
      </c>
      <c r="D57" s="6" t="str">
        <f aca="false">IF(A57="","",C57*$B$4/$B$5)</f>
        <v/>
      </c>
      <c r="E57" s="6" t="str">
        <f aca="false">IF(A57="","",IF(AND(B57&lt;=$F$9,C57+D57+$B$8&lt;VLOOKUP(B57,Projection_Monthly!$B:$AB,26,TRUE())*$B$10),$B$8,0))</f>
        <v/>
      </c>
      <c r="F57" s="1" t="str">
        <f aca="false">IF(A57="","",MIN($B$8,E57))</f>
        <v/>
      </c>
      <c r="G57" s="6" t="str">
        <f aca="false">IF(A57="","",C57+D57+E57)</f>
        <v/>
      </c>
      <c r="H57" s="6" t="str">
        <f aca="false">IF(A57="","",IF(Inputs!$B$30=FALSE(),"",$B$9-G57))</f>
        <v/>
      </c>
      <c r="I57" s="1" t="str">
        <f aca="false">IF(A57="","",IF(H57&gt;0,"Active","LAPSED"))</f>
        <v/>
      </c>
      <c r="J57" s="1" t="str">
        <f aca="false">IF(A57="","",IF(AND(H58&lt;0,H57&gt;0),1,0))</f>
        <v/>
      </c>
    </row>
    <row r="58" customFormat="false" ht="15" hidden="false" customHeight="false" outlineLevel="0" collapsed="false">
      <c r="A58" s="1" t="str">
        <f aca="false">IF(OR(A57="",H57&lt;=0),"",A57+1)</f>
        <v/>
      </c>
      <c r="B58" s="3" t="str">
        <f aca="false">IF(A58="","",EOMONTH(B57,12/$B$5))</f>
        <v/>
      </c>
      <c r="C58" s="6" t="str">
        <f aca="false">IF(A58="","",G57)</f>
        <v/>
      </c>
      <c r="D58" s="6" t="str">
        <f aca="false">IF(A58="","",C58*$B$4/$B$5)</f>
        <v/>
      </c>
      <c r="E58" s="6" t="str">
        <f aca="false">IF(A58="","",IF(AND(B58&lt;=$F$9,C58+D58+$B$8&lt;VLOOKUP(B58,Projection_Monthly!$B:$AB,26,TRUE())*$B$10),$B$8,0))</f>
        <v/>
      </c>
      <c r="F58" s="1" t="str">
        <f aca="false">IF(A58="","",MIN($B$8,E58))</f>
        <v/>
      </c>
      <c r="G58" s="6" t="str">
        <f aca="false">IF(A58="","",C58+D58+E58)</f>
        <v/>
      </c>
      <c r="H58" s="6" t="str">
        <f aca="false">IF(A58="","",IF(Inputs!$B$30=FALSE(),"",$B$9-G58))</f>
        <v/>
      </c>
      <c r="I58" s="1" t="str">
        <f aca="false">IF(A58="","",IF(H58&gt;0,"Active","LAPSED"))</f>
        <v/>
      </c>
      <c r="J58" s="1" t="str">
        <f aca="false">IF(A58="","",IF(AND(H59&lt;0,H58&gt;0),1,0))</f>
        <v/>
      </c>
    </row>
    <row r="59" customFormat="false" ht="15" hidden="false" customHeight="false" outlineLevel="0" collapsed="false">
      <c r="A59" s="1" t="str">
        <f aca="false">IF(OR(A58="",H58&lt;=0),"",A58+1)</f>
        <v/>
      </c>
      <c r="B59" s="3" t="str">
        <f aca="false">IF(A59="","",EOMONTH(B58,12/$B$5))</f>
        <v/>
      </c>
      <c r="C59" s="6" t="str">
        <f aca="false">IF(A59="","",G58)</f>
        <v/>
      </c>
      <c r="D59" s="6" t="str">
        <f aca="false">IF(A59="","",C59*$B$4/$B$5)</f>
        <v/>
      </c>
      <c r="E59" s="6" t="str">
        <f aca="false">IF(A59="","",IF(AND(B59&lt;=$F$9,C59+D59+$B$8&lt;VLOOKUP(B59,Projection_Monthly!$B:$AB,26,TRUE())*$B$10),$B$8,0))</f>
        <v/>
      </c>
      <c r="F59" s="1" t="str">
        <f aca="false">IF(A59="","",MIN($B$8,E59))</f>
        <v/>
      </c>
      <c r="G59" s="6" t="str">
        <f aca="false">IF(A59="","",C59+D59+E59)</f>
        <v/>
      </c>
      <c r="H59" s="6" t="str">
        <f aca="false">IF(A59="","",IF(Inputs!$B$30=FALSE(),"",$B$9-G59))</f>
        <v/>
      </c>
      <c r="I59" s="1" t="str">
        <f aca="false">IF(A59="","",IF(H59&gt;0,"Active","LAPSED"))</f>
        <v/>
      </c>
      <c r="J59" s="1" t="str">
        <f aca="false">IF(A59="","",IF(AND(H60&lt;0,H59&gt;0),1,0))</f>
        <v/>
      </c>
    </row>
    <row r="60" customFormat="false" ht="15" hidden="false" customHeight="false" outlineLevel="0" collapsed="false">
      <c r="A60" s="1" t="str">
        <f aca="false">IF(OR(A59="",H59&lt;=0),"",A59+1)</f>
        <v/>
      </c>
      <c r="B60" s="3" t="str">
        <f aca="false">IF(A60="","",EOMONTH(B59,12/$B$5))</f>
        <v/>
      </c>
      <c r="C60" s="6" t="str">
        <f aca="false">IF(A60="","",G59)</f>
        <v/>
      </c>
      <c r="D60" s="6" t="str">
        <f aca="false">IF(A60="","",C60*$B$4/$B$5)</f>
        <v/>
      </c>
      <c r="E60" s="6" t="str">
        <f aca="false">IF(A60="","",IF(AND(B60&lt;=$F$9,C60+D60+$B$8&lt;VLOOKUP(B60,Projection_Monthly!$B:$AB,26,TRUE())*$B$10),$B$8,0))</f>
        <v/>
      </c>
      <c r="F60" s="1" t="str">
        <f aca="false">IF(A60="","",MIN($B$8,E60))</f>
        <v/>
      </c>
      <c r="G60" s="6" t="str">
        <f aca="false">IF(A60="","",C60+D60+E60)</f>
        <v/>
      </c>
      <c r="H60" s="6" t="str">
        <f aca="false">IF(A60="","",IF(Inputs!$B$30=FALSE(),"",$B$9-G60))</f>
        <v/>
      </c>
      <c r="I60" s="1" t="str">
        <f aca="false">IF(A60="","",IF(H60&gt;0,"Active","LAPSED"))</f>
        <v/>
      </c>
      <c r="J60" s="1" t="str">
        <f aca="false">IF(A60="","",IF(AND(H61&lt;0,H60&gt;0),1,0))</f>
        <v/>
      </c>
    </row>
    <row r="61" customFormat="false" ht="15" hidden="false" customHeight="false" outlineLevel="0" collapsed="false">
      <c r="A61" s="1" t="str">
        <f aca="false">IF(OR(A60="",H60&lt;=0),"",A60+1)</f>
        <v/>
      </c>
      <c r="B61" s="3" t="str">
        <f aca="false">IF(A61="","",EOMONTH(B60,12/$B$5))</f>
        <v/>
      </c>
      <c r="C61" s="6" t="str">
        <f aca="false">IF(A61="","",G60)</f>
        <v/>
      </c>
      <c r="D61" s="6" t="str">
        <f aca="false">IF(A61="","",C61*$B$4/$B$5)</f>
        <v/>
      </c>
      <c r="E61" s="6" t="str">
        <f aca="false">IF(A61="","",IF(AND(B61&lt;=$F$9,C61+D61+$B$8&lt;VLOOKUP(B61,Projection_Monthly!$B:$AB,26,TRUE())*$B$10),$B$8,0))</f>
        <v/>
      </c>
      <c r="F61" s="1" t="str">
        <f aca="false">IF(A61="","",MIN($B$8,E61))</f>
        <v/>
      </c>
      <c r="G61" s="6" t="str">
        <f aca="false">IF(A61="","",C61+D61+E61)</f>
        <v/>
      </c>
      <c r="H61" s="6" t="str">
        <f aca="false">IF(A61="","",IF(Inputs!$B$30=FALSE(),"",$B$9-G61))</f>
        <v/>
      </c>
      <c r="I61" s="1" t="str">
        <f aca="false">IF(A61="","",IF(H61&gt;0,"Active","LAPSED"))</f>
        <v/>
      </c>
      <c r="J61" s="1" t="str">
        <f aca="false">IF(A61="","",IF(AND(H62&lt;0,H61&gt;0),1,0))</f>
        <v/>
      </c>
    </row>
    <row r="62" customFormat="false" ht="15" hidden="false" customHeight="false" outlineLevel="0" collapsed="false">
      <c r="A62" s="1" t="str">
        <f aca="false">IF(OR(A61="",H61&lt;=0),"",A61+1)</f>
        <v/>
      </c>
      <c r="B62" s="3" t="str">
        <f aca="false">IF(A62="","",EOMONTH(B61,12/$B$5))</f>
        <v/>
      </c>
      <c r="C62" s="6" t="str">
        <f aca="false">IF(A62="","",G61)</f>
        <v/>
      </c>
      <c r="D62" s="6" t="str">
        <f aca="false">IF(A62="","",C62*$B$4/$B$5)</f>
        <v/>
      </c>
      <c r="E62" s="6" t="str">
        <f aca="false">IF(A62="","",IF(AND(B62&lt;=$F$9,C62+D62+$B$8&lt;VLOOKUP(B62,Projection_Monthly!$B:$AB,26,TRUE())*$B$10),$B$8,0))</f>
        <v/>
      </c>
      <c r="F62" s="1" t="str">
        <f aca="false">IF(A62="","",MIN($B$8,E62))</f>
        <v/>
      </c>
      <c r="G62" s="6" t="str">
        <f aca="false">IF(A62="","",C62+D62+E62)</f>
        <v/>
      </c>
      <c r="H62" s="6" t="str">
        <f aca="false">IF(A62="","",IF(Inputs!$B$30=FALSE(),"",$B$9-G62))</f>
        <v/>
      </c>
      <c r="I62" s="1" t="str">
        <f aca="false">IF(A62="","",IF(H62&gt;0,"Active","LAPSED"))</f>
        <v/>
      </c>
      <c r="J62" s="1" t="str">
        <f aca="false">IF(A62="","",IF(AND(H63&lt;0,H62&gt;0),1,0))</f>
        <v/>
      </c>
    </row>
    <row r="63" customFormat="false" ht="15" hidden="false" customHeight="false" outlineLevel="0" collapsed="false">
      <c r="A63" s="1" t="str">
        <f aca="false">IF(OR(A62="",H62&lt;=0),"",A62+1)</f>
        <v/>
      </c>
      <c r="B63" s="3" t="str">
        <f aca="false">IF(A63="","",EOMONTH(B62,12/$B$5))</f>
        <v/>
      </c>
      <c r="C63" s="6" t="str">
        <f aca="false">IF(A63="","",G62)</f>
        <v/>
      </c>
      <c r="D63" s="6" t="str">
        <f aca="false">IF(A63="","",C63*$B$4/$B$5)</f>
        <v/>
      </c>
      <c r="E63" s="6" t="str">
        <f aca="false">IF(A63="","",IF(AND(B63&lt;=$F$9,C63+D63+$B$8&lt;VLOOKUP(B63,Projection_Monthly!$B:$AB,26,TRUE())*$B$10),$B$8,0))</f>
        <v/>
      </c>
      <c r="F63" s="1" t="str">
        <f aca="false">IF(A63="","",MIN($B$8,E63))</f>
        <v/>
      </c>
      <c r="G63" s="6" t="str">
        <f aca="false">IF(A63="","",C63+D63+E63)</f>
        <v/>
      </c>
      <c r="H63" s="6" t="str">
        <f aca="false">IF(A63="","",IF(Inputs!$B$30=FALSE(),"",$B$9-G63))</f>
        <v/>
      </c>
      <c r="I63" s="1" t="str">
        <f aca="false">IF(A63="","",IF(H63&gt;0,"Active","LAPSED"))</f>
        <v/>
      </c>
      <c r="J63" s="1" t="str">
        <f aca="false">IF(A63="","",IF(AND(H64&lt;0,H63&gt;0),1,0))</f>
        <v/>
      </c>
    </row>
    <row r="64" customFormat="false" ht="15" hidden="false" customHeight="false" outlineLevel="0" collapsed="false">
      <c r="A64" s="1" t="str">
        <f aca="false">IF(OR(A63="",H63&lt;=0),"",A63+1)</f>
        <v/>
      </c>
      <c r="B64" s="3" t="str">
        <f aca="false">IF(A64="","",EOMONTH(B63,12/$B$5))</f>
        <v/>
      </c>
      <c r="C64" s="6" t="str">
        <f aca="false">IF(A64="","",G63)</f>
        <v/>
      </c>
      <c r="D64" s="6" t="str">
        <f aca="false">IF(A64="","",C64*$B$4/$B$5)</f>
        <v/>
      </c>
      <c r="E64" s="6" t="str">
        <f aca="false">IF(A64="","",IF(AND(B64&lt;=$F$9,C64+D64+$B$8&lt;VLOOKUP(B64,Projection_Monthly!$B:$AB,26,TRUE())*$B$10),$B$8,0))</f>
        <v/>
      </c>
      <c r="F64" s="1" t="str">
        <f aca="false">IF(A64="","",MIN($B$8,E64))</f>
        <v/>
      </c>
      <c r="G64" s="6" t="str">
        <f aca="false">IF(A64="","",C64+D64+E64)</f>
        <v/>
      </c>
      <c r="H64" s="6" t="str">
        <f aca="false">IF(A64="","",IF(Inputs!$B$30=FALSE(),"",$B$9-G64))</f>
        <v/>
      </c>
      <c r="I64" s="1" t="str">
        <f aca="false">IF(A64="","",IF(H64&gt;0,"Active","LAPSED"))</f>
        <v/>
      </c>
      <c r="J64" s="1" t="str">
        <f aca="false">IF(A64="","",IF(AND(H65&lt;0,H64&gt;0),1,0))</f>
        <v/>
      </c>
    </row>
    <row r="65" customFormat="false" ht="15" hidden="false" customHeight="false" outlineLevel="0" collapsed="false">
      <c r="A65" s="1" t="str">
        <f aca="false">IF(OR(A64="",H64&lt;=0),"",A64+1)</f>
        <v/>
      </c>
      <c r="B65" s="3" t="str">
        <f aca="false">IF(A65="","",EOMONTH(B64,12/$B$5))</f>
        <v/>
      </c>
      <c r="C65" s="6" t="str">
        <f aca="false">IF(A65="","",G64)</f>
        <v/>
      </c>
      <c r="D65" s="6" t="str">
        <f aca="false">IF(A65="","",C65*$B$4/$B$5)</f>
        <v/>
      </c>
      <c r="E65" s="6" t="str">
        <f aca="false">IF(A65="","",IF(AND(B65&lt;=$F$9,C65+D65+$B$8&lt;VLOOKUP(B65,Projection_Monthly!$B:$AB,26,TRUE())*$B$10),$B$8,0))</f>
        <v/>
      </c>
      <c r="F65" s="1" t="str">
        <f aca="false">IF(A65="","",MIN($B$8,E65))</f>
        <v/>
      </c>
      <c r="G65" s="6" t="str">
        <f aca="false">IF(A65="","",C65+D65+E65)</f>
        <v/>
      </c>
      <c r="H65" s="6" t="str">
        <f aca="false">IF(A65="","",IF(Inputs!$B$30=FALSE(),"",$B$9-G65))</f>
        <v/>
      </c>
      <c r="I65" s="1" t="str">
        <f aca="false">IF(A65="","",IF(H65&gt;0,"Active","LAPSED"))</f>
        <v/>
      </c>
      <c r="J65" s="1" t="str">
        <f aca="false">IF(A65="","",IF(AND(H66&lt;0,H65&gt;0),1,0))</f>
        <v/>
      </c>
    </row>
    <row r="66" customFormat="false" ht="15" hidden="false" customHeight="false" outlineLevel="0" collapsed="false">
      <c r="A66" s="1" t="str">
        <f aca="false">IF(OR(A65="",H65&lt;=0),"",A65+1)</f>
        <v/>
      </c>
      <c r="B66" s="3" t="str">
        <f aca="false">IF(A66="","",EOMONTH(B65,12/$B$5))</f>
        <v/>
      </c>
      <c r="C66" s="6" t="str">
        <f aca="false">IF(A66="","",G65)</f>
        <v/>
      </c>
      <c r="D66" s="6" t="str">
        <f aca="false">IF(A66="","",C66*$B$4/$B$5)</f>
        <v/>
      </c>
      <c r="E66" s="6" t="str">
        <f aca="false">IF(A66="","",IF(AND(B66&lt;=$F$9,C66+D66+$B$8&lt;VLOOKUP(B66,Projection_Monthly!$B:$AB,26,TRUE())*$B$10),$B$8,0))</f>
        <v/>
      </c>
      <c r="F66" s="1" t="str">
        <f aca="false">IF(A66="","",MIN($B$8,E66))</f>
        <v/>
      </c>
      <c r="G66" s="6" t="str">
        <f aca="false">IF(A66="","",C66+D66+E66)</f>
        <v/>
      </c>
      <c r="H66" s="6" t="str">
        <f aca="false">IF(A66="","",IF(Inputs!$B$30=FALSE(),"",$B$9-G66))</f>
        <v/>
      </c>
      <c r="I66" s="1" t="str">
        <f aca="false">IF(A66="","",IF(H66&gt;0,"Active","LAPSED"))</f>
        <v/>
      </c>
      <c r="J66" s="1" t="str">
        <f aca="false">IF(A66="","",IF(AND(H67&lt;0,H66&gt;0),1,0))</f>
        <v/>
      </c>
    </row>
    <row r="67" customFormat="false" ht="15" hidden="false" customHeight="false" outlineLevel="0" collapsed="false">
      <c r="A67" s="1" t="str">
        <f aca="false">IF(OR(A66="",H66&lt;=0),"",A66+1)</f>
        <v/>
      </c>
      <c r="B67" s="3" t="str">
        <f aca="false">IF(A67="","",EOMONTH(B66,12/$B$5))</f>
        <v/>
      </c>
      <c r="C67" s="6" t="str">
        <f aca="false">IF(A67="","",G66)</f>
        <v/>
      </c>
      <c r="D67" s="6" t="str">
        <f aca="false">IF(A67="","",C67*$B$4/$B$5)</f>
        <v/>
      </c>
      <c r="E67" s="6" t="str">
        <f aca="false">IF(A67="","",IF(AND(B67&lt;=$F$9,C67+D67+$B$8&lt;VLOOKUP(B67,Projection_Monthly!$B:$AB,26,TRUE())*$B$10),$B$8,0))</f>
        <v/>
      </c>
      <c r="F67" s="1" t="str">
        <f aca="false">IF(A67="","",MIN($B$8,E67))</f>
        <v/>
      </c>
      <c r="G67" s="6" t="str">
        <f aca="false">IF(A67="","",C67+D67+E67)</f>
        <v/>
      </c>
      <c r="H67" s="6" t="str">
        <f aca="false">IF(A67="","",IF(Inputs!$B$30=FALSE(),"",$B$9-G67))</f>
        <v/>
      </c>
      <c r="I67" s="1" t="str">
        <f aca="false">IF(A67="","",IF(H67&gt;0,"Active","LAPSED"))</f>
        <v/>
      </c>
      <c r="J67" s="1" t="str">
        <f aca="false">IF(A67="","",IF(AND(H68&lt;0,H67&gt;0),1,0))</f>
        <v/>
      </c>
    </row>
    <row r="68" customFormat="false" ht="15" hidden="false" customHeight="false" outlineLevel="0" collapsed="false">
      <c r="A68" s="1" t="str">
        <f aca="false">IF(OR(A67="",H67&lt;=0),"",A67+1)</f>
        <v/>
      </c>
      <c r="B68" s="3" t="str">
        <f aca="false">IF(A68="","",EOMONTH(B67,12/$B$5))</f>
        <v/>
      </c>
      <c r="C68" s="6" t="str">
        <f aca="false">IF(A68="","",G67)</f>
        <v/>
      </c>
      <c r="D68" s="6" t="str">
        <f aca="false">IF(A68="","",C68*$B$4/$B$5)</f>
        <v/>
      </c>
      <c r="E68" s="6" t="str">
        <f aca="false">IF(A68="","",IF(AND(B68&lt;=$F$9,C68+D68+$B$8&lt;VLOOKUP(B68,Projection_Monthly!$B:$AB,26,TRUE())*$B$10),$B$8,0))</f>
        <v/>
      </c>
      <c r="F68" s="1" t="str">
        <f aca="false">IF(A68="","",MIN($B$8,E68))</f>
        <v/>
      </c>
      <c r="G68" s="6" t="str">
        <f aca="false">IF(A68="","",C68+D68+E68)</f>
        <v/>
      </c>
      <c r="H68" s="6" t="str">
        <f aca="false">IF(A68="","",IF(Inputs!$B$30=FALSE(),"",$B$9-G68))</f>
        <v/>
      </c>
      <c r="I68" s="1" t="str">
        <f aca="false">IF(A68="","",IF(H68&gt;0,"Active","LAPSED"))</f>
        <v/>
      </c>
      <c r="J68" s="1" t="str">
        <f aca="false">IF(A68="","",IF(AND(H69&lt;0,H68&gt;0),1,0))</f>
        <v/>
      </c>
    </row>
    <row r="69" customFormat="false" ht="15" hidden="false" customHeight="false" outlineLevel="0" collapsed="false">
      <c r="A69" s="1" t="str">
        <f aca="false">IF(OR(A68="",H68&lt;=0),"",A68+1)</f>
        <v/>
      </c>
      <c r="B69" s="3" t="str">
        <f aca="false">IF(A69="","",EOMONTH(B68,12/$B$5))</f>
        <v/>
      </c>
      <c r="C69" s="6" t="str">
        <f aca="false">IF(A69="","",G68)</f>
        <v/>
      </c>
      <c r="D69" s="6" t="str">
        <f aca="false">IF(A69="","",C69*$B$4/$B$5)</f>
        <v/>
      </c>
      <c r="E69" s="6" t="str">
        <f aca="false">IF(A69="","",IF(AND(B69&lt;=$F$9,C69+D69+$B$8&lt;VLOOKUP(B69,Projection_Monthly!$B:$AB,26,TRUE())*$B$10),$B$8,0))</f>
        <v/>
      </c>
      <c r="F69" s="1" t="str">
        <f aca="false">IF(A69="","",MIN($B$8,E69))</f>
        <v/>
      </c>
      <c r="G69" s="6" t="str">
        <f aca="false">IF(A69="","",C69+D69+E69)</f>
        <v/>
      </c>
      <c r="H69" s="6" t="str">
        <f aca="false">IF(A69="","",IF(Inputs!$B$30=FALSE(),"",$B$9-G69))</f>
        <v/>
      </c>
      <c r="I69" s="1" t="str">
        <f aca="false">IF(A69="","",IF(H69&gt;0,"Active","LAPSED"))</f>
        <v/>
      </c>
      <c r="J69" s="1" t="str">
        <f aca="false">IF(A69="","",IF(AND(H70&lt;0,H69&gt;0),1,0))</f>
        <v/>
      </c>
    </row>
    <row r="70" customFormat="false" ht="15" hidden="false" customHeight="false" outlineLevel="0" collapsed="false">
      <c r="A70" s="1" t="str">
        <f aca="false">IF(OR(A69="",H69&lt;=0),"",A69+1)</f>
        <v/>
      </c>
      <c r="B70" s="3" t="str">
        <f aca="false">IF(A70="","",EOMONTH(B69,12/$B$5))</f>
        <v/>
      </c>
      <c r="C70" s="6" t="str">
        <f aca="false">IF(A70="","",G69)</f>
        <v/>
      </c>
      <c r="D70" s="6" t="str">
        <f aca="false">IF(A70="","",C70*$B$4/$B$5)</f>
        <v/>
      </c>
      <c r="E70" s="6" t="str">
        <f aca="false">IF(A70="","",IF(AND(B70&lt;=$F$9,C70+D70+$B$8&lt;VLOOKUP(B70,Projection_Monthly!$B:$AB,26,TRUE())*$B$10),$B$8,0))</f>
        <v/>
      </c>
      <c r="F70" s="1" t="str">
        <f aca="false">IF(A70="","",MIN($B$8,E70))</f>
        <v/>
      </c>
      <c r="G70" s="6" t="str">
        <f aca="false">IF(A70="","",C70+D70+E70)</f>
        <v/>
      </c>
      <c r="H70" s="6" t="str">
        <f aca="false">IF(A70="","",IF(Inputs!$B$30=FALSE(),"",$B$9-G70))</f>
        <v/>
      </c>
      <c r="I70" s="1" t="str">
        <f aca="false">IF(A70="","",IF(H70&gt;0,"Active","LAPSED"))</f>
        <v/>
      </c>
      <c r="J70" s="1" t="str">
        <f aca="false">IF(A70="","",IF(AND(H71&lt;0,H70&gt;0),1,0))</f>
        <v/>
      </c>
    </row>
    <row r="71" customFormat="false" ht="15" hidden="false" customHeight="false" outlineLevel="0" collapsed="false">
      <c r="A71" s="1" t="str">
        <f aca="false">IF(OR(A70="",H70&lt;=0),"",A70+1)</f>
        <v/>
      </c>
      <c r="B71" s="3" t="str">
        <f aca="false">IF(A71="","",EOMONTH(B70,12/$B$5))</f>
        <v/>
      </c>
      <c r="C71" s="6" t="str">
        <f aca="false">IF(A71="","",G70)</f>
        <v/>
      </c>
      <c r="D71" s="6" t="str">
        <f aca="false">IF(A71="","",C71*$B$4/$B$5)</f>
        <v/>
      </c>
      <c r="E71" s="6" t="str">
        <f aca="false">IF(A71="","",IF(AND(B71&lt;=$F$9,C71+D71+$B$8&lt;VLOOKUP(B71,Projection_Monthly!$B:$AB,26,TRUE())*$B$10),$B$8,0))</f>
        <v/>
      </c>
      <c r="F71" s="1" t="str">
        <f aca="false">IF(A71="","",MIN($B$8,E71))</f>
        <v/>
      </c>
      <c r="G71" s="6" t="str">
        <f aca="false">IF(A71="","",C71+D71+E71)</f>
        <v/>
      </c>
      <c r="H71" s="6" t="str">
        <f aca="false">IF(A71="","",IF(Inputs!$B$30=FALSE(),"",$B$9-G71))</f>
        <v/>
      </c>
      <c r="I71" s="1" t="str">
        <f aca="false">IF(A71="","",IF(H71&gt;0,"Active","LAPSED"))</f>
        <v/>
      </c>
      <c r="J71" s="1" t="str">
        <f aca="false">IF(A71="","",IF(AND(H72&lt;0,H71&gt;0),1,0))</f>
        <v/>
      </c>
    </row>
    <row r="72" customFormat="false" ht="15" hidden="false" customHeight="false" outlineLevel="0" collapsed="false">
      <c r="A72" s="1" t="str">
        <f aca="false">IF(OR(A71="",H71&lt;=0),"",A71+1)</f>
        <v/>
      </c>
      <c r="B72" s="3" t="str">
        <f aca="false">IF(A72="","",EOMONTH(B71,12/$B$5))</f>
        <v/>
      </c>
      <c r="C72" s="6" t="str">
        <f aca="false">IF(A72="","",G71)</f>
        <v/>
      </c>
      <c r="D72" s="6" t="str">
        <f aca="false">IF(A72="","",C72*$B$4/$B$5)</f>
        <v/>
      </c>
      <c r="E72" s="6" t="str">
        <f aca="false">IF(A72="","",IF(AND(B72&lt;=$F$9,C72+D72+$B$8&lt;VLOOKUP(B72,Projection_Monthly!$B:$AB,26,TRUE())*$B$10),$B$8,0))</f>
        <v/>
      </c>
      <c r="F72" s="1" t="str">
        <f aca="false">IF(A72="","",MIN($B$8,E72))</f>
        <v/>
      </c>
      <c r="G72" s="6" t="str">
        <f aca="false">IF(A72="","",C72+D72+E72)</f>
        <v/>
      </c>
      <c r="H72" s="6" t="str">
        <f aca="false">IF(A72="","",IF(Inputs!$B$30=FALSE(),"",$B$9-G72))</f>
        <v/>
      </c>
      <c r="I72" s="1" t="str">
        <f aca="false">IF(A72="","",IF(H72&gt;0,"Active","LAPSED"))</f>
        <v/>
      </c>
      <c r="J72" s="1" t="str">
        <f aca="false">IF(A72="","",IF(AND(H73&lt;0,H72&gt;0),1,0))</f>
        <v/>
      </c>
    </row>
    <row r="73" customFormat="false" ht="15" hidden="false" customHeight="false" outlineLevel="0" collapsed="false">
      <c r="A73" s="1" t="str">
        <f aca="false">IF(OR(A72="",H72&lt;=0),"",A72+1)</f>
        <v/>
      </c>
      <c r="B73" s="3" t="str">
        <f aca="false">IF(A73="","",EOMONTH(B72,12/$B$5))</f>
        <v/>
      </c>
      <c r="C73" s="6" t="str">
        <f aca="false">IF(A73="","",G72)</f>
        <v/>
      </c>
      <c r="D73" s="6" t="str">
        <f aca="false">IF(A73="","",C73*$B$4/$B$5)</f>
        <v/>
      </c>
      <c r="E73" s="6" t="str">
        <f aca="false">IF(A73="","",IF(AND(B73&lt;=$F$9,C73+D73+$B$8&lt;VLOOKUP(B73,Projection_Monthly!$B:$AB,26,TRUE())*$B$10),$B$8,0))</f>
        <v/>
      </c>
      <c r="F73" s="1" t="str">
        <f aca="false">IF(A73="","",MIN($B$8,E73))</f>
        <v/>
      </c>
      <c r="G73" s="6" t="str">
        <f aca="false">IF(A73="","",C73+D73+E73)</f>
        <v/>
      </c>
      <c r="H73" s="6" t="str">
        <f aca="false">IF(A73="","",IF(Inputs!$B$30=FALSE(),"",$B$9-G73))</f>
        <v/>
      </c>
      <c r="I73" s="1" t="str">
        <f aca="false">IF(A73="","",IF(H73&gt;0,"Active","LAPSED"))</f>
        <v/>
      </c>
      <c r="J73" s="1" t="str">
        <f aca="false">IF(A73="","",IF(AND(H74&lt;0,H73&gt;0),1,0))</f>
        <v/>
      </c>
    </row>
    <row r="74" customFormat="false" ht="15" hidden="false" customHeight="false" outlineLevel="0" collapsed="false">
      <c r="A74" s="1" t="str">
        <f aca="false">IF(OR(A73="",H73&lt;=0),"",A73+1)</f>
        <v/>
      </c>
      <c r="B74" s="3" t="str">
        <f aca="false">IF(A74="","",EOMONTH(B73,12/$B$5))</f>
        <v/>
      </c>
      <c r="C74" s="6" t="str">
        <f aca="false">IF(A74="","",G73)</f>
        <v/>
      </c>
      <c r="D74" s="6" t="str">
        <f aca="false">IF(A74="","",C74*$B$4/$B$5)</f>
        <v/>
      </c>
      <c r="E74" s="6" t="str">
        <f aca="false">IF(A74="","",IF(AND(B74&lt;=$F$9,C74+D74+$B$8&lt;VLOOKUP(B74,Projection_Monthly!$B:$AB,26,TRUE())*$B$10),$B$8,0))</f>
        <v/>
      </c>
      <c r="F74" s="1" t="str">
        <f aca="false">IF(A74="","",MIN($B$8,E74))</f>
        <v/>
      </c>
      <c r="G74" s="6" t="str">
        <f aca="false">IF(A74="","",C74+D74+E74)</f>
        <v/>
      </c>
      <c r="H74" s="6" t="str">
        <f aca="false">IF(A74="","",IF(Inputs!$B$30=FALSE(),"",$B$9-G74))</f>
        <v/>
      </c>
      <c r="I74" s="1" t="str">
        <f aca="false">IF(A74="","",IF(H74&gt;0,"Active","LAPSED"))</f>
        <v/>
      </c>
      <c r="J74" s="1" t="str">
        <f aca="false">IF(A74="","",IF(AND(H75&lt;0,H74&gt;0),1,0))</f>
        <v/>
      </c>
    </row>
    <row r="75" customFormat="false" ht="15" hidden="false" customHeight="false" outlineLevel="0" collapsed="false">
      <c r="A75" s="1" t="str">
        <f aca="false">IF(OR(A74="",H74&lt;=0),"",A74+1)</f>
        <v/>
      </c>
      <c r="B75" s="3" t="str">
        <f aca="false">IF(A75="","",EOMONTH(B74,12/$B$5))</f>
        <v/>
      </c>
      <c r="C75" s="6" t="str">
        <f aca="false">IF(A75="","",G74)</f>
        <v/>
      </c>
      <c r="D75" s="6" t="str">
        <f aca="false">IF(A75="","",C75*$B$4/$B$5)</f>
        <v/>
      </c>
      <c r="E75" s="6" t="str">
        <f aca="false">IF(A75="","",IF(AND(B75&lt;=$F$9,C75+D75+$B$8&lt;VLOOKUP(B75,Projection_Monthly!$B:$AB,26,TRUE())*$B$10),$B$8,0))</f>
        <v/>
      </c>
      <c r="F75" s="1" t="str">
        <f aca="false">IF(A75="","",MIN($B$8,E75))</f>
        <v/>
      </c>
      <c r="G75" s="6" t="str">
        <f aca="false">IF(A75="","",C75+D75+E75)</f>
        <v/>
      </c>
      <c r="H75" s="6" t="str">
        <f aca="false">IF(A75="","",IF(Inputs!$B$30=FALSE(),"",$B$9-G75))</f>
        <v/>
      </c>
      <c r="I75" s="1" t="str">
        <f aca="false">IF(A75="","",IF(H75&gt;0,"Active","LAPSED"))</f>
        <v/>
      </c>
      <c r="J75" s="1" t="str">
        <f aca="false">IF(A75="","",IF(AND(H76&lt;0,H75&gt;0),1,0))</f>
        <v/>
      </c>
    </row>
    <row r="76" customFormat="false" ht="15" hidden="false" customHeight="false" outlineLevel="0" collapsed="false">
      <c r="A76" s="1" t="str">
        <f aca="false">IF(OR(A75="",H75&lt;=0),"",A75+1)</f>
        <v/>
      </c>
      <c r="B76" s="3" t="str">
        <f aca="false">IF(A76="","",EOMONTH(B75,12/$B$5))</f>
        <v/>
      </c>
      <c r="C76" s="6" t="str">
        <f aca="false">IF(A76="","",G75)</f>
        <v/>
      </c>
      <c r="D76" s="6" t="str">
        <f aca="false">IF(A76="","",C76*$B$4/$B$5)</f>
        <v/>
      </c>
      <c r="E76" s="6" t="str">
        <f aca="false">IF(A76="","",IF(AND(B76&lt;=$F$9,C76+D76+$B$8&lt;VLOOKUP(B76,Projection_Monthly!$B:$AB,26,TRUE())*$B$10),$B$8,0))</f>
        <v/>
      </c>
      <c r="F76" s="1" t="str">
        <f aca="false">IF(A76="","",MIN($B$8,E76))</f>
        <v/>
      </c>
      <c r="G76" s="6" t="str">
        <f aca="false">IF(A76="","",C76+D76+E76)</f>
        <v/>
      </c>
      <c r="H76" s="6" t="str">
        <f aca="false">IF(A76="","",IF(Inputs!$B$30=FALSE(),"",$B$9-G76))</f>
        <v/>
      </c>
      <c r="I76" s="1" t="str">
        <f aca="false">IF(A76="","",IF(H76&gt;0,"Active","LAPSED"))</f>
        <v/>
      </c>
      <c r="J76" s="1" t="str">
        <f aca="false">IF(A76="","",IF(AND(H77&lt;0,H76&gt;0),1,0))</f>
        <v/>
      </c>
    </row>
    <row r="77" customFormat="false" ht="15" hidden="false" customHeight="false" outlineLevel="0" collapsed="false">
      <c r="A77" s="1" t="str">
        <f aca="false">IF(OR(A76="",H76&lt;=0),"",A76+1)</f>
        <v/>
      </c>
      <c r="B77" s="3" t="str">
        <f aca="false">IF(A77="","",EOMONTH(B76,12/$B$5))</f>
        <v/>
      </c>
      <c r="C77" s="6" t="str">
        <f aca="false">IF(A77="","",G76)</f>
        <v/>
      </c>
      <c r="D77" s="6" t="str">
        <f aca="false">IF(A77="","",C77*$B$4/$B$5)</f>
        <v/>
      </c>
      <c r="E77" s="6" t="str">
        <f aca="false">IF(A77="","",IF(AND(B77&lt;=$F$9,C77+D77+$B$8&lt;VLOOKUP(B77,Projection_Monthly!$B:$AB,26,TRUE())*$B$10),$B$8,0))</f>
        <v/>
      </c>
      <c r="F77" s="1" t="str">
        <f aca="false">IF(A77="","",MIN($B$8,E77))</f>
        <v/>
      </c>
      <c r="G77" s="6" t="str">
        <f aca="false">IF(A77="","",C77+D77+E77)</f>
        <v/>
      </c>
      <c r="H77" s="6" t="str">
        <f aca="false">IF(A77="","",IF(Inputs!$B$30=FALSE(),"",$B$9-G77))</f>
        <v/>
      </c>
      <c r="I77" s="1" t="str">
        <f aca="false">IF(A77="","",IF(H77&gt;0,"Active","LAPSED"))</f>
        <v/>
      </c>
      <c r="J77" s="1" t="str">
        <f aca="false">IF(A77="","",IF(AND(H78&lt;0,H77&gt;0),1,0))</f>
        <v/>
      </c>
    </row>
    <row r="78" customFormat="false" ht="15" hidden="false" customHeight="false" outlineLevel="0" collapsed="false">
      <c r="A78" s="1" t="str">
        <f aca="false">IF(OR(A77="",H77&lt;=0),"",A77+1)</f>
        <v/>
      </c>
      <c r="B78" s="3" t="str">
        <f aca="false">IF(A78="","",EOMONTH(B77,12/$B$5))</f>
        <v/>
      </c>
      <c r="C78" s="6" t="str">
        <f aca="false">IF(A78="","",G77)</f>
        <v/>
      </c>
      <c r="D78" s="6" t="str">
        <f aca="false">IF(A78="","",C78*$B$4/$B$5)</f>
        <v/>
      </c>
      <c r="E78" s="6" t="str">
        <f aca="false">IF(A78="","",IF(AND(B78&lt;=$F$9,C78+D78+$B$8&lt;VLOOKUP(B78,Projection_Monthly!$B:$AB,26,TRUE())*$B$10),$B$8,0))</f>
        <v/>
      </c>
      <c r="F78" s="1" t="str">
        <f aca="false">IF(A78="","",MIN($B$8,E78))</f>
        <v/>
      </c>
      <c r="G78" s="6" t="str">
        <f aca="false">IF(A78="","",C78+D78+E78)</f>
        <v/>
      </c>
      <c r="H78" s="6" t="str">
        <f aca="false">IF(A78="","",IF(Inputs!$B$30=FALSE(),"",$B$9-G78))</f>
        <v/>
      </c>
      <c r="I78" s="1" t="str">
        <f aca="false">IF(A78="","",IF(H78&gt;0,"Active","LAPSED"))</f>
        <v/>
      </c>
      <c r="J78" s="1" t="str">
        <f aca="false">IF(A78="","",IF(AND(H79&lt;0,H78&gt;0),1,0))</f>
        <v/>
      </c>
    </row>
    <row r="79" customFormat="false" ht="15" hidden="false" customHeight="false" outlineLevel="0" collapsed="false">
      <c r="A79" s="1" t="str">
        <f aca="false">IF(OR(A78="",H78&lt;=0),"",A78+1)</f>
        <v/>
      </c>
      <c r="B79" s="3" t="str">
        <f aca="false">IF(A79="","",EOMONTH(B78,12/$B$5))</f>
        <v/>
      </c>
      <c r="C79" s="6" t="str">
        <f aca="false">IF(A79="","",G78)</f>
        <v/>
      </c>
      <c r="D79" s="6" t="str">
        <f aca="false">IF(A79="","",C79*$B$4/$B$5)</f>
        <v/>
      </c>
      <c r="E79" s="6" t="str">
        <f aca="false">IF(A79="","",IF(AND(B79&lt;=$F$9,C79+D79+$B$8&lt;VLOOKUP(B79,Projection_Monthly!$B:$AB,26,TRUE())*$B$10),$B$8,0))</f>
        <v/>
      </c>
      <c r="F79" s="1" t="str">
        <f aca="false">IF(A79="","",MIN($B$8,E79))</f>
        <v/>
      </c>
      <c r="G79" s="6" t="str">
        <f aca="false">IF(A79="","",C79+D79+E79)</f>
        <v/>
      </c>
      <c r="H79" s="6" t="str">
        <f aca="false">IF(A79="","",IF(Inputs!$B$30=FALSE(),"",$B$9-G79))</f>
        <v/>
      </c>
      <c r="I79" s="1" t="str">
        <f aca="false">IF(A79="","",IF(H79&gt;0,"Active","LAPSED"))</f>
        <v/>
      </c>
      <c r="J79" s="1" t="str">
        <f aca="false">IF(A79="","",IF(AND(H80&lt;0,H79&gt;0),1,0))</f>
        <v/>
      </c>
    </row>
    <row r="80" customFormat="false" ht="15" hidden="false" customHeight="false" outlineLevel="0" collapsed="false">
      <c r="A80" s="1" t="str">
        <f aca="false">IF(OR(A79="",H79&lt;=0),"",A79+1)</f>
        <v/>
      </c>
      <c r="B80" s="3" t="str">
        <f aca="false">IF(A80="","",EOMONTH(B79,12/$B$5))</f>
        <v/>
      </c>
      <c r="C80" s="6" t="str">
        <f aca="false">IF(A80="","",G79)</f>
        <v/>
      </c>
      <c r="D80" s="6" t="str">
        <f aca="false">IF(A80="","",C80*$B$4/$B$5)</f>
        <v/>
      </c>
      <c r="E80" s="6" t="str">
        <f aca="false">IF(A80="","",IF(AND(B80&lt;=$F$9,C80+D80+$B$8&lt;VLOOKUP(B80,Projection_Monthly!$B:$AB,26,TRUE())*$B$10),$B$8,0))</f>
        <v/>
      </c>
      <c r="F80" s="1" t="str">
        <f aca="false">IF(A80="","",MIN($B$8,E80))</f>
        <v/>
      </c>
      <c r="G80" s="6" t="str">
        <f aca="false">IF(A80="","",C80+D80+E80)</f>
        <v/>
      </c>
      <c r="H80" s="6" t="str">
        <f aca="false">IF(A80="","",IF(Inputs!$B$30=FALSE(),"",$B$9-G80))</f>
        <v/>
      </c>
      <c r="I80" s="1" t="str">
        <f aca="false">IF(A80="","",IF(H80&gt;0,"Active","LAPSED"))</f>
        <v/>
      </c>
      <c r="J80" s="1" t="str">
        <f aca="false">IF(A80="","",IF(AND(H81&lt;0,H80&gt;0),1,0))</f>
        <v/>
      </c>
    </row>
    <row r="81" customFormat="false" ht="15" hidden="false" customHeight="false" outlineLevel="0" collapsed="false">
      <c r="A81" s="1" t="str">
        <f aca="false">IF(OR(A80="",H80&lt;=0),"",A80+1)</f>
        <v/>
      </c>
      <c r="B81" s="3" t="str">
        <f aca="false">IF(A81="","",EOMONTH(B80,12/$B$5))</f>
        <v/>
      </c>
      <c r="C81" s="6" t="str">
        <f aca="false">IF(A81="","",G80)</f>
        <v/>
      </c>
      <c r="D81" s="6" t="str">
        <f aca="false">IF(A81="","",C81*$B$4/$B$5)</f>
        <v/>
      </c>
      <c r="E81" s="6" t="str">
        <f aca="false">IF(A81="","",IF(AND(B81&lt;=$F$9,C81+D81+$B$8&lt;VLOOKUP(B81,Projection_Monthly!$B:$AB,26,TRUE())*$B$10),$B$8,0))</f>
        <v/>
      </c>
      <c r="F81" s="1" t="str">
        <f aca="false">IF(A81="","",MIN($B$8,E81))</f>
        <v/>
      </c>
      <c r="G81" s="6" t="str">
        <f aca="false">IF(A81="","",C81+D81+E81)</f>
        <v/>
      </c>
      <c r="H81" s="6" t="str">
        <f aca="false">IF(A81="","",IF(Inputs!$B$30=FALSE(),"",$B$9-G81))</f>
        <v/>
      </c>
      <c r="I81" s="1" t="str">
        <f aca="false">IF(A81="","",IF(H81&gt;0,"Active","LAPSED"))</f>
        <v/>
      </c>
      <c r="J81" s="1" t="str">
        <f aca="false">IF(A81="","",IF(AND(H82&lt;0,H81&gt;0),1,0))</f>
        <v/>
      </c>
    </row>
    <row r="82" customFormat="false" ht="15" hidden="false" customHeight="false" outlineLevel="0" collapsed="false">
      <c r="A82" s="1" t="str">
        <f aca="false">IF(OR(A81="",H81&lt;=0),"",A81+1)</f>
        <v/>
      </c>
      <c r="B82" s="3" t="str">
        <f aca="false">IF(A82="","",EOMONTH(B81,12/$B$5))</f>
        <v/>
      </c>
      <c r="C82" s="6" t="str">
        <f aca="false">IF(A82="","",G81)</f>
        <v/>
      </c>
      <c r="D82" s="6" t="str">
        <f aca="false">IF(A82="","",C82*$B$4/$B$5)</f>
        <v/>
      </c>
      <c r="E82" s="6" t="str">
        <f aca="false">IF(A82="","",IF(AND(B82&lt;=$F$9,C82+D82+$B$8&lt;VLOOKUP(B82,Projection_Monthly!$B:$AB,26,TRUE())*$B$10),$B$8,0))</f>
        <v/>
      </c>
      <c r="F82" s="1" t="str">
        <f aca="false">IF(A82="","",MIN($B$8,E82))</f>
        <v/>
      </c>
      <c r="G82" s="6" t="str">
        <f aca="false">IF(A82="","",C82+D82+E82)</f>
        <v/>
      </c>
      <c r="H82" s="6" t="str">
        <f aca="false">IF(A82="","",IF(Inputs!$B$30=FALSE(),"",$B$9-G82))</f>
        <v/>
      </c>
      <c r="I82" s="1" t="str">
        <f aca="false">IF(A82="","",IF(H82&gt;0,"Active","LAPSED"))</f>
        <v/>
      </c>
      <c r="J82" s="1" t="str">
        <f aca="false">IF(A82="","",IF(AND(H83&lt;0,H82&gt;0),1,0))</f>
        <v/>
      </c>
    </row>
    <row r="83" customFormat="false" ht="15" hidden="false" customHeight="false" outlineLevel="0" collapsed="false">
      <c r="A83" s="1" t="str">
        <f aca="false">IF(OR(A82="",H82&lt;=0),"",A82+1)</f>
        <v/>
      </c>
      <c r="B83" s="3" t="str">
        <f aca="false">IF(A83="","",EOMONTH(B82,12/$B$5))</f>
        <v/>
      </c>
      <c r="C83" s="6" t="str">
        <f aca="false">IF(A83="","",G82)</f>
        <v/>
      </c>
      <c r="D83" s="6" t="str">
        <f aca="false">IF(A83="","",C83*$B$4/$B$5)</f>
        <v/>
      </c>
      <c r="E83" s="6" t="str">
        <f aca="false">IF(A83="","",IF(AND(B83&lt;=$F$9,C83+D83+$B$8&lt;VLOOKUP(B83,Projection_Monthly!$B:$AB,26,TRUE())*$B$10),$B$8,0))</f>
        <v/>
      </c>
      <c r="F83" s="1" t="str">
        <f aca="false">IF(A83="","",MIN($B$8,E83))</f>
        <v/>
      </c>
      <c r="G83" s="6" t="str">
        <f aca="false">IF(A83="","",C83+D83+E83)</f>
        <v/>
      </c>
      <c r="H83" s="6" t="str">
        <f aca="false">IF(A83="","",IF(Inputs!$B$30=FALSE(),"",$B$9-G83))</f>
        <v/>
      </c>
      <c r="I83" s="1" t="str">
        <f aca="false">IF(A83="","",IF(H83&gt;0,"Active","LAPSED"))</f>
        <v/>
      </c>
      <c r="J83" s="1" t="str">
        <f aca="false">IF(A83="","",IF(AND(H84&lt;0,H83&gt;0),1,0))</f>
        <v/>
      </c>
    </row>
    <row r="84" customFormat="false" ht="15" hidden="false" customHeight="false" outlineLevel="0" collapsed="false">
      <c r="A84" s="1" t="str">
        <f aca="false">IF(OR(A83="",H83&lt;=0),"",A83+1)</f>
        <v/>
      </c>
      <c r="B84" s="3" t="str">
        <f aca="false">IF(A84="","",EOMONTH(B83,12/$B$5))</f>
        <v/>
      </c>
      <c r="C84" s="6" t="str">
        <f aca="false">IF(A84="","",G83)</f>
        <v/>
      </c>
      <c r="D84" s="6" t="str">
        <f aca="false">IF(A84="","",C84*$B$4/$B$5)</f>
        <v/>
      </c>
      <c r="E84" s="6" t="str">
        <f aca="false">IF(A84="","",IF(AND(B84&lt;=$F$9,C84+D84+$B$8&lt;VLOOKUP(B84,Projection_Monthly!$B:$AB,26,TRUE())*$B$10),$B$8,0))</f>
        <v/>
      </c>
      <c r="F84" s="1" t="str">
        <f aca="false">IF(A84="","",MIN($B$8,E84))</f>
        <v/>
      </c>
      <c r="G84" s="6" t="str">
        <f aca="false">IF(A84="","",C84+D84+E84)</f>
        <v/>
      </c>
      <c r="H84" s="6" t="str">
        <f aca="false">IF(A84="","",IF(Inputs!$B$30=FALSE(),"",$B$9-G84))</f>
        <v/>
      </c>
      <c r="I84" s="1" t="str">
        <f aca="false">IF(A84="","",IF(H84&gt;0,"Active","LAPSED"))</f>
        <v/>
      </c>
      <c r="J84" s="1" t="str">
        <f aca="false">IF(A84="","",IF(AND(H85&lt;0,H84&gt;0),1,0))</f>
        <v/>
      </c>
    </row>
    <row r="85" customFormat="false" ht="15" hidden="false" customHeight="false" outlineLevel="0" collapsed="false">
      <c r="A85" s="1" t="str">
        <f aca="false">IF(OR(A84="",H84&lt;=0),"",A84+1)</f>
        <v/>
      </c>
      <c r="B85" s="3" t="str">
        <f aca="false">IF(A85="","",EOMONTH(B84,12/$B$5))</f>
        <v/>
      </c>
      <c r="C85" s="6" t="str">
        <f aca="false">IF(A85="","",G84)</f>
        <v/>
      </c>
      <c r="D85" s="6" t="str">
        <f aca="false">IF(A85="","",C85*$B$4/$B$5)</f>
        <v/>
      </c>
      <c r="E85" s="6" t="str">
        <f aca="false">IF(A85="","",IF(AND(B85&lt;=$F$9,C85+D85+$B$8&lt;VLOOKUP(B85,Projection_Monthly!$B:$AB,26,TRUE())*$B$10),$B$8,0))</f>
        <v/>
      </c>
      <c r="F85" s="1" t="str">
        <f aca="false">IF(A85="","",MIN($B$8,E85))</f>
        <v/>
      </c>
      <c r="G85" s="6" t="str">
        <f aca="false">IF(A85="","",C85+D85+E85)</f>
        <v/>
      </c>
      <c r="H85" s="6" t="str">
        <f aca="false">IF(A85="","",IF(Inputs!$B$30=FALSE(),"",$B$9-G85))</f>
        <v/>
      </c>
      <c r="I85" s="1" t="str">
        <f aca="false">IF(A85="","",IF(H85&gt;0,"Active","LAPSED"))</f>
        <v/>
      </c>
      <c r="J85" s="1" t="str">
        <f aca="false">IF(A85="","",IF(AND(H86&lt;0,H85&gt;0),1,0))</f>
        <v/>
      </c>
    </row>
    <row r="86" customFormat="false" ht="15" hidden="false" customHeight="false" outlineLevel="0" collapsed="false">
      <c r="A86" s="1" t="str">
        <f aca="false">IF(OR(A85="",H85&lt;=0),"",A85+1)</f>
        <v/>
      </c>
      <c r="B86" s="3" t="str">
        <f aca="false">IF(A86="","",EOMONTH(B85,12/$B$5))</f>
        <v/>
      </c>
      <c r="C86" s="6" t="str">
        <f aca="false">IF(A86="","",G85)</f>
        <v/>
      </c>
      <c r="D86" s="6" t="str">
        <f aca="false">IF(A86="","",C86*$B$4/$B$5)</f>
        <v/>
      </c>
      <c r="E86" s="6" t="str">
        <f aca="false">IF(A86="","",IF(AND(B86&lt;=$F$9,C86+D86+$B$8&lt;VLOOKUP(B86,Projection_Monthly!$B:$AB,26,TRUE())*$B$10),$B$8,0))</f>
        <v/>
      </c>
      <c r="F86" s="1" t="str">
        <f aca="false">IF(A86="","",MIN($B$8,E86))</f>
        <v/>
      </c>
      <c r="G86" s="6" t="str">
        <f aca="false">IF(A86="","",C86+D86+E86)</f>
        <v/>
      </c>
      <c r="H86" s="6" t="str">
        <f aca="false">IF(A86="","",IF(Inputs!$B$30=FALSE(),"",$B$9-G86))</f>
        <v/>
      </c>
      <c r="I86" s="1" t="str">
        <f aca="false">IF(A86="","",IF(H86&gt;0,"Active","LAPSED"))</f>
        <v/>
      </c>
      <c r="J86" s="1" t="str">
        <f aca="false">IF(A86="","",IF(AND(H87&lt;0,H86&gt;0),1,0))</f>
        <v/>
      </c>
    </row>
    <row r="87" customFormat="false" ht="15" hidden="false" customHeight="false" outlineLevel="0" collapsed="false">
      <c r="A87" s="1" t="str">
        <f aca="false">IF(OR(A86="",H86&lt;=0),"",A86+1)</f>
        <v/>
      </c>
      <c r="B87" s="3" t="str">
        <f aca="false">IF(A87="","",EOMONTH(B86,12/$B$5))</f>
        <v/>
      </c>
      <c r="C87" s="6" t="str">
        <f aca="false">IF(A87="","",G86)</f>
        <v/>
      </c>
      <c r="D87" s="6" t="str">
        <f aca="false">IF(A87="","",C87*$B$4/$B$5)</f>
        <v/>
      </c>
      <c r="E87" s="6" t="str">
        <f aca="false">IF(A87="","",IF(AND(B87&lt;=$F$9,C87+D87+$B$8&lt;VLOOKUP(B87,Projection_Monthly!$B:$AB,26,TRUE())*$B$10),$B$8,0))</f>
        <v/>
      </c>
      <c r="F87" s="1" t="str">
        <f aca="false">IF(A87="","",MIN($B$8,E87))</f>
        <v/>
      </c>
      <c r="G87" s="6" t="str">
        <f aca="false">IF(A87="","",C87+D87+E87)</f>
        <v/>
      </c>
      <c r="H87" s="6" t="str">
        <f aca="false">IF(A87="","",IF(Inputs!$B$30=FALSE(),"",$B$9-G87))</f>
        <v/>
      </c>
      <c r="I87" s="1" t="str">
        <f aca="false">IF(A87="","",IF(H87&gt;0,"Active","LAPSED"))</f>
        <v/>
      </c>
      <c r="J87" s="1" t="str">
        <f aca="false">IF(A87="","",IF(AND(H88&lt;0,H87&gt;0),1,0))</f>
        <v/>
      </c>
    </row>
    <row r="88" customFormat="false" ht="15" hidden="false" customHeight="false" outlineLevel="0" collapsed="false">
      <c r="A88" s="1" t="str">
        <f aca="false">IF(OR(A87="",H87&lt;=0),"",A87+1)</f>
        <v/>
      </c>
      <c r="B88" s="3" t="str">
        <f aca="false">IF(A88="","",EOMONTH(B87,12/$B$5))</f>
        <v/>
      </c>
      <c r="C88" s="6" t="str">
        <f aca="false">IF(A88="","",G87)</f>
        <v/>
      </c>
      <c r="D88" s="6" t="str">
        <f aca="false">IF(A88="","",C88*$B$4/$B$5)</f>
        <v/>
      </c>
      <c r="E88" s="6" t="str">
        <f aca="false">IF(A88="","",IF(AND(B88&lt;=$F$9,C88+D88+$B$8&lt;VLOOKUP(B88,Projection_Monthly!$B:$AB,26,TRUE())*$B$10),$B$8,0))</f>
        <v/>
      </c>
      <c r="F88" s="1" t="str">
        <f aca="false">IF(A88="","",MIN($B$8,E88))</f>
        <v/>
      </c>
      <c r="G88" s="6" t="str">
        <f aca="false">IF(A88="","",C88+D88+E88)</f>
        <v/>
      </c>
      <c r="H88" s="6" t="str">
        <f aca="false">IF(A88="","",IF(Inputs!$B$30=FALSE(),"",$B$9-G88))</f>
        <v/>
      </c>
      <c r="I88" s="1" t="str">
        <f aca="false">IF(A88="","",IF(H88&gt;0,"Active","LAPSED"))</f>
        <v/>
      </c>
      <c r="J88" s="1" t="str">
        <f aca="false">IF(A88="","",IF(AND(H89&lt;0,H88&gt;0),1,0))</f>
        <v/>
      </c>
    </row>
    <row r="89" customFormat="false" ht="15" hidden="false" customHeight="false" outlineLevel="0" collapsed="false">
      <c r="A89" s="1" t="str">
        <f aca="false">IF(OR(A88="",H88&lt;=0),"",A88+1)</f>
        <v/>
      </c>
      <c r="B89" s="3" t="str">
        <f aca="false">IF(A89="","",EOMONTH(B88,12/$B$5))</f>
        <v/>
      </c>
      <c r="C89" s="6" t="str">
        <f aca="false">IF(A89="","",G88)</f>
        <v/>
      </c>
      <c r="D89" s="6" t="str">
        <f aca="false">IF(A89="","",C89*$B$4/$B$5)</f>
        <v/>
      </c>
      <c r="E89" s="6" t="str">
        <f aca="false">IF(A89="","",IF(AND(B89&lt;=$F$9,C89+D89+$B$8&lt;VLOOKUP(B89,Projection_Monthly!$B:$AB,26,TRUE())*$B$10),$B$8,0))</f>
        <v/>
      </c>
      <c r="F89" s="1" t="str">
        <f aca="false">IF(A89="","",MIN($B$8,E89))</f>
        <v/>
      </c>
      <c r="G89" s="6" t="str">
        <f aca="false">IF(A89="","",C89+D89+E89)</f>
        <v/>
      </c>
      <c r="H89" s="6" t="str">
        <f aca="false">IF(A89="","",IF(Inputs!$B$30=FALSE(),"",$B$9-G89))</f>
        <v/>
      </c>
      <c r="I89" s="1" t="str">
        <f aca="false">IF(A89="","",IF(H89&gt;0,"Active","LAPSED"))</f>
        <v/>
      </c>
      <c r="J89" s="1" t="str">
        <f aca="false">IF(A89="","",IF(AND(H90&lt;0,H89&gt;0),1,0))</f>
        <v/>
      </c>
    </row>
    <row r="90" customFormat="false" ht="15" hidden="false" customHeight="false" outlineLevel="0" collapsed="false">
      <c r="A90" s="1" t="str">
        <f aca="false">IF(OR(A89="",H89&lt;=0),"",A89+1)</f>
        <v/>
      </c>
      <c r="B90" s="3" t="str">
        <f aca="false">IF(A90="","",EOMONTH(B89,12/$B$5))</f>
        <v/>
      </c>
      <c r="C90" s="6" t="str">
        <f aca="false">IF(A90="","",G89)</f>
        <v/>
      </c>
      <c r="D90" s="6" t="str">
        <f aca="false">IF(A90="","",C90*$B$4/$B$5)</f>
        <v/>
      </c>
      <c r="E90" s="6" t="str">
        <f aca="false">IF(A90="","",IF(AND(B90&lt;=$F$9,C90+D90+$B$8&lt;VLOOKUP(B90,Projection_Monthly!$B:$AB,26,TRUE())*$B$10),$B$8,0))</f>
        <v/>
      </c>
      <c r="F90" s="1" t="str">
        <f aca="false">IF(A90="","",MIN($B$8,E90))</f>
        <v/>
      </c>
      <c r="G90" s="6" t="str">
        <f aca="false">IF(A90="","",C90+D90+E90)</f>
        <v/>
      </c>
      <c r="H90" s="6" t="str">
        <f aca="false">IF(A90="","",IF(Inputs!$B$30=FALSE(),"",$B$9-G90))</f>
        <v/>
      </c>
      <c r="I90" s="1" t="str">
        <f aca="false">IF(A90="","",IF(H90&gt;0,"Active","LAPSED"))</f>
        <v/>
      </c>
      <c r="J90" s="1" t="str">
        <f aca="false">IF(A90="","",IF(AND(H91&lt;0,H90&gt;0),1,0))</f>
        <v/>
      </c>
    </row>
    <row r="91" customFormat="false" ht="15" hidden="false" customHeight="false" outlineLevel="0" collapsed="false">
      <c r="A91" s="1" t="str">
        <f aca="false">IF(OR(A90="",H90&lt;=0),"",A90+1)</f>
        <v/>
      </c>
      <c r="B91" s="3" t="str">
        <f aca="false">IF(A91="","",EOMONTH(B90,12/$B$5))</f>
        <v/>
      </c>
      <c r="C91" s="6" t="str">
        <f aca="false">IF(A91="","",G90)</f>
        <v/>
      </c>
      <c r="D91" s="6" t="str">
        <f aca="false">IF(A91="","",C91*$B$4/$B$5)</f>
        <v/>
      </c>
      <c r="E91" s="6" t="str">
        <f aca="false">IF(A91="","",IF(AND(B91&lt;=$F$9,C91+D91+$B$8&lt;VLOOKUP(B91,Projection_Monthly!$B:$AB,26,TRUE())*$B$10),$B$8,0))</f>
        <v/>
      </c>
      <c r="F91" s="1" t="str">
        <f aca="false">IF(A91="","",MIN($B$8,E91))</f>
        <v/>
      </c>
      <c r="G91" s="6" t="str">
        <f aca="false">IF(A91="","",C91+D91+E91)</f>
        <v/>
      </c>
      <c r="H91" s="6" t="str">
        <f aca="false">IF(A91="","",IF(Inputs!$B$30=FALSE(),"",$B$9-G91))</f>
        <v/>
      </c>
      <c r="I91" s="1" t="str">
        <f aca="false">IF(A91="","",IF(H91&gt;0,"Active","LAPSED"))</f>
        <v/>
      </c>
      <c r="J91" s="1" t="str">
        <f aca="false">IF(A91="","",IF(AND(H92&lt;0,H91&gt;0),1,0))</f>
        <v/>
      </c>
    </row>
    <row r="92" customFormat="false" ht="15" hidden="false" customHeight="false" outlineLevel="0" collapsed="false">
      <c r="A92" s="1" t="str">
        <f aca="false">IF(OR(A91="",H91&lt;=0),"",A91+1)</f>
        <v/>
      </c>
      <c r="B92" s="3" t="str">
        <f aca="false">IF(A92="","",EOMONTH(B91,12/$B$5))</f>
        <v/>
      </c>
      <c r="C92" s="6" t="str">
        <f aca="false">IF(A92="","",G91)</f>
        <v/>
      </c>
      <c r="D92" s="6" t="str">
        <f aca="false">IF(A92="","",C92*$B$4/$B$5)</f>
        <v/>
      </c>
      <c r="E92" s="6" t="str">
        <f aca="false">IF(A92="","",IF(AND(B92&lt;=$F$9,C92+D92+$B$8&lt;VLOOKUP(B92,Projection_Monthly!$B:$AB,26,TRUE())*$B$10),$B$8,0))</f>
        <v/>
      </c>
      <c r="F92" s="1" t="str">
        <f aca="false">IF(A92="","",MIN($B$8,E92))</f>
        <v/>
      </c>
      <c r="G92" s="6" t="str">
        <f aca="false">IF(A92="","",C92+D92+E92)</f>
        <v/>
      </c>
      <c r="H92" s="6" t="str">
        <f aca="false">IF(A92="","",IF(Inputs!$B$30=FALSE(),"",$B$9-G92))</f>
        <v/>
      </c>
      <c r="I92" s="1" t="str">
        <f aca="false">IF(A92="","",IF(H92&gt;0,"Active","LAPSED"))</f>
        <v/>
      </c>
      <c r="J92" s="1" t="str">
        <f aca="false">IF(A92="","",IF(AND(H93&lt;0,H92&gt;0),1,0))</f>
        <v/>
      </c>
    </row>
    <row r="93" customFormat="false" ht="15" hidden="false" customHeight="false" outlineLevel="0" collapsed="false">
      <c r="A93" s="1" t="str">
        <f aca="false">IF(OR(A92="",H92&lt;=0),"",A92+1)</f>
        <v/>
      </c>
      <c r="B93" s="3" t="str">
        <f aca="false">IF(A93="","",EOMONTH(B92,12/$B$5))</f>
        <v/>
      </c>
      <c r="C93" s="6" t="str">
        <f aca="false">IF(A93="","",G92)</f>
        <v/>
      </c>
      <c r="D93" s="6" t="str">
        <f aca="false">IF(A93="","",C93*$B$4/$B$5)</f>
        <v/>
      </c>
      <c r="E93" s="6" t="str">
        <f aca="false">IF(A93="","",IF(AND(B93&lt;=$F$9,C93+D93+$B$8&lt;VLOOKUP(B93,Projection_Monthly!$B:$AB,26,TRUE())*$B$10),$B$8,0))</f>
        <v/>
      </c>
      <c r="F93" s="1" t="str">
        <f aca="false">IF(A93="","",MIN($B$8,E93))</f>
        <v/>
      </c>
      <c r="G93" s="6" t="str">
        <f aca="false">IF(A93="","",C93+D93+E93)</f>
        <v/>
      </c>
      <c r="H93" s="6" t="str">
        <f aca="false">IF(A93="","",IF(Inputs!$B$30=FALSE(),"",$B$9-G93))</f>
        <v/>
      </c>
      <c r="I93" s="1" t="str">
        <f aca="false">IF(A93="","",IF(H93&gt;0,"Active","LAPSED"))</f>
        <v/>
      </c>
      <c r="J93" s="1" t="str">
        <f aca="false">IF(A93="","",IF(AND(H94&lt;0,H93&gt;0),1,0))</f>
        <v/>
      </c>
    </row>
    <row r="94" customFormat="false" ht="15" hidden="false" customHeight="false" outlineLevel="0" collapsed="false">
      <c r="A94" s="1" t="str">
        <f aca="false">IF(OR(A93="",H93&lt;=0),"",A93+1)</f>
        <v/>
      </c>
      <c r="B94" s="3" t="str">
        <f aca="false">IF(A94="","",EOMONTH(B93,12/$B$5))</f>
        <v/>
      </c>
      <c r="C94" s="6" t="str">
        <f aca="false">IF(A94="","",G93)</f>
        <v/>
      </c>
      <c r="D94" s="6" t="str">
        <f aca="false">IF(A94="","",C94*$B$4/$B$5)</f>
        <v/>
      </c>
      <c r="E94" s="6" t="str">
        <f aca="false">IF(A94="","",IF(AND(B94&lt;=$F$9,C94+D94+$B$8&lt;VLOOKUP(B94,Projection_Monthly!$B:$AB,26,TRUE())*$B$10),$B$8,0))</f>
        <v/>
      </c>
      <c r="F94" s="1" t="str">
        <f aca="false">IF(A94="","",MIN($B$8,E94))</f>
        <v/>
      </c>
      <c r="G94" s="6" t="str">
        <f aca="false">IF(A94="","",C94+D94+E94)</f>
        <v/>
      </c>
      <c r="H94" s="6" t="str">
        <f aca="false">IF(A94="","",IF(Inputs!$B$30=FALSE(),"",$B$9-G94))</f>
        <v/>
      </c>
      <c r="I94" s="1" t="str">
        <f aca="false">IF(A94="","",IF(H94&gt;0,"Active","LAPSED"))</f>
        <v/>
      </c>
      <c r="J94" s="1" t="str">
        <f aca="false">IF(A94="","",IF(AND(H95&lt;0,H94&gt;0),1,0))</f>
        <v/>
      </c>
    </row>
    <row r="95" customFormat="false" ht="15" hidden="false" customHeight="false" outlineLevel="0" collapsed="false">
      <c r="A95" s="1" t="str">
        <f aca="false">IF(OR(A94="",H94&lt;=0),"",A94+1)</f>
        <v/>
      </c>
      <c r="B95" s="3" t="str">
        <f aca="false">IF(A95="","",EOMONTH(B94,12/$B$5))</f>
        <v/>
      </c>
      <c r="C95" s="6" t="str">
        <f aca="false">IF(A95="","",G94)</f>
        <v/>
      </c>
      <c r="D95" s="6" t="str">
        <f aca="false">IF(A95="","",C95*$B$4/$B$5)</f>
        <v/>
      </c>
      <c r="E95" s="6" t="str">
        <f aca="false">IF(A95="","",IF(AND(B95&lt;=$F$9,C95+D95+$B$8&lt;VLOOKUP(B95,Projection_Monthly!$B:$AB,26,TRUE())*$B$10),$B$8,0))</f>
        <v/>
      </c>
      <c r="F95" s="1" t="str">
        <f aca="false">IF(A95="","",MIN($B$8,E95))</f>
        <v/>
      </c>
      <c r="G95" s="6" t="str">
        <f aca="false">IF(A95="","",C95+D95+E95)</f>
        <v/>
      </c>
      <c r="H95" s="6" t="str">
        <f aca="false">IF(A95="","",IF(Inputs!$B$30=FALSE(),"",$B$9-G95))</f>
        <v/>
      </c>
      <c r="I95" s="1" t="str">
        <f aca="false">IF(A95="","",IF(H95&gt;0,"Active","LAPSED"))</f>
        <v/>
      </c>
      <c r="J95" s="1" t="str">
        <f aca="false">IF(A95="","",IF(AND(H96&lt;0,H95&gt;0),1,0))</f>
        <v/>
      </c>
    </row>
    <row r="96" customFormat="false" ht="15" hidden="false" customHeight="false" outlineLevel="0" collapsed="false">
      <c r="A96" s="1" t="str">
        <f aca="false">IF(OR(A95="",H95&lt;=0),"",A95+1)</f>
        <v/>
      </c>
      <c r="B96" s="3" t="str">
        <f aca="false">IF(A96="","",EOMONTH(B95,12/$B$5))</f>
        <v/>
      </c>
      <c r="C96" s="6" t="str">
        <f aca="false">IF(A96="","",G95)</f>
        <v/>
      </c>
      <c r="D96" s="6" t="str">
        <f aca="false">IF(A96="","",C96*$B$4/$B$5)</f>
        <v/>
      </c>
      <c r="E96" s="6" t="str">
        <f aca="false">IF(A96="","",IF(AND(B96&lt;=$F$9,C96+D96+$B$8&lt;VLOOKUP(B96,Projection_Monthly!$B:$AB,26,TRUE())*$B$10),$B$8,0))</f>
        <v/>
      </c>
      <c r="F96" s="1" t="str">
        <f aca="false">IF(A96="","",MIN($B$8,E96))</f>
        <v/>
      </c>
      <c r="G96" s="6" t="str">
        <f aca="false">IF(A96="","",C96+D96+E96)</f>
        <v/>
      </c>
      <c r="H96" s="6" t="str">
        <f aca="false">IF(A96="","",IF(Inputs!$B$30=FALSE(),"",$B$9-G96))</f>
        <v/>
      </c>
      <c r="I96" s="1" t="str">
        <f aca="false">IF(A96="","",IF(H96&gt;0,"Active","LAPSED"))</f>
        <v/>
      </c>
      <c r="J96" s="1" t="str">
        <f aca="false">IF(A96="","",IF(AND(H97&lt;0,H96&gt;0),1,0))</f>
        <v/>
      </c>
    </row>
    <row r="97" customFormat="false" ht="15" hidden="false" customHeight="false" outlineLevel="0" collapsed="false">
      <c r="A97" s="1" t="str">
        <f aca="false">IF(OR(A96="",H96&lt;=0),"",A96+1)</f>
        <v/>
      </c>
      <c r="B97" s="3" t="str">
        <f aca="false">IF(A97="","",EOMONTH(B96,12/$B$5))</f>
        <v/>
      </c>
      <c r="C97" s="6" t="str">
        <f aca="false">IF(A97="","",G96)</f>
        <v/>
      </c>
      <c r="D97" s="6" t="str">
        <f aca="false">IF(A97="","",C97*$B$4/$B$5)</f>
        <v/>
      </c>
      <c r="E97" s="6" t="str">
        <f aca="false">IF(A97="","",IF(AND(B97&lt;=$F$9,C97+D97+$B$8&lt;VLOOKUP(B97,Projection_Monthly!$B:$AB,26,TRUE())*$B$10),$B$8,0))</f>
        <v/>
      </c>
      <c r="F97" s="1" t="str">
        <f aca="false">IF(A97="","",MIN($B$8,E97))</f>
        <v/>
      </c>
      <c r="G97" s="6" t="str">
        <f aca="false">IF(A97="","",C97+D97+E97)</f>
        <v/>
      </c>
      <c r="H97" s="6" t="str">
        <f aca="false">IF(A97="","",IF(Inputs!$B$30=FALSE(),"",$B$9-G97))</f>
        <v/>
      </c>
      <c r="I97" s="1" t="str">
        <f aca="false">IF(A97="","",IF(H97&gt;0,"Active","LAPSED"))</f>
        <v/>
      </c>
      <c r="J97" s="1" t="str">
        <f aca="false">IF(A97="","",IF(AND(H98&lt;0,H97&gt;0),1,0))</f>
        <v/>
      </c>
    </row>
    <row r="98" customFormat="false" ht="15" hidden="false" customHeight="false" outlineLevel="0" collapsed="false">
      <c r="A98" s="1" t="str">
        <f aca="false">IF(OR(A97="",H97&lt;=0),"",A97+1)</f>
        <v/>
      </c>
      <c r="B98" s="3" t="str">
        <f aca="false">IF(A98="","",EOMONTH(B97,12/$B$5))</f>
        <v/>
      </c>
      <c r="C98" s="6" t="str">
        <f aca="false">IF(A98="","",G97)</f>
        <v/>
      </c>
      <c r="D98" s="6" t="str">
        <f aca="false">IF(A98="","",C98*$B$4/$B$5)</f>
        <v/>
      </c>
      <c r="E98" s="6" t="str">
        <f aca="false">IF(A98="","",IF(AND(B98&lt;=$F$9,C98+D98+$B$8&lt;VLOOKUP(B98,Projection_Monthly!$B:$AB,26,TRUE())*$B$10),$B$8,0))</f>
        <v/>
      </c>
      <c r="F98" s="1" t="str">
        <f aca="false">IF(A98="","",MIN($B$8,E98))</f>
        <v/>
      </c>
      <c r="G98" s="6" t="str">
        <f aca="false">IF(A98="","",C98+D98+E98)</f>
        <v/>
      </c>
      <c r="H98" s="6" t="str">
        <f aca="false">IF(A98="","",IF(Inputs!$B$30=FALSE(),"",$B$9-G98))</f>
        <v/>
      </c>
      <c r="I98" s="1" t="str">
        <f aca="false">IF(A98="","",IF(H98&gt;0,"Active","LAPSED"))</f>
        <v/>
      </c>
      <c r="J98" s="1" t="str">
        <f aca="false">IF(A98="","",IF(AND(H99&lt;0,H98&gt;0),1,0))</f>
        <v/>
      </c>
    </row>
    <row r="99" customFormat="false" ht="15" hidden="false" customHeight="false" outlineLevel="0" collapsed="false">
      <c r="A99" s="1" t="str">
        <f aca="false">IF(OR(A98="",H98&lt;=0),"",A98+1)</f>
        <v/>
      </c>
      <c r="B99" s="3" t="str">
        <f aca="false">IF(A99="","",EOMONTH(B98,12/$B$5))</f>
        <v/>
      </c>
      <c r="C99" s="6" t="str">
        <f aca="false">IF(A99="","",G98)</f>
        <v/>
      </c>
      <c r="D99" s="6" t="str">
        <f aca="false">IF(A99="","",C99*$B$4/$B$5)</f>
        <v/>
      </c>
      <c r="E99" s="6" t="str">
        <f aca="false">IF(A99="","",IF(AND(B99&lt;=$F$9,C99+D99+$B$8&lt;VLOOKUP(B99,Projection_Monthly!$B:$AB,26,TRUE())*$B$10),$B$8,0))</f>
        <v/>
      </c>
      <c r="F99" s="1" t="str">
        <f aca="false">IF(A99="","",MIN($B$8,E99))</f>
        <v/>
      </c>
      <c r="G99" s="6" t="str">
        <f aca="false">IF(A99="","",C99+D99+E99)</f>
        <v/>
      </c>
      <c r="H99" s="6" t="str">
        <f aca="false">IF(A99="","",IF(Inputs!$B$30=FALSE(),"",$B$9-G99))</f>
        <v/>
      </c>
      <c r="I99" s="1" t="str">
        <f aca="false">IF(A99="","",IF(H99&gt;0,"Active","LAPSED"))</f>
        <v/>
      </c>
      <c r="J99" s="1" t="str">
        <f aca="false">IF(A99="","",IF(AND(H100&lt;0,H99&gt;0),1,0))</f>
        <v/>
      </c>
    </row>
    <row r="100" customFormat="false" ht="15" hidden="false" customHeight="false" outlineLevel="0" collapsed="false">
      <c r="A100" s="1" t="str">
        <f aca="false">IF(OR(A99="",H99&lt;=0),"",A99+1)</f>
        <v/>
      </c>
      <c r="B100" s="3" t="str">
        <f aca="false">IF(A100="","",EOMONTH(B99,12/$B$5))</f>
        <v/>
      </c>
      <c r="C100" s="6" t="str">
        <f aca="false">IF(A100="","",G99)</f>
        <v/>
      </c>
      <c r="D100" s="6" t="str">
        <f aca="false">IF(A100="","",C100*$B$4/$B$5)</f>
        <v/>
      </c>
      <c r="E100" s="6" t="str">
        <f aca="false">IF(A100="","",IF(AND(B100&lt;=$F$9,C100+D100+$B$8&lt;VLOOKUP(B100,Projection_Monthly!$B:$AB,26,TRUE())*$B$10),$B$8,0))</f>
        <v/>
      </c>
      <c r="F100" s="1" t="str">
        <f aca="false">IF(A100="","",MIN($B$8,E100))</f>
        <v/>
      </c>
      <c r="G100" s="6" t="str">
        <f aca="false">IF(A100="","",C100+D100+E100)</f>
        <v/>
      </c>
      <c r="H100" s="6" t="str">
        <f aca="false">IF(A100="","",IF(Inputs!$B$30=FALSE(),"",$B$9-G100))</f>
        <v/>
      </c>
      <c r="I100" s="1" t="str">
        <f aca="false">IF(A100="","",IF(H100&gt;0,"Active","LAPSED"))</f>
        <v/>
      </c>
      <c r="J100" s="1" t="str">
        <f aca="false">IF(A100="","",IF(AND(H101&lt;0,H100&gt;0),1,0))</f>
        <v/>
      </c>
    </row>
    <row r="101" customFormat="false" ht="15" hidden="false" customHeight="false" outlineLevel="0" collapsed="false">
      <c r="A101" s="1" t="str">
        <f aca="false">IF(OR(A100="",H100&lt;=0),"",A100+1)</f>
        <v/>
      </c>
      <c r="B101" s="3" t="str">
        <f aca="false">IF(A101="","",EOMONTH(B100,12/$B$5))</f>
        <v/>
      </c>
      <c r="C101" s="6" t="str">
        <f aca="false">IF(A101="","",G100)</f>
        <v/>
      </c>
      <c r="D101" s="6" t="str">
        <f aca="false">IF(A101="","",C101*$B$4/$B$5)</f>
        <v/>
      </c>
      <c r="E101" s="6" t="str">
        <f aca="false">IF(A101="","",IF(AND(B101&lt;=$F$9,C101+D101+$B$8&lt;VLOOKUP(B101,Projection_Monthly!$B:$AB,26,TRUE())*$B$10),$B$8,0))</f>
        <v/>
      </c>
      <c r="F101" s="1" t="str">
        <f aca="false">IF(A101="","",MIN($B$8,E101))</f>
        <v/>
      </c>
      <c r="G101" s="6" t="str">
        <f aca="false">IF(A101="","",C101+D101+E101)</f>
        <v/>
      </c>
      <c r="H101" s="6" t="str">
        <f aca="false">IF(A101="","",IF(Inputs!$B$30=FALSE(),"",$B$9-G101))</f>
        <v/>
      </c>
      <c r="I101" s="1" t="str">
        <f aca="false">IF(A101="","",IF(H101&gt;0,"Active","LAPSED"))</f>
        <v/>
      </c>
      <c r="J101" s="1" t="str">
        <f aca="false">IF(A101="","",IF(AND(H102&lt;0,H101&gt;0),1,0))</f>
        <v/>
      </c>
    </row>
    <row r="102" customFormat="false" ht="15" hidden="false" customHeight="false" outlineLevel="0" collapsed="false">
      <c r="A102" s="1" t="str">
        <f aca="false">IF(OR(A101="",H101&lt;=0),"",A101+1)</f>
        <v/>
      </c>
      <c r="B102" s="3" t="str">
        <f aca="false">IF(A102="","",EOMONTH(B101,12/$B$5))</f>
        <v/>
      </c>
      <c r="C102" s="6" t="str">
        <f aca="false">IF(A102="","",G101)</f>
        <v/>
      </c>
      <c r="D102" s="6" t="str">
        <f aca="false">IF(A102="","",C102*$B$4/$B$5)</f>
        <v/>
      </c>
      <c r="E102" s="6" t="str">
        <f aca="false">IF(A102="","",IF(AND(B102&lt;=$F$9,C102+D102+$B$8&lt;VLOOKUP(B102,Projection_Monthly!$B:$AB,26,TRUE())*$B$10),$B$8,0))</f>
        <v/>
      </c>
      <c r="F102" s="1" t="str">
        <f aca="false">IF(A102="","",MIN($B$8,E102))</f>
        <v/>
      </c>
      <c r="G102" s="6" t="str">
        <f aca="false">IF(A102="","",C102+D102+E102)</f>
        <v/>
      </c>
      <c r="H102" s="6" t="str">
        <f aca="false">IF(A102="","",IF(Inputs!$B$30=FALSE(),"",$B$9-G102))</f>
        <v/>
      </c>
      <c r="I102" s="1" t="str">
        <f aca="false">IF(A102="","",IF(H102&gt;0,"Active","LAPSED"))</f>
        <v/>
      </c>
      <c r="J102" s="1" t="str">
        <f aca="false">IF(A102="","",IF(AND(H103&lt;0,H102&gt;0),1,0))</f>
        <v/>
      </c>
    </row>
    <row r="103" customFormat="false" ht="15" hidden="false" customHeight="false" outlineLevel="0" collapsed="false">
      <c r="A103" s="1" t="str">
        <f aca="false">IF(OR(A102="",H102&lt;=0),"",A102+1)</f>
        <v/>
      </c>
      <c r="B103" s="3" t="str">
        <f aca="false">IF(A103="","",EOMONTH(B102,12/$B$5))</f>
        <v/>
      </c>
      <c r="C103" s="6" t="str">
        <f aca="false">IF(A103="","",G102)</f>
        <v/>
      </c>
      <c r="D103" s="6" t="str">
        <f aca="false">IF(A103="","",C103*$B$4/$B$5)</f>
        <v/>
      </c>
      <c r="E103" s="6" t="str">
        <f aca="false">IF(A103="","",IF(AND(B103&lt;=$F$9,C103+D103+$B$8&lt;VLOOKUP(B103,Projection_Monthly!$B:$AB,26,TRUE())*$B$10),$B$8,0))</f>
        <v/>
      </c>
      <c r="F103" s="1" t="str">
        <f aca="false">IF(A103="","",MIN($B$8,E103))</f>
        <v/>
      </c>
      <c r="G103" s="6" t="str">
        <f aca="false">IF(A103="","",C103+D103+E103)</f>
        <v/>
      </c>
      <c r="H103" s="6" t="str">
        <f aca="false">IF(A103="","",IF(Inputs!$B$30=FALSE(),"",$B$9-G103))</f>
        <v/>
      </c>
      <c r="I103" s="1" t="str">
        <f aca="false">IF(A103="","",IF(H103&gt;0,"Active","LAPSED"))</f>
        <v/>
      </c>
      <c r="J103" s="1" t="str">
        <f aca="false">IF(A103="","",IF(AND(H104&lt;0,H103&gt;0),1,0))</f>
        <v/>
      </c>
    </row>
    <row r="104" customFormat="false" ht="15" hidden="false" customHeight="false" outlineLevel="0" collapsed="false">
      <c r="A104" s="1" t="str">
        <f aca="false">IF(OR(A103="",H103&lt;=0),"",A103+1)</f>
        <v/>
      </c>
      <c r="B104" s="3" t="str">
        <f aca="false">IF(A104="","",EOMONTH(B103,12/$B$5))</f>
        <v/>
      </c>
      <c r="C104" s="6" t="str">
        <f aca="false">IF(A104="","",G103)</f>
        <v/>
      </c>
      <c r="D104" s="6" t="str">
        <f aca="false">IF(A104="","",C104*$B$4/$B$5)</f>
        <v/>
      </c>
      <c r="E104" s="6" t="str">
        <f aca="false">IF(A104="","",IF(AND(B104&lt;=$F$9,C104+D104+$B$8&lt;VLOOKUP(B104,Projection_Monthly!$B:$AB,26,TRUE())*$B$10),$B$8,0))</f>
        <v/>
      </c>
      <c r="F104" s="1" t="str">
        <f aca="false">IF(A104="","",MIN($B$8,E104))</f>
        <v/>
      </c>
      <c r="G104" s="6" t="str">
        <f aca="false">IF(A104="","",C104+D104+E104)</f>
        <v/>
      </c>
      <c r="H104" s="6" t="str">
        <f aca="false">IF(A104="","",IF(Inputs!$B$30=FALSE(),"",$B$9-G104))</f>
        <v/>
      </c>
      <c r="I104" s="1" t="str">
        <f aca="false">IF(A104="","",IF(H104&gt;0,"Active","LAPSED"))</f>
        <v/>
      </c>
      <c r="J104" s="1" t="str">
        <f aca="false">IF(A104="","",IF(AND(H105&lt;0,H104&gt;0),1,0))</f>
        <v/>
      </c>
    </row>
    <row r="105" customFormat="false" ht="15" hidden="false" customHeight="false" outlineLevel="0" collapsed="false">
      <c r="A105" s="1" t="str">
        <f aca="false">IF(OR(A104="",H104&lt;=0),"",A104+1)</f>
        <v/>
      </c>
      <c r="B105" s="3" t="str">
        <f aca="false">IF(A105="","",EOMONTH(B104,12/$B$5))</f>
        <v/>
      </c>
      <c r="C105" s="6" t="str">
        <f aca="false">IF(A105="","",G104)</f>
        <v/>
      </c>
      <c r="D105" s="6" t="str">
        <f aca="false">IF(A105="","",C105*$B$4/$B$5)</f>
        <v/>
      </c>
      <c r="E105" s="6" t="str">
        <f aca="false">IF(A105="","",IF(AND(B105&lt;=$F$9,C105+D105+$B$8&lt;VLOOKUP(B105,Projection_Monthly!$B:$AB,26,TRUE())*$B$10),$B$8,0))</f>
        <v/>
      </c>
      <c r="F105" s="1" t="str">
        <f aca="false">IF(A105="","",MIN($B$8,E105))</f>
        <v/>
      </c>
      <c r="G105" s="6" t="str">
        <f aca="false">IF(A105="","",C105+D105+E105)</f>
        <v/>
      </c>
      <c r="H105" s="6" t="str">
        <f aca="false">IF(A105="","",IF(Inputs!$B$30=FALSE(),"",$B$9-G105))</f>
        <v/>
      </c>
      <c r="I105" s="1" t="str">
        <f aca="false">IF(A105="","",IF(H105&gt;0,"Active","LAPSED"))</f>
        <v/>
      </c>
      <c r="J105" s="1" t="str">
        <f aca="false">IF(A105="","",IF(AND(H106&lt;0,H105&gt;0),1,0))</f>
        <v/>
      </c>
    </row>
    <row r="106" customFormat="false" ht="15" hidden="false" customHeight="false" outlineLevel="0" collapsed="false">
      <c r="A106" s="1" t="str">
        <f aca="false">IF(OR(A105="",H105&lt;=0),"",A105+1)</f>
        <v/>
      </c>
      <c r="B106" s="3" t="str">
        <f aca="false">IF(A106="","",EOMONTH(B105,12/$B$5))</f>
        <v/>
      </c>
      <c r="C106" s="6" t="str">
        <f aca="false">IF(A106="","",G105)</f>
        <v/>
      </c>
      <c r="D106" s="6" t="str">
        <f aca="false">IF(A106="","",C106*$B$4/$B$5)</f>
        <v/>
      </c>
      <c r="E106" s="6" t="str">
        <f aca="false">IF(A106="","",IF(AND(B106&lt;=$F$9,C106+D106+$B$8&lt;VLOOKUP(B106,Projection_Monthly!$B:$AB,26,TRUE())*$B$10),$B$8,0))</f>
        <v/>
      </c>
      <c r="F106" s="1" t="str">
        <f aca="false">IF(A106="","",MIN($B$8,E106))</f>
        <v/>
      </c>
      <c r="G106" s="6" t="str">
        <f aca="false">IF(A106="","",C106+D106+E106)</f>
        <v/>
      </c>
      <c r="H106" s="6" t="str">
        <f aca="false">IF(A106="","",IF(Inputs!$B$30=FALSE(),"",$B$9-G106))</f>
        <v/>
      </c>
      <c r="I106" s="1" t="str">
        <f aca="false">IF(A106="","",IF(H106&gt;0,"Active","LAPSED"))</f>
        <v/>
      </c>
      <c r="J106" s="1" t="str">
        <f aca="false">IF(A106="","",IF(AND(H107&lt;0,H106&gt;0),1,0))</f>
        <v/>
      </c>
    </row>
    <row r="107" customFormat="false" ht="15" hidden="false" customHeight="false" outlineLevel="0" collapsed="false">
      <c r="A107" s="1" t="str">
        <f aca="false">IF(OR(A106="",H106&lt;=0),"",A106+1)</f>
        <v/>
      </c>
      <c r="B107" s="3" t="str">
        <f aca="false">IF(A107="","",EOMONTH(B106,12/$B$5))</f>
        <v/>
      </c>
      <c r="C107" s="6" t="str">
        <f aca="false">IF(A107="","",G106)</f>
        <v/>
      </c>
      <c r="D107" s="6" t="str">
        <f aca="false">IF(A107="","",C107*$B$4/$B$5)</f>
        <v/>
      </c>
      <c r="E107" s="6" t="str">
        <f aca="false">IF(A107="","",IF(AND(B107&lt;=$F$9,C107+D107+$B$8&lt;VLOOKUP(B107,Projection_Monthly!$B:$AB,26,TRUE())*$B$10),$B$8,0))</f>
        <v/>
      </c>
      <c r="F107" s="1" t="str">
        <f aca="false">IF(A107="","",MIN($B$8,E107))</f>
        <v/>
      </c>
      <c r="G107" s="6" t="str">
        <f aca="false">IF(A107="","",C107+D107+E107)</f>
        <v/>
      </c>
      <c r="H107" s="6" t="str">
        <f aca="false">IF(A107="","",IF(Inputs!$B$30=FALSE(),"",$B$9-G107))</f>
        <v/>
      </c>
      <c r="I107" s="1" t="str">
        <f aca="false">IF(A107="","",IF(H107&gt;0,"Active","LAPSED"))</f>
        <v/>
      </c>
      <c r="J107" s="1" t="str">
        <f aca="false">IF(A107="","",IF(AND(H108&lt;0,H107&gt;0),1,0))</f>
        <v/>
      </c>
    </row>
    <row r="108" customFormat="false" ht="15" hidden="false" customHeight="false" outlineLevel="0" collapsed="false">
      <c r="A108" s="1" t="str">
        <f aca="false">IF(OR(A107="",H107&lt;=0),"",A107+1)</f>
        <v/>
      </c>
      <c r="B108" s="3" t="str">
        <f aca="false">IF(A108="","",EOMONTH(B107,12/$B$5))</f>
        <v/>
      </c>
      <c r="C108" s="6" t="str">
        <f aca="false">IF(A108="","",G107)</f>
        <v/>
      </c>
      <c r="D108" s="6" t="str">
        <f aca="false">IF(A108="","",C108*$B$4/$B$5)</f>
        <v/>
      </c>
      <c r="E108" s="6" t="str">
        <f aca="false">IF(A108="","",IF(AND(B108&lt;=$F$9,C108+D108+$B$8&lt;VLOOKUP(B108,Projection_Monthly!$B:$AB,26,TRUE())*$B$10),$B$8,0))</f>
        <v/>
      </c>
      <c r="F108" s="1" t="str">
        <f aca="false">IF(A108="","",MIN($B$8,E108))</f>
        <v/>
      </c>
      <c r="G108" s="6" t="str">
        <f aca="false">IF(A108="","",C108+D108+E108)</f>
        <v/>
      </c>
      <c r="H108" s="6" t="str">
        <f aca="false">IF(A108="","",IF(Inputs!$B$30=FALSE(),"",$B$9-G108))</f>
        <v/>
      </c>
      <c r="I108" s="1" t="str">
        <f aca="false">IF(A108="","",IF(H108&gt;0,"Active","LAPSED"))</f>
        <v/>
      </c>
      <c r="J108" s="1" t="str">
        <f aca="false">IF(A108="","",IF(AND(H109&lt;0,H108&gt;0),1,0))</f>
        <v/>
      </c>
    </row>
    <row r="109" customFormat="false" ht="15" hidden="false" customHeight="false" outlineLevel="0" collapsed="false">
      <c r="A109" s="1" t="str">
        <f aca="false">IF(OR(A108="",H108&lt;=0),"",A108+1)</f>
        <v/>
      </c>
      <c r="B109" s="3" t="str">
        <f aca="false">IF(A109="","",EOMONTH(B108,12/$B$5))</f>
        <v/>
      </c>
      <c r="C109" s="6" t="str">
        <f aca="false">IF(A109="","",G108)</f>
        <v/>
      </c>
      <c r="D109" s="6" t="str">
        <f aca="false">IF(A109="","",C109*$B$4/$B$5)</f>
        <v/>
      </c>
      <c r="E109" s="6" t="str">
        <f aca="false">IF(A109="","",IF(AND(B109&lt;=$F$9,C109+D109+$B$8&lt;VLOOKUP(B109,Projection_Monthly!$B:$AB,26,TRUE())*$B$10),$B$8,0))</f>
        <v/>
      </c>
      <c r="F109" s="1" t="str">
        <f aca="false">IF(A109="","",MIN($B$8,E109))</f>
        <v/>
      </c>
      <c r="G109" s="6" t="str">
        <f aca="false">IF(A109="","",C109+D109+E109)</f>
        <v/>
      </c>
      <c r="H109" s="6" t="str">
        <f aca="false">IF(A109="","",IF(Inputs!$B$30=FALSE(),"",$B$9-G109))</f>
        <v/>
      </c>
      <c r="I109" s="1" t="str">
        <f aca="false">IF(A109="","",IF(H109&gt;0,"Active","LAPSED"))</f>
        <v/>
      </c>
      <c r="J109" s="1" t="str">
        <f aca="false">IF(A109="","",IF(AND(H110&lt;0,H109&gt;0),1,0))</f>
        <v/>
      </c>
    </row>
    <row r="110" customFormat="false" ht="15" hidden="false" customHeight="false" outlineLevel="0" collapsed="false">
      <c r="A110" s="1" t="str">
        <f aca="false">IF(OR(A109="",H109&lt;=0),"",A109+1)</f>
        <v/>
      </c>
      <c r="B110" s="3" t="str">
        <f aca="false">IF(A110="","",EOMONTH(B109,12/$B$5))</f>
        <v/>
      </c>
      <c r="C110" s="6" t="str">
        <f aca="false">IF(A110="","",G109)</f>
        <v/>
      </c>
      <c r="D110" s="6" t="str">
        <f aca="false">IF(A110="","",C110*$B$4/$B$5)</f>
        <v/>
      </c>
      <c r="E110" s="6" t="str">
        <f aca="false">IF(A110="","",IF(AND(B110&lt;=$F$9,C110+D110+$B$8&lt;VLOOKUP(B110,Projection_Monthly!$B:$AB,26,TRUE())*$B$10),$B$8,0))</f>
        <v/>
      </c>
      <c r="F110" s="1" t="str">
        <f aca="false">IF(A110="","",MIN($B$8,E110))</f>
        <v/>
      </c>
      <c r="G110" s="6" t="str">
        <f aca="false">IF(A110="","",C110+D110+E110)</f>
        <v/>
      </c>
      <c r="H110" s="6" t="str">
        <f aca="false">IF(A110="","",IF(Inputs!$B$30=FALSE(),"",$B$9-G110))</f>
        <v/>
      </c>
      <c r="I110" s="1" t="str">
        <f aca="false">IF(A110="","",IF(H110&gt;0,"Active","LAPSED"))</f>
        <v/>
      </c>
      <c r="J110" s="1" t="str">
        <f aca="false">IF(A110="","",IF(AND(H111&lt;0,H110&gt;0),1,0))</f>
        <v/>
      </c>
    </row>
    <row r="111" customFormat="false" ht="15" hidden="false" customHeight="false" outlineLevel="0" collapsed="false">
      <c r="A111" s="1" t="str">
        <f aca="false">IF(OR(A110="",H110&lt;=0),"",A110+1)</f>
        <v/>
      </c>
      <c r="B111" s="3" t="str">
        <f aca="false">IF(A111="","",EOMONTH(B110,12/$B$5))</f>
        <v/>
      </c>
      <c r="C111" s="6" t="str">
        <f aca="false">IF(A111="","",G110)</f>
        <v/>
      </c>
      <c r="D111" s="6" t="str">
        <f aca="false">IF(A111="","",C111*$B$4/$B$5)</f>
        <v/>
      </c>
      <c r="E111" s="6" t="str">
        <f aca="false">IF(A111="","",IF(AND(B111&lt;=$F$9,C111+D111+$B$8&lt;VLOOKUP(B111,Projection_Monthly!$B:$AB,26,TRUE())*$B$10),$B$8,0))</f>
        <v/>
      </c>
      <c r="F111" s="1" t="str">
        <f aca="false">IF(A111="","",MIN($B$8,E111))</f>
        <v/>
      </c>
      <c r="G111" s="6" t="str">
        <f aca="false">IF(A111="","",C111+D111+E111)</f>
        <v/>
      </c>
      <c r="H111" s="6" t="str">
        <f aca="false">IF(A111="","",IF(Inputs!$B$30=FALSE(),"",$B$9-G111))</f>
        <v/>
      </c>
      <c r="I111" s="1" t="str">
        <f aca="false">IF(A111="","",IF(H111&gt;0,"Active","LAPSED"))</f>
        <v/>
      </c>
      <c r="J111" s="1" t="str">
        <f aca="false">IF(A111="","",IF(AND(H112&lt;0,H111&gt;0),1,0))</f>
        <v/>
      </c>
    </row>
    <row r="112" customFormat="false" ht="15" hidden="false" customHeight="false" outlineLevel="0" collapsed="false">
      <c r="A112" s="1" t="str">
        <f aca="false">IF(OR(A111="",H111&lt;=0),"",A111+1)</f>
        <v/>
      </c>
      <c r="B112" s="3" t="str">
        <f aca="false">IF(A112="","",EOMONTH(B111,12/$B$5))</f>
        <v/>
      </c>
      <c r="C112" s="6" t="str">
        <f aca="false">IF(A112="","",G111)</f>
        <v/>
      </c>
      <c r="D112" s="6" t="str">
        <f aca="false">IF(A112="","",C112*$B$4/$B$5)</f>
        <v/>
      </c>
      <c r="E112" s="6" t="str">
        <f aca="false">IF(A112="","",IF(AND(B112&lt;=$F$9,C112+D112+$B$8&lt;VLOOKUP(B112,Projection_Monthly!$B:$AB,26,TRUE())*$B$10),$B$8,0))</f>
        <v/>
      </c>
      <c r="F112" s="1" t="str">
        <f aca="false">IF(A112="","",MIN($B$8,E112))</f>
        <v/>
      </c>
      <c r="G112" s="6" t="str">
        <f aca="false">IF(A112="","",C112+D112+E112)</f>
        <v/>
      </c>
      <c r="H112" s="6" t="str">
        <f aca="false">IF(A112="","",IF(Inputs!$B$30=FALSE(),"",$B$9-G112))</f>
        <v/>
      </c>
      <c r="I112" s="1" t="str">
        <f aca="false">IF(A112="","",IF(H112&gt;0,"Active","LAPSED"))</f>
        <v/>
      </c>
      <c r="J112" s="1" t="str">
        <f aca="false">IF(A112="","",IF(AND(H113&lt;0,H112&gt;0),1,0))</f>
        <v/>
      </c>
    </row>
    <row r="113" customFormat="false" ht="15" hidden="false" customHeight="false" outlineLevel="0" collapsed="false">
      <c r="A113" s="1" t="str">
        <f aca="false">IF(OR(A112="",H112&lt;=0),"",A112+1)</f>
        <v/>
      </c>
      <c r="B113" s="3" t="str">
        <f aca="false">IF(A113="","",EOMONTH(B112,12/$B$5))</f>
        <v/>
      </c>
      <c r="C113" s="6" t="str">
        <f aca="false">IF(A113="","",G112)</f>
        <v/>
      </c>
      <c r="D113" s="6" t="str">
        <f aca="false">IF(A113="","",C113*$B$4/$B$5)</f>
        <v/>
      </c>
      <c r="E113" s="6" t="str">
        <f aca="false">IF(A113="","",IF(AND(B113&lt;=$F$9,C113+D113+$B$8&lt;VLOOKUP(B113,Projection_Monthly!$B:$AB,26,TRUE())*$B$10),$B$8,0))</f>
        <v/>
      </c>
      <c r="F113" s="1" t="str">
        <f aca="false">IF(A113="","",MIN($B$8,E113))</f>
        <v/>
      </c>
      <c r="G113" s="6" t="str">
        <f aca="false">IF(A113="","",C113+D113+E113)</f>
        <v/>
      </c>
      <c r="H113" s="6" t="str">
        <f aca="false">IF(A113="","",IF(Inputs!$B$30=FALSE(),"",$B$9-G113))</f>
        <v/>
      </c>
      <c r="I113" s="1" t="str">
        <f aca="false">IF(A113="","",IF(H113&gt;0,"Active","LAPSED"))</f>
        <v/>
      </c>
      <c r="J113" s="1" t="str">
        <f aca="false">IF(A113="","",IF(AND(H114&lt;0,H113&gt;0),1,0))</f>
        <v/>
      </c>
    </row>
    <row r="114" customFormat="false" ht="15" hidden="false" customHeight="false" outlineLevel="0" collapsed="false">
      <c r="A114" s="1" t="str">
        <f aca="false">IF(OR(A113="",H113&lt;=0),"",A113+1)</f>
        <v/>
      </c>
      <c r="B114" s="3" t="str">
        <f aca="false">IF(A114="","",EOMONTH(B113,12/$B$5))</f>
        <v/>
      </c>
      <c r="C114" s="6" t="str">
        <f aca="false">IF(A114="","",G113)</f>
        <v/>
      </c>
      <c r="D114" s="6" t="str">
        <f aca="false">IF(A114="","",C114*$B$4/$B$5)</f>
        <v/>
      </c>
      <c r="E114" s="6" t="str">
        <f aca="false">IF(A114="","",IF(AND(B114&lt;=$F$9,C114+D114+$B$8&lt;VLOOKUP(B114,Projection_Monthly!$B:$AB,26,TRUE())*$B$10),$B$8,0))</f>
        <v/>
      </c>
      <c r="F114" s="1" t="str">
        <f aca="false">IF(A114="","",MIN($B$8,E114))</f>
        <v/>
      </c>
      <c r="G114" s="6" t="str">
        <f aca="false">IF(A114="","",C114+D114+E114)</f>
        <v/>
      </c>
      <c r="H114" s="6" t="str">
        <f aca="false">IF(A114="","",IF(Inputs!$B$30=FALSE(),"",$B$9-G114))</f>
        <v/>
      </c>
      <c r="I114" s="1" t="str">
        <f aca="false">IF(A114="","",IF(H114&gt;0,"Active","LAPSED"))</f>
        <v/>
      </c>
      <c r="J114" s="1" t="str">
        <f aca="false">IF(A114="","",IF(AND(H115&lt;0,H114&gt;0),1,0))</f>
        <v/>
      </c>
    </row>
    <row r="115" customFormat="false" ht="15" hidden="false" customHeight="false" outlineLevel="0" collapsed="false">
      <c r="A115" s="1" t="str">
        <f aca="false">IF(OR(A114="",H114&lt;=0),"",A114+1)</f>
        <v/>
      </c>
      <c r="B115" s="3" t="str">
        <f aca="false">IF(A115="","",EOMONTH(B114,12/$B$5))</f>
        <v/>
      </c>
      <c r="C115" s="6" t="str">
        <f aca="false">IF(A115="","",G114)</f>
        <v/>
      </c>
      <c r="D115" s="6" t="str">
        <f aca="false">IF(A115="","",C115*$B$4/$B$5)</f>
        <v/>
      </c>
      <c r="E115" s="6" t="str">
        <f aca="false">IF(A115="","",IF(AND(B115&lt;=$F$9,C115+D115+$B$8&lt;VLOOKUP(B115,Projection_Monthly!$B:$AB,26,TRUE())*$B$10),$B$8,0))</f>
        <v/>
      </c>
      <c r="F115" s="1" t="str">
        <f aca="false">IF(A115="","",MIN($B$8,E115))</f>
        <v/>
      </c>
      <c r="G115" s="6" t="str">
        <f aca="false">IF(A115="","",C115+D115+E115)</f>
        <v/>
      </c>
      <c r="H115" s="6" t="str">
        <f aca="false">IF(A115="","",IF(Inputs!$B$30=FALSE(),"",$B$9-G115))</f>
        <v/>
      </c>
      <c r="I115" s="1" t="str">
        <f aca="false">IF(A115="","",IF(H115&gt;0,"Active","LAPSED"))</f>
        <v/>
      </c>
      <c r="J115" s="1" t="str">
        <f aca="false">IF(A115="","",IF(AND(H116&lt;0,H115&gt;0),1,0))</f>
        <v/>
      </c>
    </row>
    <row r="116" customFormat="false" ht="15" hidden="false" customHeight="false" outlineLevel="0" collapsed="false">
      <c r="A116" s="1" t="str">
        <f aca="false">IF(OR(A115="",H115&lt;=0),"",A115+1)</f>
        <v/>
      </c>
      <c r="B116" s="3" t="str">
        <f aca="false">IF(A116="","",EOMONTH(B115,12/$B$5))</f>
        <v/>
      </c>
      <c r="C116" s="6" t="str">
        <f aca="false">IF(A116="","",G115)</f>
        <v/>
      </c>
      <c r="D116" s="6" t="str">
        <f aca="false">IF(A116="","",C116*$B$4/$B$5)</f>
        <v/>
      </c>
      <c r="E116" s="6" t="str">
        <f aca="false">IF(A116="","",IF(AND(B116&lt;=$F$9,C116+D116+$B$8&lt;VLOOKUP(B116,Projection_Monthly!$B:$AB,26,TRUE())*$B$10),$B$8,0))</f>
        <v/>
      </c>
      <c r="F116" s="1" t="str">
        <f aca="false">IF(A116="","",MIN($B$8,E116))</f>
        <v/>
      </c>
      <c r="G116" s="6" t="str">
        <f aca="false">IF(A116="","",C116+D116+E116)</f>
        <v/>
      </c>
      <c r="H116" s="6" t="str">
        <f aca="false">IF(A116="","",IF(Inputs!$B$30=FALSE(),"",$B$9-G116))</f>
        <v/>
      </c>
      <c r="I116" s="1" t="str">
        <f aca="false">IF(A116="","",IF(H116&gt;0,"Active","LAPSED"))</f>
        <v/>
      </c>
      <c r="J116" s="1" t="str">
        <f aca="false">IF(A116="","",IF(AND(H117&lt;0,H116&gt;0),1,0))</f>
        <v/>
      </c>
    </row>
    <row r="117" customFormat="false" ht="15" hidden="false" customHeight="false" outlineLevel="0" collapsed="false">
      <c r="A117" s="1" t="str">
        <f aca="false">IF(OR(A116="",H116&lt;=0),"",A116+1)</f>
        <v/>
      </c>
      <c r="B117" s="3" t="str">
        <f aca="false">IF(A117="","",EOMONTH(B116,12/$B$5))</f>
        <v/>
      </c>
      <c r="C117" s="6" t="str">
        <f aca="false">IF(A117="","",G116)</f>
        <v/>
      </c>
      <c r="D117" s="6" t="str">
        <f aca="false">IF(A117="","",C117*$B$4/$B$5)</f>
        <v/>
      </c>
      <c r="E117" s="6" t="str">
        <f aca="false">IF(A117="","",IF(AND(B117&lt;=$F$9,C117+D117+$B$8&lt;VLOOKUP(B117,Projection_Monthly!$B:$AB,26,TRUE())*$B$10),$B$8,0))</f>
        <v/>
      </c>
      <c r="F117" s="1" t="str">
        <f aca="false">IF(A117="","",MIN($B$8,E117))</f>
        <v/>
      </c>
      <c r="G117" s="6" t="str">
        <f aca="false">IF(A117="","",C117+D117+E117)</f>
        <v/>
      </c>
      <c r="H117" s="6" t="str">
        <f aca="false">IF(A117="","",IF(Inputs!$B$30=FALSE(),"",$B$9-G117))</f>
        <v/>
      </c>
      <c r="I117" s="1" t="str">
        <f aca="false">IF(A117="","",IF(H117&gt;0,"Active","LAPSED"))</f>
        <v/>
      </c>
      <c r="J117" s="1" t="str">
        <f aca="false">IF(A117="","",IF(AND(H118&lt;0,H117&gt;0),1,0))</f>
        <v/>
      </c>
    </row>
    <row r="118" customFormat="false" ht="15" hidden="false" customHeight="false" outlineLevel="0" collapsed="false">
      <c r="A118" s="1" t="str">
        <f aca="false">IF(OR(A117="",H117&lt;=0),"",A117+1)</f>
        <v/>
      </c>
      <c r="B118" s="3" t="str">
        <f aca="false">IF(A118="","",EOMONTH(B117,12/$B$5))</f>
        <v/>
      </c>
      <c r="C118" s="6" t="str">
        <f aca="false">IF(A118="","",G117)</f>
        <v/>
      </c>
      <c r="D118" s="6" t="str">
        <f aca="false">IF(A118="","",C118*$B$4/$B$5)</f>
        <v/>
      </c>
      <c r="E118" s="6" t="str">
        <f aca="false">IF(A118="","",IF(AND(B118&lt;=$F$9,C118+D118+$B$8&lt;VLOOKUP(B118,Projection_Monthly!$B:$AB,26,TRUE())*$B$10),$B$8,0))</f>
        <v/>
      </c>
      <c r="F118" s="1" t="str">
        <f aca="false">IF(A118="","",MIN($B$8,E118))</f>
        <v/>
      </c>
      <c r="G118" s="6" t="str">
        <f aca="false">IF(A118="","",C118+D118+E118)</f>
        <v/>
      </c>
      <c r="H118" s="6" t="str">
        <f aca="false">IF(A118="","",IF(Inputs!$B$30=FALSE(),"",$B$9-G118))</f>
        <v/>
      </c>
      <c r="I118" s="1" t="str">
        <f aca="false">IF(A118="","",IF(H118&gt;0,"Active","LAPSED"))</f>
        <v/>
      </c>
      <c r="J118" s="1" t="str">
        <f aca="false">IF(A118="","",IF(AND(H119&lt;0,H118&gt;0),1,0))</f>
        <v/>
      </c>
    </row>
    <row r="119" customFormat="false" ht="15" hidden="false" customHeight="false" outlineLevel="0" collapsed="false">
      <c r="A119" s="1" t="str">
        <f aca="false">IF(OR(A118="",H118&lt;=0),"",A118+1)</f>
        <v/>
      </c>
      <c r="B119" s="3" t="str">
        <f aca="false">IF(A119="","",EOMONTH(B118,12/$B$5))</f>
        <v/>
      </c>
      <c r="C119" s="6" t="str">
        <f aca="false">IF(A119="","",G118)</f>
        <v/>
      </c>
      <c r="D119" s="6" t="str">
        <f aca="false">IF(A119="","",C119*$B$4/$B$5)</f>
        <v/>
      </c>
      <c r="E119" s="6" t="str">
        <f aca="false">IF(A119="","",IF(AND(B119&lt;=$F$9,C119+D119+$B$8&lt;VLOOKUP(B119,Projection_Monthly!$B:$AB,26,TRUE())*$B$10),$B$8,0))</f>
        <v/>
      </c>
      <c r="F119" s="1" t="str">
        <f aca="false">IF(A119="","",MIN($B$8,E119))</f>
        <v/>
      </c>
      <c r="G119" s="6" t="str">
        <f aca="false">IF(A119="","",C119+D119+E119)</f>
        <v/>
      </c>
      <c r="H119" s="6" t="str">
        <f aca="false">IF(A119="","",IF(Inputs!$B$30=FALSE(),"",$B$9-G119))</f>
        <v/>
      </c>
      <c r="I119" s="1" t="str">
        <f aca="false">IF(A119="","",IF(H119&gt;0,"Active","LAPSED"))</f>
        <v/>
      </c>
      <c r="J119" s="1" t="str">
        <f aca="false">IF(A119="","",IF(AND(H120&lt;0,H119&gt;0),1,0))</f>
        <v/>
      </c>
    </row>
    <row r="120" customFormat="false" ht="15" hidden="false" customHeight="false" outlineLevel="0" collapsed="false">
      <c r="A120" s="1" t="str">
        <f aca="false">IF(OR(A119="",H119&lt;=0),"",A119+1)</f>
        <v/>
      </c>
      <c r="B120" s="3" t="str">
        <f aca="false">IF(A120="","",EOMONTH(B119,12/$B$5))</f>
        <v/>
      </c>
      <c r="C120" s="6" t="str">
        <f aca="false">IF(A120="","",G119)</f>
        <v/>
      </c>
      <c r="D120" s="6" t="str">
        <f aca="false">IF(A120="","",C120*$B$4/$B$5)</f>
        <v/>
      </c>
      <c r="E120" s="6" t="str">
        <f aca="false">IF(A120="","",IF(AND(B120&lt;=$F$9,C120+D120+$B$8&lt;VLOOKUP(B120,Projection_Monthly!$B:$AB,26,TRUE())*$B$10),$B$8,0))</f>
        <v/>
      </c>
      <c r="F120" s="1" t="str">
        <f aca="false">IF(A120="","",MIN($B$8,E120))</f>
        <v/>
      </c>
      <c r="G120" s="6" t="str">
        <f aca="false">IF(A120="","",C120+D120+E120)</f>
        <v/>
      </c>
      <c r="H120" s="6" t="str">
        <f aca="false">IF(A120="","",IF(Inputs!$B$30=FALSE(),"",$B$9-G120))</f>
        <v/>
      </c>
      <c r="I120" s="1" t="str">
        <f aca="false">IF(A120="","",IF(H120&gt;0,"Active","LAPSED"))</f>
        <v/>
      </c>
      <c r="J120" s="1" t="str">
        <f aca="false">IF(A120="","",IF(AND(H121&lt;0,H120&gt;0),1,0))</f>
        <v/>
      </c>
    </row>
    <row r="121" customFormat="false" ht="15" hidden="false" customHeight="false" outlineLevel="0" collapsed="false">
      <c r="A121" s="1" t="str">
        <f aca="false">IF(OR(A120="",H120&lt;=0),"",A120+1)</f>
        <v/>
      </c>
      <c r="B121" s="3" t="str">
        <f aca="false">IF(A121="","",EOMONTH(B120,12/$B$5))</f>
        <v/>
      </c>
      <c r="C121" s="6" t="str">
        <f aca="false">IF(A121="","",G120)</f>
        <v/>
      </c>
      <c r="D121" s="6" t="str">
        <f aca="false">IF(A121="","",C121*$B$4/$B$5)</f>
        <v/>
      </c>
      <c r="E121" s="6" t="str">
        <f aca="false">IF(A121="","",IF(AND(B121&lt;=$F$9,C121+D121+$B$8&lt;VLOOKUP(B121,Projection_Monthly!$B:$AB,26,TRUE())*$B$10),$B$8,0))</f>
        <v/>
      </c>
      <c r="F121" s="1" t="str">
        <f aca="false">IF(A121="","",MIN($B$8,E121))</f>
        <v/>
      </c>
      <c r="G121" s="6" t="str">
        <f aca="false">IF(A121="","",C121+D121+E121)</f>
        <v/>
      </c>
      <c r="H121" s="6" t="str">
        <f aca="false">IF(A121="","",IF(Inputs!$B$30=FALSE(),"",$B$9-G121))</f>
        <v/>
      </c>
      <c r="I121" s="1" t="str">
        <f aca="false">IF(A121="","",IF(H121&gt;0,"Active","LAPSED"))</f>
        <v/>
      </c>
      <c r="J121" s="1" t="str">
        <f aca="false">IF(A121="","",IF(AND(H122&lt;0,H121&gt;0),1,0))</f>
        <v/>
      </c>
    </row>
    <row r="122" customFormat="false" ht="15" hidden="false" customHeight="false" outlineLevel="0" collapsed="false">
      <c r="A122" s="1" t="str">
        <f aca="false">IF(OR(A121="",H121&lt;=0),"",A121+1)</f>
        <v/>
      </c>
      <c r="B122" s="3" t="str">
        <f aca="false">IF(A122="","",EOMONTH(B121,12/$B$5))</f>
        <v/>
      </c>
      <c r="C122" s="6" t="str">
        <f aca="false">IF(A122="","",G121)</f>
        <v/>
      </c>
      <c r="D122" s="6" t="str">
        <f aca="false">IF(A122="","",C122*$B$4/$B$5)</f>
        <v/>
      </c>
      <c r="E122" s="6" t="str">
        <f aca="false">IF(A122="","",IF(AND(B122&lt;=$F$9,C122+D122+$B$8&lt;VLOOKUP(B122,Projection_Monthly!$B:$AB,26,TRUE())*$B$10),$B$8,0))</f>
        <v/>
      </c>
      <c r="F122" s="1" t="str">
        <f aca="false">IF(A122="","",MIN($B$8,E122))</f>
        <v/>
      </c>
      <c r="G122" s="6" t="str">
        <f aca="false">IF(A122="","",C122+D122+E122)</f>
        <v/>
      </c>
      <c r="H122" s="6" t="str">
        <f aca="false">IF(A122="","",IF(Inputs!$B$30=FALSE(),"",$B$9-G122))</f>
        <v/>
      </c>
      <c r="I122" s="1" t="str">
        <f aca="false">IF(A122="","",IF(H122&gt;0,"Active","LAPSED"))</f>
        <v/>
      </c>
      <c r="J122" s="1" t="str">
        <f aca="false">IF(A122="","",IF(AND(H123&lt;0,H122&gt;0),1,0))</f>
        <v/>
      </c>
    </row>
    <row r="123" customFormat="false" ht="15" hidden="false" customHeight="false" outlineLevel="0" collapsed="false">
      <c r="A123" s="1" t="str">
        <f aca="false">IF(OR(A122="",H122&lt;=0),"",A122+1)</f>
        <v/>
      </c>
      <c r="B123" s="3" t="str">
        <f aca="false">IF(A123="","",EOMONTH(B122,12/$B$5))</f>
        <v/>
      </c>
      <c r="C123" s="6" t="str">
        <f aca="false">IF(A123="","",G122)</f>
        <v/>
      </c>
      <c r="D123" s="6" t="str">
        <f aca="false">IF(A123="","",C123*$B$4/$B$5)</f>
        <v/>
      </c>
      <c r="E123" s="6" t="str">
        <f aca="false">IF(A123="","",IF(AND(B123&lt;=$F$9,C123+D123+$B$8&lt;VLOOKUP(B123,Projection_Monthly!$B:$AB,26,TRUE())*$B$10),$B$8,0))</f>
        <v/>
      </c>
      <c r="F123" s="1" t="str">
        <f aca="false">IF(A123="","",MIN($B$8,E123))</f>
        <v/>
      </c>
      <c r="G123" s="6" t="str">
        <f aca="false">IF(A123="","",C123+D123+E123)</f>
        <v/>
      </c>
      <c r="H123" s="6" t="str">
        <f aca="false">IF(A123="","",IF(Inputs!$B$30=FALSE(),"",$B$9-G123))</f>
        <v/>
      </c>
      <c r="I123" s="1" t="str">
        <f aca="false">IF(A123="","",IF(H123&gt;0,"Active","LAPSED"))</f>
        <v/>
      </c>
      <c r="J123" s="1" t="str">
        <f aca="false">IF(A123="","",IF(AND(H124&lt;0,H123&gt;0),1,0))</f>
        <v/>
      </c>
    </row>
    <row r="124" customFormat="false" ht="15" hidden="false" customHeight="false" outlineLevel="0" collapsed="false">
      <c r="A124" s="1" t="str">
        <f aca="false">IF(OR(A123="",H123&lt;=0),"",A123+1)</f>
        <v/>
      </c>
      <c r="B124" s="3" t="str">
        <f aca="false">IF(A124="","",EOMONTH(B123,12/$B$5))</f>
        <v/>
      </c>
      <c r="C124" s="6" t="str">
        <f aca="false">IF(A124="","",G123)</f>
        <v/>
      </c>
      <c r="D124" s="6" t="str">
        <f aca="false">IF(A124="","",C124*$B$4/$B$5)</f>
        <v/>
      </c>
      <c r="E124" s="6" t="str">
        <f aca="false">IF(A124="","",IF(AND(B124&lt;=$F$9,C124+D124+$B$8&lt;VLOOKUP(B124,Projection_Monthly!$B:$AB,26,TRUE())*$B$10),$B$8,0))</f>
        <v/>
      </c>
      <c r="F124" s="1" t="str">
        <f aca="false">IF(A124="","",MIN($B$8,E124))</f>
        <v/>
      </c>
      <c r="G124" s="6" t="str">
        <f aca="false">IF(A124="","",C124+D124+E124)</f>
        <v/>
      </c>
      <c r="H124" s="6" t="str">
        <f aca="false">IF(A124="","",IF(Inputs!$B$30=FALSE(),"",$B$9-G124))</f>
        <v/>
      </c>
      <c r="I124" s="1" t="str">
        <f aca="false">IF(A124="","",IF(H124&gt;0,"Active","LAPSED"))</f>
        <v/>
      </c>
      <c r="J124" s="1" t="str">
        <f aca="false">IF(A124="","",IF(AND(H125&lt;0,H124&gt;0),1,0))</f>
        <v/>
      </c>
    </row>
    <row r="125" customFormat="false" ht="15" hidden="false" customHeight="false" outlineLevel="0" collapsed="false">
      <c r="A125" s="1" t="str">
        <f aca="false">IF(OR(A124="",H124&lt;=0),"",A124+1)</f>
        <v/>
      </c>
      <c r="B125" s="3" t="str">
        <f aca="false">IF(A125="","",EOMONTH(B124,12/$B$5))</f>
        <v/>
      </c>
      <c r="C125" s="6" t="str">
        <f aca="false">IF(A125="","",G124)</f>
        <v/>
      </c>
      <c r="D125" s="6" t="str">
        <f aca="false">IF(A125="","",C125*$B$4/$B$5)</f>
        <v/>
      </c>
      <c r="E125" s="6" t="str">
        <f aca="false">IF(A125="","",IF(AND(B125&lt;=$F$9,C125+D125+$B$8&lt;VLOOKUP(B125,Projection_Monthly!$B:$AB,26,TRUE())*$B$10),$B$8,0))</f>
        <v/>
      </c>
      <c r="F125" s="1" t="str">
        <f aca="false">IF(A125="","",MIN($B$8,E125))</f>
        <v/>
      </c>
      <c r="G125" s="6" t="str">
        <f aca="false">IF(A125="","",C125+D125+E125)</f>
        <v/>
      </c>
      <c r="H125" s="6" t="str">
        <f aca="false">IF(A125="","",IF(Inputs!$B$30=FALSE(),"",$B$9-G125))</f>
        <v/>
      </c>
      <c r="I125" s="1" t="str">
        <f aca="false">IF(A125="","",IF(H125&gt;0,"Active","LAPSED"))</f>
        <v/>
      </c>
      <c r="J125" s="1" t="str">
        <f aca="false">IF(A125="","",IF(AND(H126&lt;0,H125&gt;0),1,0))</f>
        <v/>
      </c>
    </row>
    <row r="126" customFormat="false" ht="15" hidden="false" customHeight="false" outlineLevel="0" collapsed="false">
      <c r="A126" s="1" t="str">
        <f aca="false">IF(OR(A125="",H125&lt;=0),"",A125+1)</f>
        <v/>
      </c>
      <c r="B126" s="3" t="str">
        <f aca="false">IF(A126="","",EOMONTH(B125,12/$B$5))</f>
        <v/>
      </c>
      <c r="C126" s="6" t="str">
        <f aca="false">IF(A126="","",G125)</f>
        <v/>
      </c>
      <c r="D126" s="6" t="str">
        <f aca="false">IF(A126="","",C126*$B$4/$B$5)</f>
        <v/>
      </c>
      <c r="E126" s="6" t="str">
        <f aca="false">IF(A126="","",IF(AND(B126&lt;=$F$9,C126+D126+$B$8&lt;VLOOKUP(B126,Projection_Monthly!$B:$AB,26,TRUE())*$B$10),$B$8,0))</f>
        <v/>
      </c>
      <c r="F126" s="1" t="str">
        <f aca="false">IF(A126="","",MIN($B$8,E126))</f>
        <v/>
      </c>
      <c r="G126" s="6" t="str">
        <f aca="false">IF(A126="","",C126+D126+E126)</f>
        <v/>
      </c>
      <c r="H126" s="6" t="str">
        <f aca="false">IF(A126="","",IF(Inputs!$B$30=FALSE(),"",$B$9-G126))</f>
        <v/>
      </c>
      <c r="I126" s="1" t="str">
        <f aca="false">IF(A126="","",IF(H126&gt;0,"Active","LAPSED"))</f>
        <v/>
      </c>
      <c r="J126" s="1" t="str">
        <f aca="false">IF(A126="","",IF(AND(H127&lt;0,H126&gt;0),1,0))</f>
        <v/>
      </c>
    </row>
    <row r="127" customFormat="false" ht="15" hidden="false" customHeight="false" outlineLevel="0" collapsed="false">
      <c r="A127" s="1" t="str">
        <f aca="false">IF(OR(A126="",H126&lt;=0),"",A126+1)</f>
        <v/>
      </c>
      <c r="B127" s="3" t="str">
        <f aca="false">IF(A127="","",EOMONTH(B126,12/$B$5))</f>
        <v/>
      </c>
      <c r="C127" s="6" t="str">
        <f aca="false">IF(A127="","",G126)</f>
        <v/>
      </c>
      <c r="D127" s="6" t="str">
        <f aca="false">IF(A127="","",C127*$B$4/$B$5)</f>
        <v/>
      </c>
      <c r="E127" s="6" t="str">
        <f aca="false">IF(A127="","",IF(AND(B127&lt;=$F$9,C127+D127+$B$8&lt;VLOOKUP(B127,Projection_Monthly!$B:$AB,26,TRUE())*$B$10),$B$8,0))</f>
        <v/>
      </c>
      <c r="F127" s="1" t="str">
        <f aca="false">IF(A127="","",MIN($B$8,E127))</f>
        <v/>
      </c>
      <c r="G127" s="6" t="str">
        <f aca="false">IF(A127="","",C127+D127+E127)</f>
        <v/>
      </c>
      <c r="H127" s="6" t="str">
        <f aca="false">IF(A127="","",IF(Inputs!$B$30=FALSE(),"",$B$9-G127))</f>
        <v/>
      </c>
      <c r="I127" s="1" t="str">
        <f aca="false">IF(A127="","",IF(H127&gt;0,"Active","LAPSED"))</f>
        <v/>
      </c>
      <c r="J127" s="1" t="str">
        <f aca="false">IF(A127="","",IF(AND(H128&lt;0,H127&gt;0),1,0))</f>
        <v/>
      </c>
    </row>
    <row r="128" customFormat="false" ht="15" hidden="false" customHeight="false" outlineLevel="0" collapsed="false">
      <c r="A128" s="1" t="str">
        <f aca="false">IF(OR(A127="",H127&lt;=0),"",A127+1)</f>
        <v/>
      </c>
      <c r="B128" s="3" t="str">
        <f aca="false">IF(A128="","",EOMONTH(B127,12/$B$5))</f>
        <v/>
      </c>
      <c r="C128" s="6" t="str">
        <f aca="false">IF(A128="","",G127)</f>
        <v/>
      </c>
      <c r="D128" s="6" t="str">
        <f aca="false">IF(A128="","",C128*$B$4/$B$5)</f>
        <v/>
      </c>
      <c r="E128" s="6" t="str">
        <f aca="false">IF(A128="","",IF(AND(B128&lt;=$F$9,C128+D128+$B$8&lt;VLOOKUP(B128,Projection_Monthly!$B:$AB,26,TRUE())*$B$10),$B$8,0))</f>
        <v/>
      </c>
      <c r="F128" s="1" t="str">
        <f aca="false">IF(A128="","",MIN($B$8,E128))</f>
        <v/>
      </c>
      <c r="G128" s="6" t="str">
        <f aca="false">IF(A128="","",C128+D128+E128)</f>
        <v/>
      </c>
      <c r="H128" s="6" t="str">
        <f aca="false">IF(A128="","",IF(Inputs!$B$30=FALSE(),"",$B$9-G128))</f>
        <v/>
      </c>
      <c r="I128" s="1" t="str">
        <f aca="false">IF(A128="","",IF(H128&gt;0,"Active","LAPSED"))</f>
        <v/>
      </c>
      <c r="J128" s="1" t="str">
        <f aca="false">IF(A128="","",IF(AND(H129&lt;0,H128&gt;0),1,0))</f>
        <v/>
      </c>
    </row>
    <row r="129" customFormat="false" ht="15" hidden="false" customHeight="false" outlineLevel="0" collapsed="false">
      <c r="A129" s="1" t="str">
        <f aca="false">IF(OR(A128="",H128&lt;=0),"",A128+1)</f>
        <v/>
      </c>
      <c r="B129" s="3" t="str">
        <f aca="false">IF(A129="","",EOMONTH(B128,12/$B$5))</f>
        <v/>
      </c>
      <c r="C129" s="6" t="str">
        <f aca="false">IF(A129="","",G128)</f>
        <v/>
      </c>
      <c r="D129" s="6" t="str">
        <f aca="false">IF(A129="","",C129*$B$4/$B$5)</f>
        <v/>
      </c>
      <c r="E129" s="6" t="str">
        <f aca="false">IF(A129="","",IF(AND(B129&lt;=$F$9,C129+D129+$B$8&lt;VLOOKUP(B129,Projection_Monthly!$B:$AB,26,TRUE())*$B$10),$B$8,0))</f>
        <v/>
      </c>
      <c r="F129" s="1" t="str">
        <f aca="false">IF(A129="","",MIN($B$8,E129))</f>
        <v/>
      </c>
      <c r="G129" s="6" t="str">
        <f aca="false">IF(A129="","",C129+D129+E129)</f>
        <v/>
      </c>
      <c r="H129" s="6" t="str">
        <f aca="false">IF(A129="","",IF(Inputs!$B$30=FALSE(),"",$B$9-G129))</f>
        <v/>
      </c>
      <c r="I129" s="1" t="str">
        <f aca="false">IF(A129="","",IF(H129&gt;0,"Active","LAPSED"))</f>
        <v/>
      </c>
      <c r="J129" s="1" t="str">
        <f aca="false">IF(A129="","",IF(AND(H130&lt;0,H129&gt;0),1,0))</f>
        <v/>
      </c>
    </row>
    <row r="130" customFormat="false" ht="15" hidden="false" customHeight="false" outlineLevel="0" collapsed="false">
      <c r="A130" s="1" t="str">
        <f aca="false">IF(OR(A129="",H129&lt;=0),"",A129+1)</f>
        <v/>
      </c>
      <c r="B130" s="3" t="str">
        <f aca="false">IF(A130="","",EOMONTH(B129,12/$B$5))</f>
        <v/>
      </c>
      <c r="C130" s="6" t="str">
        <f aca="false">IF(A130="","",G129)</f>
        <v/>
      </c>
      <c r="D130" s="6" t="str">
        <f aca="false">IF(A130="","",C130*$B$4/$B$5)</f>
        <v/>
      </c>
      <c r="E130" s="6" t="str">
        <f aca="false">IF(A130="","",IF(AND(B130&lt;=$F$9,C130+D130+$B$8&lt;VLOOKUP(B130,Projection_Monthly!$B:$AB,26,TRUE())*$B$10),$B$8,0))</f>
        <v/>
      </c>
      <c r="F130" s="1" t="str">
        <f aca="false">IF(A130="","",MIN($B$8,E130))</f>
        <v/>
      </c>
      <c r="G130" s="6" t="str">
        <f aca="false">IF(A130="","",C130+D130+E130)</f>
        <v/>
      </c>
      <c r="H130" s="6" t="str">
        <f aca="false">IF(A130="","",IF(Inputs!$B$30=FALSE(),"",$B$9-G130))</f>
        <v/>
      </c>
      <c r="I130" s="1" t="str">
        <f aca="false">IF(A130="","",IF(H130&gt;0,"Active","LAPSED"))</f>
        <v/>
      </c>
      <c r="J130" s="1" t="str">
        <f aca="false">IF(A130="","",IF(AND(H131&lt;0,H130&gt;0),1,0))</f>
        <v/>
      </c>
    </row>
    <row r="131" customFormat="false" ht="15" hidden="false" customHeight="false" outlineLevel="0" collapsed="false">
      <c r="A131" s="1" t="str">
        <f aca="false">IF(OR(A130="",H130&lt;=0),"",A130+1)</f>
        <v/>
      </c>
      <c r="B131" s="3" t="str">
        <f aca="false">IF(A131="","",EOMONTH(B130,12/$B$5))</f>
        <v/>
      </c>
      <c r="C131" s="6" t="str">
        <f aca="false">IF(A131="","",G130)</f>
        <v/>
      </c>
      <c r="D131" s="6" t="str">
        <f aca="false">IF(A131="","",C131*$B$4/$B$5)</f>
        <v/>
      </c>
      <c r="E131" s="6" t="str">
        <f aca="false">IF(A131="","",IF(AND(B131&lt;=$F$9,C131+D131+$B$8&lt;VLOOKUP(B131,Projection_Monthly!$B:$AB,26,TRUE())*$B$10),$B$8,0))</f>
        <v/>
      </c>
      <c r="F131" s="1" t="str">
        <f aca="false">IF(A131="","",MIN($B$8,E131))</f>
        <v/>
      </c>
      <c r="G131" s="6" t="str">
        <f aca="false">IF(A131="","",C131+D131+E131)</f>
        <v/>
      </c>
      <c r="H131" s="6" t="str">
        <f aca="false">IF(A131="","",IF(Inputs!$B$30=FALSE(),"",$B$9-G131))</f>
        <v/>
      </c>
      <c r="I131" s="1" t="str">
        <f aca="false">IF(A131="","",IF(H131&gt;0,"Active","LAPSED"))</f>
        <v/>
      </c>
      <c r="J131" s="1" t="str">
        <f aca="false">IF(A131="","",IF(AND(H132&lt;0,H131&gt;0),1,0))</f>
        <v/>
      </c>
    </row>
    <row r="132" customFormat="false" ht="15" hidden="false" customHeight="false" outlineLevel="0" collapsed="false">
      <c r="A132" s="1" t="str">
        <f aca="false">IF(OR(A131="",H131&lt;=0),"",A131+1)</f>
        <v/>
      </c>
      <c r="B132" s="3" t="str">
        <f aca="false">IF(A132="","",EOMONTH(B131,12/$B$5))</f>
        <v/>
      </c>
      <c r="C132" s="6" t="str">
        <f aca="false">IF(A132="","",G131)</f>
        <v/>
      </c>
      <c r="D132" s="6" t="str">
        <f aca="false">IF(A132="","",C132*$B$4/$B$5)</f>
        <v/>
      </c>
      <c r="E132" s="6" t="str">
        <f aca="false">IF(A132="","",IF(AND(B132&lt;=$F$9,C132+D132+$B$8&lt;VLOOKUP(B132,Projection_Monthly!$B:$AB,26,TRUE())*$B$10),$B$8,0))</f>
        <v/>
      </c>
      <c r="F132" s="1" t="str">
        <f aca="false">IF(A132="","",MIN($B$8,E132))</f>
        <v/>
      </c>
      <c r="G132" s="6" t="str">
        <f aca="false">IF(A132="","",C132+D132+E132)</f>
        <v/>
      </c>
      <c r="H132" s="6" t="str">
        <f aca="false">IF(A132="","",IF(Inputs!$B$30=FALSE(),"",$B$9-G132))</f>
        <v/>
      </c>
      <c r="I132" s="1" t="str">
        <f aca="false">IF(A132="","",IF(H132&gt;0,"Active","LAPSED"))</f>
        <v/>
      </c>
      <c r="J132" s="1" t="str">
        <f aca="false">IF(A132="","",IF(AND(H133&lt;0,H132&gt;0),1,0))</f>
        <v/>
      </c>
    </row>
    <row r="133" customFormat="false" ht="15" hidden="false" customHeight="false" outlineLevel="0" collapsed="false">
      <c r="A133" s="1" t="str">
        <f aca="false">IF(OR(A132="",H132&lt;=0),"",A132+1)</f>
        <v/>
      </c>
      <c r="B133" s="3" t="str">
        <f aca="false">IF(A133="","",EOMONTH(B132,12/$B$5))</f>
        <v/>
      </c>
      <c r="C133" s="6" t="str">
        <f aca="false">IF(A133="","",G132)</f>
        <v/>
      </c>
      <c r="D133" s="6" t="str">
        <f aca="false">IF(A133="","",C133*$B$4/$B$5)</f>
        <v/>
      </c>
      <c r="E133" s="6" t="str">
        <f aca="false">IF(A133="","",IF(AND(B133&lt;=$F$9,C133+D133+$B$8&lt;VLOOKUP(B133,Projection_Monthly!$B:$AB,26,TRUE())*$B$10),$B$8,0))</f>
        <v/>
      </c>
      <c r="F133" s="1" t="str">
        <f aca="false">IF(A133="","",MIN($B$8,E133))</f>
        <v/>
      </c>
      <c r="G133" s="6" t="str">
        <f aca="false">IF(A133="","",C133+D133+E133)</f>
        <v/>
      </c>
      <c r="H133" s="6" t="str">
        <f aca="false">IF(A133="","",IF(Inputs!$B$30=FALSE(),"",$B$9-G133))</f>
        <v/>
      </c>
      <c r="I133" s="1" t="str">
        <f aca="false">IF(A133="","",IF(H133&gt;0,"Active","LAPSED"))</f>
        <v/>
      </c>
      <c r="J133" s="1" t="str">
        <f aca="false">IF(A133="","",IF(AND(H134&lt;0,H133&gt;0),1,0))</f>
        <v/>
      </c>
    </row>
    <row r="134" customFormat="false" ht="15" hidden="false" customHeight="false" outlineLevel="0" collapsed="false">
      <c r="A134" s="1" t="str">
        <f aca="false">IF(OR(A133="",H133&lt;=0),"",A133+1)</f>
        <v/>
      </c>
      <c r="B134" s="3" t="str">
        <f aca="false">IF(A134="","",EOMONTH(B133,12/$B$5))</f>
        <v/>
      </c>
      <c r="C134" s="6" t="str">
        <f aca="false">IF(A134="","",G133)</f>
        <v/>
      </c>
      <c r="D134" s="6" t="str">
        <f aca="false">IF(A134="","",C134*$B$4/$B$5)</f>
        <v/>
      </c>
      <c r="E134" s="6" t="str">
        <f aca="false">IF(A134="","",IF(AND(B134&lt;=$F$9,C134+D134+$B$8&lt;VLOOKUP(B134,Projection_Monthly!$B:$AB,26,TRUE())*$B$10),$B$8,0))</f>
        <v/>
      </c>
      <c r="F134" s="1" t="str">
        <f aca="false">IF(A134="","",MIN($B$8,E134))</f>
        <v/>
      </c>
      <c r="G134" s="6" t="str">
        <f aca="false">IF(A134="","",C134+D134+E134)</f>
        <v/>
      </c>
      <c r="H134" s="6" t="str">
        <f aca="false">IF(A134="","",IF(Inputs!$B$30=FALSE(),"",$B$9-G134))</f>
        <v/>
      </c>
      <c r="I134" s="1" t="str">
        <f aca="false">IF(A134="","",IF(H134&gt;0,"Active","LAPSED"))</f>
        <v/>
      </c>
      <c r="J134" s="1" t="str">
        <f aca="false">IF(A134="","",IF(AND(H135&lt;0,H134&gt;0),1,0))</f>
        <v/>
      </c>
    </row>
    <row r="135" customFormat="false" ht="15" hidden="false" customHeight="false" outlineLevel="0" collapsed="false">
      <c r="A135" s="1" t="str">
        <f aca="false">IF(OR(A134="",H134&lt;=0),"",A134+1)</f>
        <v/>
      </c>
      <c r="B135" s="3" t="str">
        <f aca="false">IF(A135="","",EOMONTH(B134,12/$B$5))</f>
        <v/>
      </c>
      <c r="C135" s="6" t="str">
        <f aca="false">IF(A135="","",G134)</f>
        <v/>
      </c>
      <c r="D135" s="6" t="str">
        <f aca="false">IF(A135="","",C135*$B$4/$B$5)</f>
        <v/>
      </c>
      <c r="E135" s="6" t="str">
        <f aca="false">IF(A135="","",IF(AND(B135&lt;=$F$9,C135+D135+$B$8&lt;VLOOKUP(B135,Projection_Monthly!$B:$AB,26,TRUE())*$B$10),$B$8,0))</f>
        <v/>
      </c>
      <c r="F135" s="1" t="str">
        <f aca="false">IF(A135="","",MIN($B$8,E135))</f>
        <v/>
      </c>
      <c r="G135" s="6" t="str">
        <f aca="false">IF(A135="","",C135+D135+E135)</f>
        <v/>
      </c>
      <c r="H135" s="6" t="str">
        <f aca="false">IF(A135="","",IF(Inputs!$B$30=FALSE(),"",$B$9-G135))</f>
        <v/>
      </c>
      <c r="I135" s="1" t="str">
        <f aca="false">IF(A135="","",IF(H135&gt;0,"Active","LAPSED"))</f>
        <v/>
      </c>
      <c r="J135" s="1" t="str">
        <f aca="false">IF(A135="","",IF(AND(H136&lt;0,H135&gt;0),1,0))</f>
        <v/>
      </c>
    </row>
    <row r="136" customFormat="false" ht="15" hidden="false" customHeight="false" outlineLevel="0" collapsed="false">
      <c r="A136" s="1" t="str">
        <f aca="false">IF(OR(A135="",H135&lt;=0),"",A135+1)</f>
        <v/>
      </c>
      <c r="B136" s="3" t="str">
        <f aca="false">IF(A136="","",EOMONTH(B135,12/$B$5))</f>
        <v/>
      </c>
      <c r="C136" s="6" t="str">
        <f aca="false">IF(A136="","",G135)</f>
        <v/>
      </c>
      <c r="D136" s="6" t="str">
        <f aca="false">IF(A136="","",C136*$B$4/$B$5)</f>
        <v/>
      </c>
      <c r="E136" s="6" t="str">
        <f aca="false">IF(A136="","",IF(AND(B136&lt;=$F$9,C136+D136+$B$8&lt;VLOOKUP(B136,Projection_Monthly!$B:$AB,26,TRUE())*$B$10),$B$8,0))</f>
        <v/>
      </c>
      <c r="F136" s="1" t="str">
        <f aca="false">IF(A136="","",MIN($B$8,E136))</f>
        <v/>
      </c>
      <c r="G136" s="6" t="str">
        <f aca="false">IF(A136="","",C136+D136+E136)</f>
        <v/>
      </c>
      <c r="H136" s="6" t="str">
        <f aca="false">IF(A136="","",IF(Inputs!$B$30=FALSE(),"",$B$9-G136))</f>
        <v/>
      </c>
      <c r="I136" s="1" t="str">
        <f aca="false">IF(A136="","",IF(H136&gt;0,"Active","LAPSED"))</f>
        <v/>
      </c>
      <c r="J136" s="1" t="str">
        <f aca="false">IF(A136="","",IF(AND(H137&lt;0,H136&gt;0),1,0))</f>
        <v/>
      </c>
    </row>
    <row r="137" customFormat="false" ht="15" hidden="false" customHeight="false" outlineLevel="0" collapsed="false">
      <c r="A137" s="1" t="str">
        <f aca="false">IF(OR(A136="",H136&lt;=0),"",A136+1)</f>
        <v/>
      </c>
      <c r="B137" s="3" t="str">
        <f aca="false">IF(A137="","",EOMONTH(B136,12/$B$5))</f>
        <v/>
      </c>
      <c r="C137" s="6" t="str">
        <f aca="false">IF(A137="","",G136)</f>
        <v/>
      </c>
      <c r="D137" s="6" t="str">
        <f aca="false">IF(A137="","",C137*$B$4/$B$5)</f>
        <v/>
      </c>
      <c r="E137" s="6" t="str">
        <f aca="false">IF(A137="","",IF(AND(B137&lt;=$F$9,C137+D137+$B$8&lt;VLOOKUP(B137,Projection_Monthly!$B:$AB,26,TRUE())*$B$10),$B$8,0))</f>
        <v/>
      </c>
      <c r="F137" s="1" t="str">
        <f aca="false">IF(A137="","",MIN($B$8,E137))</f>
        <v/>
      </c>
      <c r="G137" s="6" t="str">
        <f aca="false">IF(A137="","",C137+D137+E137)</f>
        <v/>
      </c>
      <c r="H137" s="6" t="str">
        <f aca="false">IF(A137="","",IF(Inputs!$B$30=FALSE(),"",$B$9-G137))</f>
        <v/>
      </c>
      <c r="I137" s="1" t="str">
        <f aca="false">IF(A137="","",IF(H137&gt;0,"Active","LAPSED"))</f>
        <v/>
      </c>
      <c r="J137" s="1" t="str">
        <f aca="false">IF(A137="","",IF(AND(H138&lt;0,H137&gt;0),1,0))</f>
        <v/>
      </c>
    </row>
    <row r="138" customFormat="false" ht="15" hidden="false" customHeight="false" outlineLevel="0" collapsed="false">
      <c r="A138" s="1" t="str">
        <f aca="false">IF(OR(A137="",H137&lt;=0),"",A137+1)</f>
        <v/>
      </c>
      <c r="B138" s="3" t="str">
        <f aca="false">IF(A138="","",EOMONTH(B137,12/$B$5))</f>
        <v/>
      </c>
      <c r="C138" s="6" t="str">
        <f aca="false">IF(A138="","",G137)</f>
        <v/>
      </c>
      <c r="D138" s="6" t="str">
        <f aca="false">IF(A138="","",C138*$B$4/$B$5)</f>
        <v/>
      </c>
      <c r="E138" s="6" t="str">
        <f aca="false">IF(A138="","",IF(AND(B138&lt;=$F$9,C138+D138+$B$8&lt;VLOOKUP(B138,Projection_Monthly!$B:$AB,26,TRUE())*$B$10),$B$8,0))</f>
        <v/>
      </c>
      <c r="F138" s="1" t="str">
        <f aca="false">IF(A138="","",MIN($B$8,E138))</f>
        <v/>
      </c>
      <c r="G138" s="6" t="str">
        <f aca="false">IF(A138="","",C138+D138+E138)</f>
        <v/>
      </c>
      <c r="H138" s="6" t="str">
        <f aca="false">IF(A138="","",IF(Inputs!$B$30=FALSE(),"",$B$9-G138))</f>
        <v/>
      </c>
      <c r="I138" s="1" t="str">
        <f aca="false">IF(A138="","",IF(H138&gt;0,"Active","LAPSED"))</f>
        <v/>
      </c>
      <c r="J138" s="1" t="str">
        <f aca="false">IF(A138="","",IF(AND(H139&lt;0,H138&gt;0),1,0))</f>
        <v/>
      </c>
    </row>
    <row r="139" customFormat="false" ht="15" hidden="false" customHeight="false" outlineLevel="0" collapsed="false">
      <c r="A139" s="1" t="str">
        <f aca="false">IF(OR(A138="",H138&lt;=0),"",A138+1)</f>
        <v/>
      </c>
      <c r="B139" s="3" t="str">
        <f aca="false">IF(A139="","",EOMONTH(B138,12/$B$5))</f>
        <v/>
      </c>
      <c r="C139" s="6" t="str">
        <f aca="false">IF(A139="","",G138)</f>
        <v/>
      </c>
      <c r="D139" s="6" t="str">
        <f aca="false">IF(A139="","",C139*$B$4/$B$5)</f>
        <v/>
      </c>
      <c r="E139" s="6" t="str">
        <f aca="false">IF(A139="","",IF(AND(B139&lt;=$F$9,C139+D139+$B$8&lt;VLOOKUP(B139,Projection_Monthly!$B:$AB,26,TRUE())*$B$10),$B$8,0))</f>
        <v/>
      </c>
      <c r="F139" s="1" t="str">
        <f aca="false">IF(A139="","",MIN($B$8,E139))</f>
        <v/>
      </c>
      <c r="G139" s="6" t="str">
        <f aca="false">IF(A139="","",C139+D139+E139)</f>
        <v/>
      </c>
      <c r="H139" s="6" t="str">
        <f aca="false">IF(A139="","",IF(Inputs!$B$30=FALSE(),"",$B$9-G139))</f>
        <v/>
      </c>
      <c r="I139" s="1" t="str">
        <f aca="false">IF(A139="","",IF(H139&gt;0,"Active","LAPSED"))</f>
        <v/>
      </c>
      <c r="J139" s="1" t="str">
        <f aca="false">IF(A139="","",IF(AND(H140&lt;0,H139&gt;0),1,0))</f>
        <v/>
      </c>
    </row>
    <row r="140" customFormat="false" ht="15" hidden="false" customHeight="false" outlineLevel="0" collapsed="false">
      <c r="A140" s="1" t="str">
        <f aca="false">IF(OR(A139="",H139&lt;=0),"",A139+1)</f>
        <v/>
      </c>
      <c r="B140" s="3" t="str">
        <f aca="false">IF(A140="","",EOMONTH(B139,12/$B$5))</f>
        <v/>
      </c>
      <c r="C140" s="6" t="str">
        <f aca="false">IF(A140="","",G139)</f>
        <v/>
      </c>
      <c r="D140" s="6" t="str">
        <f aca="false">IF(A140="","",C140*$B$4/$B$5)</f>
        <v/>
      </c>
      <c r="E140" s="6" t="str">
        <f aca="false">IF(A140="","",IF(AND(B140&lt;=$F$9,C140+D140+$B$8&lt;VLOOKUP(B140,Projection_Monthly!$B:$AB,26,TRUE())*$B$10),$B$8,0))</f>
        <v/>
      </c>
      <c r="F140" s="1" t="str">
        <f aca="false">IF(A140="","",MIN($B$8,E140))</f>
        <v/>
      </c>
      <c r="G140" s="6" t="str">
        <f aca="false">IF(A140="","",C140+D140+E140)</f>
        <v/>
      </c>
      <c r="H140" s="6" t="str">
        <f aca="false">IF(A140="","",IF(Inputs!$B$30=FALSE(),"",$B$9-G140))</f>
        <v/>
      </c>
      <c r="I140" s="1" t="str">
        <f aca="false">IF(A140="","",IF(H140&gt;0,"Active","LAPSED"))</f>
        <v/>
      </c>
      <c r="J140" s="1" t="str">
        <f aca="false">IF(A140="","",IF(AND(H141&lt;0,H140&gt;0),1,0))</f>
        <v/>
      </c>
    </row>
    <row r="141" customFormat="false" ht="15" hidden="false" customHeight="false" outlineLevel="0" collapsed="false">
      <c r="A141" s="1" t="str">
        <f aca="false">IF(OR(A140="",H140&lt;=0),"",A140+1)</f>
        <v/>
      </c>
      <c r="B141" s="3" t="str">
        <f aca="false">IF(A141="","",EOMONTH(B140,12/$B$5))</f>
        <v/>
      </c>
      <c r="C141" s="6" t="str">
        <f aca="false">IF(A141="","",G140)</f>
        <v/>
      </c>
      <c r="D141" s="6" t="str">
        <f aca="false">IF(A141="","",C141*$B$4/$B$5)</f>
        <v/>
      </c>
      <c r="E141" s="6" t="str">
        <f aca="false">IF(A141="","",IF(AND(B141&lt;=$F$9,C141+D141+$B$8&lt;VLOOKUP(B141,Projection_Monthly!$B:$AB,26,TRUE())*$B$10),$B$8,0))</f>
        <v/>
      </c>
      <c r="F141" s="1" t="str">
        <f aca="false">IF(A141="","",MIN($B$8,E141))</f>
        <v/>
      </c>
      <c r="G141" s="6" t="str">
        <f aca="false">IF(A141="","",C141+D141+E141)</f>
        <v/>
      </c>
      <c r="H141" s="6" t="str">
        <f aca="false">IF(A141="","",IF(Inputs!$B$30=FALSE(),"",$B$9-G141))</f>
        <v/>
      </c>
      <c r="I141" s="1" t="str">
        <f aca="false">IF(A141="","",IF(H141&gt;0,"Active","LAPSED"))</f>
        <v/>
      </c>
      <c r="J141" s="1" t="str">
        <f aca="false">IF(A141="","",IF(AND(H142&lt;0,H141&gt;0),1,0))</f>
        <v/>
      </c>
    </row>
    <row r="142" customFormat="false" ht="15" hidden="false" customHeight="false" outlineLevel="0" collapsed="false">
      <c r="A142" s="1" t="str">
        <f aca="false">IF(OR(A141="",H141&lt;=0),"",A141+1)</f>
        <v/>
      </c>
      <c r="B142" s="3" t="str">
        <f aca="false">IF(A142="","",EOMONTH(B141,12/$B$5))</f>
        <v/>
      </c>
      <c r="C142" s="6" t="str">
        <f aca="false">IF(A142="","",G141)</f>
        <v/>
      </c>
      <c r="D142" s="6" t="str">
        <f aca="false">IF(A142="","",C142*$B$4/$B$5)</f>
        <v/>
      </c>
      <c r="E142" s="6" t="str">
        <f aca="false">IF(A142="","",IF(AND(B142&lt;=$F$9,C142+D142+$B$8&lt;VLOOKUP(B142,Projection_Monthly!$B:$AB,26,TRUE())*$B$10),$B$8,0))</f>
        <v/>
      </c>
      <c r="F142" s="1" t="str">
        <f aca="false">IF(A142="","",MIN($B$8,E142))</f>
        <v/>
      </c>
      <c r="G142" s="6" t="str">
        <f aca="false">IF(A142="","",C142+D142+E142)</f>
        <v/>
      </c>
      <c r="H142" s="6" t="str">
        <f aca="false">IF(A142="","",IF(Inputs!$B$30=FALSE(),"",$B$9-G142))</f>
        <v/>
      </c>
      <c r="I142" s="1" t="str">
        <f aca="false">IF(A142="","",IF(H142&gt;0,"Active","LAPSED"))</f>
        <v/>
      </c>
      <c r="J142" s="1" t="str">
        <f aca="false">IF(A142="","",IF(AND(H143&lt;0,H142&gt;0),1,0))</f>
        <v/>
      </c>
    </row>
    <row r="143" customFormat="false" ht="15" hidden="false" customHeight="false" outlineLevel="0" collapsed="false">
      <c r="A143" s="1" t="str">
        <f aca="false">IF(OR(A142="",H142&lt;=0),"",A142+1)</f>
        <v/>
      </c>
      <c r="B143" s="3" t="str">
        <f aca="false">IF(A143="","",EOMONTH(B142,12/$B$5))</f>
        <v/>
      </c>
      <c r="C143" s="6" t="str">
        <f aca="false">IF(A143="","",G142)</f>
        <v/>
      </c>
      <c r="D143" s="6" t="str">
        <f aca="false">IF(A143="","",C143*$B$4/$B$5)</f>
        <v/>
      </c>
      <c r="E143" s="6" t="str">
        <f aca="false">IF(A143="","",IF(AND(B143&lt;=$F$9,C143+D143+$B$8&lt;VLOOKUP(B143,Projection_Monthly!$B:$AB,26,TRUE())*$B$10),$B$8,0))</f>
        <v/>
      </c>
      <c r="F143" s="1" t="str">
        <f aca="false">IF(A143="","",MIN($B$8,E143))</f>
        <v/>
      </c>
      <c r="G143" s="6" t="str">
        <f aca="false">IF(A143="","",C143+D143+E143)</f>
        <v/>
      </c>
      <c r="H143" s="6" t="str">
        <f aca="false">IF(A143="","",IF(Inputs!$B$30=FALSE(),"",$B$9-G143))</f>
        <v/>
      </c>
      <c r="I143" s="1" t="str">
        <f aca="false">IF(A143="","",IF(H143&gt;0,"Active","LAPSED"))</f>
        <v/>
      </c>
      <c r="J143" s="1" t="str">
        <f aca="false">IF(A143="","",IF(AND(H144&lt;0,H143&gt;0),1,0))</f>
        <v/>
      </c>
    </row>
    <row r="144" customFormat="false" ht="15" hidden="false" customHeight="false" outlineLevel="0" collapsed="false">
      <c r="A144" s="1" t="str">
        <f aca="false">IF(OR(A143="",H143&lt;=0),"",A143+1)</f>
        <v/>
      </c>
      <c r="B144" s="3" t="str">
        <f aca="false">IF(A144="","",EOMONTH(B143,12/$B$5))</f>
        <v/>
      </c>
      <c r="C144" s="6" t="str">
        <f aca="false">IF(A144="","",G143)</f>
        <v/>
      </c>
      <c r="D144" s="6" t="str">
        <f aca="false">IF(A144="","",C144*$B$4/$B$5)</f>
        <v/>
      </c>
      <c r="E144" s="6" t="str">
        <f aca="false">IF(A144="","",IF(AND(B144&lt;=$F$9,C144+D144+$B$8&lt;VLOOKUP(B144,Projection_Monthly!$B:$AB,26,TRUE())*$B$10),$B$8,0))</f>
        <v/>
      </c>
      <c r="F144" s="1" t="str">
        <f aca="false">IF(A144="","",MIN($B$8,E144))</f>
        <v/>
      </c>
      <c r="G144" s="6" t="str">
        <f aca="false">IF(A144="","",C144+D144+E144)</f>
        <v/>
      </c>
      <c r="H144" s="6" t="str">
        <f aca="false">IF(A144="","",IF(Inputs!$B$30=FALSE(),"",$B$9-G144))</f>
        <v/>
      </c>
      <c r="I144" s="1" t="str">
        <f aca="false">IF(A144="","",IF(H144&gt;0,"Active","LAPSED"))</f>
        <v/>
      </c>
      <c r="J144" s="1" t="str">
        <f aca="false">IF(A144="","",IF(AND(H145&lt;0,H144&gt;0),1,0))</f>
        <v/>
      </c>
    </row>
    <row r="145" customFormat="false" ht="15" hidden="false" customHeight="false" outlineLevel="0" collapsed="false">
      <c r="A145" s="1" t="str">
        <f aca="false">IF(OR(A144="",H144&lt;=0),"",A144+1)</f>
        <v/>
      </c>
      <c r="B145" s="3" t="str">
        <f aca="false">IF(A145="","",EOMONTH(B144,12/$B$5))</f>
        <v/>
      </c>
      <c r="C145" s="6" t="str">
        <f aca="false">IF(A145="","",G144)</f>
        <v/>
      </c>
      <c r="D145" s="6" t="str">
        <f aca="false">IF(A145="","",C145*$B$4/$B$5)</f>
        <v/>
      </c>
      <c r="E145" s="6" t="str">
        <f aca="false">IF(A145="","",IF(AND(B145&lt;=$F$9,C145+D145+$B$8&lt;VLOOKUP(B145,Projection_Monthly!$B:$AB,26,TRUE())*$B$10),$B$8,0))</f>
        <v/>
      </c>
      <c r="F145" s="1" t="str">
        <f aca="false">IF(A145="","",MIN($B$8,E145))</f>
        <v/>
      </c>
      <c r="G145" s="6" t="str">
        <f aca="false">IF(A145="","",C145+D145+E145)</f>
        <v/>
      </c>
      <c r="H145" s="6" t="str">
        <f aca="false">IF(A145="","",IF(Inputs!$B$30=FALSE(),"",$B$9-G145))</f>
        <v/>
      </c>
      <c r="I145" s="1" t="str">
        <f aca="false">IF(A145="","",IF(H145&gt;0,"Active","LAPSED"))</f>
        <v/>
      </c>
      <c r="J145" s="1" t="str">
        <f aca="false">IF(A145="","",IF(AND(H146&lt;0,H145&gt;0),1,0))</f>
        <v/>
      </c>
    </row>
    <row r="146" customFormat="false" ht="15" hidden="false" customHeight="false" outlineLevel="0" collapsed="false">
      <c r="A146" s="1" t="str">
        <f aca="false">IF(OR(A145="",H145&lt;=0),"",A145+1)</f>
        <v/>
      </c>
      <c r="B146" s="3" t="str">
        <f aca="false">IF(A146="","",EOMONTH(B145,12/$B$5))</f>
        <v/>
      </c>
      <c r="C146" s="6" t="str">
        <f aca="false">IF(A146="","",G145)</f>
        <v/>
      </c>
      <c r="D146" s="6" t="str">
        <f aca="false">IF(A146="","",C146*$B$4/$B$5)</f>
        <v/>
      </c>
      <c r="E146" s="6" t="str">
        <f aca="false">IF(A146="","",IF(AND(B146&lt;=$F$9,C146+D146+$B$8&lt;VLOOKUP(B146,Projection_Monthly!$B:$AB,26,TRUE())*$B$10),$B$8,0))</f>
        <v/>
      </c>
      <c r="F146" s="1" t="str">
        <f aca="false">IF(A146="","",MIN($B$8,E146))</f>
        <v/>
      </c>
      <c r="G146" s="6" t="str">
        <f aca="false">IF(A146="","",C146+D146+E146)</f>
        <v/>
      </c>
      <c r="H146" s="6" t="str">
        <f aca="false">IF(A146="","",IF(Inputs!$B$30=FALSE(),"",$B$9-G146))</f>
        <v/>
      </c>
      <c r="I146" s="1" t="str">
        <f aca="false">IF(A146="","",IF(H146&gt;0,"Active","LAPSED"))</f>
        <v/>
      </c>
      <c r="J146" s="1" t="str">
        <f aca="false">IF(A146="","",IF(AND(H147&lt;0,H146&gt;0),1,0))</f>
        <v/>
      </c>
    </row>
    <row r="147" customFormat="false" ht="15" hidden="false" customHeight="false" outlineLevel="0" collapsed="false">
      <c r="A147" s="1" t="str">
        <f aca="false">IF(OR(A146="",H146&lt;=0),"",A146+1)</f>
        <v/>
      </c>
      <c r="B147" s="3" t="str">
        <f aca="false">IF(A147="","",EOMONTH(B146,12/$B$5))</f>
        <v/>
      </c>
      <c r="C147" s="6" t="str">
        <f aca="false">IF(A147="","",G146)</f>
        <v/>
      </c>
      <c r="D147" s="6" t="str">
        <f aca="false">IF(A147="","",C147*$B$4/$B$5)</f>
        <v/>
      </c>
      <c r="E147" s="6" t="str">
        <f aca="false">IF(A147="","",IF(AND(B147&lt;=$F$9,C147+D147+$B$8&lt;VLOOKUP(B147,Projection_Monthly!$B:$AB,26,TRUE())*$B$10),$B$8,0))</f>
        <v/>
      </c>
      <c r="F147" s="1" t="str">
        <f aca="false">IF(A147="","",MIN($B$8,E147))</f>
        <v/>
      </c>
      <c r="G147" s="6" t="str">
        <f aca="false">IF(A147="","",C147+D147+E147)</f>
        <v/>
      </c>
      <c r="H147" s="6" t="str">
        <f aca="false">IF(A147="","",IF(Inputs!$B$30=FALSE(),"",$B$9-G147))</f>
        <v/>
      </c>
      <c r="I147" s="1" t="str">
        <f aca="false">IF(A147="","",IF(H147&gt;0,"Active","LAPSED"))</f>
        <v/>
      </c>
      <c r="J147" s="1" t="str">
        <f aca="false">IF(A147="","",IF(AND(H148&lt;0,H147&gt;0),1,0))</f>
        <v/>
      </c>
    </row>
    <row r="148" customFormat="false" ht="15" hidden="false" customHeight="false" outlineLevel="0" collapsed="false">
      <c r="A148" s="1" t="str">
        <f aca="false">IF(OR(A147="",H147&lt;=0),"",A147+1)</f>
        <v/>
      </c>
      <c r="B148" s="3" t="str">
        <f aca="false">IF(A148="","",EOMONTH(B147,12/$B$5))</f>
        <v/>
      </c>
      <c r="C148" s="6" t="str">
        <f aca="false">IF(A148="","",G147)</f>
        <v/>
      </c>
      <c r="D148" s="6" t="str">
        <f aca="false">IF(A148="","",C148*$B$4/$B$5)</f>
        <v/>
      </c>
      <c r="E148" s="6" t="str">
        <f aca="false">IF(A148="","",IF(AND(B148&lt;=$F$9,C148+D148+$B$8&lt;VLOOKUP(B148,Projection_Monthly!$B:$AB,26,TRUE())*$B$10),$B$8,0))</f>
        <v/>
      </c>
      <c r="F148" s="1" t="str">
        <f aca="false">IF(A148="","",MIN($B$8,E148))</f>
        <v/>
      </c>
      <c r="G148" s="6" t="str">
        <f aca="false">IF(A148="","",C148+D148+E148)</f>
        <v/>
      </c>
      <c r="H148" s="6" t="str">
        <f aca="false">IF(A148="","",IF(Inputs!$B$30=FALSE(),"",$B$9-G148))</f>
        <v/>
      </c>
      <c r="I148" s="1" t="str">
        <f aca="false">IF(A148="","",IF(H148&gt;0,"Active","LAPSED"))</f>
        <v/>
      </c>
      <c r="J148" s="1" t="str">
        <f aca="false">IF(A148="","",IF(AND(H149&lt;0,H148&gt;0),1,0))</f>
        <v/>
      </c>
    </row>
    <row r="149" customFormat="false" ht="15" hidden="false" customHeight="false" outlineLevel="0" collapsed="false">
      <c r="A149" s="1" t="str">
        <f aca="false">IF(OR(A148="",H148&lt;=0),"",A148+1)</f>
        <v/>
      </c>
      <c r="B149" s="3" t="str">
        <f aca="false">IF(A149="","",EOMONTH(B148,12/$B$5))</f>
        <v/>
      </c>
      <c r="C149" s="6" t="str">
        <f aca="false">IF(A149="","",G148)</f>
        <v/>
      </c>
      <c r="D149" s="6" t="str">
        <f aca="false">IF(A149="","",C149*$B$4/$B$5)</f>
        <v/>
      </c>
      <c r="E149" s="6" t="str">
        <f aca="false">IF(A149="","",IF(AND(B149&lt;=$F$9,C149+D149+$B$8&lt;VLOOKUP(B149,Projection_Monthly!$B:$AB,26,TRUE())*$B$10),$B$8,0))</f>
        <v/>
      </c>
      <c r="F149" s="1" t="str">
        <f aca="false">IF(A149="","",MIN($B$8,E149))</f>
        <v/>
      </c>
      <c r="G149" s="6" t="str">
        <f aca="false">IF(A149="","",C149+D149+E149)</f>
        <v/>
      </c>
      <c r="H149" s="6" t="str">
        <f aca="false">IF(A149="","",IF(Inputs!$B$30=FALSE(),"",$B$9-G149))</f>
        <v/>
      </c>
      <c r="I149" s="1" t="str">
        <f aca="false">IF(A149="","",IF(H149&gt;0,"Active","LAPSED"))</f>
        <v/>
      </c>
      <c r="J149" s="1" t="str">
        <f aca="false">IF(A149="","",IF(AND(H150&lt;0,H149&gt;0),1,0))</f>
        <v/>
      </c>
    </row>
    <row r="150" customFormat="false" ht="15" hidden="false" customHeight="false" outlineLevel="0" collapsed="false">
      <c r="A150" s="1" t="str">
        <f aca="false">IF(OR(A149="",H149&lt;=0),"",A149+1)</f>
        <v/>
      </c>
      <c r="B150" s="3" t="str">
        <f aca="false">IF(A150="","",EOMONTH(B149,12/$B$5))</f>
        <v/>
      </c>
      <c r="C150" s="6" t="str">
        <f aca="false">IF(A150="","",G149)</f>
        <v/>
      </c>
      <c r="D150" s="6" t="str">
        <f aca="false">IF(A150="","",C150*$B$4/$B$5)</f>
        <v/>
      </c>
      <c r="E150" s="6" t="str">
        <f aca="false">IF(A150="","",IF(AND(B150&lt;=$F$9,C150+D150+$B$8&lt;VLOOKUP(B150,Projection_Monthly!$B:$AB,26,TRUE())*$B$10),$B$8,0))</f>
        <v/>
      </c>
      <c r="F150" s="1" t="str">
        <f aca="false">IF(A150="","",MIN($B$8,E150))</f>
        <v/>
      </c>
      <c r="G150" s="6" t="str">
        <f aca="false">IF(A150="","",C150+D150+E150)</f>
        <v/>
      </c>
      <c r="H150" s="6" t="str">
        <f aca="false">IF(A150="","",IF(Inputs!$B$30=FALSE(),"",$B$9-G150))</f>
        <v/>
      </c>
      <c r="I150" s="1" t="str">
        <f aca="false">IF(A150="","",IF(H150&gt;0,"Active","LAPSED"))</f>
        <v/>
      </c>
      <c r="J150" s="1" t="str">
        <f aca="false">IF(A150="","",IF(AND(H151&lt;0,H150&gt;0),1,0))</f>
        <v/>
      </c>
    </row>
    <row r="151" customFormat="false" ht="15" hidden="false" customHeight="false" outlineLevel="0" collapsed="false">
      <c r="A151" s="1" t="str">
        <f aca="false">IF(OR(A150="",H150&lt;=0),"",A150+1)</f>
        <v/>
      </c>
      <c r="B151" s="3" t="str">
        <f aca="false">IF(A151="","",EOMONTH(B150,12/$B$5))</f>
        <v/>
      </c>
      <c r="C151" s="6" t="str">
        <f aca="false">IF(A151="","",G150)</f>
        <v/>
      </c>
      <c r="D151" s="6" t="str">
        <f aca="false">IF(A151="","",C151*$B$4/$B$5)</f>
        <v/>
      </c>
      <c r="E151" s="6" t="str">
        <f aca="false">IF(A151="","",IF(AND(B151&lt;=$F$9,C151+D151+$B$8&lt;VLOOKUP(B151,Projection_Monthly!$B:$AB,26,TRUE())*$B$10),$B$8,0))</f>
        <v/>
      </c>
      <c r="F151" s="1" t="str">
        <f aca="false">IF(A151="","",MIN($B$8,E151))</f>
        <v/>
      </c>
      <c r="G151" s="6" t="str">
        <f aca="false">IF(A151="","",C151+D151+E151)</f>
        <v/>
      </c>
      <c r="H151" s="6" t="str">
        <f aca="false">IF(A151="","",IF(Inputs!$B$30=FALSE(),"",$B$9-G151))</f>
        <v/>
      </c>
      <c r="I151" s="1" t="str">
        <f aca="false">IF(A151="","",IF(H151&gt;0,"Active","LAPSED"))</f>
        <v/>
      </c>
      <c r="J151" s="1" t="str">
        <f aca="false">IF(A151="","",IF(AND(H152&lt;0,H151&gt;0),1,0))</f>
        <v/>
      </c>
    </row>
    <row r="152" customFormat="false" ht="15" hidden="false" customHeight="false" outlineLevel="0" collapsed="false">
      <c r="A152" s="1" t="str">
        <f aca="false">IF(OR(A151="",H151&lt;=0),"",A151+1)</f>
        <v/>
      </c>
      <c r="B152" s="3" t="str">
        <f aca="false">IF(A152="","",EOMONTH(B151,12/$B$5))</f>
        <v/>
      </c>
      <c r="C152" s="6" t="str">
        <f aca="false">IF(A152="","",G151)</f>
        <v/>
      </c>
      <c r="D152" s="6" t="str">
        <f aca="false">IF(A152="","",C152*$B$4/$B$5)</f>
        <v/>
      </c>
      <c r="E152" s="6" t="str">
        <f aca="false">IF(A152="","",IF(AND(B152&lt;=$F$9,C152+D152+$B$8&lt;VLOOKUP(B152,Projection_Monthly!$B:$AB,26,TRUE())*$B$10),$B$8,0))</f>
        <v/>
      </c>
      <c r="F152" s="1" t="str">
        <f aca="false">IF(A152="","",MIN($B$8,E152))</f>
        <v/>
      </c>
      <c r="G152" s="6" t="str">
        <f aca="false">IF(A152="","",C152+D152+E152)</f>
        <v/>
      </c>
      <c r="H152" s="6" t="str">
        <f aca="false">IF(A152="","",IF(Inputs!$B$30=FALSE(),"",$B$9-G152))</f>
        <v/>
      </c>
      <c r="I152" s="1" t="str">
        <f aca="false">IF(A152="","",IF(H152&gt;0,"Active","LAPSED"))</f>
        <v/>
      </c>
      <c r="J152" s="1" t="str">
        <f aca="false">IF(A152="","",IF(AND(H153&lt;0,H152&gt;0),1,0))</f>
        <v/>
      </c>
    </row>
    <row r="153" customFormat="false" ht="15" hidden="false" customHeight="false" outlineLevel="0" collapsed="false">
      <c r="A153" s="1" t="str">
        <f aca="false">IF(OR(A152="",H152&lt;=0),"",A152+1)</f>
        <v/>
      </c>
      <c r="B153" s="3" t="str">
        <f aca="false">IF(A153="","",EOMONTH(B152,12/$B$5))</f>
        <v/>
      </c>
      <c r="C153" s="6" t="str">
        <f aca="false">IF(A153="","",G152)</f>
        <v/>
      </c>
      <c r="D153" s="6" t="str">
        <f aca="false">IF(A153="","",C153*$B$4/$B$5)</f>
        <v/>
      </c>
      <c r="E153" s="6" t="str">
        <f aca="false">IF(A153="","",IF(AND(B153&lt;=$F$9,C153+D153+$B$8&lt;VLOOKUP(B153,Projection_Monthly!$B:$AB,26,TRUE())*$B$10),$B$8,0))</f>
        <v/>
      </c>
      <c r="F153" s="1" t="str">
        <f aca="false">IF(A153="","",MIN($B$8,E153))</f>
        <v/>
      </c>
      <c r="G153" s="6" t="str">
        <f aca="false">IF(A153="","",C153+D153+E153)</f>
        <v/>
      </c>
      <c r="H153" s="6" t="str">
        <f aca="false">IF(A153="","",IF(Inputs!$B$30=FALSE(),"",$B$9-G153))</f>
        <v/>
      </c>
      <c r="I153" s="1" t="str">
        <f aca="false">IF(A153="","",IF(H153&gt;0,"Active","LAPSED"))</f>
        <v/>
      </c>
      <c r="J153" s="1" t="str">
        <f aca="false">IF(A153="","",IF(AND(H154&lt;0,H153&gt;0),1,0))</f>
        <v/>
      </c>
    </row>
    <row r="154" customFormat="false" ht="15" hidden="false" customHeight="false" outlineLevel="0" collapsed="false">
      <c r="A154" s="1" t="str">
        <f aca="false">IF(OR(A153="",H153&lt;=0),"",A153+1)</f>
        <v/>
      </c>
      <c r="B154" s="3" t="str">
        <f aca="false">IF(A154="","",EOMONTH(B153,12/$B$5))</f>
        <v/>
      </c>
      <c r="C154" s="6" t="str">
        <f aca="false">IF(A154="","",G153)</f>
        <v/>
      </c>
      <c r="D154" s="6" t="str">
        <f aca="false">IF(A154="","",C154*$B$4/$B$5)</f>
        <v/>
      </c>
      <c r="E154" s="6" t="str">
        <f aca="false">IF(A154="","",IF(AND(B154&lt;=$F$9,C154+D154+$B$8&lt;VLOOKUP(B154,Projection_Monthly!$B:$AB,26,TRUE())*$B$10),$B$8,0))</f>
        <v/>
      </c>
      <c r="F154" s="1" t="str">
        <f aca="false">IF(A154="","",MIN($B$8,E154))</f>
        <v/>
      </c>
      <c r="G154" s="6" t="str">
        <f aca="false">IF(A154="","",C154+D154+E154)</f>
        <v/>
      </c>
      <c r="H154" s="6" t="str">
        <f aca="false">IF(A154="","",IF(Inputs!$B$30=FALSE(),"",$B$9-G154))</f>
        <v/>
      </c>
      <c r="I154" s="1" t="str">
        <f aca="false">IF(A154="","",IF(H154&gt;0,"Active","LAPSED"))</f>
        <v/>
      </c>
      <c r="J154" s="1" t="str">
        <f aca="false">IF(A154="","",IF(AND(H155&lt;0,H154&gt;0),1,0))</f>
        <v/>
      </c>
    </row>
    <row r="155" customFormat="false" ht="15" hidden="false" customHeight="false" outlineLevel="0" collapsed="false">
      <c r="A155" s="1" t="str">
        <f aca="false">IF(OR(A154="",H154&lt;=0),"",A154+1)</f>
        <v/>
      </c>
      <c r="B155" s="3" t="str">
        <f aca="false">IF(A155="","",EOMONTH(B154,12/$B$5))</f>
        <v/>
      </c>
      <c r="C155" s="6" t="str">
        <f aca="false">IF(A155="","",G154)</f>
        <v/>
      </c>
      <c r="D155" s="6" t="str">
        <f aca="false">IF(A155="","",C155*$B$4/$B$5)</f>
        <v/>
      </c>
      <c r="E155" s="6" t="str">
        <f aca="false">IF(A155="","",IF(AND(B155&lt;=$F$9,C155+D155+$B$8&lt;VLOOKUP(B155,Projection_Monthly!$B:$AB,26,TRUE())*$B$10),$B$8,0))</f>
        <v/>
      </c>
      <c r="F155" s="1" t="str">
        <f aca="false">IF(A155="","",MIN($B$8,E155))</f>
        <v/>
      </c>
      <c r="G155" s="6" t="str">
        <f aca="false">IF(A155="","",C155+D155+E155)</f>
        <v/>
      </c>
      <c r="H155" s="6" t="str">
        <f aca="false">IF(A155="","",IF(Inputs!$B$30=FALSE(),"",$B$9-G155))</f>
        <v/>
      </c>
      <c r="I155" s="1" t="str">
        <f aca="false">IF(A155="","",IF(H155&gt;0,"Active","LAPSED"))</f>
        <v/>
      </c>
      <c r="J155" s="1" t="str">
        <f aca="false">IF(A155="","",IF(AND(H156&lt;0,H155&gt;0),1,0))</f>
        <v/>
      </c>
    </row>
    <row r="156" customFormat="false" ht="15" hidden="false" customHeight="false" outlineLevel="0" collapsed="false">
      <c r="A156" s="1" t="str">
        <f aca="false">IF(OR(A155="",H155&lt;=0),"",A155+1)</f>
        <v/>
      </c>
      <c r="B156" s="3" t="str">
        <f aca="false">IF(A156="","",EOMONTH(B155,12/$B$5))</f>
        <v/>
      </c>
      <c r="C156" s="6" t="str">
        <f aca="false">IF(A156="","",G155)</f>
        <v/>
      </c>
      <c r="D156" s="6" t="str">
        <f aca="false">IF(A156="","",C156*$B$4/$B$5)</f>
        <v/>
      </c>
      <c r="E156" s="6" t="str">
        <f aca="false">IF(A156="","",IF(AND(B156&lt;=$F$9,C156+D156+$B$8&lt;VLOOKUP(B156,Projection_Monthly!$B:$AB,26,TRUE())*$B$10),$B$8,0))</f>
        <v/>
      </c>
      <c r="F156" s="1" t="str">
        <f aca="false">IF(A156="","",MIN($B$8,E156))</f>
        <v/>
      </c>
      <c r="G156" s="6" t="str">
        <f aca="false">IF(A156="","",C156+D156+E156)</f>
        <v/>
      </c>
      <c r="H156" s="6" t="str">
        <f aca="false">IF(A156="","",IF(Inputs!$B$30=FALSE(),"",$B$9-G156))</f>
        <v/>
      </c>
      <c r="I156" s="1" t="str">
        <f aca="false">IF(A156="","",IF(H156&gt;0,"Active","LAPSED"))</f>
        <v/>
      </c>
      <c r="J156" s="1" t="str">
        <f aca="false">IF(A156="","",IF(AND(H157&lt;0,H156&gt;0),1,0))</f>
        <v/>
      </c>
    </row>
    <row r="157" customFormat="false" ht="15" hidden="false" customHeight="false" outlineLevel="0" collapsed="false">
      <c r="A157" s="1" t="str">
        <f aca="false">IF(OR(A156="",H156&lt;=0),"",A156+1)</f>
        <v/>
      </c>
      <c r="B157" s="3" t="str">
        <f aca="false">IF(A157="","",EOMONTH(B156,12/$B$5))</f>
        <v/>
      </c>
      <c r="C157" s="6" t="str">
        <f aca="false">IF(A157="","",G156)</f>
        <v/>
      </c>
      <c r="D157" s="6" t="str">
        <f aca="false">IF(A157="","",C157*$B$4/$B$5)</f>
        <v/>
      </c>
      <c r="E157" s="6" t="str">
        <f aca="false">IF(A157="","",IF(AND(B157&lt;=$F$9,C157+D157+$B$8&lt;VLOOKUP(B157,Projection_Monthly!$B:$AB,26,TRUE())*$B$10),$B$8,0))</f>
        <v/>
      </c>
      <c r="F157" s="1" t="str">
        <f aca="false">IF(A157="","",MIN($B$8,E157))</f>
        <v/>
      </c>
      <c r="G157" s="6" t="str">
        <f aca="false">IF(A157="","",C157+D157+E157)</f>
        <v/>
      </c>
      <c r="H157" s="6" t="str">
        <f aca="false">IF(A157="","",IF(Inputs!$B$30=FALSE(),"",$B$9-G157))</f>
        <v/>
      </c>
      <c r="I157" s="1" t="str">
        <f aca="false">IF(A157="","",IF(H157&gt;0,"Active","LAPSED"))</f>
        <v/>
      </c>
      <c r="J157" s="1" t="str">
        <f aca="false">IF(A157="","",IF(AND(H158&lt;0,H157&gt;0),1,0))</f>
        <v/>
      </c>
    </row>
    <row r="158" customFormat="false" ht="15" hidden="false" customHeight="false" outlineLevel="0" collapsed="false">
      <c r="A158" s="1" t="str">
        <f aca="false">IF(OR(A157="",H157&lt;=0),"",A157+1)</f>
        <v/>
      </c>
      <c r="B158" s="3" t="str">
        <f aca="false">IF(A158="","",EOMONTH(B157,12/$B$5))</f>
        <v/>
      </c>
      <c r="C158" s="6" t="str">
        <f aca="false">IF(A158="","",G157)</f>
        <v/>
      </c>
      <c r="D158" s="6" t="str">
        <f aca="false">IF(A158="","",C158*$B$4/$B$5)</f>
        <v/>
      </c>
      <c r="E158" s="6" t="str">
        <f aca="false">IF(A158="","",IF(AND(B158&lt;=$F$9,C158+D158+$B$8&lt;VLOOKUP(B158,Projection_Monthly!$B:$AB,26,TRUE())*$B$10),$B$8,0))</f>
        <v/>
      </c>
      <c r="F158" s="1" t="str">
        <f aca="false">IF(A158="","",MIN($B$8,E158))</f>
        <v/>
      </c>
      <c r="G158" s="6" t="str">
        <f aca="false">IF(A158="","",C158+D158+E158)</f>
        <v/>
      </c>
      <c r="H158" s="6" t="str">
        <f aca="false">IF(A158="","",IF(Inputs!$B$30=FALSE(),"",$B$9-G158))</f>
        <v/>
      </c>
      <c r="I158" s="1" t="str">
        <f aca="false">IF(A158="","",IF(H158&gt;0,"Active","LAPSED"))</f>
        <v/>
      </c>
      <c r="J158" s="1" t="str">
        <f aca="false">IF(A158="","",IF(AND(H159&lt;0,H158&gt;0),1,0))</f>
        <v/>
      </c>
    </row>
    <row r="159" customFormat="false" ht="15" hidden="false" customHeight="false" outlineLevel="0" collapsed="false">
      <c r="A159" s="1" t="str">
        <f aca="false">IF(OR(A158="",H158&lt;=0),"",A158+1)</f>
        <v/>
      </c>
      <c r="B159" s="3" t="str">
        <f aca="false">IF(A159="","",EOMONTH(B158,12/$B$5))</f>
        <v/>
      </c>
      <c r="C159" s="6" t="str">
        <f aca="false">IF(A159="","",G158)</f>
        <v/>
      </c>
      <c r="D159" s="6" t="str">
        <f aca="false">IF(A159="","",C159*$B$4/$B$5)</f>
        <v/>
      </c>
      <c r="E159" s="6" t="str">
        <f aca="false">IF(A159="","",IF(AND(B159&lt;=$F$9,C159+D159+$B$8&lt;VLOOKUP(B159,Projection_Monthly!$B:$AB,26,TRUE())*$B$10),$B$8,0))</f>
        <v/>
      </c>
      <c r="F159" s="1" t="str">
        <f aca="false">IF(A159="","",MIN($B$8,E159))</f>
        <v/>
      </c>
      <c r="G159" s="6" t="str">
        <f aca="false">IF(A159="","",C159+D159+E159)</f>
        <v/>
      </c>
      <c r="H159" s="6" t="str">
        <f aca="false">IF(A159="","",IF(Inputs!$B$30=FALSE(),"",$B$9-G159))</f>
        <v/>
      </c>
      <c r="I159" s="1" t="str">
        <f aca="false">IF(A159="","",IF(H159&gt;0,"Active","LAPSED"))</f>
        <v/>
      </c>
      <c r="J159" s="1" t="str">
        <f aca="false">IF(A159="","",IF(AND(H160&lt;0,H159&gt;0),1,0))</f>
        <v/>
      </c>
    </row>
    <row r="160" customFormat="false" ht="15" hidden="false" customHeight="false" outlineLevel="0" collapsed="false">
      <c r="A160" s="1" t="str">
        <f aca="false">IF(OR(A159="",H159&lt;=0),"",A159+1)</f>
        <v/>
      </c>
      <c r="B160" s="3" t="str">
        <f aca="false">IF(A160="","",EOMONTH(B159,12/$B$5))</f>
        <v/>
      </c>
      <c r="C160" s="6" t="str">
        <f aca="false">IF(A160="","",G159)</f>
        <v/>
      </c>
      <c r="D160" s="6" t="str">
        <f aca="false">IF(A160="","",C160*$B$4/$B$5)</f>
        <v/>
      </c>
      <c r="E160" s="6" t="str">
        <f aca="false">IF(A160="","",IF(AND(B160&lt;=$F$9,C160+D160+$B$8&lt;VLOOKUP(B160,Projection_Monthly!$B:$AB,26,TRUE())*$B$10),$B$8,0))</f>
        <v/>
      </c>
      <c r="F160" s="1" t="str">
        <f aca="false">IF(A160="","",MIN($B$8,E160))</f>
        <v/>
      </c>
      <c r="G160" s="6" t="str">
        <f aca="false">IF(A160="","",C160+D160+E160)</f>
        <v/>
      </c>
      <c r="H160" s="6" t="str">
        <f aca="false">IF(A160="","",IF(Inputs!$B$30=FALSE(),"",$B$9-G160))</f>
        <v/>
      </c>
      <c r="I160" s="1" t="str">
        <f aca="false">IF(A160="","",IF(H160&gt;0,"Active","LAPSED"))</f>
        <v/>
      </c>
      <c r="J160" s="1" t="str">
        <f aca="false">IF(A160="","",IF(AND(H161&lt;0,H160&gt;0),1,0))</f>
        <v/>
      </c>
    </row>
    <row r="161" customFormat="false" ht="15" hidden="false" customHeight="false" outlineLevel="0" collapsed="false">
      <c r="A161" s="1" t="str">
        <f aca="false">IF(OR(A160="",H160&lt;=0),"",A160+1)</f>
        <v/>
      </c>
      <c r="B161" s="3" t="str">
        <f aca="false">IF(A161="","",EOMONTH(B160,12/$B$5))</f>
        <v/>
      </c>
      <c r="C161" s="6" t="str">
        <f aca="false">IF(A161="","",G160)</f>
        <v/>
      </c>
      <c r="D161" s="6" t="str">
        <f aca="false">IF(A161="","",C161*$B$4/$B$5)</f>
        <v/>
      </c>
      <c r="E161" s="6" t="str">
        <f aca="false">IF(A161="","",IF(AND(B161&lt;=$F$9,C161+D161+$B$8&lt;VLOOKUP(B161,Projection_Monthly!$B:$AB,26,TRUE())*$B$10),$B$8,0))</f>
        <v/>
      </c>
      <c r="F161" s="1" t="str">
        <f aca="false">IF(A161="","",MIN($B$8,E161))</f>
        <v/>
      </c>
      <c r="G161" s="6" t="str">
        <f aca="false">IF(A161="","",C161+D161+E161)</f>
        <v/>
      </c>
      <c r="H161" s="6" t="str">
        <f aca="false">IF(A161="","",IF(Inputs!$B$30=FALSE(),"",$B$9-G161))</f>
        <v/>
      </c>
      <c r="I161" s="1" t="str">
        <f aca="false">IF(A161="","",IF(H161&gt;0,"Active","LAPSED"))</f>
        <v/>
      </c>
      <c r="J161" s="1" t="str">
        <f aca="false">IF(A161="","",IF(AND(H162&lt;0,H161&gt;0),1,0))</f>
        <v/>
      </c>
    </row>
    <row r="162" customFormat="false" ht="15" hidden="false" customHeight="false" outlineLevel="0" collapsed="false">
      <c r="A162" s="1" t="str">
        <f aca="false">IF(OR(A161="",H161&lt;=0),"",A161+1)</f>
        <v/>
      </c>
      <c r="B162" s="3" t="str">
        <f aca="false">IF(A162="","",EOMONTH(B161,12/$B$5))</f>
        <v/>
      </c>
      <c r="C162" s="6" t="str">
        <f aca="false">IF(A162="","",G161)</f>
        <v/>
      </c>
      <c r="D162" s="6" t="str">
        <f aca="false">IF(A162="","",C162*$B$4/$B$5)</f>
        <v/>
      </c>
      <c r="E162" s="6" t="str">
        <f aca="false">IF(A162="","",IF(AND(B162&lt;=$F$9,C162+D162+$B$8&lt;VLOOKUP(B162,Projection_Monthly!$B:$AB,26,TRUE())*$B$10),$B$8,0))</f>
        <v/>
      </c>
      <c r="F162" s="1" t="str">
        <f aca="false">IF(A162="","",MIN($B$8,E162))</f>
        <v/>
      </c>
      <c r="G162" s="6" t="str">
        <f aca="false">IF(A162="","",C162+D162+E162)</f>
        <v/>
      </c>
      <c r="H162" s="6" t="str">
        <f aca="false">IF(A162="","",IF(Inputs!$B$30=FALSE(),"",$B$9-G162))</f>
        <v/>
      </c>
      <c r="I162" s="1" t="str">
        <f aca="false">IF(A162="","",IF(H162&gt;0,"Active","LAPSED"))</f>
        <v/>
      </c>
      <c r="J162" s="1" t="str">
        <f aca="false">IF(A162="","",IF(AND(H163&lt;0,H162&gt;0),1,0))</f>
        <v/>
      </c>
    </row>
    <row r="163" customFormat="false" ht="15" hidden="false" customHeight="false" outlineLevel="0" collapsed="false">
      <c r="A163" s="1" t="str">
        <f aca="false">IF(OR(A162="",H162&lt;=0),"",A162+1)</f>
        <v/>
      </c>
      <c r="B163" s="3" t="str">
        <f aca="false">IF(A163="","",EOMONTH(B162,12/$B$5))</f>
        <v/>
      </c>
      <c r="C163" s="6" t="str">
        <f aca="false">IF(A163="","",G162)</f>
        <v/>
      </c>
      <c r="D163" s="6" t="str">
        <f aca="false">IF(A163="","",C163*$B$4/$B$5)</f>
        <v/>
      </c>
      <c r="E163" s="6" t="str">
        <f aca="false">IF(A163="","",IF(AND(B163&lt;=$F$9,C163+D163+$B$8&lt;VLOOKUP(B163,Projection_Monthly!$B:$AB,26,TRUE())*$B$10),$B$8,0))</f>
        <v/>
      </c>
      <c r="F163" s="1" t="str">
        <f aca="false">IF(A163="","",MIN($B$8,E163))</f>
        <v/>
      </c>
      <c r="G163" s="6" t="str">
        <f aca="false">IF(A163="","",C163+D163+E163)</f>
        <v/>
      </c>
      <c r="H163" s="6" t="str">
        <f aca="false">IF(A163="","",IF(Inputs!$B$30=FALSE(),"",$B$9-G163))</f>
        <v/>
      </c>
      <c r="I163" s="1" t="str">
        <f aca="false">IF(A163="","",IF(H163&gt;0,"Active","LAPSED"))</f>
        <v/>
      </c>
      <c r="J163" s="1" t="str">
        <f aca="false">IF(A163="","",IF(AND(H164&lt;0,H163&gt;0),1,0))</f>
        <v/>
      </c>
    </row>
    <row r="164" customFormat="false" ht="15" hidden="false" customHeight="false" outlineLevel="0" collapsed="false">
      <c r="A164" s="1" t="str">
        <f aca="false">IF(OR(A163="",H163&lt;=0),"",A163+1)</f>
        <v/>
      </c>
      <c r="B164" s="3" t="str">
        <f aca="false">IF(A164="","",EOMONTH(B163,12/$B$5))</f>
        <v/>
      </c>
      <c r="C164" s="6" t="str">
        <f aca="false">IF(A164="","",G163)</f>
        <v/>
      </c>
      <c r="D164" s="6" t="str">
        <f aca="false">IF(A164="","",C164*$B$4/$B$5)</f>
        <v/>
      </c>
      <c r="E164" s="6" t="str">
        <f aca="false">IF(A164="","",IF(AND(B164&lt;=$F$9,C164+D164+$B$8&lt;VLOOKUP(B164,Projection_Monthly!$B:$AB,26,TRUE())*$B$10),$B$8,0))</f>
        <v/>
      </c>
      <c r="F164" s="1" t="str">
        <f aca="false">IF(A164="","",MIN($B$8,E164))</f>
        <v/>
      </c>
      <c r="G164" s="6" t="str">
        <f aca="false">IF(A164="","",C164+D164+E164)</f>
        <v/>
      </c>
      <c r="H164" s="6" t="str">
        <f aca="false">IF(A164="","",IF(Inputs!$B$30=FALSE(),"",$B$9-G164))</f>
        <v/>
      </c>
      <c r="I164" s="1" t="str">
        <f aca="false">IF(A164="","",IF(H164&gt;0,"Active","LAPSED"))</f>
        <v/>
      </c>
      <c r="J164" s="1" t="str">
        <f aca="false">IF(A164="","",IF(AND(H165&lt;0,H164&gt;0),1,0))</f>
        <v/>
      </c>
    </row>
    <row r="165" customFormat="false" ht="15" hidden="false" customHeight="false" outlineLevel="0" collapsed="false">
      <c r="A165" s="1" t="str">
        <f aca="false">IF(OR(A164="",H164&lt;=0),"",A164+1)</f>
        <v/>
      </c>
      <c r="B165" s="3" t="str">
        <f aca="false">IF(A165="","",EOMONTH(B164,12/$B$5))</f>
        <v/>
      </c>
      <c r="C165" s="6" t="str">
        <f aca="false">IF(A165="","",G164)</f>
        <v/>
      </c>
      <c r="D165" s="6" t="str">
        <f aca="false">IF(A165="","",C165*$B$4/$B$5)</f>
        <v/>
      </c>
      <c r="E165" s="6" t="str">
        <f aca="false">IF(A165="","",IF(AND(B165&lt;=$F$9,C165+D165+$B$8&lt;VLOOKUP(B165,Projection_Monthly!$B:$AB,26,TRUE())*$B$10),$B$8,0))</f>
        <v/>
      </c>
      <c r="F165" s="1" t="str">
        <f aca="false">IF(A165="","",MIN($B$8,E165))</f>
        <v/>
      </c>
      <c r="G165" s="6" t="str">
        <f aca="false">IF(A165="","",C165+D165+E165)</f>
        <v/>
      </c>
      <c r="H165" s="6" t="str">
        <f aca="false">IF(A165="","",IF(Inputs!$B$30=FALSE(),"",$B$9-G165))</f>
        <v/>
      </c>
      <c r="I165" s="1" t="str">
        <f aca="false">IF(A165="","",IF(H165&gt;0,"Active","LAPSED"))</f>
        <v/>
      </c>
      <c r="J165" s="1" t="str">
        <f aca="false">IF(A165="","",IF(AND(H166&lt;0,H165&gt;0),1,0))</f>
        <v/>
      </c>
    </row>
    <row r="166" customFormat="false" ht="15" hidden="false" customHeight="false" outlineLevel="0" collapsed="false">
      <c r="A166" s="1" t="str">
        <f aca="false">IF(OR(A165="",H165&lt;=0),"",A165+1)</f>
        <v/>
      </c>
      <c r="B166" s="3" t="str">
        <f aca="false">IF(A166="","",EOMONTH(B165,12/$B$5))</f>
        <v/>
      </c>
      <c r="C166" s="6" t="str">
        <f aca="false">IF(A166="","",G165)</f>
        <v/>
      </c>
      <c r="D166" s="6" t="str">
        <f aca="false">IF(A166="","",C166*$B$4/$B$5)</f>
        <v/>
      </c>
      <c r="E166" s="6" t="str">
        <f aca="false">IF(A166="","",IF(AND(B166&lt;=$F$9,C166+D166+$B$8&lt;VLOOKUP(B166,Projection_Monthly!$B:$AB,26,TRUE())*$B$10),$B$8,0))</f>
        <v/>
      </c>
      <c r="F166" s="1" t="str">
        <f aca="false">IF(A166="","",MIN($B$8,E166))</f>
        <v/>
      </c>
      <c r="G166" s="6" t="str">
        <f aca="false">IF(A166="","",C166+D166+E166)</f>
        <v/>
      </c>
      <c r="H166" s="6" t="str">
        <f aca="false">IF(A166="","",IF(Inputs!$B$30=FALSE(),"",$B$9-G166))</f>
        <v/>
      </c>
      <c r="I166" s="1" t="str">
        <f aca="false">IF(A166="","",IF(H166&gt;0,"Active","LAPSED"))</f>
        <v/>
      </c>
      <c r="J166" s="1" t="str">
        <f aca="false">IF(A166="","",IF(AND(H167&lt;0,H166&gt;0),1,0))</f>
        <v/>
      </c>
    </row>
    <row r="167" customFormat="false" ht="15" hidden="false" customHeight="false" outlineLevel="0" collapsed="false">
      <c r="A167" s="1" t="str">
        <f aca="false">IF(OR(A166="",H166&lt;=0),"",A166+1)</f>
        <v/>
      </c>
      <c r="B167" s="3" t="str">
        <f aca="false">IF(A167="","",EOMONTH(B166,12/$B$5))</f>
        <v/>
      </c>
      <c r="C167" s="6" t="str">
        <f aca="false">IF(A167="","",G166)</f>
        <v/>
      </c>
      <c r="D167" s="6" t="str">
        <f aca="false">IF(A167="","",C167*$B$4/$B$5)</f>
        <v/>
      </c>
      <c r="E167" s="6" t="str">
        <f aca="false">IF(A167="","",IF(AND(B167&lt;=$F$9,C167+D167+$B$8&lt;VLOOKUP(B167,Projection_Monthly!$B:$AB,26,TRUE())*$B$10),$B$8,0))</f>
        <v/>
      </c>
      <c r="F167" s="1" t="str">
        <f aca="false">IF(A167="","",MIN($B$8,E167))</f>
        <v/>
      </c>
      <c r="G167" s="6" t="str">
        <f aca="false">IF(A167="","",C167+D167+E167)</f>
        <v/>
      </c>
      <c r="H167" s="6" t="str">
        <f aca="false">IF(A167="","",IF(Inputs!$B$30=FALSE(),"",$B$9-G167))</f>
        <v/>
      </c>
      <c r="I167" s="1" t="str">
        <f aca="false">IF(A167="","",IF(H167&gt;0,"Active","LAPSED"))</f>
        <v/>
      </c>
      <c r="J167" s="1" t="str">
        <f aca="false">IF(A167="","",IF(AND(H168&lt;0,H167&gt;0),1,0))</f>
        <v/>
      </c>
    </row>
    <row r="168" customFormat="false" ht="15" hidden="false" customHeight="false" outlineLevel="0" collapsed="false">
      <c r="A168" s="1" t="str">
        <f aca="false">IF(OR(A167="",H167&lt;=0),"",A167+1)</f>
        <v/>
      </c>
      <c r="B168" s="3" t="str">
        <f aca="false">IF(A168="","",EOMONTH(B167,12/$B$5))</f>
        <v/>
      </c>
      <c r="C168" s="6" t="str">
        <f aca="false">IF(A168="","",G167)</f>
        <v/>
      </c>
      <c r="D168" s="6" t="str">
        <f aca="false">IF(A168="","",C168*$B$4/$B$5)</f>
        <v/>
      </c>
      <c r="E168" s="6" t="str">
        <f aca="false">IF(A168="","",IF(AND(B168&lt;=$F$9,C168+D168+$B$8&lt;VLOOKUP(B168,Projection_Monthly!$B:$AB,26,TRUE())*$B$10),$B$8,0))</f>
        <v/>
      </c>
      <c r="F168" s="1" t="str">
        <f aca="false">IF(A168="","",MIN($B$8,E168))</f>
        <v/>
      </c>
      <c r="G168" s="6" t="str">
        <f aca="false">IF(A168="","",C168+D168+E168)</f>
        <v/>
      </c>
      <c r="H168" s="6" t="str">
        <f aca="false">IF(A168="","",IF(Inputs!$B$30=FALSE(),"",$B$9-G168))</f>
        <v/>
      </c>
      <c r="I168" s="1" t="str">
        <f aca="false">IF(A168="","",IF(H168&gt;0,"Active","LAPSED"))</f>
        <v/>
      </c>
      <c r="J168" s="1" t="str">
        <f aca="false">IF(A168="","",IF(AND(H169&lt;0,H168&gt;0),1,0))</f>
        <v/>
      </c>
    </row>
    <row r="169" customFormat="false" ht="15" hidden="false" customHeight="false" outlineLevel="0" collapsed="false">
      <c r="A169" s="1" t="str">
        <f aca="false">IF(OR(A168="",H168&lt;=0),"",A168+1)</f>
        <v/>
      </c>
      <c r="B169" s="3" t="str">
        <f aca="false">IF(A169="","",EOMONTH(B168,12/$B$5))</f>
        <v/>
      </c>
      <c r="C169" s="6" t="str">
        <f aca="false">IF(A169="","",G168)</f>
        <v/>
      </c>
      <c r="D169" s="6" t="str">
        <f aca="false">IF(A169="","",C169*$B$4/$B$5)</f>
        <v/>
      </c>
      <c r="E169" s="6" t="str">
        <f aca="false">IF(A169="","",IF(AND(B169&lt;=$F$9,C169+D169+$B$8&lt;VLOOKUP(B169,Projection_Monthly!$B:$AB,26,TRUE())*$B$10),$B$8,0))</f>
        <v/>
      </c>
      <c r="F169" s="1" t="str">
        <f aca="false">IF(A169="","",MIN($B$8,E169))</f>
        <v/>
      </c>
      <c r="G169" s="6" t="str">
        <f aca="false">IF(A169="","",C169+D169+E169)</f>
        <v/>
      </c>
      <c r="H169" s="6" t="str">
        <f aca="false">IF(A169="","",IF(Inputs!$B$30=FALSE(),"",$B$9-G169))</f>
        <v/>
      </c>
      <c r="I169" s="1" t="str">
        <f aca="false">IF(A169="","",IF(H169&gt;0,"Active","LAPSED"))</f>
        <v/>
      </c>
      <c r="J169" s="1" t="str">
        <f aca="false">IF(A169="","",IF(AND(H170&lt;0,H169&gt;0),1,0))</f>
        <v/>
      </c>
    </row>
    <row r="170" customFormat="false" ht="15" hidden="false" customHeight="false" outlineLevel="0" collapsed="false">
      <c r="A170" s="1" t="str">
        <f aca="false">IF(OR(A169="",H169&lt;=0),"",A169+1)</f>
        <v/>
      </c>
      <c r="B170" s="3" t="str">
        <f aca="false">IF(A170="","",EOMONTH(B169,12/$B$5))</f>
        <v/>
      </c>
      <c r="C170" s="6" t="str">
        <f aca="false">IF(A170="","",G169)</f>
        <v/>
      </c>
      <c r="D170" s="6" t="str">
        <f aca="false">IF(A170="","",C170*$B$4/$B$5)</f>
        <v/>
      </c>
      <c r="E170" s="6" t="str">
        <f aca="false">IF(A170="","",IF(AND(B170&lt;=$F$9,C170+D170+$B$8&lt;VLOOKUP(B170,Projection_Monthly!$B:$AB,26,TRUE())*$B$10),$B$8,0))</f>
        <v/>
      </c>
      <c r="F170" s="1" t="str">
        <f aca="false">IF(A170="","",MIN($B$8,E170))</f>
        <v/>
      </c>
      <c r="G170" s="6" t="str">
        <f aca="false">IF(A170="","",C170+D170+E170)</f>
        <v/>
      </c>
      <c r="H170" s="6" t="str">
        <f aca="false">IF(A170="","",IF(Inputs!$B$30=FALSE(),"",$B$9-G170))</f>
        <v/>
      </c>
      <c r="I170" s="1" t="str">
        <f aca="false">IF(A170="","",IF(H170&gt;0,"Active","LAPSED"))</f>
        <v/>
      </c>
      <c r="J170" s="1" t="str">
        <f aca="false">IF(A170="","",IF(AND(H171&lt;0,H170&gt;0),1,0))</f>
        <v/>
      </c>
    </row>
    <row r="171" customFormat="false" ht="15" hidden="false" customHeight="false" outlineLevel="0" collapsed="false">
      <c r="A171" s="1" t="str">
        <f aca="false">IF(OR(A170="",H170&lt;=0),"",A170+1)</f>
        <v/>
      </c>
      <c r="B171" s="3" t="str">
        <f aca="false">IF(A171="","",EOMONTH(B170,12/$B$5))</f>
        <v/>
      </c>
      <c r="C171" s="6" t="str">
        <f aca="false">IF(A171="","",G170)</f>
        <v/>
      </c>
      <c r="D171" s="6" t="str">
        <f aca="false">IF(A171="","",C171*$B$4/$B$5)</f>
        <v/>
      </c>
      <c r="E171" s="6" t="str">
        <f aca="false">IF(A171="","",IF(AND(B171&lt;=$F$9,C171+D171+$B$8&lt;VLOOKUP(B171,Projection_Monthly!$B:$AB,26,TRUE())*$B$10),$B$8,0))</f>
        <v/>
      </c>
      <c r="F171" s="1" t="str">
        <f aca="false">IF(A171="","",MIN($B$8,E171))</f>
        <v/>
      </c>
      <c r="G171" s="6" t="str">
        <f aca="false">IF(A171="","",C171+D171+E171)</f>
        <v/>
      </c>
      <c r="H171" s="6" t="str">
        <f aca="false">IF(A171="","",IF(Inputs!$B$30=FALSE(),"",$B$9-G171))</f>
        <v/>
      </c>
      <c r="I171" s="1" t="str">
        <f aca="false">IF(A171="","",IF(H171&gt;0,"Active","LAPSED"))</f>
        <v/>
      </c>
      <c r="J171" s="1" t="str">
        <f aca="false">IF(A171="","",IF(AND(H172&lt;0,H171&gt;0),1,0))</f>
        <v/>
      </c>
    </row>
    <row r="172" customFormat="false" ht="15" hidden="false" customHeight="false" outlineLevel="0" collapsed="false">
      <c r="A172" s="1" t="str">
        <f aca="false">IF(OR(A171="",H171&lt;=0),"",A171+1)</f>
        <v/>
      </c>
      <c r="B172" s="3" t="str">
        <f aca="false">IF(A172="","",EOMONTH(B171,12/$B$5))</f>
        <v/>
      </c>
      <c r="C172" s="6" t="str">
        <f aca="false">IF(A172="","",G171)</f>
        <v/>
      </c>
      <c r="D172" s="6" t="str">
        <f aca="false">IF(A172="","",C172*$B$4/$B$5)</f>
        <v/>
      </c>
      <c r="E172" s="6" t="str">
        <f aca="false">IF(A172="","",IF(AND(B172&lt;=$F$9,C172+D172+$B$8&lt;VLOOKUP(B172,Projection_Monthly!$B:$AB,26,TRUE())*$B$10),$B$8,0))</f>
        <v/>
      </c>
      <c r="F172" s="1" t="str">
        <f aca="false">IF(A172="","",MIN($B$8,E172))</f>
        <v/>
      </c>
      <c r="G172" s="6" t="str">
        <f aca="false">IF(A172="","",C172+D172+E172)</f>
        <v/>
      </c>
      <c r="H172" s="6" t="str">
        <f aca="false">IF(A172="","",IF(Inputs!$B$30=FALSE(),"",$B$9-G172))</f>
        <v/>
      </c>
      <c r="I172" s="1" t="str">
        <f aca="false">IF(A172="","",IF(H172&gt;0,"Active","LAPSED"))</f>
        <v/>
      </c>
      <c r="J172" s="1" t="str">
        <f aca="false">IF(A172="","",IF(AND(H173&lt;0,H172&gt;0),1,0))</f>
        <v/>
      </c>
    </row>
    <row r="173" customFormat="false" ht="15" hidden="false" customHeight="false" outlineLevel="0" collapsed="false">
      <c r="A173" s="1" t="str">
        <f aca="false">IF(OR(A172="",H172&lt;=0),"",A172+1)</f>
        <v/>
      </c>
      <c r="B173" s="3" t="str">
        <f aca="false">IF(A173="","",EOMONTH(B172,12/$B$5))</f>
        <v/>
      </c>
      <c r="C173" s="6" t="str">
        <f aca="false">IF(A173="","",G172)</f>
        <v/>
      </c>
      <c r="D173" s="6" t="str">
        <f aca="false">IF(A173="","",C173*$B$4/$B$5)</f>
        <v/>
      </c>
      <c r="E173" s="6" t="str">
        <f aca="false">IF(A173="","",IF(AND(B173&lt;=$F$9,C173+D173+$B$8&lt;VLOOKUP(B173,Projection_Monthly!$B:$AB,26,TRUE())*$B$10),$B$8,0))</f>
        <v/>
      </c>
      <c r="F173" s="1" t="str">
        <f aca="false">IF(A173="","",MIN($B$8,E173))</f>
        <v/>
      </c>
      <c r="G173" s="6" t="str">
        <f aca="false">IF(A173="","",C173+D173+E173)</f>
        <v/>
      </c>
      <c r="H173" s="6" t="str">
        <f aca="false">IF(A173="","",IF(Inputs!$B$30=FALSE(),"",$B$9-G173))</f>
        <v/>
      </c>
      <c r="I173" s="1" t="str">
        <f aca="false">IF(A173="","",IF(H173&gt;0,"Active","LAPSED"))</f>
        <v/>
      </c>
      <c r="J173" s="1" t="str">
        <f aca="false">IF(A173="","",IF(AND(H174&lt;0,H173&gt;0),1,0))</f>
        <v/>
      </c>
    </row>
    <row r="174" customFormat="false" ht="15" hidden="false" customHeight="false" outlineLevel="0" collapsed="false">
      <c r="A174" s="1" t="str">
        <f aca="false">IF(OR(A173="",H173&lt;=0),"",A173+1)</f>
        <v/>
      </c>
      <c r="B174" s="3" t="str">
        <f aca="false">IF(A174="","",EOMONTH(B173,12/$B$5))</f>
        <v/>
      </c>
      <c r="C174" s="6" t="str">
        <f aca="false">IF(A174="","",G173)</f>
        <v/>
      </c>
      <c r="D174" s="6" t="str">
        <f aca="false">IF(A174="","",C174*$B$4/$B$5)</f>
        <v/>
      </c>
      <c r="E174" s="6" t="str">
        <f aca="false">IF(A174="","",IF(AND(B174&lt;=$F$9,C174+D174+$B$8&lt;VLOOKUP(B174,Projection_Monthly!$B:$AB,26,TRUE())*$B$10),$B$8,0))</f>
        <v/>
      </c>
      <c r="F174" s="1" t="str">
        <f aca="false">IF(A174="","",MIN($B$8,E174))</f>
        <v/>
      </c>
      <c r="G174" s="6" t="str">
        <f aca="false">IF(A174="","",C174+D174+E174)</f>
        <v/>
      </c>
      <c r="H174" s="6" t="str">
        <f aca="false">IF(A174="","",IF(Inputs!$B$30=FALSE(),"",$B$9-G174))</f>
        <v/>
      </c>
      <c r="I174" s="1" t="str">
        <f aca="false">IF(A174="","",IF(H174&gt;0,"Active","LAPSED"))</f>
        <v/>
      </c>
      <c r="J174" s="1" t="str">
        <f aca="false">IF(A174="","",IF(AND(H175&lt;0,H174&gt;0),1,0))</f>
        <v/>
      </c>
    </row>
    <row r="175" customFormat="false" ht="15" hidden="false" customHeight="false" outlineLevel="0" collapsed="false">
      <c r="A175" s="1" t="str">
        <f aca="false">IF(OR(A174="",H174&lt;=0),"",A174+1)</f>
        <v/>
      </c>
      <c r="B175" s="3" t="str">
        <f aca="false">IF(A175="","",EOMONTH(B174,12/$B$5))</f>
        <v/>
      </c>
      <c r="C175" s="6" t="str">
        <f aca="false">IF(A175="","",G174)</f>
        <v/>
      </c>
      <c r="D175" s="6" t="str">
        <f aca="false">IF(A175="","",C175*$B$4/$B$5)</f>
        <v/>
      </c>
      <c r="E175" s="6" t="str">
        <f aca="false">IF(A175="","",IF(AND(B175&lt;=$F$9,C175+D175+$B$8&lt;VLOOKUP(B175,Projection_Monthly!$B:$AB,26,TRUE())*$B$10),$B$8,0))</f>
        <v/>
      </c>
      <c r="F175" s="1" t="str">
        <f aca="false">IF(A175="","",MIN($B$8,E175))</f>
        <v/>
      </c>
      <c r="G175" s="6" t="str">
        <f aca="false">IF(A175="","",C175+D175+E175)</f>
        <v/>
      </c>
      <c r="H175" s="6" t="str">
        <f aca="false">IF(A175="","",IF(Inputs!$B$30=FALSE(),"",$B$9-G175))</f>
        <v/>
      </c>
      <c r="I175" s="1" t="str">
        <f aca="false">IF(A175="","",IF(H175&gt;0,"Active","LAPSED"))</f>
        <v/>
      </c>
      <c r="J175" s="1" t="str">
        <f aca="false">IF(A175="","",IF(AND(H176&lt;0,H175&gt;0),1,0))</f>
        <v/>
      </c>
    </row>
    <row r="176" customFormat="false" ht="15" hidden="false" customHeight="false" outlineLevel="0" collapsed="false">
      <c r="A176" s="1" t="str">
        <f aca="false">IF(OR(A175="",H175&lt;=0),"",A175+1)</f>
        <v/>
      </c>
      <c r="B176" s="3" t="str">
        <f aca="false">IF(A176="","",EOMONTH(B175,12/$B$5))</f>
        <v/>
      </c>
      <c r="C176" s="6" t="str">
        <f aca="false">IF(A176="","",G175)</f>
        <v/>
      </c>
      <c r="D176" s="6" t="str">
        <f aca="false">IF(A176="","",C176*$B$4/$B$5)</f>
        <v/>
      </c>
      <c r="E176" s="6" t="str">
        <f aca="false">IF(A176="","",IF(AND(B176&lt;=$F$9,C176+D176+$B$8&lt;VLOOKUP(B176,Projection_Monthly!$B:$AB,26,TRUE())*$B$10),$B$8,0))</f>
        <v/>
      </c>
      <c r="F176" s="1" t="str">
        <f aca="false">IF(A176="","",MIN($B$8,E176))</f>
        <v/>
      </c>
      <c r="G176" s="6" t="str">
        <f aca="false">IF(A176="","",C176+D176+E176)</f>
        <v/>
      </c>
      <c r="H176" s="6" t="str">
        <f aca="false">IF(A176="","",IF(Inputs!$B$30=FALSE(),"",$B$9-G176))</f>
        <v/>
      </c>
      <c r="I176" s="1" t="str">
        <f aca="false">IF(A176="","",IF(H176&gt;0,"Active","LAPSED"))</f>
        <v/>
      </c>
      <c r="J176" s="1" t="str">
        <f aca="false">IF(A176="","",IF(AND(H177&lt;0,H176&gt;0),1,0))</f>
        <v/>
      </c>
    </row>
    <row r="177" customFormat="false" ht="15" hidden="false" customHeight="false" outlineLevel="0" collapsed="false">
      <c r="A177" s="1" t="str">
        <f aca="false">IF(OR(A176="",H176&lt;=0),"",A176+1)</f>
        <v/>
      </c>
      <c r="B177" s="3" t="str">
        <f aca="false">IF(A177="","",EOMONTH(B176,12/$B$5))</f>
        <v/>
      </c>
      <c r="C177" s="6" t="str">
        <f aca="false">IF(A177="","",G176)</f>
        <v/>
      </c>
      <c r="D177" s="6" t="str">
        <f aca="false">IF(A177="","",C177*$B$4/$B$5)</f>
        <v/>
      </c>
      <c r="E177" s="6" t="str">
        <f aca="false">IF(A177="","",IF(AND(B177&lt;=$F$9,C177+D177+$B$8&lt;VLOOKUP(B177,Projection_Monthly!$B:$AB,26,TRUE())*$B$10),$B$8,0))</f>
        <v/>
      </c>
      <c r="F177" s="1" t="str">
        <f aca="false">IF(A177="","",MIN($B$8,E177))</f>
        <v/>
      </c>
      <c r="G177" s="6" t="str">
        <f aca="false">IF(A177="","",C177+D177+E177)</f>
        <v/>
      </c>
      <c r="H177" s="6" t="str">
        <f aca="false">IF(A177="","",IF(Inputs!$B$30=FALSE(),"",$B$9-G177))</f>
        <v/>
      </c>
      <c r="I177" s="1" t="str">
        <f aca="false">IF(A177="","",IF(H177&gt;0,"Active","LAPSED"))</f>
        <v/>
      </c>
      <c r="J177" s="1" t="str">
        <f aca="false">IF(A177="","",IF(AND(H178&lt;0,H177&gt;0),1,0))</f>
        <v/>
      </c>
    </row>
    <row r="178" customFormat="false" ht="15" hidden="false" customHeight="false" outlineLevel="0" collapsed="false">
      <c r="A178" s="1" t="str">
        <f aca="false">IF(OR(A177="",H177&lt;=0),"",A177+1)</f>
        <v/>
      </c>
      <c r="B178" s="3" t="str">
        <f aca="false">IF(A178="","",EOMONTH(B177,12/$B$5))</f>
        <v/>
      </c>
      <c r="C178" s="6" t="str">
        <f aca="false">IF(A178="","",G177)</f>
        <v/>
      </c>
      <c r="D178" s="6" t="str">
        <f aca="false">IF(A178="","",C178*$B$4/$B$5)</f>
        <v/>
      </c>
      <c r="E178" s="6" t="str">
        <f aca="false">IF(A178="","",IF(AND(B178&lt;=$F$9,C178+D178+$B$8&lt;VLOOKUP(B178,Projection_Monthly!$B:$AB,26,TRUE())*$B$10),$B$8,0))</f>
        <v/>
      </c>
      <c r="F178" s="1" t="str">
        <f aca="false">IF(A178="","",MIN($B$8,E178))</f>
        <v/>
      </c>
      <c r="G178" s="6" t="str">
        <f aca="false">IF(A178="","",C178+D178+E178)</f>
        <v/>
      </c>
      <c r="H178" s="6" t="str">
        <f aca="false">IF(A178="","",IF(Inputs!$B$30=FALSE(),"",$B$9-G178))</f>
        <v/>
      </c>
      <c r="I178" s="1" t="str">
        <f aca="false">IF(A178="","",IF(H178&gt;0,"Active","LAPSED"))</f>
        <v/>
      </c>
      <c r="J178" s="1" t="str">
        <f aca="false">IF(A178="","",IF(AND(H179&lt;0,H178&gt;0),1,0))</f>
        <v/>
      </c>
    </row>
    <row r="179" customFormat="false" ht="15" hidden="false" customHeight="false" outlineLevel="0" collapsed="false">
      <c r="A179" s="1" t="str">
        <f aca="false">IF(OR(A178="",H178&lt;=0),"",A178+1)</f>
        <v/>
      </c>
      <c r="B179" s="3" t="str">
        <f aca="false">IF(A179="","",EOMONTH(B178,12/$B$5))</f>
        <v/>
      </c>
      <c r="C179" s="6" t="str">
        <f aca="false">IF(A179="","",G178)</f>
        <v/>
      </c>
      <c r="D179" s="6" t="str">
        <f aca="false">IF(A179="","",C179*$B$4/$B$5)</f>
        <v/>
      </c>
      <c r="E179" s="6" t="str">
        <f aca="false">IF(A179="","",IF(AND(B179&lt;=$F$9,C179+D179+$B$8&lt;VLOOKUP(B179,Projection_Monthly!$B:$AB,26,TRUE())*$B$10),$B$8,0))</f>
        <v/>
      </c>
      <c r="F179" s="1" t="str">
        <f aca="false">IF(A179="","",MIN($B$8,E179))</f>
        <v/>
      </c>
      <c r="G179" s="6" t="str">
        <f aca="false">IF(A179="","",C179+D179+E179)</f>
        <v/>
      </c>
      <c r="H179" s="6" t="str">
        <f aca="false">IF(A179="","",IF(Inputs!$B$30=FALSE(),"",$B$9-G179))</f>
        <v/>
      </c>
      <c r="I179" s="1" t="str">
        <f aca="false">IF(A179="","",IF(H179&gt;0,"Active","LAPSED"))</f>
        <v/>
      </c>
      <c r="J179" s="1" t="str">
        <f aca="false">IF(A179="","",IF(AND(H180&lt;0,H179&gt;0),1,0))</f>
        <v/>
      </c>
    </row>
    <row r="180" customFormat="false" ht="15" hidden="false" customHeight="false" outlineLevel="0" collapsed="false">
      <c r="A180" s="1" t="str">
        <f aca="false">IF(OR(A179="",H179&lt;=0),"",A179+1)</f>
        <v/>
      </c>
      <c r="B180" s="3" t="str">
        <f aca="false">IF(A180="","",EOMONTH(B179,12/$B$5))</f>
        <v/>
      </c>
      <c r="C180" s="6" t="str">
        <f aca="false">IF(A180="","",G179)</f>
        <v/>
      </c>
      <c r="D180" s="6" t="str">
        <f aca="false">IF(A180="","",C180*$B$4/$B$5)</f>
        <v/>
      </c>
      <c r="E180" s="6" t="str">
        <f aca="false">IF(A180="","",IF(AND(B180&lt;=$F$9,C180+D180+$B$8&lt;VLOOKUP(B180,Projection_Monthly!$B:$AB,26,TRUE())*$B$10),$B$8,0))</f>
        <v/>
      </c>
      <c r="F180" s="1" t="str">
        <f aca="false">IF(A180="","",MIN($B$8,E180))</f>
        <v/>
      </c>
      <c r="G180" s="6" t="str">
        <f aca="false">IF(A180="","",C180+D180+E180)</f>
        <v/>
      </c>
      <c r="H180" s="6" t="str">
        <f aca="false">IF(A180="","",IF(Inputs!$B$30=FALSE(),"",$B$9-G180))</f>
        <v/>
      </c>
      <c r="I180" s="1" t="str">
        <f aca="false">IF(A180="","",IF(H180&gt;0,"Active","LAPSED"))</f>
        <v/>
      </c>
      <c r="J180" s="1" t="str">
        <f aca="false">IF(A180="","",IF(AND(H181&lt;0,H180&gt;0),1,0))</f>
        <v/>
      </c>
    </row>
    <row r="181" customFormat="false" ht="15" hidden="false" customHeight="false" outlineLevel="0" collapsed="false">
      <c r="A181" s="1" t="str">
        <f aca="false">IF(OR(A180="",H180&lt;=0),"",A180+1)</f>
        <v/>
      </c>
      <c r="B181" s="3" t="str">
        <f aca="false">IF(A181="","",EOMONTH(B180,12/$B$5))</f>
        <v/>
      </c>
      <c r="C181" s="6" t="str">
        <f aca="false">IF(A181="","",G180)</f>
        <v/>
      </c>
      <c r="D181" s="6" t="str">
        <f aca="false">IF(A181="","",C181*$B$4/$B$5)</f>
        <v/>
      </c>
      <c r="E181" s="6" t="str">
        <f aca="false">IF(A181="","",IF(AND(B181&lt;=$F$9,C181+D181+$B$8&lt;VLOOKUP(B181,Projection_Monthly!$B:$AB,26,TRUE())*$B$10),$B$8,0))</f>
        <v/>
      </c>
      <c r="F181" s="1" t="str">
        <f aca="false">IF(A181="","",MIN($B$8,E181))</f>
        <v/>
      </c>
      <c r="G181" s="6" t="str">
        <f aca="false">IF(A181="","",C181+D181+E181)</f>
        <v/>
      </c>
      <c r="H181" s="6" t="str">
        <f aca="false">IF(A181="","",IF(Inputs!$B$30=FALSE(),"",$B$9-G181))</f>
        <v/>
      </c>
      <c r="I181" s="1" t="str">
        <f aca="false">IF(A181="","",IF(H181&gt;0,"Active","LAPSED"))</f>
        <v/>
      </c>
      <c r="J181" s="1" t="str">
        <f aca="false">IF(A181="","",IF(AND(H182&lt;0,H181&gt;0),1,0))</f>
        <v/>
      </c>
    </row>
    <row r="182" customFormat="false" ht="15" hidden="false" customHeight="false" outlineLevel="0" collapsed="false">
      <c r="A182" s="1" t="str">
        <f aca="false">IF(OR(A181="",H181&lt;=0),"",A181+1)</f>
        <v/>
      </c>
      <c r="B182" s="3" t="str">
        <f aca="false">IF(A182="","",EOMONTH(B181,12/$B$5))</f>
        <v/>
      </c>
      <c r="C182" s="6" t="str">
        <f aca="false">IF(A182="","",G181)</f>
        <v/>
      </c>
      <c r="D182" s="6" t="str">
        <f aca="false">IF(A182="","",C182*$B$4/$B$5)</f>
        <v/>
      </c>
      <c r="E182" s="6" t="str">
        <f aca="false">IF(A182="","",IF(AND(B182&lt;=$F$9,C182+D182+$B$8&lt;VLOOKUP(B182,Projection_Monthly!$B:$AB,26,TRUE())*$B$10),$B$8,0))</f>
        <v/>
      </c>
      <c r="F182" s="1" t="str">
        <f aca="false">IF(A182="","",MIN($B$8,E182))</f>
        <v/>
      </c>
      <c r="G182" s="6" t="str">
        <f aca="false">IF(A182="","",C182+D182+E182)</f>
        <v/>
      </c>
      <c r="H182" s="6" t="str">
        <f aca="false">IF(A182="","",IF(Inputs!$B$30=FALSE(),"",$B$9-G182))</f>
        <v/>
      </c>
      <c r="I182" s="1" t="str">
        <f aca="false">IF(A182="","",IF(H182&gt;0,"Active","LAPSED"))</f>
        <v/>
      </c>
      <c r="J182" s="1" t="str">
        <f aca="false">IF(A182="","",IF(AND(H183&lt;0,H182&gt;0),1,0))</f>
        <v/>
      </c>
    </row>
    <row r="183" customFormat="false" ht="15" hidden="false" customHeight="false" outlineLevel="0" collapsed="false">
      <c r="A183" s="1" t="str">
        <f aca="false">IF(OR(A182="",H182&lt;=0),"",A182+1)</f>
        <v/>
      </c>
      <c r="B183" s="3" t="str">
        <f aca="false">IF(A183="","",EOMONTH(B182,12/$B$5))</f>
        <v/>
      </c>
      <c r="C183" s="6" t="str">
        <f aca="false">IF(A183="","",G182)</f>
        <v/>
      </c>
      <c r="D183" s="6" t="str">
        <f aca="false">IF(A183="","",C183*$B$4/$B$5)</f>
        <v/>
      </c>
      <c r="E183" s="6" t="str">
        <f aca="false">IF(A183="","",IF(AND(B183&lt;=$F$9,C183+D183+$B$8&lt;VLOOKUP(B183,Projection_Monthly!$B:$AB,26,TRUE())*$B$10),$B$8,0))</f>
        <v/>
      </c>
      <c r="F183" s="1" t="str">
        <f aca="false">IF(A183="","",MIN($B$8,E183))</f>
        <v/>
      </c>
      <c r="G183" s="6" t="str">
        <f aca="false">IF(A183="","",C183+D183+E183)</f>
        <v/>
      </c>
      <c r="H183" s="6" t="str">
        <f aca="false">IF(A183="","",IF(Inputs!$B$30=FALSE(),"",$B$9-G183))</f>
        <v/>
      </c>
      <c r="I183" s="1" t="str">
        <f aca="false">IF(A183="","",IF(H183&gt;0,"Active","LAPSED"))</f>
        <v/>
      </c>
      <c r="J183" s="1" t="str">
        <f aca="false">IF(A183="","",IF(AND(H184&lt;0,H183&gt;0),1,0))</f>
        <v/>
      </c>
    </row>
    <row r="184" customFormat="false" ht="15" hidden="false" customHeight="false" outlineLevel="0" collapsed="false">
      <c r="A184" s="1" t="str">
        <f aca="false">IF(OR(A183="",H183&lt;=0),"",A183+1)</f>
        <v/>
      </c>
      <c r="B184" s="3" t="str">
        <f aca="false">IF(A184="","",EOMONTH(B183,12/$B$5))</f>
        <v/>
      </c>
      <c r="C184" s="6" t="str">
        <f aca="false">IF(A184="","",G183)</f>
        <v/>
      </c>
      <c r="D184" s="6" t="str">
        <f aca="false">IF(A184="","",C184*$B$4/$B$5)</f>
        <v/>
      </c>
      <c r="E184" s="6" t="str">
        <f aca="false">IF(A184="","",IF(AND(B184&lt;=$F$9,C184+D184+$B$8&lt;VLOOKUP(B184,Projection_Monthly!$B:$AB,26,TRUE())*$B$10),$B$8,0))</f>
        <v/>
      </c>
      <c r="F184" s="1" t="str">
        <f aca="false">IF(A184="","",MIN($B$8,E184))</f>
        <v/>
      </c>
      <c r="G184" s="6" t="str">
        <f aca="false">IF(A184="","",C184+D184+E184)</f>
        <v/>
      </c>
      <c r="H184" s="6" t="str">
        <f aca="false">IF(A184="","",IF(Inputs!$B$30=FALSE(),"",$B$9-G184))</f>
        <v/>
      </c>
      <c r="I184" s="1" t="str">
        <f aca="false">IF(A184="","",IF(H184&gt;0,"Active","LAPSED"))</f>
        <v/>
      </c>
      <c r="J184" s="1" t="str">
        <f aca="false">IF(A184="","",IF(AND(H185&lt;0,H184&gt;0),1,0))</f>
        <v/>
      </c>
    </row>
    <row r="185" customFormat="false" ht="15" hidden="false" customHeight="false" outlineLevel="0" collapsed="false">
      <c r="A185" s="1" t="str">
        <f aca="false">IF(OR(A184="",H184&lt;=0),"",A184+1)</f>
        <v/>
      </c>
      <c r="B185" s="3" t="str">
        <f aca="false">IF(A185="","",EOMONTH(B184,12/$B$5))</f>
        <v/>
      </c>
      <c r="C185" s="6" t="str">
        <f aca="false">IF(A185="","",G184)</f>
        <v/>
      </c>
      <c r="D185" s="6" t="str">
        <f aca="false">IF(A185="","",C185*$B$4/$B$5)</f>
        <v/>
      </c>
      <c r="E185" s="6" t="str">
        <f aca="false">IF(A185="","",IF(AND(B185&lt;=$F$9,C185+D185+$B$8&lt;VLOOKUP(B185,Projection_Monthly!$B:$AB,26,TRUE())*$B$10),$B$8,0))</f>
        <v/>
      </c>
      <c r="F185" s="1" t="str">
        <f aca="false">IF(A185="","",MIN($B$8,E185))</f>
        <v/>
      </c>
      <c r="G185" s="6" t="str">
        <f aca="false">IF(A185="","",C185+D185+E185)</f>
        <v/>
      </c>
      <c r="H185" s="6" t="str">
        <f aca="false">IF(A185="","",IF(Inputs!$B$30=FALSE(),"",$B$9-G185))</f>
        <v/>
      </c>
      <c r="I185" s="1" t="str">
        <f aca="false">IF(A185="","",IF(H185&gt;0,"Active","LAPSED"))</f>
        <v/>
      </c>
      <c r="J185" s="1" t="str">
        <f aca="false">IF(A185="","",IF(AND(H186&lt;0,H185&gt;0),1,0))</f>
        <v/>
      </c>
    </row>
    <row r="186" customFormat="false" ht="15" hidden="false" customHeight="false" outlineLevel="0" collapsed="false">
      <c r="A186" s="1" t="str">
        <f aca="false">IF(OR(A185="",H185&lt;=0),"",A185+1)</f>
        <v/>
      </c>
      <c r="B186" s="3" t="str">
        <f aca="false">IF(A186="","",EOMONTH(B185,12/$B$5))</f>
        <v/>
      </c>
      <c r="C186" s="6" t="str">
        <f aca="false">IF(A186="","",G185)</f>
        <v/>
      </c>
      <c r="D186" s="6" t="str">
        <f aca="false">IF(A186="","",C186*$B$4/$B$5)</f>
        <v/>
      </c>
      <c r="E186" s="6" t="str">
        <f aca="false">IF(A186="","",IF(AND(B186&lt;=$F$9,C186+D186+$B$8&lt;VLOOKUP(B186,Projection_Monthly!$B:$AB,26,TRUE())*$B$10),$B$8,0))</f>
        <v/>
      </c>
      <c r="F186" s="1" t="str">
        <f aca="false">IF(A186="","",MIN($B$8,E186))</f>
        <v/>
      </c>
      <c r="G186" s="6" t="str">
        <f aca="false">IF(A186="","",C186+D186+E186)</f>
        <v/>
      </c>
      <c r="H186" s="6" t="str">
        <f aca="false">IF(A186="","",IF(Inputs!$B$30=FALSE(),"",$B$9-G186))</f>
        <v/>
      </c>
      <c r="I186" s="1" t="str">
        <f aca="false">IF(A186="","",IF(H186&gt;0,"Active","LAPSED"))</f>
        <v/>
      </c>
      <c r="J186" s="1" t="str">
        <f aca="false">IF(A186="","",IF(AND(H187&lt;0,H186&gt;0),1,0))</f>
        <v/>
      </c>
    </row>
    <row r="187" customFormat="false" ht="15" hidden="false" customHeight="false" outlineLevel="0" collapsed="false">
      <c r="A187" s="1" t="str">
        <f aca="false">IF(OR(A186="",H186&lt;=0),"",A186+1)</f>
        <v/>
      </c>
      <c r="B187" s="3" t="str">
        <f aca="false">IF(A187="","",EOMONTH(B186,12/$B$5))</f>
        <v/>
      </c>
      <c r="C187" s="6" t="str">
        <f aca="false">IF(A187="","",G186)</f>
        <v/>
      </c>
      <c r="D187" s="6" t="str">
        <f aca="false">IF(A187="","",C187*$B$4/$B$5)</f>
        <v/>
      </c>
      <c r="E187" s="6" t="str">
        <f aca="false">IF(A187="","",IF(AND(B187&lt;=$F$9,C187+D187+$B$8&lt;VLOOKUP(B187,Projection_Monthly!$B:$AB,26,TRUE())*$B$10),$B$8,0))</f>
        <v/>
      </c>
      <c r="F187" s="1" t="str">
        <f aca="false">IF(A187="","",MIN($B$8,E187))</f>
        <v/>
      </c>
      <c r="G187" s="6" t="str">
        <f aca="false">IF(A187="","",C187+D187+E187)</f>
        <v/>
      </c>
      <c r="H187" s="6" t="str">
        <f aca="false">IF(A187="","",IF(Inputs!$B$30=FALSE(),"",$B$9-G187))</f>
        <v/>
      </c>
      <c r="I187" s="1" t="str">
        <f aca="false">IF(A187="","",IF(H187&gt;0,"Active","LAPSED"))</f>
        <v/>
      </c>
      <c r="J187" s="1" t="str">
        <f aca="false">IF(A187="","",IF(AND(H188&lt;0,H187&gt;0),1,0))</f>
        <v/>
      </c>
    </row>
    <row r="188" customFormat="false" ht="15" hidden="false" customHeight="false" outlineLevel="0" collapsed="false">
      <c r="A188" s="1" t="str">
        <f aca="false">IF(OR(A187="",H187&lt;=0),"",A187+1)</f>
        <v/>
      </c>
      <c r="B188" s="3" t="str">
        <f aca="false">IF(A188="","",EOMONTH(B187,12/$B$5))</f>
        <v/>
      </c>
      <c r="C188" s="6" t="str">
        <f aca="false">IF(A188="","",G187)</f>
        <v/>
      </c>
      <c r="D188" s="6" t="str">
        <f aca="false">IF(A188="","",C188*$B$4/$B$5)</f>
        <v/>
      </c>
      <c r="E188" s="6" t="str">
        <f aca="false">IF(A188="","",IF(AND(B188&lt;=$F$9,C188+D188+$B$8&lt;VLOOKUP(B188,Projection_Monthly!$B:$AB,26,TRUE())*$B$10),$B$8,0))</f>
        <v/>
      </c>
      <c r="F188" s="1" t="str">
        <f aca="false">IF(A188="","",MIN($B$8,E188))</f>
        <v/>
      </c>
      <c r="G188" s="6" t="str">
        <f aca="false">IF(A188="","",C188+D188+E188)</f>
        <v/>
      </c>
      <c r="H188" s="6" t="str">
        <f aca="false">IF(A188="","",IF(Inputs!$B$30=FALSE(),"",$B$9-G188))</f>
        <v/>
      </c>
      <c r="I188" s="1" t="str">
        <f aca="false">IF(A188="","",IF(H188&gt;0,"Active","LAPSED"))</f>
        <v/>
      </c>
      <c r="J188" s="1" t="str">
        <f aca="false">IF(A188="","",IF(AND(H189&lt;0,H188&gt;0),1,0))</f>
        <v/>
      </c>
    </row>
    <row r="189" customFormat="false" ht="15" hidden="false" customHeight="false" outlineLevel="0" collapsed="false">
      <c r="A189" s="1" t="str">
        <f aca="false">IF(OR(A188="",H188&lt;=0),"",A188+1)</f>
        <v/>
      </c>
      <c r="B189" s="3" t="str">
        <f aca="false">IF(A189="","",EOMONTH(B188,12/$B$5))</f>
        <v/>
      </c>
      <c r="C189" s="6" t="str">
        <f aca="false">IF(A189="","",G188)</f>
        <v/>
      </c>
      <c r="D189" s="6" t="str">
        <f aca="false">IF(A189="","",C189*$B$4/$B$5)</f>
        <v/>
      </c>
      <c r="E189" s="6" t="str">
        <f aca="false">IF(A189="","",IF(AND(B189&lt;=$F$9,C189+D189+$B$8&lt;VLOOKUP(B189,Projection_Monthly!$B:$AB,26,TRUE())*$B$10),$B$8,0))</f>
        <v/>
      </c>
      <c r="F189" s="1" t="str">
        <f aca="false">IF(A189="","",MIN($B$8,E189))</f>
        <v/>
      </c>
      <c r="G189" s="6" t="str">
        <f aca="false">IF(A189="","",C189+D189+E189)</f>
        <v/>
      </c>
      <c r="H189" s="6" t="str">
        <f aca="false">IF(A189="","",IF(Inputs!$B$30=FALSE(),"",$B$9-G189))</f>
        <v/>
      </c>
      <c r="I189" s="1" t="str">
        <f aca="false">IF(A189="","",IF(H189&gt;0,"Active","LAPSED"))</f>
        <v/>
      </c>
      <c r="J189" s="1" t="str">
        <f aca="false">IF(A189="","",IF(AND(H190&lt;0,H189&gt;0),1,0))</f>
        <v/>
      </c>
    </row>
    <row r="190" customFormat="false" ht="15" hidden="false" customHeight="false" outlineLevel="0" collapsed="false">
      <c r="A190" s="1" t="str">
        <f aca="false">IF(OR(A189="",H189&lt;=0),"",A189+1)</f>
        <v/>
      </c>
      <c r="B190" s="3" t="str">
        <f aca="false">IF(A190="","",EOMONTH(B189,12/$B$5))</f>
        <v/>
      </c>
      <c r="C190" s="6" t="str">
        <f aca="false">IF(A190="","",G189)</f>
        <v/>
      </c>
      <c r="D190" s="6" t="str">
        <f aca="false">IF(A190="","",C190*$B$4/$B$5)</f>
        <v/>
      </c>
      <c r="E190" s="6" t="str">
        <f aca="false">IF(A190="","",IF(AND(B190&lt;=$F$9,C190+D190+$B$8&lt;VLOOKUP(B190,Projection_Monthly!$B:$AB,26,TRUE())*$B$10),$B$8,0))</f>
        <v/>
      </c>
      <c r="F190" s="1" t="str">
        <f aca="false">IF(A190="","",MIN($B$8,E190))</f>
        <v/>
      </c>
      <c r="G190" s="6" t="str">
        <f aca="false">IF(A190="","",C190+D190+E190)</f>
        <v/>
      </c>
      <c r="H190" s="6" t="str">
        <f aca="false">IF(A190="","",IF(Inputs!$B$30=FALSE(),"",$B$9-G190))</f>
        <v/>
      </c>
      <c r="I190" s="1" t="str">
        <f aca="false">IF(A190="","",IF(H190&gt;0,"Active","LAPSED"))</f>
        <v/>
      </c>
      <c r="J190" s="1" t="str">
        <f aca="false">IF(A190="","",IF(AND(H191&lt;0,H190&gt;0),1,0))</f>
        <v/>
      </c>
    </row>
    <row r="191" customFormat="false" ht="15" hidden="false" customHeight="false" outlineLevel="0" collapsed="false">
      <c r="A191" s="1" t="str">
        <f aca="false">IF(OR(A190="",H190&lt;=0),"",A190+1)</f>
        <v/>
      </c>
      <c r="B191" s="3" t="str">
        <f aca="false">IF(A191="","",EOMONTH(B190,12/$B$5))</f>
        <v/>
      </c>
      <c r="C191" s="6" t="str">
        <f aca="false">IF(A191="","",G190)</f>
        <v/>
      </c>
      <c r="D191" s="6" t="str">
        <f aca="false">IF(A191="","",C191*$B$4/$B$5)</f>
        <v/>
      </c>
      <c r="E191" s="6" t="str">
        <f aca="false">IF(A191="","",IF(AND(B191&lt;=$F$9,C191+D191+$B$8&lt;VLOOKUP(B191,Projection_Monthly!$B:$AB,26,TRUE())*$B$10),$B$8,0))</f>
        <v/>
      </c>
      <c r="F191" s="1" t="str">
        <f aca="false">IF(A191="","",MIN($B$8,E191))</f>
        <v/>
      </c>
      <c r="G191" s="6" t="str">
        <f aca="false">IF(A191="","",C191+D191+E191)</f>
        <v/>
      </c>
      <c r="H191" s="6" t="str">
        <f aca="false">IF(A191="","",IF(Inputs!$B$30=FALSE(),"",$B$9-G191))</f>
        <v/>
      </c>
      <c r="I191" s="1" t="str">
        <f aca="false">IF(A191="","",IF(H191&gt;0,"Active","LAPSED"))</f>
        <v/>
      </c>
      <c r="J191" s="1" t="str">
        <f aca="false">IF(A191="","",IF(AND(H192&lt;0,H191&gt;0),1,0))</f>
        <v/>
      </c>
    </row>
    <row r="192" customFormat="false" ht="15" hidden="false" customHeight="false" outlineLevel="0" collapsed="false">
      <c r="A192" s="1" t="str">
        <f aca="false">IF(OR(A191="",H191&lt;=0),"",A191+1)</f>
        <v/>
      </c>
      <c r="B192" s="3" t="str">
        <f aca="false">IF(A192="","",EOMONTH(B191,12/$B$5))</f>
        <v/>
      </c>
      <c r="C192" s="6" t="str">
        <f aca="false">IF(A192="","",G191)</f>
        <v/>
      </c>
      <c r="D192" s="6" t="str">
        <f aca="false">IF(A192="","",C192*$B$4/$B$5)</f>
        <v/>
      </c>
      <c r="E192" s="6" t="str">
        <f aca="false">IF(A192="","",IF(AND(B192&lt;=$F$9,C192+D192+$B$8&lt;VLOOKUP(B192,Projection_Monthly!$B:$AB,26,TRUE())*$B$10),$B$8,0))</f>
        <v/>
      </c>
      <c r="F192" s="1" t="str">
        <f aca="false">IF(A192="","",MIN($B$8,E192))</f>
        <v/>
      </c>
      <c r="G192" s="6" t="str">
        <f aca="false">IF(A192="","",C192+D192+E192)</f>
        <v/>
      </c>
      <c r="H192" s="6" t="str">
        <f aca="false">IF(A192="","",IF(Inputs!$B$30=FALSE(),"",$B$9-G192))</f>
        <v/>
      </c>
      <c r="I192" s="1" t="str">
        <f aca="false">IF(A192="","",IF(H192&gt;0,"Active","LAPSED"))</f>
        <v/>
      </c>
      <c r="J192" s="1" t="str">
        <f aca="false">IF(A192="","",IF(AND(H193&lt;0,H192&gt;0),1,0))</f>
        <v/>
      </c>
    </row>
    <row r="193" customFormat="false" ht="15" hidden="false" customHeight="false" outlineLevel="0" collapsed="false">
      <c r="A193" s="1" t="str">
        <f aca="false">IF(OR(A192="",H192&lt;=0),"",A192+1)</f>
        <v/>
      </c>
      <c r="B193" s="3" t="str">
        <f aca="false">IF(A193="","",EOMONTH(B192,12/$B$5))</f>
        <v/>
      </c>
      <c r="C193" s="6" t="str">
        <f aca="false">IF(A193="","",G192)</f>
        <v/>
      </c>
      <c r="D193" s="6" t="str">
        <f aca="false">IF(A193="","",C193*$B$4/$B$5)</f>
        <v/>
      </c>
      <c r="E193" s="6" t="str">
        <f aca="false">IF(A193="","",IF(AND(B193&lt;=$F$9,C193+D193+$B$8&lt;VLOOKUP(B193,Projection_Monthly!$B:$AB,26,TRUE())*$B$10),$B$8,0))</f>
        <v/>
      </c>
      <c r="F193" s="1" t="str">
        <f aca="false">IF(A193="","",MIN($B$8,E193))</f>
        <v/>
      </c>
      <c r="G193" s="6" t="str">
        <f aca="false">IF(A193="","",C193+D193+E193)</f>
        <v/>
      </c>
      <c r="H193" s="6" t="str">
        <f aca="false">IF(A193="","",IF(Inputs!$B$30=FALSE(),"",$B$9-G193))</f>
        <v/>
      </c>
      <c r="I193" s="1" t="str">
        <f aca="false">IF(A193="","",IF(H193&gt;0,"Active","LAPSED"))</f>
        <v/>
      </c>
      <c r="J193" s="1" t="str">
        <f aca="false">IF(A193="","",IF(AND(H194&lt;0,H193&gt;0),1,0))</f>
        <v/>
      </c>
    </row>
    <row r="194" customFormat="false" ht="15" hidden="false" customHeight="false" outlineLevel="0" collapsed="false">
      <c r="A194" s="1" t="str">
        <f aca="false">IF(OR(A193="",H193&lt;=0),"",A193+1)</f>
        <v/>
      </c>
      <c r="B194" s="3" t="str">
        <f aca="false">IF(A194="","",EOMONTH(B193,12/$B$5))</f>
        <v/>
      </c>
      <c r="C194" s="6" t="str">
        <f aca="false">IF(A194="","",G193)</f>
        <v/>
      </c>
      <c r="D194" s="6" t="str">
        <f aca="false">IF(A194="","",C194*$B$4/$B$5)</f>
        <v/>
      </c>
      <c r="E194" s="6" t="str">
        <f aca="false">IF(A194="","",IF(AND(B194&lt;=$F$9,C194+D194+$B$8&lt;VLOOKUP(B194,Projection_Monthly!$B:$AB,26,TRUE())*$B$10),$B$8,0))</f>
        <v/>
      </c>
      <c r="F194" s="1" t="str">
        <f aca="false">IF(A194="","",MIN($B$8,E194))</f>
        <v/>
      </c>
      <c r="G194" s="6" t="str">
        <f aca="false">IF(A194="","",C194+D194+E194)</f>
        <v/>
      </c>
      <c r="H194" s="6" t="str">
        <f aca="false">IF(A194="","",IF(Inputs!$B$30=FALSE(),"",$B$9-G194))</f>
        <v/>
      </c>
      <c r="I194" s="1" t="str">
        <f aca="false">IF(A194="","",IF(H194&gt;0,"Active","LAPSED"))</f>
        <v/>
      </c>
      <c r="J194" s="1" t="str">
        <f aca="false">IF(A194="","",IF(AND(H195&lt;0,H194&gt;0),1,0))</f>
        <v/>
      </c>
    </row>
    <row r="195" customFormat="false" ht="15" hidden="false" customHeight="false" outlineLevel="0" collapsed="false">
      <c r="A195" s="1" t="str">
        <f aca="false">IF(OR(A194="",H194&lt;=0),"",A194+1)</f>
        <v/>
      </c>
      <c r="B195" s="3" t="str">
        <f aca="false">IF(A195="","",EOMONTH(B194,12/$B$5))</f>
        <v/>
      </c>
      <c r="C195" s="6" t="str">
        <f aca="false">IF(A195="","",G194)</f>
        <v/>
      </c>
      <c r="D195" s="6" t="str">
        <f aca="false">IF(A195="","",C195*$B$4/$B$5)</f>
        <v/>
      </c>
      <c r="E195" s="6" t="str">
        <f aca="false">IF(A195="","",IF(AND(B195&lt;=$F$9,C195+D195+$B$8&lt;VLOOKUP(B195,Projection_Monthly!$B:$AB,26,TRUE())*$B$10),$B$8,0))</f>
        <v/>
      </c>
      <c r="F195" s="1" t="str">
        <f aca="false">IF(A195="","",MIN($B$8,E195))</f>
        <v/>
      </c>
      <c r="G195" s="6" t="str">
        <f aca="false">IF(A195="","",C195+D195+E195)</f>
        <v/>
      </c>
      <c r="H195" s="6" t="str">
        <f aca="false">IF(A195="","",IF(Inputs!$B$30=FALSE(),"",$B$9-G195))</f>
        <v/>
      </c>
      <c r="I195" s="1" t="str">
        <f aca="false">IF(A195="","",IF(H195&gt;0,"Active","LAPSED"))</f>
        <v/>
      </c>
      <c r="J195" s="1" t="str">
        <f aca="false">IF(A195="","",IF(AND(H196&lt;0,H195&gt;0),1,0))</f>
        <v/>
      </c>
    </row>
    <row r="196" customFormat="false" ht="15" hidden="false" customHeight="false" outlineLevel="0" collapsed="false">
      <c r="A196" s="1" t="str">
        <f aca="false">IF(OR(A195="",H195&lt;=0),"",A195+1)</f>
        <v/>
      </c>
      <c r="B196" s="3" t="str">
        <f aca="false">IF(A196="","",EOMONTH(B195,12/$B$5))</f>
        <v/>
      </c>
      <c r="C196" s="6" t="str">
        <f aca="false">IF(A196="","",G195)</f>
        <v/>
      </c>
      <c r="D196" s="6" t="str">
        <f aca="false">IF(A196="","",C196*$B$4/$B$5)</f>
        <v/>
      </c>
      <c r="E196" s="6" t="str">
        <f aca="false">IF(A196="","",IF(AND(B196&lt;=$F$9,C196+D196+$B$8&lt;VLOOKUP(B196,Projection_Monthly!$B:$AB,26,TRUE())*$B$10),$B$8,0))</f>
        <v/>
      </c>
      <c r="F196" s="1" t="str">
        <f aca="false">IF(A196="","",MIN($B$8,E196))</f>
        <v/>
      </c>
      <c r="G196" s="6" t="str">
        <f aca="false">IF(A196="","",C196+D196+E196)</f>
        <v/>
      </c>
      <c r="H196" s="6" t="str">
        <f aca="false">IF(A196="","",IF(Inputs!$B$30=FALSE(),"",$B$9-G196))</f>
        <v/>
      </c>
      <c r="I196" s="1" t="str">
        <f aca="false">IF(A196="","",IF(H196&gt;0,"Active","LAPSED"))</f>
        <v/>
      </c>
      <c r="J196" s="1" t="str">
        <f aca="false">IF(A196="","",IF(AND(H197&lt;0,H196&gt;0),1,0))</f>
        <v/>
      </c>
    </row>
    <row r="197" customFormat="false" ht="15" hidden="false" customHeight="false" outlineLevel="0" collapsed="false">
      <c r="A197" s="1" t="str">
        <f aca="false">IF(OR(A196="",H196&lt;=0),"",A196+1)</f>
        <v/>
      </c>
      <c r="B197" s="3" t="str">
        <f aca="false">IF(A197="","",EOMONTH(B196,12/$B$5))</f>
        <v/>
      </c>
      <c r="C197" s="6" t="str">
        <f aca="false">IF(A197="","",G196)</f>
        <v/>
      </c>
      <c r="D197" s="6" t="str">
        <f aca="false">IF(A197="","",C197*$B$4/$B$5)</f>
        <v/>
      </c>
      <c r="E197" s="6" t="str">
        <f aca="false">IF(A197="","",IF(AND(B197&lt;=$F$9,C197+D197+$B$8&lt;VLOOKUP(B197,Projection_Monthly!$B:$AB,26,TRUE())*$B$10),$B$8,0))</f>
        <v/>
      </c>
      <c r="F197" s="1" t="str">
        <f aca="false">IF(A197="","",MIN($B$8,E197))</f>
        <v/>
      </c>
      <c r="G197" s="6" t="str">
        <f aca="false">IF(A197="","",C197+D197+E197)</f>
        <v/>
      </c>
      <c r="H197" s="6" t="str">
        <f aca="false">IF(A197="","",IF(Inputs!$B$30=FALSE(),"",$B$9-G197))</f>
        <v/>
      </c>
      <c r="I197" s="1" t="str">
        <f aca="false">IF(A197="","",IF(H197&gt;0,"Active","LAPSED"))</f>
        <v/>
      </c>
      <c r="J197" s="1" t="str">
        <f aca="false">IF(A197="","",IF(AND(H198&lt;0,H197&gt;0),1,0))</f>
        <v/>
      </c>
    </row>
    <row r="198" customFormat="false" ht="15" hidden="false" customHeight="false" outlineLevel="0" collapsed="false">
      <c r="A198" s="1" t="str">
        <f aca="false">IF(OR(A197="",H197&lt;=0),"",A197+1)</f>
        <v/>
      </c>
      <c r="B198" s="3" t="str">
        <f aca="false">IF(A198="","",EOMONTH(B197,12/$B$5))</f>
        <v/>
      </c>
      <c r="C198" s="6" t="str">
        <f aca="false">IF(A198="","",G197)</f>
        <v/>
      </c>
      <c r="D198" s="6" t="str">
        <f aca="false">IF(A198="","",C198*$B$4/$B$5)</f>
        <v/>
      </c>
      <c r="E198" s="6" t="str">
        <f aca="false">IF(A198="","",IF(AND(B198&lt;=$F$9,C198+D198+$B$8&lt;VLOOKUP(B198,Projection_Monthly!$B:$AB,26,TRUE())*$B$10),$B$8,0))</f>
        <v/>
      </c>
      <c r="F198" s="1" t="str">
        <f aca="false">IF(A198="","",MIN($B$8,E198))</f>
        <v/>
      </c>
      <c r="G198" s="6" t="str">
        <f aca="false">IF(A198="","",C198+D198+E198)</f>
        <v/>
      </c>
      <c r="H198" s="6" t="str">
        <f aca="false">IF(A198="","",IF(Inputs!$B$30=FALSE(),"",$B$9-G198))</f>
        <v/>
      </c>
      <c r="I198" s="1" t="str">
        <f aca="false">IF(A198="","",IF(H198&gt;0,"Active","LAPSED"))</f>
        <v/>
      </c>
      <c r="J198" s="1" t="str">
        <f aca="false">IF(A198="","",IF(AND(H199&lt;0,H198&gt;0),1,0))</f>
        <v/>
      </c>
    </row>
    <row r="199" customFormat="false" ht="15" hidden="false" customHeight="false" outlineLevel="0" collapsed="false">
      <c r="A199" s="1" t="str">
        <f aca="false">IF(OR(A198="",H198&lt;=0),"",A198+1)</f>
        <v/>
      </c>
      <c r="B199" s="3" t="str">
        <f aca="false">IF(A199="","",EOMONTH(B198,12/$B$5))</f>
        <v/>
      </c>
      <c r="C199" s="6" t="str">
        <f aca="false">IF(A199="","",G198)</f>
        <v/>
      </c>
      <c r="D199" s="6" t="str">
        <f aca="false">IF(A199="","",C199*$B$4/$B$5)</f>
        <v/>
      </c>
      <c r="E199" s="6" t="str">
        <f aca="false">IF(A199="","",IF(AND(B199&lt;=$F$9,C199+D199+$B$8&lt;VLOOKUP(B199,Projection_Monthly!$B:$AB,26,TRUE())*$B$10),$B$8,0))</f>
        <v/>
      </c>
      <c r="F199" s="1" t="str">
        <f aca="false">IF(A199="","",MIN($B$8,E199))</f>
        <v/>
      </c>
      <c r="G199" s="6" t="str">
        <f aca="false">IF(A199="","",C199+D199+E199)</f>
        <v/>
      </c>
      <c r="H199" s="6" t="str">
        <f aca="false">IF(A199="","",IF(Inputs!$B$30=FALSE(),"",$B$9-G199))</f>
        <v/>
      </c>
      <c r="I199" s="1" t="str">
        <f aca="false">IF(A199="","",IF(H199&gt;0,"Active","LAPSED"))</f>
        <v/>
      </c>
      <c r="J199" s="1" t="str">
        <f aca="false">IF(A199="","",IF(AND(H200&lt;0,H199&gt;0),1,0))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.73"/>
    <col collapsed="false" customWidth="true" hidden="false" outlineLevel="0" max="2" min="2" style="1" width="12.45"/>
    <col collapsed="false" customWidth="true" hidden="false" outlineLevel="0" max="3" min="3" style="1" width="13.54"/>
    <col collapsed="false" customWidth="true" hidden="false" outlineLevel="0" max="4" min="4" style="1" width="15.45"/>
    <col collapsed="false" customWidth="true" hidden="false" outlineLevel="0" max="5" min="5" style="1" width="17.27"/>
    <col collapsed="false" customWidth="true" hidden="false" outlineLevel="0" max="6" min="6" style="1" width="18.18"/>
    <col collapsed="false" customWidth="true" hidden="false" outlineLevel="0" max="7" min="7" style="1" width="20"/>
    <col collapsed="false" customWidth="true" hidden="false" outlineLevel="0" max="8" min="8" style="1" width="15.45"/>
    <col collapsed="false" customWidth="true" hidden="false" outlineLevel="0" max="9" min="9" style="1" width="21.82"/>
    <col collapsed="false" customWidth="true" hidden="false" outlineLevel="0" max="10" min="10" style="1" width="10.82"/>
    <col collapsed="false" customWidth="true" hidden="false" outlineLevel="0" max="11" min="11" style="1" width="15.45"/>
    <col collapsed="false" customWidth="true" hidden="false" outlineLevel="0" max="12" min="12" style="1" width="13.54"/>
    <col collapsed="false" customWidth="true" hidden="false" outlineLevel="0" max="13" min="13" style="1" width="15.45"/>
    <col collapsed="false" customWidth="true" hidden="false" outlineLevel="0" max="14" min="14" style="1" width="17.27"/>
    <col collapsed="false" customWidth="true" hidden="false" outlineLevel="0" max="15" min="15" style="1" width="18.18"/>
    <col collapsed="false" customWidth="true" hidden="false" outlineLevel="0" max="16" min="16" style="1" width="20"/>
    <col collapsed="false" customWidth="true" hidden="false" outlineLevel="0" max="17" min="17" style="1" width="15.45"/>
    <col collapsed="false" customWidth="true" hidden="false" outlineLevel="0" max="18" min="18" style="1" width="10.45"/>
    <col collapsed="false" customWidth="true" hidden="false" outlineLevel="0" max="19" min="19" style="1" width="13.82"/>
    <col collapsed="false" customWidth="true" hidden="false" outlineLevel="0" max="20" min="20" style="1" width="10.54"/>
    <col collapsed="false" customWidth="true" hidden="false" outlineLevel="0" max="21" min="21" style="1" width="13.82"/>
    <col collapsed="false" customWidth="true" hidden="false" outlineLevel="0" max="22" min="22" style="1" width="13.45"/>
    <col collapsed="false" customWidth="true" hidden="false" outlineLevel="0" max="24" min="24" style="1" width="10.54"/>
  </cols>
  <sheetData>
    <row r="1" customFormat="false" ht="15" hidden="false" customHeight="false" outlineLevel="0" collapsed="false">
      <c r="A1" s="1" t="s">
        <v>207</v>
      </c>
      <c r="S1" s="1" t="s">
        <v>208</v>
      </c>
      <c r="W1" s="1" t="s">
        <v>209</v>
      </c>
    </row>
    <row r="2" customFormat="false" ht="15" hidden="false" customHeight="false" outlineLevel="0" collapsed="false">
      <c r="S2" s="1" t="s">
        <v>96</v>
      </c>
      <c r="T2" s="1" t="s">
        <v>210</v>
      </c>
      <c r="U2" s="1" t="s">
        <v>211</v>
      </c>
      <c r="V2" s="1" t="s">
        <v>212</v>
      </c>
      <c r="W2" s="1" t="s">
        <v>213</v>
      </c>
      <c r="X2" s="1" t="s">
        <v>96</v>
      </c>
      <c r="Y2" s="1" t="s">
        <v>210</v>
      </c>
      <c r="Z2" s="1" t="s">
        <v>211</v>
      </c>
    </row>
    <row r="3" customFormat="false" ht="15" hidden="false" customHeight="false" outlineLevel="0" collapsed="false">
      <c r="A3" s="1" t="s">
        <v>214</v>
      </c>
      <c r="S3" s="18" t="n">
        <f aca="false">IF(B14="","",B14)</f>
        <v>45213</v>
      </c>
      <c r="T3" s="1" t="str">
        <f aca="false">IF(B14="","",IF(S3=$B$8,"VALUATION","LOAN"))</f>
        <v>LOAN</v>
      </c>
      <c r="U3" s="2" t="n">
        <f aca="false">IF(C14="","",C14)</f>
        <v>373.37</v>
      </c>
      <c r="V3" s="19" t="n">
        <f aca="false">IF(B14="","",B14+0.1)</f>
        <v>45213.1</v>
      </c>
      <c r="W3" s="1" t="n">
        <v>1</v>
      </c>
      <c r="X3" s="18" t="n">
        <f aca="false" t="array" ref="X3:X3">IFERROR(SMALL(IF($S$3:$S$64&lt;&gt;"",$S$3:$S$64),1),"")</f>
        <v>45213</v>
      </c>
      <c r="Y3" s="1" t="str">
        <f aca="false">IF(X3="","",INDEX($T$3:$T$64,MATCH(X3,$S$3:$S$64,0)))</f>
        <v>LOAN</v>
      </c>
      <c r="Z3" s="2" t="n">
        <f aca="false">IF(X3="","",INDEX($U$3:$U$64,MATCH(X3,$S$3:$S$64,0)))</f>
        <v>373.37</v>
      </c>
    </row>
    <row r="4" customFormat="false" ht="15" hidden="false" customHeight="false" outlineLevel="0" collapsed="false">
      <c r="A4" s="1" t="s">
        <v>215</v>
      </c>
      <c r="B4" s="5" t="n">
        <f aca="false">Inputs!$B$31</f>
        <v>0.05</v>
      </c>
      <c r="S4" s="18" t="n">
        <f aca="false">IF(B15="","",B15)</f>
        <v>45579</v>
      </c>
      <c r="T4" s="1" t="str">
        <f aca="false">IF(B15="","",IF(S4=$B$8,"VALUATION","LOAN"))</f>
        <v>LOAN</v>
      </c>
      <c r="U4" s="2" t="n">
        <f aca="false">IF(C15="","",C15)</f>
        <v>0</v>
      </c>
      <c r="V4" s="19" t="n">
        <f aca="false">IF(B15="","",B15+0.1)</f>
        <v>45579.1</v>
      </c>
      <c r="W4" s="1" t="n">
        <v>2</v>
      </c>
      <c r="X4" s="18" t="n">
        <f aca="false" t="array" ref="X4:X4">IFERROR(SMALL(IF($S$3:$S$64&lt;&gt;"",$S$3:$S$64),2),"")</f>
        <v>45579</v>
      </c>
      <c r="Y4" s="1" t="str">
        <f aca="false">IF(X4="","",INDEX($T$3:$T$64,MATCH(X4,$S$3:$S$64,0)))</f>
        <v>LOAN</v>
      </c>
      <c r="Z4" s="2" t="n">
        <f aca="false">IF(X4="","",INDEX($U$3:$U$64,MATCH(X4,$S$3:$S$64,0)))</f>
        <v>0</v>
      </c>
    </row>
    <row r="5" customFormat="false" ht="15" hidden="false" customHeight="false" outlineLevel="0" collapsed="false">
      <c r="A5" s="1" t="s">
        <v>216</v>
      </c>
      <c r="B5" s="5" t="n">
        <f aca="false">Inputs!$B$23</f>
        <v>0.025</v>
      </c>
      <c r="S5" s="18" t="n">
        <f aca="false">IF(B16="","",B16)</f>
        <v>45944</v>
      </c>
      <c r="T5" s="1" t="str">
        <f aca="false">IF(B16="","",IF(S5=$B$8,"VALUATION","LOAN"))</f>
        <v>LOAN</v>
      </c>
      <c r="U5" s="2" t="n">
        <f aca="false">IF(C16="","",C16)</f>
        <v>10</v>
      </c>
      <c r="V5" s="19" t="n">
        <f aca="false">IF(B16="","",B16+0.1)</f>
        <v>45944.1</v>
      </c>
      <c r="W5" s="1" t="n">
        <v>3</v>
      </c>
      <c r="X5" s="18" t="n">
        <f aca="false" t="array" ref="X5:X5">IFERROR(SMALL(IF($S$3:$S$64&lt;&gt;"",$S$3:$S$64),3),"")</f>
        <v>45761</v>
      </c>
      <c r="Y5" s="1" t="str">
        <f aca="false">IF(X5="","",INDEX($T$3:$T$64,MATCH(X5,$S$3:$S$64,0)))</f>
        <v>REPAY</v>
      </c>
      <c r="Z5" s="2" t="n">
        <f aca="false">IF(X5="","",INDEX($U$3:$U$64,MATCH(X5,$S$3:$S$64,0)))</f>
        <v>20</v>
      </c>
    </row>
    <row r="6" customFormat="false" ht="15" hidden="false" customHeight="false" outlineLevel="0" collapsed="false">
      <c r="A6" s="1" t="s">
        <v>40</v>
      </c>
      <c r="B6" s="1" t="n">
        <f aca="false">Inputs!$B$7</f>
        <v>16</v>
      </c>
      <c r="S6" s="18" t="n">
        <f aca="false">IF(B17="","",B17)</f>
        <v>45961</v>
      </c>
      <c r="T6" s="1" t="str">
        <f aca="false">IF(B17="","",IF(S6=$B$8,"VALUATION","LOAN"))</f>
        <v>LOAN</v>
      </c>
      <c r="U6" s="2" t="n">
        <f aca="false">IF(C17="","",C17)</f>
        <v>0</v>
      </c>
      <c r="V6" s="19" t="n">
        <f aca="false">IF(B17="","",B17+0.1)</f>
        <v>45961.1</v>
      </c>
      <c r="W6" s="1" t="n">
        <v>4</v>
      </c>
      <c r="X6" s="18" t="n">
        <f aca="false" t="array" ref="X6:X6">IFERROR(SMALL(IF($S$3:$S$64&lt;&gt;"",$S$3:$S$64),4),"")</f>
        <v>45944</v>
      </c>
      <c r="Y6" s="1" t="str">
        <f aca="false">IF(X6="","",INDEX($T$3:$T$64,MATCH(X6,$S$3:$S$64,0)))</f>
        <v>LOAN</v>
      </c>
      <c r="Z6" s="2" t="n">
        <f aca="false">IF(X6="","",INDEX($U$3:$U$64,MATCH(X6,$S$3:$S$64,0)))</f>
        <v>10</v>
      </c>
    </row>
    <row r="7" customFormat="false" ht="15" hidden="false" customHeight="false" outlineLevel="0" collapsed="false">
      <c r="A7" s="1" t="s">
        <v>46</v>
      </c>
      <c r="B7" s="18" t="n">
        <f aca="false">Inputs!$B$11</f>
        <v>21706</v>
      </c>
      <c r="S7" s="18" t="str">
        <f aca="false">IF(B18="","",B18)</f>
        <v/>
      </c>
      <c r="T7" s="1" t="str">
        <f aca="false">IF(B18="","",IF(S7=$B$8,"VALUATION","LOAN"))</f>
        <v/>
      </c>
      <c r="U7" s="2" t="str">
        <f aca="false">IF(C18="","",C18)</f>
        <v/>
      </c>
      <c r="V7" s="1" t="str">
        <f aca="false">IF(B18="","",B18+0.1)</f>
        <v/>
      </c>
      <c r="W7" s="1" t="n">
        <v>5</v>
      </c>
      <c r="X7" s="18" t="n">
        <f aca="false" t="array" ref="X7:X7">IFERROR(SMALL(IF($S$3:$S$64&lt;&gt;"",$S$3:$S$64),5),"")</f>
        <v>45961</v>
      </c>
      <c r="Y7" s="1" t="str">
        <f aca="false">IF(X7="","",INDEX($T$3:$T$64,MATCH(X7,$S$3:$S$64,0)))</f>
        <v>LOAN</v>
      </c>
      <c r="Z7" s="2" t="n">
        <f aca="false">IF(X7="","",INDEX($U$3:$U$64,MATCH(X7,$S$3:$S$64,0)))</f>
        <v>0</v>
      </c>
    </row>
    <row r="8" customFormat="false" ht="15" hidden="false" customHeight="false" outlineLevel="0" collapsed="false">
      <c r="A8" s="1" t="s">
        <v>47</v>
      </c>
      <c r="B8" s="18" t="n">
        <f aca="false">Inputs!$B$12</f>
        <v>46178</v>
      </c>
      <c r="S8" s="18" t="str">
        <f aca="false">IF(B19="","",B19)</f>
        <v/>
      </c>
      <c r="T8" s="1" t="str">
        <f aca="false">IF(B19="","",IF(S8=$B$8,"VALUATION","LOAN"))</f>
        <v/>
      </c>
      <c r="U8" s="2" t="str">
        <f aca="false">IF(C19="","",C19)</f>
        <v/>
      </c>
      <c r="V8" s="1" t="str">
        <f aca="false">IF(B19="","",B19+0.1)</f>
        <v/>
      </c>
      <c r="W8" s="1" t="n">
        <v>6</v>
      </c>
      <c r="X8" s="18" t="n">
        <f aca="false" t="array" ref="X8:X8">IFERROR(SMALL(IF($S$3:$S$64&lt;&gt;"",$S$3:$S$64),6),"")</f>
        <v>46178</v>
      </c>
      <c r="Y8" s="1" t="str">
        <f aca="false">IF(X8="","",INDEX($T$3:$T$64,MATCH(X8,$S$3:$S$64,0)))</f>
        <v>VALUATION</v>
      </c>
      <c r="Z8" s="2" t="n">
        <f aca="false">IF(X8="","",INDEX($U$3:$U$64,MATCH(X8,$S$3:$S$64,0)))</f>
        <v>0</v>
      </c>
    </row>
    <row r="9" customFormat="false" ht="15" hidden="false" customHeight="false" outlineLevel="0" collapsed="false">
      <c r="A9" s="1" t="s">
        <v>217</v>
      </c>
      <c r="B9" s="1" t="n">
        <f aca="false">Inputs!$B$18</f>
        <v>50000</v>
      </c>
      <c r="S9" s="18" t="str">
        <f aca="false">IF(B20="","",B20)</f>
        <v/>
      </c>
      <c r="T9" s="1" t="str">
        <f aca="false">IF(B20="","",IF(S9=$B$8,"VALUATION","LOAN"))</f>
        <v/>
      </c>
      <c r="U9" s="2" t="str">
        <f aca="false">IF(C20="","",C20)</f>
        <v/>
      </c>
      <c r="V9" s="1" t="str">
        <f aca="false">IF(B20="","",B20+0.1)</f>
        <v/>
      </c>
      <c r="W9" s="1" t="n">
        <v>7</v>
      </c>
      <c r="X9" s="18" t="str">
        <f aca="false" t="array" ref="X9:X9">IFERROR(SMALL(IF($S$3:$S$64&lt;&gt;"",$S$3:$S$64),7),"")</f>
        <v/>
      </c>
      <c r="Y9" s="1" t="str">
        <f aca="false">IF(X9="","",INDEX($T$3:$T$64,MATCH(X9,$S$3:$S$64,0)))</f>
        <v/>
      </c>
      <c r="Z9" s="2" t="str">
        <f aca="false">IF(X9="","",INDEX($U$3:$U$64,MATCH(X9,$S$3:$S$64,0)))</f>
        <v/>
      </c>
    </row>
    <row r="10" customFormat="false" ht="15" hidden="false" customHeight="false" outlineLevel="0" collapsed="false">
      <c r="A10" s="1" t="s">
        <v>44</v>
      </c>
      <c r="B10" s="1" t="n">
        <f aca="false">Inputs!$B$8</f>
        <v>30</v>
      </c>
      <c r="S10" s="18" t="str">
        <f aca="false">IF(B21="","",B21)</f>
        <v/>
      </c>
      <c r="T10" s="1" t="str">
        <f aca="false">IF(B21="","",IF(S10=$B$8,"VALUATION","LOAN"))</f>
        <v/>
      </c>
      <c r="U10" s="2" t="str">
        <f aca="false">IF(C21="","",C21)</f>
        <v/>
      </c>
      <c r="V10" s="1" t="str">
        <f aca="false">IF(B21="","",B21+0.1)</f>
        <v/>
      </c>
      <c r="W10" s="1" t="n">
        <v>8</v>
      </c>
    </row>
    <row r="11" customFormat="false" ht="15" hidden="false" customHeight="false" outlineLevel="0" collapsed="false">
      <c r="S11" s="18" t="str">
        <f aca="false">IF(B22="","",B22)</f>
        <v/>
      </c>
      <c r="T11" s="1" t="str">
        <f aca="false">IF(B22="","",IF(S11=$B$8,"VALUATION","LOAN"))</f>
        <v/>
      </c>
      <c r="U11" s="2" t="str">
        <f aca="false">IF(C22="","",C22)</f>
        <v/>
      </c>
      <c r="V11" s="1" t="str">
        <f aca="false">IF(B22="","",B22+0.1)</f>
        <v/>
      </c>
      <c r="W11" s="1" t="n">
        <v>9</v>
      </c>
      <c r="X11" s="18" t="str">
        <f aca="false" t="array" ref="X11:X11">IFERROR(SMALL(IF($S$3:$S$64&lt;&gt;"",$S$3:$S$64),8),"")</f>
        <v/>
      </c>
      <c r="Y11" s="1" t="str">
        <f aca="false">IF(X11="","",INDEX($T$3:$T$64,MATCH(X11,$S$3:$S$64,0)))</f>
        <v/>
      </c>
      <c r="Z11" s="2" t="str">
        <f aca="false">IF(X11="","",INDEX($U$3:$U$64,MATCH(X11,$S$3:$S$64,0)))</f>
        <v/>
      </c>
    </row>
    <row r="12" customFormat="false" ht="15" hidden="false" customHeight="false" outlineLevel="0" collapsed="false">
      <c r="A12" s="1" t="s">
        <v>218</v>
      </c>
      <c r="E12" s="1" t="s">
        <v>219</v>
      </c>
      <c r="S12" s="18" t="n">
        <f aca="false">IF(B23="","",B23)</f>
        <v>46178</v>
      </c>
      <c r="T12" s="1" t="str">
        <f aca="false">IF(B23="","",IF(S12=$B$8,"VALUATION","LOAN"))</f>
        <v>VALUATION</v>
      </c>
      <c r="U12" s="2" t="n">
        <f aca="false">IF(C23="","",C23)</f>
        <v>0</v>
      </c>
      <c r="V12" s="19" t="n">
        <f aca="false">IF(B23="","",B23+0.1)</f>
        <v>46178.1</v>
      </c>
      <c r="W12" s="1" t="n">
        <v>10</v>
      </c>
      <c r="X12" s="18" t="str">
        <f aca="false" t="array" ref="X12:X12">IFERROR(SMALL(IF($S$3:$S$64&lt;&gt;"",$S$3:$S$64),9),"")</f>
        <v/>
      </c>
      <c r="Y12" s="1" t="str">
        <f aca="false">IF(X12="","",INDEX($T$3:$T$64,MATCH(X12,$S$3:$S$64,0)))</f>
        <v/>
      </c>
      <c r="Z12" s="2" t="str">
        <f aca="false">IF(X12="","",INDEX($U$3:$U$64,MATCH(X12,$S$3:$S$64,0)))</f>
        <v/>
      </c>
    </row>
    <row r="13" customFormat="false" ht="15" hidden="false" customHeight="false" outlineLevel="0" collapsed="false">
      <c r="A13" s="1" t="s">
        <v>220</v>
      </c>
      <c r="B13" s="1" t="s">
        <v>221</v>
      </c>
      <c r="C13" s="1" t="s">
        <v>222</v>
      </c>
      <c r="E13" s="1" t="s">
        <v>223</v>
      </c>
      <c r="F13" s="1" t="s">
        <v>224</v>
      </c>
      <c r="G13" s="1" t="s">
        <v>91</v>
      </c>
      <c r="S13" s="18" t="str">
        <f aca="false">IF(B24="","",B24)</f>
        <v/>
      </c>
      <c r="T13" s="1" t="str">
        <f aca="false">IF(B24="","",IF(S13=$B$8,"VALUATION","LOAN"))</f>
        <v/>
      </c>
      <c r="U13" s="2" t="str">
        <f aca="false">IF(C24="","",C24)</f>
        <v/>
      </c>
      <c r="V13" s="1" t="str">
        <f aca="false">IF(B24="","",B24+0.1)</f>
        <v/>
      </c>
      <c r="W13" s="1" t="n">
        <v>11</v>
      </c>
      <c r="X13" s="18" t="str">
        <f aca="false" t="array" ref="X13:X13">IFERROR(SMALL(IF($S$3:$S$64&lt;&gt;"",$S$3:$S$64),10),"")</f>
        <v/>
      </c>
      <c r="Y13" s="1" t="str">
        <f aca="false">IF(X13="","",INDEX($T$3:$T$64,MATCH(X13,$S$3:$S$64,0)))</f>
        <v/>
      </c>
      <c r="Z13" s="2" t="str">
        <f aca="false">IF(X13="","",INDEX($U$3:$U$64,MATCH(X13,$S$3:$S$64,0)))</f>
        <v/>
      </c>
    </row>
    <row r="14" customFormat="false" ht="15" hidden="false" customHeight="false" outlineLevel="0" collapsed="false">
      <c r="A14" s="1" t="n">
        <v>1</v>
      </c>
      <c r="B14" s="18" t="n">
        <f aca="false">Inputs!$B$33</f>
        <v>45213</v>
      </c>
      <c r="C14" s="2" t="n">
        <f aca="false">Inputs!B34</f>
        <v>373.37</v>
      </c>
      <c r="E14" s="1" t="n">
        <v>1</v>
      </c>
      <c r="F14" s="18" t="n">
        <v>45761</v>
      </c>
      <c r="G14" s="2" t="n">
        <v>20</v>
      </c>
      <c r="S14" s="18" t="n">
        <f aca="false">IF(F14="","",F14)</f>
        <v>45761</v>
      </c>
      <c r="T14" s="1" t="str">
        <f aca="false">IF(F14="","","REPAY")</f>
        <v>REPAY</v>
      </c>
      <c r="U14" s="2" t="n">
        <f aca="false">IF(G14="","",G14)</f>
        <v>20</v>
      </c>
      <c r="V14" s="19" t="n">
        <f aca="false">IF(F14="","",F14+0.2)</f>
        <v>45761.2</v>
      </c>
      <c r="W14" s="1" t="n">
        <v>12</v>
      </c>
      <c r="X14" s="18" t="str">
        <f aca="false" t="array" ref="X14:X14">IFERROR(SMALL(IF($S$3:$S$64&lt;&gt;"",$S$3:$S$64),11),"")</f>
        <v/>
      </c>
      <c r="Y14" s="1" t="str">
        <f aca="false">IF(X14="","",INDEX($T$3:$T$64,MATCH(X14,$S$3:$S$64,0)))</f>
        <v/>
      </c>
      <c r="Z14" s="2" t="str">
        <f aca="false">IF(X14="","",INDEX($U$3:$U$64,MATCH(X14,$S$3:$S$64,0)))</f>
        <v/>
      </c>
    </row>
    <row r="15" customFormat="false" ht="15" hidden="false" customHeight="false" outlineLevel="0" collapsed="false">
      <c r="A15" s="1" t="n">
        <v>2</v>
      </c>
      <c r="B15" s="18" t="n">
        <v>45579</v>
      </c>
      <c r="C15" s="2" t="n">
        <v>0</v>
      </c>
      <c r="E15" s="1" t="n">
        <v>2</v>
      </c>
      <c r="S15" s="18" t="str">
        <f aca="false">IF(F15="","",F15)</f>
        <v/>
      </c>
      <c r="T15" s="1" t="str">
        <f aca="false">IF(F15="","","REPAY")</f>
        <v/>
      </c>
      <c r="U15" s="2" t="str">
        <f aca="false">IF(G15="","",G15)</f>
        <v/>
      </c>
      <c r="V15" s="1" t="str">
        <f aca="false">IF(F15="","",F15+0.2)</f>
        <v/>
      </c>
      <c r="W15" s="1" t="n">
        <v>13</v>
      </c>
      <c r="X15" s="18" t="str">
        <f aca="false" t="array" ref="X15:X15">IFERROR(SMALL(IF($S$3:$S$64&lt;&gt;"",$S$3:$S$64),12),"")</f>
        <v/>
      </c>
      <c r="Y15" s="1" t="str">
        <f aca="false">IF(X15="","",INDEX($T$3:$T$64,MATCH(X15,$S$3:$S$64,0)))</f>
        <v/>
      </c>
      <c r="Z15" s="2" t="str">
        <f aca="false">IF(X15="","",INDEX($U$3:$U$64,MATCH(X15,$S$3:$S$64,0)))</f>
        <v/>
      </c>
    </row>
    <row r="16" customFormat="false" ht="15" hidden="false" customHeight="false" outlineLevel="0" collapsed="false">
      <c r="A16" s="1" t="n">
        <v>3</v>
      </c>
      <c r="B16" s="18" t="n">
        <v>45944</v>
      </c>
      <c r="C16" s="2" t="n">
        <v>10</v>
      </c>
      <c r="E16" s="1" t="n">
        <v>3</v>
      </c>
      <c r="S16" s="18" t="str">
        <f aca="false">IF(F16="","",F16)</f>
        <v/>
      </c>
      <c r="T16" s="1" t="str">
        <f aca="false">IF(F16="","","REPAY")</f>
        <v/>
      </c>
      <c r="U16" s="2" t="str">
        <f aca="false">IF(G16="","",G16)</f>
        <v/>
      </c>
      <c r="V16" s="1" t="str">
        <f aca="false">IF(F16="","",F16+0.2)</f>
        <v/>
      </c>
      <c r="W16" s="1" t="n">
        <v>14</v>
      </c>
      <c r="X16" s="18" t="str">
        <f aca="false" t="array" ref="X16:X16">IFERROR(SMALL(IF($S$3:$S$64&lt;&gt;"",$S$3:$S$64),13),"")</f>
        <v/>
      </c>
      <c r="Y16" s="1" t="str">
        <f aca="false">IF(X16="","",INDEX($T$3:$T$64,MATCH(X16,$S$3:$S$64,0)))</f>
        <v/>
      </c>
      <c r="Z16" s="2" t="str">
        <f aca="false">IF(X16="","",INDEX($U$3:$U$64,MATCH(X16,$S$3:$S$64,0)))</f>
        <v/>
      </c>
    </row>
    <row r="17" customFormat="false" ht="15" hidden="false" customHeight="false" outlineLevel="0" collapsed="false">
      <c r="A17" s="1" t="n">
        <v>4</v>
      </c>
      <c r="B17" s="18" t="n">
        <v>45961</v>
      </c>
      <c r="C17" s="2" t="n">
        <v>0</v>
      </c>
      <c r="E17" s="1" t="n">
        <v>4</v>
      </c>
      <c r="S17" s="18" t="str">
        <f aca="false">IF(F17="","",F17)</f>
        <v/>
      </c>
      <c r="T17" s="1" t="str">
        <f aca="false">IF(F17="","","REPAY")</f>
        <v/>
      </c>
      <c r="U17" s="2" t="str">
        <f aca="false">IF(G17="","",G17)</f>
        <v/>
      </c>
      <c r="V17" s="1" t="str">
        <f aca="false">IF(F17="","",F17+0.2)</f>
        <v/>
      </c>
      <c r="W17" s="1" t="n">
        <v>15</v>
      </c>
      <c r="X17" s="18" t="str">
        <f aca="false" t="array" ref="X17:X17">IFERROR(SMALL(IF($S$3:$S$64&lt;&gt;"",$S$3:$S$64),14),"")</f>
        <v/>
      </c>
      <c r="Y17" s="1" t="str">
        <f aca="false">IF(X17="","",INDEX($T$3:$T$64,MATCH(X17,$S$3:$S$64,0)))</f>
        <v/>
      </c>
      <c r="Z17" s="2" t="str">
        <f aca="false">IF(X17="","",INDEX($U$3:$U$64,MATCH(X17,$S$3:$S$64,0)))</f>
        <v/>
      </c>
    </row>
    <row r="18" customFormat="false" ht="15" hidden="false" customHeight="false" outlineLevel="0" collapsed="false">
      <c r="A18" s="1" t="n">
        <v>5</v>
      </c>
      <c r="E18" s="1" t="n">
        <v>5</v>
      </c>
      <c r="S18" s="18" t="str">
        <f aca="false">IF(F18="","",F18)</f>
        <v/>
      </c>
      <c r="T18" s="1" t="str">
        <f aca="false">IF(F18="","","REPAY")</f>
        <v/>
      </c>
      <c r="U18" s="2" t="str">
        <f aca="false">IF(G18="","",G18)</f>
        <v/>
      </c>
      <c r="V18" s="1" t="str">
        <f aca="false">IF(F18="","",F18+0.2)</f>
        <v/>
      </c>
      <c r="W18" s="1" t="n">
        <v>16</v>
      </c>
      <c r="X18" s="18" t="str">
        <f aca="false" t="array" ref="X18:X18">IFERROR(SMALL(IF($S$3:$S$64&lt;&gt;"",$S$3:$S$64),15),"")</f>
        <v/>
      </c>
      <c r="Y18" s="1" t="str">
        <f aca="false">IF(X18="","",INDEX($T$3:$T$64,MATCH(X18,$S$3:$S$64,0)))</f>
        <v/>
      </c>
      <c r="Z18" s="2" t="str">
        <f aca="false">IF(X18="","",INDEX($U$3:$U$64,MATCH(X18,$S$3:$S$64,0)))</f>
        <v/>
      </c>
    </row>
    <row r="19" customFormat="false" ht="15" hidden="false" customHeight="false" outlineLevel="0" collapsed="false">
      <c r="A19" s="1" t="n">
        <v>6</v>
      </c>
      <c r="E19" s="1" t="n">
        <v>6</v>
      </c>
      <c r="S19" s="18" t="str">
        <f aca="false">IF(F19="","",F19)</f>
        <v/>
      </c>
      <c r="T19" s="1" t="str">
        <f aca="false">IF(F19="","","REPAY")</f>
        <v/>
      </c>
      <c r="U19" s="2" t="str">
        <f aca="false">IF(G19="","",G19)</f>
        <v/>
      </c>
      <c r="V19" s="1" t="str">
        <f aca="false">IF(F19="","",F19+0.2)</f>
        <v/>
      </c>
      <c r="W19" s="1" t="n">
        <v>17</v>
      </c>
      <c r="X19" s="18" t="str">
        <f aca="false" t="array" ref="X19:X19">IFERROR(SMALL(IF($S$3:$S$64&lt;&gt;"",$S$3:$S$64),16),"")</f>
        <v/>
      </c>
      <c r="Y19" s="1" t="str">
        <f aca="false">IF(X19="","",INDEX($T$3:$T$64,MATCH(X19,$S$3:$S$64,0)))</f>
        <v/>
      </c>
      <c r="Z19" s="2" t="str">
        <f aca="false">IF(X19="","",INDEX($U$3:$U$64,MATCH(X19,$S$3:$S$64,0)))</f>
        <v/>
      </c>
    </row>
    <row r="20" customFormat="false" ht="15" hidden="false" customHeight="false" outlineLevel="0" collapsed="false">
      <c r="A20" s="1" t="n">
        <v>7</v>
      </c>
      <c r="E20" s="1" t="n">
        <v>7</v>
      </c>
      <c r="S20" s="18" t="str">
        <f aca="false">IF(F20="","",F20)</f>
        <v/>
      </c>
      <c r="T20" s="1" t="str">
        <f aca="false">IF(F20="","","REPAY")</f>
        <v/>
      </c>
      <c r="U20" s="2" t="str">
        <f aca="false">IF(G20="","",G20)</f>
        <v/>
      </c>
      <c r="V20" s="1" t="str">
        <f aca="false">IF(F20="","",F20+0.2)</f>
        <v/>
      </c>
      <c r="W20" s="1" t="n">
        <v>18</v>
      </c>
      <c r="X20" s="18" t="str">
        <f aca="false" t="array" ref="X20:X20">IFERROR(SMALL(IF($S$3:$S$64&lt;&gt;"",$S$3:$S$64),17),"")</f>
        <v/>
      </c>
      <c r="Y20" s="1" t="str">
        <f aca="false">IF(X20="","",INDEX($T$3:$T$64,MATCH(X20,$S$3:$S$64,0)))</f>
        <v/>
      </c>
      <c r="Z20" s="2" t="str">
        <f aca="false">IF(X20="","",INDEX($U$3:$U$64,MATCH(X20,$S$3:$S$64,0)))</f>
        <v/>
      </c>
    </row>
    <row r="21" customFormat="false" ht="15" hidden="false" customHeight="false" outlineLevel="0" collapsed="false">
      <c r="A21" s="1" t="n">
        <v>8</v>
      </c>
      <c r="E21" s="1" t="n">
        <v>8</v>
      </c>
      <c r="S21" s="18" t="str">
        <f aca="false">IF(F21="","",F21)</f>
        <v/>
      </c>
      <c r="T21" s="1" t="str">
        <f aca="false">IF(F21="","","REPAY")</f>
        <v/>
      </c>
      <c r="U21" s="2" t="str">
        <f aca="false">IF(G21="","",G21)</f>
        <v/>
      </c>
      <c r="V21" s="1" t="str">
        <f aca="false">IF(F21="","",F21+0.2)</f>
        <v/>
      </c>
      <c r="W21" s="1" t="n">
        <v>19</v>
      </c>
      <c r="X21" s="18" t="str">
        <f aca="false" t="array" ref="X21:X21">IFERROR(SMALL(IF($S$3:$S$64&lt;&gt;"",$S$3:$S$64),18),"")</f>
        <v/>
      </c>
      <c r="Y21" s="1" t="str">
        <f aca="false">IF(X21="","",INDEX($T$3:$T$64,MATCH(X21,$S$3:$S$64,0)))</f>
        <v/>
      </c>
      <c r="Z21" s="2" t="str">
        <f aca="false">IF(X21="","",INDEX($U$3:$U$64,MATCH(X21,$S$3:$S$64,0)))</f>
        <v/>
      </c>
    </row>
    <row r="22" customFormat="false" ht="15" hidden="false" customHeight="false" outlineLevel="0" collapsed="false">
      <c r="A22" s="1" t="n">
        <v>9</v>
      </c>
      <c r="E22" s="1" t="n">
        <v>9</v>
      </c>
      <c r="S22" s="18" t="str">
        <f aca="false">IF(F22="","",F22)</f>
        <v/>
      </c>
      <c r="T22" s="1" t="str">
        <f aca="false">IF(F22="","","REPAY")</f>
        <v/>
      </c>
      <c r="U22" s="2" t="str">
        <f aca="false">IF(G22="","",G22)</f>
        <v/>
      </c>
      <c r="V22" s="1" t="str">
        <f aca="false">IF(F22="","",F22+0.2)</f>
        <v/>
      </c>
      <c r="W22" s="1" t="n">
        <v>20</v>
      </c>
      <c r="X22" s="18" t="str">
        <f aca="false" t="array" ref="X22:X22">IFERROR(SMALL(IF($S$3:$S$64&lt;&gt;"",$S$3:$S$64),19),"")</f>
        <v/>
      </c>
      <c r="Y22" s="1" t="str">
        <f aca="false">IF(X22="","",INDEX($T$3:$T$64,MATCH(X22,$S$3:$S$64,0)))</f>
        <v/>
      </c>
      <c r="Z22" s="2" t="str">
        <f aca="false">IF(X22="","",INDEX($U$3:$U$64,MATCH(X22,$S$3:$S$64,0)))</f>
        <v/>
      </c>
    </row>
    <row r="23" customFormat="false" ht="15" hidden="false" customHeight="false" outlineLevel="0" collapsed="false">
      <c r="A23" s="1" t="n">
        <v>10</v>
      </c>
      <c r="B23" s="18" t="n">
        <f aca="false">B8</f>
        <v>46178</v>
      </c>
      <c r="C23" s="2" t="n">
        <v>0</v>
      </c>
      <c r="E23" s="1" t="n">
        <v>10</v>
      </c>
      <c r="S23" s="18" t="str">
        <f aca="false">IF(F23="","",F23)</f>
        <v/>
      </c>
      <c r="T23" s="1" t="str">
        <f aca="false">IF(F23="","","REPAY")</f>
        <v/>
      </c>
      <c r="U23" s="2" t="str">
        <f aca="false">IF(G23="","",G23)</f>
        <v/>
      </c>
      <c r="V23" s="1" t="str">
        <f aca="false">IF(F23="","",F23+0.2)</f>
        <v/>
      </c>
      <c r="W23" s="1" t="n">
        <v>21</v>
      </c>
      <c r="X23" s="18" t="str">
        <f aca="false" t="array" ref="X23:X23">IFERROR(SMALL(IF($S$3:$S$64&lt;&gt;"",$S$3:$S$64),20),"")</f>
        <v/>
      </c>
      <c r="Y23" s="1" t="str">
        <f aca="false">IF(X23="","",INDEX($T$3:$T$64,MATCH(X23,$S$3:$S$64,0)))</f>
        <v/>
      </c>
      <c r="Z23" s="2" t="str">
        <f aca="false">IF(X23="","",INDEX($U$3:$U$64,MATCH(X23,$S$3:$S$64,0)))</f>
        <v/>
      </c>
    </row>
    <row r="24" customFormat="false" ht="15" hidden="false" customHeight="false" outlineLevel="0" collapsed="false">
      <c r="S24" s="18" t="str">
        <f aca="false">IFERROR(IF(AND(DATE(YEAR($B$7)+1,MONTH($B$7),DAY($B$7))&gt;_xlfn.MINIFS($B$14:$B$23,$B$14:$B$23,"&gt;0"),DATE(YEAR($B$7)+1,MONTH($B$7),DAY($B$7))&lt;=$B$8),DATE(YEAR($B$7)+1,MONTH($B$7),DAY($B$7)),""),"")</f>
        <v/>
      </c>
      <c r="T24" s="1" t="str">
        <f aca="false">IF(S24="","","ANNIV")</f>
        <v/>
      </c>
      <c r="U24" s="1" t="str">
        <f aca="false">IF(S24="","",0)</f>
        <v/>
      </c>
      <c r="V24" s="1" t="str">
        <f aca="false">IF(S24="","",S24)</f>
        <v/>
      </c>
      <c r="W24" s="1" t="n">
        <v>22</v>
      </c>
      <c r="X24" s="18" t="str">
        <f aca="false" t="array" ref="X24:X24">IFERROR(SMALL(IF($S$3:$S$64&lt;&gt;"",$S$3:$S$64),21),"")</f>
        <v/>
      </c>
      <c r="Y24" s="1" t="str">
        <f aca="false">IF(X24="","",INDEX($T$3:$T$64,MATCH(X24,$S$3:$S$64,0)))</f>
        <v/>
      </c>
      <c r="Z24" s="2" t="str">
        <f aca="false">IF(X24="","",INDEX($U$3:$U$64,MATCH(X24,$S$3:$S$64,0)))</f>
        <v/>
      </c>
    </row>
    <row r="25" customFormat="false" ht="15" hidden="false" customHeight="false" outlineLevel="0" collapsed="false">
      <c r="S25" s="18" t="str">
        <f aca="false">IFERROR(IF(AND(DATE(YEAR($B$7)+2,MONTH($B$7),DAY($B$7))&gt;_xlfn.MINIFS($B$14:$B$23,$B$14:$B$23,"&gt;0"),DATE(YEAR($B$7)+2,MONTH($B$7),DAY($B$7))&lt;=$B$8),DATE(YEAR($B$7)+2,MONTH($B$7),DAY($B$7)),""),"")</f>
        <v/>
      </c>
      <c r="T25" s="1" t="str">
        <f aca="false">IF(S25="","","ANNIV")</f>
        <v/>
      </c>
      <c r="U25" s="1" t="str">
        <f aca="false">IF(S25="","",0)</f>
        <v/>
      </c>
      <c r="V25" s="1" t="str">
        <f aca="false">IF(S25="","",S25)</f>
        <v/>
      </c>
      <c r="W25" s="1" t="n">
        <v>23</v>
      </c>
      <c r="X25" s="18" t="str">
        <f aca="false" t="array" ref="X25:X25">IFERROR(SMALL(IF($S$3:$S$64&lt;&gt;"",$S$3:$S$64),22),"")</f>
        <v/>
      </c>
      <c r="Y25" s="1" t="str">
        <f aca="false">IF(X25="","",INDEX($T$3:$T$64,MATCH(X25,$S$3:$S$64,0)))</f>
        <v/>
      </c>
      <c r="Z25" s="2" t="str">
        <f aca="false">IF(X25="","",INDEX($U$3:$U$64,MATCH(X25,$S$3:$S$64,0)))</f>
        <v/>
      </c>
    </row>
    <row r="26" customFormat="false" ht="15" hidden="false" customHeight="false" outlineLevel="0" collapsed="false">
      <c r="A26" s="1" t="s">
        <v>225</v>
      </c>
      <c r="J26" s="1" t="s">
        <v>226</v>
      </c>
      <c r="S26" s="18" t="str">
        <f aca="false">IFERROR(IF(AND(DATE(YEAR($B$7)+3,MONTH($B$7),DAY($B$7))&gt;_xlfn.MINIFS($B$14:$B$23,$B$14:$B$23,"&gt;0"),DATE(YEAR($B$7)+3,MONTH($B$7),DAY($B$7))&lt;=$B$8),DATE(YEAR($B$7)+3,MONTH($B$7),DAY($B$7)),""),"")</f>
        <v/>
      </c>
      <c r="T26" s="1" t="str">
        <f aca="false">IF(S26="","","ANNIV")</f>
        <v/>
      </c>
      <c r="U26" s="1" t="str">
        <f aca="false">IF(S26="","",0)</f>
        <v/>
      </c>
      <c r="V26" s="1" t="str">
        <f aca="false">IF(S26="","",S26)</f>
        <v/>
      </c>
      <c r="W26" s="1" t="n">
        <v>24</v>
      </c>
      <c r="X26" s="18" t="str">
        <f aca="false" t="array" ref="X26:X26">IFERROR(SMALL(IF($S$3:$S$64&lt;&gt;"",$S$3:$S$64),23),"")</f>
        <v/>
      </c>
      <c r="Y26" s="1" t="str">
        <f aca="false">IF(X26="","",INDEX($T$3:$T$64,MATCH(X26,$S$3:$S$64,0)))</f>
        <v/>
      </c>
      <c r="Z26" s="2" t="str">
        <f aca="false">IF(X26="","",INDEX($U$3:$U$64,MATCH(X26,$S$3:$S$64,0)))</f>
        <v/>
      </c>
    </row>
    <row r="27" customFormat="false" ht="15" hidden="false" customHeight="false" outlineLevel="0" collapsed="false">
      <c r="A27" s="1" t="s">
        <v>227</v>
      </c>
      <c r="B27" s="1" t="s">
        <v>228</v>
      </c>
      <c r="C27" s="1" t="s">
        <v>210</v>
      </c>
      <c r="D27" s="1" t="s">
        <v>211</v>
      </c>
      <c r="E27" s="1" t="s">
        <v>229</v>
      </c>
      <c r="F27" s="1" t="s">
        <v>230</v>
      </c>
      <c r="G27" s="1" t="s">
        <v>231</v>
      </c>
      <c r="H27" s="1" t="s">
        <v>232</v>
      </c>
      <c r="J27" s="1" t="s">
        <v>227</v>
      </c>
      <c r="K27" s="1" t="s">
        <v>96</v>
      </c>
      <c r="L27" s="1" t="s">
        <v>210</v>
      </c>
      <c r="M27" s="1" t="s">
        <v>211</v>
      </c>
      <c r="N27" s="1" t="s">
        <v>229</v>
      </c>
      <c r="O27" s="1" t="s">
        <v>233</v>
      </c>
      <c r="P27" s="1" t="s">
        <v>231</v>
      </c>
      <c r="Q27" s="1" t="s">
        <v>232</v>
      </c>
      <c r="S27" s="18" t="str">
        <f aca="false">IFERROR(IF(AND(DATE(YEAR($B$7)+4,MONTH($B$7),DAY($B$7))&gt;_xlfn.MINIFS($B$14:$B$23,$B$14:$B$23,"&gt;0"),DATE(YEAR($B$7)+4,MONTH($B$7),DAY($B$7))&lt;=$B$8),DATE(YEAR($B$7)+4,MONTH($B$7),DAY($B$7)),""),"")</f>
        <v/>
      </c>
      <c r="T27" s="1" t="str">
        <f aca="false">IF(S27="","","ANNIV")</f>
        <v/>
      </c>
      <c r="U27" s="1" t="str">
        <f aca="false">IF(S27="","",0)</f>
        <v/>
      </c>
      <c r="V27" s="1" t="str">
        <f aca="false">IF(S27="","",S27)</f>
        <v/>
      </c>
      <c r="W27" s="1" t="n">
        <v>25</v>
      </c>
      <c r="X27" s="18" t="str">
        <f aca="false" t="array" ref="X27:X27">IFERROR(SMALL(IF($S$3:$S$64&lt;&gt;"",$S$3:$S$64),24),"")</f>
        <v/>
      </c>
      <c r="Y27" s="1" t="str">
        <f aca="false">IF(X27="","",INDEX($T$3:$T$64,MATCH(X27,$S$3:$S$64,0)))</f>
        <v/>
      </c>
      <c r="Z27" s="2" t="str">
        <f aca="false">IF(X27="","",INDEX($U$3:$U$64,MATCH(X27,$S$3:$S$64,0)))</f>
        <v/>
      </c>
    </row>
    <row r="28" customFormat="false" ht="15" hidden="false" customHeight="false" outlineLevel="0" collapsed="false">
      <c r="A28" s="1" t="n">
        <f aca="false">IF(X3="","",W3)</f>
        <v>1</v>
      </c>
      <c r="B28" s="18" t="n">
        <f aca="false">IF(X3="","",X3)</f>
        <v>45213</v>
      </c>
      <c r="C28" s="1" t="str">
        <f aca="false">IF(X3="","",Y3)</f>
        <v>LOAN</v>
      </c>
      <c r="D28" s="2" t="n">
        <f aca="false">IF(X3="","",Z3)</f>
        <v>373.37</v>
      </c>
      <c r="E28" s="2" t="n">
        <v>0</v>
      </c>
      <c r="F28" s="2" t="n">
        <f aca="false">D28*((1+$B$4)^(E28/365)-1)</f>
        <v>0</v>
      </c>
      <c r="G28" s="2" t="n">
        <f aca="false">IF(B28="","",IF(C28="LOAN",D28*(1+$B$4*0),IF(C28="REPAY",-D28,0)))</f>
        <v>373.37</v>
      </c>
      <c r="H28" s="1" t="str">
        <f aca="false">IF(B28="","",IF(C28="ANNIV","Yes",""))</f>
        <v/>
      </c>
      <c r="J28" s="1" t="n">
        <f aca="false">IF(X3="","",W3)</f>
        <v>1</v>
      </c>
      <c r="K28" s="18" t="n">
        <f aca="false">IF(X3="","",X3)</f>
        <v>45213</v>
      </c>
      <c r="L28" s="1" t="str">
        <f aca="false">IF(X3="","",Y3)</f>
        <v>LOAN</v>
      </c>
      <c r="M28" s="2" t="n">
        <f aca="false">IF(X3="","",Z3)</f>
        <v>373.37</v>
      </c>
      <c r="N28" s="2" t="n">
        <f aca="false">IF(K28="","",0)</f>
        <v>0</v>
      </c>
      <c r="O28" s="2" t="n">
        <f aca="false">IF(K28="","",0)</f>
        <v>0</v>
      </c>
      <c r="P28" s="2" t="n">
        <f aca="false">IF(K28="","",IF(L28="LOAN",M28,IF(L28="REPAY",-M28,0)))</f>
        <v>373.37</v>
      </c>
      <c r="Q28" s="1" t="str">
        <f aca="false">IF(K28="","",IF(L28="ANNIV","Yes",""))</f>
        <v/>
      </c>
      <c r="S28" s="18" t="str">
        <f aca="false">IFERROR(IF(AND(DATE(YEAR($B$7)+5,MONTH($B$7),DAY($B$7))&gt;_xlfn.MINIFS($B$14:$B$23,$B$14:$B$23,"&gt;0"),DATE(YEAR($B$7)+5,MONTH($B$7),DAY($B$7))&lt;=$B$8),DATE(YEAR($B$7)+5,MONTH($B$7),DAY($B$7)),""),"")</f>
        <v/>
      </c>
      <c r="T28" s="1" t="str">
        <f aca="false">IF(S28="","","ANNIV")</f>
        <v/>
      </c>
      <c r="U28" s="1" t="str">
        <f aca="false">IF(S28="","",0)</f>
        <v/>
      </c>
      <c r="V28" s="1" t="str">
        <f aca="false">IF(S28="","",S28)</f>
        <v/>
      </c>
      <c r="W28" s="1" t="n">
        <v>26</v>
      </c>
      <c r="X28" s="18" t="str">
        <f aca="false" t="array" ref="X28:X28">IFERROR(SMALL(IF($S$3:$S$64&lt;&gt;"",$S$3:$S$64),25),"")</f>
        <v/>
      </c>
      <c r="Y28" s="1" t="str">
        <f aca="false">IF(X28="","",INDEX($T$3:$T$64,MATCH(X28,$S$3:$S$64,0)))</f>
        <v/>
      </c>
      <c r="Z28" s="2" t="str">
        <f aca="false">IF(X28="","",INDEX($U$3:$U$64,MATCH(X28,$S$3:$S$64,0)))</f>
        <v/>
      </c>
    </row>
    <row r="29" customFormat="false" ht="15" hidden="false" customHeight="false" outlineLevel="0" collapsed="false">
      <c r="A29" s="1" t="n">
        <f aca="false">IF(X4="","",W4)</f>
        <v>2</v>
      </c>
      <c r="B29" s="18" t="n">
        <f aca="false">IF(X4="","",X4)</f>
        <v>45579</v>
      </c>
      <c r="C29" s="1" t="str">
        <f aca="false">IF(X4="","",Y4)</f>
        <v>LOAN</v>
      </c>
      <c r="D29" s="2" t="n">
        <f aca="false">IF(X4="","",Z4)</f>
        <v>0</v>
      </c>
      <c r="E29" s="2" t="n">
        <f aca="false">IF(B29-B28=366,365,B29-B28)</f>
        <v>365</v>
      </c>
      <c r="F29" s="2" t="n">
        <f aca="false">D29*((1+$B$4)^(E30/365)-1)</f>
        <v>0</v>
      </c>
      <c r="G29" s="2" t="n">
        <f aca="false">IF(B29="","",G28*(1+$B$4)^(E29/365)+IF(C29="LOAN",D29*(1+$B$4)^(E29/365),IF(C29="REPAY",-D29,0)))</f>
        <v>392.0385</v>
      </c>
      <c r="H29" s="1" t="str">
        <f aca="false">IF(B29="","",IF(C29="ANNIV","Yes",""))</f>
        <v/>
      </c>
      <c r="J29" s="1" t="n">
        <f aca="false">IF(X4="","",W4)</f>
        <v>2</v>
      </c>
      <c r="K29" s="18" t="n">
        <f aca="false">IF(X4="","",X4)</f>
        <v>45579</v>
      </c>
      <c r="L29" s="1" t="str">
        <f aca="false">IF(X4="","",Y4)</f>
        <v>LOAN</v>
      </c>
      <c r="M29" s="2" t="n">
        <f aca="false">IF(X4="","",Z4)</f>
        <v>0</v>
      </c>
      <c r="N29" s="2" t="n">
        <f aca="false">IF(K29="","",IF(K28="",0,K29-K28))</f>
        <v>366</v>
      </c>
      <c r="O29" s="2" t="n">
        <f aca="false">IF(K29="","",IFERROR(P28*((1+$B$4)^(N29/365)-1),0))</f>
        <v>18.7209079486123</v>
      </c>
      <c r="P29" s="2" t="n">
        <f aca="false">IF(K29="","",P28+O29+IF(L29="LOAN",M29,IF(L29="REPAY",-M29,0)))</f>
        <v>392.090907948612</v>
      </c>
      <c r="Q29" s="1" t="str">
        <f aca="false">IF(K29="","",IF(L29="ANNIV","Yes",""))</f>
        <v/>
      </c>
      <c r="S29" s="18" t="str">
        <f aca="false">IFERROR(IF(AND(DATE(YEAR($B$7)+6,MONTH($B$7),DAY($B$7))&gt;_xlfn.MINIFS($B$14:$B$23,$B$14:$B$23,"&gt;0"),DATE(YEAR($B$7)+6,MONTH($B$7),DAY($B$7))&lt;=$B$8),DATE(YEAR($B$7)+6,MONTH($B$7),DAY($B$7)),""),"")</f>
        <v/>
      </c>
      <c r="T29" s="1" t="str">
        <f aca="false">IF(S29="","","ANNIV")</f>
        <v/>
      </c>
      <c r="U29" s="1" t="str">
        <f aca="false">IF(S29="","",0)</f>
        <v/>
      </c>
      <c r="V29" s="1" t="str">
        <f aca="false">IF(S29="","",S29)</f>
        <v/>
      </c>
      <c r="W29" s="1" t="n">
        <v>27</v>
      </c>
      <c r="X29" s="18" t="str">
        <f aca="false" t="array" ref="X29:X29">IFERROR(SMALL(IF($S$3:$S$64&lt;&gt;"",$S$3:$S$64),26),"")</f>
        <v/>
      </c>
      <c r="Y29" s="1" t="str">
        <f aca="false">IF(X29="","",INDEX($T$3:$T$64,MATCH(X29,$S$3:$S$64,0)))</f>
        <v/>
      </c>
      <c r="Z29" s="2" t="str">
        <f aca="false">IF(X29="","",INDEX($U$3:$U$64,MATCH(X29,$S$3:$S$64,0)))</f>
        <v/>
      </c>
    </row>
    <row r="30" customFormat="false" ht="15" hidden="false" customHeight="false" outlineLevel="0" collapsed="false">
      <c r="A30" s="1" t="n">
        <f aca="false">IF(X5="","",W5)</f>
        <v>3</v>
      </c>
      <c r="B30" s="18" t="n">
        <f aca="false">IF(X5="","",X5)</f>
        <v>45761</v>
      </c>
      <c r="C30" s="1" t="str">
        <f aca="false">IF(X5="","",Y5)</f>
        <v>REPAY</v>
      </c>
      <c r="D30" s="2" t="n">
        <f aca="false">IF(X5="","",Z5)</f>
        <v>20</v>
      </c>
      <c r="E30" s="2" t="n">
        <f aca="false">IF(B30-B29=366,365,B30-B29)</f>
        <v>182</v>
      </c>
      <c r="F30" s="2" t="n">
        <f aca="false">D30*((1+$B$4)^(E31/365)-1)</f>
        <v>0.495271304844631</v>
      </c>
      <c r="G30" s="2" t="n">
        <f aca="false">IF(B30="","",G29*(1+$B$4)^(E30/365)+IF(C30="LOAN",D30*(1+$B$4)^(E30/365),IF(C30="REPAY",-D30,0)))</f>
        <v>381.693072394409</v>
      </c>
      <c r="H30" s="1" t="str">
        <f aca="false">IF(B30="","",IF(C30="ANNIV","Yes",""))</f>
        <v/>
      </c>
      <c r="J30" s="1" t="n">
        <f aca="false">IF(X5="","",W5)</f>
        <v>3</v>
      </c>
      <c r="K30" s="18" t="n">
        <f aca="false">IF(X5="","",X5)</f>
        <v>45761</v>
      </c>
      <c r="L30" s="1" t="str">
        <f aca="false">IF(X5="","",Y5)</f>
        <v>REPAY</v>
      </c>
      <c r="M30" s="2" t="n">
        <f aca="false">IF(X5="","",Z5)</f>
        <v>20</v>
      </c>
      <c r="N30" s="2" t="n">
        <f aca="false">IF(K30="","",IF(K29="",0,K30-K29))</f>
        <v>182</v>
      </c>
      <c r="O30" s="2" t="n">
        <f aca="false">IF(K30="","",IFERROR(P29*((1+$B$4)^(N30/365)-1),0))</f>
        <v>9.65586302360437</v>
      </c>
      <c r="P30" s="2" t="n">
        <f aca="false">IF(K30="","",P29+O30+IF(L30="LOAN",M30,IF(L30="REPAY",-M30,0)))</f>
        <v>381.746770972217</v>
      </c>
      <c r="Q30" s="1" t="str">
        <f aca="false">IF(K30="","",IF(L30="ANNIV","Yes",""))</f>
        <v/>
      </c>
      <c r="S30" s="18" t="str">
        <f aca="false">IFERROR(IF(AND(DATE(YEAR($B$7)+7,MONTH($B$7),DAY($B$7))&gt;_xlfn.MINIFS($B$14:$B$23,$B$14:$B$23,"&gt;0"),DATE(YEAR($B$7)+7,MONTH($B$7),DAY($B$7))&lt;=$B$8),DATE(YEAR($B$7)+7,MONTH($B$7),DAY($B$7)),""),"")</f>
        <v/>
      </c>
      <c r="T30" s="1" t="str">
        <f aca="false">IF(S30="","","ANNIV")</f>
        <v/>
      </c>
      <c r="U30" s="1" t="str">
        <f aca="false">IF(S30="","",0)</f>
        <v/>
      </c>
      <c r="V30" s="1" t="str">
        <f aca="false">IF(S30="","",S30)</f>
        <v/>
      </c>
      <c r="W30" s="1" t="n">
        <v>28</v>
      </c>
      <c r="X30" s="18" t="str">
        <f aca="false" t="array" ref="X30:X30">IFERROR(SMALL(IF($S$3:$S$64&lt;&gt;"",$S$3:$S$64),27),"")</f>
        <v/>
      </c>
      <c r="Y30" s="1" t="str">
        <f aca="false">IF(X30="","",INDEX($T$3:$T$64,MATCH(X30,$S$3:$S$64,0)))</f>
        <v/>
      </c>
      <c r="Z30" s="2" t="str">
        <f aca="false">IF(X30="","",INDEX($U$3:$U$64,MATCH(X30,$S$3:$S$64,0)))</f>
        <v/>
      </c>
    </row>
    <row r="31" customFormat="false" ht="15" hidden="false" customHeight="false" outlineLevel="0" collapsed="false">
      <c r="A31" s="1" t="n">
        <f aca="false">IF(X6="","",W6)</f>
        <v>4</v>
      </c>
      <c r="B31" s="18" t="n">
        <f aca="false">IF(X6="","",X6)</f>
        <v>45944</v>
      </c>
      <c r="C31" s="1" t="str">
        <f aca="false">IF(X6="","",Y6)</f>
        <v>LOAN</v>
      </c>
      <c r="D31" s="2" t="n">
        <f aca="false">IF(X6="","",Z6)</f>
        <v>10</v>
      </c>
      <c r="E31" s="2" t="n">
        <f aca="false">IF(B31-B30=366,365,B31-B30)</f>
        <v>183</v>
      </c>
      <c r="F31" s="2" t="n">
        <f aca="false">D31*((1+$B$4)^(E32/365)-1)</f>
        <v>0.0227500250517365</v>
      </c>
      <c r="G31" s="2" t="n">
        <f aca="false">IF(B31="","",G30*(1+$B$4)^(E31/365)+IF(C31="LOAN",D31*(1+$B$4)^(E31/365),IF(C31="REPAY",-D31,0)))</f>
        <v>401.392789347578</v>
      </c>
      <c r="H31" s="1" t="str">
        <f aca="false">IF(B31="","",IF(C31="ANNIV","Yes",""))</f>
        <v/>
      </c>
      <c r="J31" s="1" t="n">
        <f aca="false">IF(X6="","",W6)</f>
        <v>4</v>
      </c>
      <c r="K31" s="18" t="n">
        <f aca="false">IF(X6="","",X6)</f>
        <v>45944</v>
      </c>
      <c r="L31" s="1" t="str">
        <f aca="false">IF(X6="","",Y6)</f>
        <v>LOAN</v>
      </c>
      <c r="M31" s="2" t="n">
        <f aca="false">IF(X6="","",Z6)</f>
        <v>10</v>
      </c>
      <c r="N31" s="2" t="n">
        <f aca="false">IF(K31="","",IF(K30="",0,K31-K30))</f>
        <v>183</v>
      </c>
      <c r="O31" s="2" t="n">
        <f aca="false">IF(K31="","",IFERROR(P30*((1+$B$4)^(N31/365)-1),0))</f>
        <v>9.45341106898171</v>
      </c>
      <c r="P31" s="2" t="n">
        <f aca="false">IF(K31="","",P30+O31+IF(L31="LOAN",M31,IF(L31="REPAY",-M31,0)))</f>
        <v>401.200182041198</v>
      </c>
      <c r="Q31" s="1" t="str">
        <f aca="false">IF(K31="","",IF(L31="ANNIV","Yes",""))</f>
        <v/>
      </c>
      <c r="S31" s="18" t="str">
        <f aca="false">IFERROR(IF(AND(DATE(YEAR($B$7)+8,MONTH($B$7),DAY($B$7))&gt;_xlfn.MINIFS($B$14:$B$23,$B$14:$B$23,"&gt;0"),DATE(YEAR($B$7)+8,MONTH($B$7),DAY($B$7))&lt;=$B$8),DATE(YEAR($B$7)+8,MONTH($B$7),DAY($B$7)),""),"")</f>
        <v/>
      </c>
      <c r="T31" s="1" t="str">
        <f aca="false">IF(S31="","","ANNIV")</f>
        <v/>
      </c>
      <c r="U31" s="1" t="str">
        <f aca="false">IF(S31="","",0)</f>
        <v/>
      </c>
      <c r="V31" s="1" t="str">
        <f aca="false">IF(S31="","",S31)</f>
        <v/>
      </c>
      <c r="W31" s="1" t="n">
        <v>29</v>
      </c>
      <c r="X31" s="18" t="str">
        <f aca="false" t="array" ref="X31:X31">IFERROR(SMALL(IF($S$3:$S$64&lt;&gt;"",$S$3:$S$64),28),"")</f>
        <v/>
      </c>
      <c r="Y31" s="1" t="str">
        <f aca="false">IF(X31="","",INDEX($T$3:$T$64,MATCH(X31,$S$3:$S$64,0)))</f>
        <v/>
      </c>
      <c r="Z31" s="2" t="str">
        <f aca="false">IF(X31="","",INDEX($U$3:$U$64,MATCH(X31,$S$3:$S$64,0)))</f>
        <v/>
      </c>
    </row>
    <row r="32" customFormat="false" ht="15" hidden="false" customHeight="false" outlineLevel="0" collapsed="false">
      <c r="A32" s="1" t="n">
        <f aca="false">IF(X7="","",W7)</f>
        <v>5</v>
      </c>
      <c r="B32" s="18" t="n">
        <f aca="false">IF(X7="","",X7)</f>
        <v>45961</v>
      </c>
      <c r="C32" s="1" t="str">
        <f aca="false">IF(X7="","",Y7)</f>
        <v>LOAN</v>
      </c>
      <c r="D32" s="2" t="n">
        <f aca="false">IF(X7="","",Z7)</f>
        <v>0</v>
      </c>
      <c r="E32" s="2" t="n">
        <f aca="false">IF(B32-B31=366,365,B32-B31)</f>
        <v>17</v>
      </c>
      <c r="F32" s="2" t="n">
        <f aca="false">D32*((1+$B$4)^(E33/365)-1)</f>
        <v>0</v>
      </c>
      <c r="G32" s="2" t="n">
        <f aca="false">IF(B32="","",G31*(1+$B$4)^(E32/365)+IF(C32="LOAN",D32*(1+$B$4)^(E32/365),IF(C32="REPAY",-D32,0)))</f>
        <v>402.305958948902</v>
      </c>
      <c r="H32" s="1" t="str">
        <f aca="false">IF(B32="","",IF(C32="ANNIV","Yes",""))</f>
        <v/>
      </c>
      <c r="J32" s="1" t="n">
        <f aca="false">IF(X7="","",W7)</f>
        <v>5</v>
      </c>
      <c r="K32" s="18" t="n">
        <f aca="false">IF(X7="","",X7)</f>
        <v>45961</v>
      </c>
      <c r="L32" s="1" t="str">
        <f aca="false">IF(X7="","",Y7)</f>
        <v>LOAN</v>
      </c>
      <c r="M32" s="2" t="n">
        <f aca="false">IF(X7="","",Z7)</f>
        <v>0</v>
      </c>
      <c r="N32" s="2" t="n">
        <f aca="false">IF(K32="","",IF(K31="",0,K32-K31))</f>
        <v>17</v>
      </c>
      <c r="O32" s="2" t="n">
        <f aca="false">IF(K32="","",IFERROR(P31*((1+$B$4)^(N32/365)-1),0))</f>
        <v>0.912731419219851</v>
      </c>
      <c r="P32" s="2" t="n">
        <f aca="false">IF(K32="","",P31+O32+IF(L32="LOAN",M32,IF(L32="REPAY",-M32,0)))</f>
        <v>402.112913460418</v>
      </c>
      <c r="Q32" s="1" t="str">
        <f aca="false">IF(K32="","",IF(L32="ANNIV","Yes",""))</f>
        <v/>
      </c>
      <c r="S32" s="18" t="str">
        <f aca="false">IFERROR(IF(AND(DATE(YEAR($B$7)+9,MONTH($B$7),DAY($B$7))&gt;_xlfn.MINIFS($B$14:$B$23,$B$14:$B$23,"&gt;0"),DATE(YEAR($B$7)+9,MONTH($B$7),DAY($B$7))&lt;=$B$8),DATE(YEAR($B$7)+9,MONTH($B$7),DAY($B$7)),""),"")</f>
        <v/>
      </c>
      <c r="T32" s="1" t="str">
        <f aca="false">IF(S32="","","ANNIV")</f>
        <v/>
      </c>
      <c r="U32" s="1" t="str">
        <f aca="false">IF(S32="","",0)</f>
        <v/>
      </c>
      <c r="V32" s="1" t="str">
        <f aca="false">IF(S32="","",S32)</f>
        <v/>
      </c>
      <c r="W32" s="1" t="n">
        <v>30</v>
      </c>
      <c r="X32" s="18" t="str">
        <f aca="false" t="array" ref="X32:X32">IFERROR(SMALL(IF($S$3:$S$64&lt;&gt;"",$S$3:$S$64),29),"")</f>
        <v/>
      </c>
      <c r="Y32" s="1" t="str">
        <f aca="false">IF(X32="","",INDEX($T$3:$T$64,MATCH(X32,$S$3:$S$64,0)))</f>
        <v/>
      </c>
      <c r="Z32" s="2" t="str">
        <f aca="false">IF(X32="","",INDEX($U$3:$U$64,MATCH(X32,$S$3:$S$64,0)))</f>
        <v/>
      </c>
    </row>
    <row r="33" customFormat="false" ht="15" hidden="false" customHeight="false" outlineLevel="0" collapsed="false">
      <c r="A33" s="1" t="n">
        <f aca="false">IF(X8="","",W8)</f>
        <v>6</v>
      </c>
      <c r="B33" s="18" t="n">
        <f aca="false">IF(X8="","",X8)</f>
        <v>46178</v>
      </c>
      <c r="C33" s="1" t="str">
        <f aca="false">IF(X8="","",Y8)</f>
        <v>VALUATION</v>
      </c>
      <c r="D33" s="2" t="n">
        <f aca="false">IF(X8="","",Z8)</f>
        <v>0</v>
      </c>
      <c r="E33" s="2" t="n">
        <f aca="false">IF(B33-B32=366,365,B33-B32)</f>
        <v>217</v>
      </c>
      <c r="F33" s="2" t="n">
        <f aca="false">D33*((1+$B$4)^(E34/365)-1)</f>
        <v>0</v>
      </c>
      <c r="G33" s="2" t="n">
        <f aca="false">IF(B33="","",G32*(1+$B$4)^(E33/365)+IF(C33="LOAN",D33*(1+$B$4)^(E33/365),IF(C33="REPAY",-D33,0)))</f>
        <v>414.146446252165</v>
      </c>
      <c r="H33" s="1" t="str">
        <f aca="false">IF(B33="","",IF(C33="ANNIV","Yes",""))</f>
        <v/>
      </c>
      <c r="J33" s="1" t="n">
        <f aca="false">IF(X8="","",W8)</f>
        <v>6</v>
      </c>
      <c r="K33" s="18" t="n">
        <f aca="false">IF(X8="","",X8)</f>
        <v>46178</v>
      </c>
      <c r="L33" s="1" t="str">
        <f aca="false">IF(X8="","",Y8)</f>
        <v>VALUATION</v>
      </c>
      <c r="M33" s="2" t="n">
        <f aca="false">IF(X8="","",Z8)</f>
        <v>0</v>
      </c>
      <c r="N33" s="2" t="n">
        <f aca="false">IF(K33="","",IF(K32="",0,K33-K32))</f>
        <v>217</v>
      </c>
      <c r="O33" s="2" t="n">
        <f aca="false">IF(K33="","",IFERROR(P32*((1+$B$4)^(N33/365)-1),0))</f>
        <v>11.834805675625</v>
      </c>
      <c r="P33" s="2" t="n">
        <f aca="false">IF(K33="","",P32+O33+IF(L33="LOAN",M33,IF(L33="REPAY",-M33,0)))</f>
        <v>413.947719136043</v>
      </c>
      <c r="Q33" s="1" t="str">
        <f aca="false">IF(K33="","",IF(L33="ANNIV","Yes",""))</f>
        <v/>
      </c>
      <c r="S33" s="18" t="str">
        <f aca="false">IFERROR(IF(AND(DATE(YEAR($B$7)+10,MONTH($B$7),DAY($B$7))&gt;_xlfn.MINIFS($B$14:$B$23,$B$14:$B$23,"&gt;0"),DATE(YEAR($B$7)+10,MONTH($B$7),DAY($B$7))&lt;=$B$8),DATE(YEAR($B$7)+10,MONTH($B$7),DAY($B$7)),""),"")</f>
        <v/>
      </c>
      <c r="T33" s="1" t="str">
        <f aca="false">IF(S33="","","ANNIV")</f>
        <v/>
      </c>
      <c r="U33" s="1" t="str">
        <f aca="false">IF(S33="","",0)</f>
        <v/>
      </c>
      <c r="V33" s="1" t="str">
        <f aca="false">IF(S33="","",S33)</f>
        <v/>
      </c>
      <c r="W33" s="1" t="n">
        <v>31</v>
      </c>
      <c r="X33" s="18" t="str">
        <f aca="false" t="array" ref="X33:X33">IFERROR(SMALL(IF($S$3:$S$64&lt;&gt;"",$S$3:$S$64),30),"")</f>
        <v/>
      </c>
      <c r="Y33" s="1" t="str">
        <f aca="false">IF(X33="","",INDEX($T$3:$T$64,MATCH(X33,$S$3:$S$64,0)))</f>
        <v/>
      </c>
      <c r="Z33" s="2" t="str">
        <f aca="false">IF(X33="","",INDEX($U$3:$U$64,MATCH(X33,$S$3:$S$64,0)))</f>
        <v/>
      </c>
    </row>
    <row r="34" customFormat="false" ht="15" hidden="false" customHeight="false" outlineLevel="0" collapsed="false">
      <c r="A34" s="1" t="str">
        <f aca="false">IF(X9="","",W9)</f>
        <v/>
      </c>
      <c r="B34" s="18" t="str">
        <f aca="false">IF(X9="","",X9)</f>
        <v/>
      </c>
      <c r="C34" s="1" t="str">
        <f aca="false">IF(X9="","",Y9)</f>
        <v/>
      </c>
      <c r="D34" s="2" t="str">
        <f aca="false">IF(X9="","",Z9)</f>
        <v/>
      </c>
      <c r="H34" s="1" t="str">
        <f aca="false">IF(B34="","",IF(C34="ANNIV","Yes",""))</f>
        <v/>
      </c>
      <c r="J34" s="1" t="str">
        <f aca="false">IF(X9="","",W9)</f>
        <v/>
      </c>
      <c r="K34" s="18" t="str">
        <f aca="false">IF(X9="","",X9)</f>
        <v/>
      </c>
      <c r="L34" s="1" t="str">
        <f aca="false">IF(X9="","",Y9)</f>
        <v/>
      </c>
      <c r="M34" s="2" t="str">
        <f aca="false">IF(X9="","",Z9)</f>
        <v/>
      </c>
      <c r="N34" s="2" t="str">
        <f aca="false">IF(K34="","",IF(K33="",0,K34-K33))</f>
        <v/>
      </c>
      <c r="O34" s="2" t="str">
        <f aca="false">IF(K34="","",IFERROR(P33*((1+$B$4)^(N34/365)-1),0))</f>
        <v/>
      </c>
      <c r="P34" s="2" t="str">
        <f aca="false">IF(K34="","",P33+O34+IF(L34="LOAN",M34,IF(L34="REPAY",-M34,0)))</f>
        <v/>
      </c>
      <c r="Q34" s="1" t="str">
        <f aca="false">IF(K34="","",IF(L34="ANNIV","Yes",""))</f>
        <v/>
      </c>
      <c r="S34" s="18" t="str">
        <f aca="false">IFERROR(IF(AND(DATE(YEAR($B$7)+11,MONTH($B$7),DAY($B$7))&gt;_xlfn.MINIFS($B$14:$B$23,$B$14:$B$23,"&gt;0"),DATE(YEAR($B$7)+11,MONTH($B$7),DAY($B$7))&lt;=$B$8),DATE(YEAR($B$7)+11,MONTH($B$7),DAY($B$7)),""),"")</f>
        <v/>
      </c>
      <c r="T34" s="1" t="str">
        <f aca="false">IF(S34="","","ANNIV")</f>
        <v/>
      </c>
      <c r="U34" s="1" t="str">
        <f aca="false">IF(S34="","",0)</f>
        <v/>
      </c>
      <c r="V34" s="1" t="str">
        <f aca="false">IF(S34="","",S34)</f>
        <v/>
      </c>
      <c r="W34" s="1" t="n">
        <v>32</v>
      </c>
      <c r="X34" s="18" t="str">
        <f aca="false" t="array" ref="X34:X34">IFERROR(SMALL(IF($S$3:$S$64&lt;&gt;"",$S$3:$S$64),31),"")</f>
        <v/>
      </c>
      <c r="Y34" s="1" t="str">
        <f aca="false">IF(X34="","",INDEX($T$3:$T$64,MATCH(X34,$S$3:$S$64,0)))</f>
        <v/>
      </c>
      <c r="Z34" s="2" t="str">
        <f aca="false">IF(X34="","",INDEX($U$3:$U$64,MATCH(X34,$S$3:$S$64,0)))</f>
        <v/>
      </c>
    </row>
    <row r="35" customFormat="false" ht="15" hidden="false" customHeight="false" outlineLevel="0" collapsed="false">
      <c r="A35" s="1" t="str">
        <f aca="false">IF(X11="","",W10)</f>
        <v/>
      </c>
      <c r="B35" s="18" t="str">
        <f aca="false">IF(X11="","",X11)</f>
        <v/>
      </c>
      <c r="C35" s="1" t="str">
        <f aca="false">IF(X11="","",Y11)</f>
        <v/>
      </c>
      <c r="D35" s="2" t="str">
        <f aca="false">IF(X10="","",Z10)</f>
        <v/>
      </c>
      <c r="H35" s="1" t="str">
        <f aca="false">IF(B35="","",IF(C35="ANNIV","Yes",""))</f>
        <v/>
      </c>
      <c r="J35" s="1" t="str">
        <f aca="false">IF(X11="","",W10)</f>
        <v/>
      </c>
      <c r="K35" s="18" t="str">
        <f aca="false">IF(X11="","",X11)</f>
        <v/>
      </c>
      <c r="L35" s="1" t="str">
        <f aca="false">IF(X11="","",Y11)</f>
        <v/>
      </c>
      <c r="M35" s="2" t="str">
        <f aca="false">IF(X11="","",Z11)</f>
        <v/>
      </c>
      <c r="N35" s="2" t="str">
        <f aca="false">IF(K35="","",IF(K34="",0,K35-K34))</f>
        <v/>
      </c>
      <c r="O35" s="2" t="str">
        <f aca="false">IF(K35="","",IFERROR(P34*((1+$B$4)^(N35/365)-1),0))</f>
        <v/>
      </c>
      <c r="P35" s="2" t="str">
        <f aca="false">IF(K35="","",P34+O35+IF(L35="LOAN",M35,IF(L35="REPAY",-M35,0)))</f>
        <v/>
      </c>
      <c r="Q35" s="1" t="str">
        <f aca="false">IF(K35="","",IF(L35="ANNIV","Yes",""))</f>
        <v/>
      </c>
      <c r="S35" s="18" t="str">
        <f aca="false">IFERROR(IF(AND(DATE(YEAR($B$7)+12,MONTH($B$7),DAY($B$7))&gt;_xlfn.MINIFS($B$14:$B$23,$B$14:$B$23,"&gt;0"),DATE(YEAR($B$7)+12,MONTH($B$7),DAY($B$7))&lt;=$B$8),DATE(YEAR($B$7)+12,MONTH($B$7),DAY($B$7)),""),"")</f>
        <v/>
      </c>
      <c r="T35" s="1" t="str">
        <f aca="false">IF(S35="","","ANNIV")</f>
        <v/>
      </c>
      <c r="U35" s="1" t="str">
        <f aca="false">IF(S35="","",0)</f>
        <v/>
      </c>
      <c r="V35" s="1" t="str">
        <f aca="false">IF(S35="","",S35)</f>
        <v/>
      </c>
      <c r="W35" s="1" t="n">
        <v>33</v>
      </c>
      <c r="X35" s="18" t="str">
        <f aca="false" t="array" ref="X35:X35">IFERROR(SMALL(IF($S$3:$S$64&lt;&gt;"",$S$3:$S$64),32),"")</f>
        <v/>
      </c>
      <c r="Y35" s="1" t="str">
        <f aca="false">IF(X35="","",INDEX($T$3:$T$64,MATCH(X35,$S$3:$S$64,0)))</f>
        <v/>
      </c>
      <c r="Z35" s="2" t="str">
        <f aca="false">IF(X35="","",INDEX($U$3:$U$64,MATCH(X35,$S$3:$S$64,0)))</f>
        <v/>
      </c>
    </row>
    <row r="36" customFormat="false" ht="15" hidden="false" customHeight="false" outlineLevel="0" collapsed="false">
      <c r="A36" s="1" t="str">
        <f aca="false">IF(X12="","",W11)</f>
        <v/>
      </c>
      <c r="B36" s="18" t="str">
        <f aca="false">IF(X12="","",X12)</f>
        <v/>
      </c>
      <c r="C36" s="1" t="str">
        <f aca="false">IF(X12="","",Y12)</f>
        <v/>
      </c>
      <c r="D36" s="2" t="str">
        <f aca="false">IF(X11="","",Z11)</f>
        <v/>
      </c>
      <c r="H36" s="1" t="str">
        <f aca="false">IF(B36="","",IF(C36="ANNIV","Yes",""))</f>
        <v/>
      </c>
      <c r="J36" s="1" t="str">
        <f aca="false">IF(X12="","",W11)</f>
        <v/>
      </c>
      <c r="K36" s="18" t="str">
        <f aca="false">IF(X12="","",X12)</f>
        <v/>
      </c>
      <c r="L36" s="1" t="str">
        <f aca="false">IF(X12="","",Y12)</f>
        <v/>
      </c>
      <c r="M36" s="2" t="str">
        <f aca="false">IF(X12="","",Z12)</f>
        <v/>
      </c>
      <c r="N36" s="2" t="str">
        <f aca="false">IF(K36="","",IF(K35="",0,K36-K35))</f>
        <v/>
      </c>
      <c r="O36" s="2" t="str">
        <f aca="false">IF(K36="","",IFERROR(P35*((1+$B$4)^(N36/365)-1),0))</f>
        <v/>
      </c>
      <c r="P36" s="2" t="str">
        <f aca="false">IF(K36="","",P35+O36+IF(L36="LOAN",M36,IF(L36="REPAY",-M36,0)))</f>
        <v/>
      </c>
      <c r="Q36" s="1" t="str">
        <f aca="false">IF(K36="","",IF(L36="ANNIV","Yes",""))</f>
        <v/>
      </c>
      <c r="S36" s="18" t="str">
        <f aca="false">IFERROR(IF(AND(DATE(YEAR($B$7)+13,MONTH($B$7),DAY($B$7))&gt;_xlfn.MINIFS($B$14:$B$23,$B$14:$B$23,"&gt;0"),DATE(YEAR($B$7)+13,MONTH($B$7),DAY($B$7))&lt;=$B$8),DATE(YEAR($B$7)+13,MONTH($B$7),DAY($B$7)),""),"")</f>
        <v/>
      </c>
      <c r="T36" s="1" t="str">
        <f aca="false">IF(S36="","","ANNIV")</f>
        <v/>
      </c>
      <c r="U36" s="1" t="str">
        <f aca="false">IF(S36="","",0)</f>
        <v/>
      </c>
      <c r="V36" s="1" t="str">
        <f aca="false">IF(S36="","",S36)</f>
        <v/>
      </c>
      <c r="W36" s="1" t="n">
        <v>34</v>
      </c>
      <c r="X36" s="18" t="str">
        <f aca="false" t="array" ref="X36:X36">IFERROR(SMALL(IF($S$3:$S$64&lt;&gt;"",$S$3:$S$64),33),"")</f>
        <v/>
      </c>
      <c r="Y36" s="1" t="str">
        <f aca="false">IF(X36="","",INDEX($T$3:$T$64,MATCH(X36,$S$3:$S$64,0)))</f>
        <v/>
      </c>
      <c r="Z36" s="2" t="str">
        <f aca="false">IF(X36="","",INDEX($U$3:$U$64,MATCH(X36,$S$3:$S$64,0)))</f>
        <v/>
      </c>
    </row>
    <row r="37" customFormat="false" ht="15" hidden="false" customHeight="false" outlineLevel="0" collapsed="false">
      <c r="A37" s="1" t="str">
        <f aca="false">IF(X13="","",W12)</f>
        <v/>
      </c>
      <c r="B37" s="18" t="str">
        <f aca="false">IF(X13="","",X13)</f>
        <v/>
      </c>
      <c r="C37" s="1" t="str">
        <f aca="false">IF(X13="","",Y13)</f>
        <v/>
      </c>
      <c r="D37" s="2" t="str">
        <f aca="false">IF(X12="","",Z12)</f>
        <v/>
      </c>
      <c r="H37" s="1" t="str">
        <f aca="false">IF(B37="","",IF(C37="ANNIV","Yes",""))</f>
        <v/>
      </c>
      <c r="J37" s="1" t="str">
        <f aca="false">IF(X13="","",W12)</f>
        <v/>
      </c>
      <c r="K37" s="18" t="str">
        <f aca="false">IF(X13="","",X13)</f>
        <v/>
      </c>
      <c r="L37" s="1" t="str">
        <f aca="false">IF(X13="","",Y13)</f>
        <v/>
      </c>
      <c r="M37" s="2" t="str">
        <f aca="false">IF(X13="","",Z13)</f>
        <v/>
      </c>
      <c r="N37" s="2" t="str">
        <f aca="false">IF(K37="","",IF(K36="",0,K37-K36))</f>
        <v/>
      </c>
      <c r="O37" s="2" t="str">
        <f aca="false">IF(K37="","",IFERROR(P36*((1+$B$4)^(N37/365)-1),0))</f>
        <v/>
      </c>
      <c r="P37" s="2" t="str">
        <f aca="false">IF(K37="","",P36+O37+IF(L37="LOAN",M37,IF(L37="REPAY",-M37,0)))</f>
        <v/>
      </c>
      <c r="Q37" s="1" t="str">
        <f aca="false">IF(K37="","",IF(L37="ANNIV","Yes",""))</f>
        <v/>
      </c>
      <c r="S37" s="18" t="str">
        <f aca="false">IFERROR(IF(AND(DATE(YEAR($B$7)+14,MONTH($B$7),DAY($B$7))&gt;_xlfn.MINIFS($B$14:$B$23,$B$14:$B$23,"&gt;0"),DATE(YEAR($B$7)+14,MONTH($B$7),DAY($B$7))&lt;=$B$8),DATE(YEAR($B$7)+14,MONTH($B$7),DAY($B$7)),""),"")</f>
        <v/>
      </c>
      <c r="T37" s="1" t="str">
        <f aca="false">IF(S37="","","ANNIV")</f>
        <v/>
      </c>
      <c r="U37" s="1" t="str">
        <f aca="false">IF(S37="","",0)</f>
        <v/>
      </c>
      <c r="V37" s="1" t="str">
        <f aca="false">IF(S37="","",S37)</f>
        <v/>
      </c>
      <c r="W37" s="1" t="n">
        <v>35</v>
      </c>
      <c r="X37" s="18" t="str">
        <f aca="false" t="array" ref="X37:X37">IFERROR(SMALL(IF($S$3:$S$64&lt;&gt;"",$S$3:$S$64),34),"")</f>
        <v/>
      </c>
      <c r="Y37" s="1" t="str">
        <f aca="false">IF(X37="","",INDEX($T$3:$T$64,MATCH(X37,$S$3:$S$64,0)))</f>
        <v/>
      </c>
      <c r="Z37" s="2" t="str">
        <f aca="false">IF(X37="","",INDEX($U$3:$U$64,MATCH(X37,$S$3:$S$64,0)))</f>
        <v/>
      </c>
    </row>
    <row r="38" customFormat="false" ht="15" hidden="false" customHeight="false" outlineLevel="0" collapsed="false">
      <c r="A38" s="1" t="str">
        <f aca="false">IF(X14="","",W13)</f>
        <v/>
      </c>
      <c r="B38" s="18" t="str">
        <f aca="false">IF(X14="","",X14)</f>
        <v/>
      </c>
      <c r="C38" s="1" t="str">
        <f aca="false">IF(X14="","",Y14)</f>
        <v/>
      </c>
      <c r="D38" s="2" t="str">
        <f aca="false">IF(X13="","",Z13)</f>
        <v/>
      </c>
      <c r="H38" s="1" t="str">
        <f aca="false">IF(B38="","",IF(C38="ANNIV","Yes",""))</f>
        <v/>
      </c>
      <c r="J38" s="1" t="str">
        <f aca="false">IF(X14="","",W13)</f>
        <v/>
      </c>
      <c r="K38" s="18" t="str">
        <f aca="false">IF(X14="","",X14)</f>
        <v/>
      </c>
      <c r="L38" s="1" t="str">
        <f aca="false">IF(X14="","",Y14)</f>
        <v/>
      </c>
      <c r="M38" s="2" t="str">
        <f aca="false">IF(X14="","",Z14)</f>
        <v/>
      </c>
      <c r="N38" s="2" t="str">
        <f aca="false">IF(K38="","",IF(K37="",0,K38-K37))</f>
        <v/>
      </c>
      <c r="O38" s="2" t="str">
        <f aca="false">IF(K38="","",IFERROR(P37*((1+$B$4)^(N38/365)-1),0))</f>
        <v/>
      </c>
      <c r="P38" s="2" t="str">
        <f aca="false">IF(K38="","",P37+O38+IF(L38="LOAN",M38,IF(L38="REPAY",-M38,0)))</f>
        <v/>
      </c>
      <c r="Q38" s="1" t="str">
        <f aca="false">IF(K38="","",IF(L38="ANNIV","Yes",""))</f>
        <v/>
      </c>
      <c r="S38" s="18" t="str">
        <f aca="false">IFERROR(IF(AND(DATE(YEAR($B$7)+15,MONTH($B$7),DAY($B$7))&gt;_xlfn.MINIFS($B$14:$B$23,$B$14:$B$23,"&gt;0"),DATE(YEAR($B$7)+15,MONTH($B$7),DAY($B$7))&lt;=$B$8),DATE(YEAR($B$7)+15,MONTH($B$7),DAY($B$7)),""),"")</f>
        <v/>
      </c>
      <c r="T38" s="1" t="str">
        <f aca="false">IF(S38="","","ANNIV")</f>
        <v/>
      </c>
      <c r="U38" s="1" t="str">
        <f aca="false">IF(S38="","",0)</f>
        <v/>
      </c>
      <c r="V38" s="1" t="str">
        <f aca="false">IF(S38="","",S38)</f>
        <v/>
      </c>
      <c r="W38" s="1" t="n">
        <v>36</v>
      </c>
      <c r="X38" s="18" t="str">
        <f aca="false" t="array" ref="X38:X38">IFERROR(SMALL(IF($S$3:$S$64&lt;&gt;"",$S$3:$S$64),35),"")</f>
        <v/>
      </c>
      <c r="Y38" s="1" t="str">
        <f aca="false">IF(X38="","",INDEX($T$3:$T$64,MATCH(X38,$S$3:$S$64,0)))</f>
        <v/>
      </c>
      <c r="Z38" s="2" t="str">
        <f aca="false">IF(X38="","",INDEX($U$3:$U$64,MATCH(X38,$S$3:$S$64,0)))</f>
        <v/>
      </c>
    </row>
    <row r="39" customFormat="false" ht="15" hidden="false" customHeight="false" outlineLevel="0" collapsed="false">
      <c r="A39" s="1" t="str">
        <f aca="false">IF(X15="","",W14)</f>
        <v/>
      </c>
      <c r="B39" s="18" t="str">
        <f aca="false">IF(X15="","",X15)</f>
        <v/>
      </c>
      <c r="C39" s="1" t="str">
        <f aca="false">IF(X15="","",Y15)</f>
        <v/>
      </c>
      <c r="D39" s="2" t="str">
        <f aca="false">IF(X14="","",Z14)</f>
        <v/>
      </c>
      <c r="H39" s="1" t="str">
        <f aca="false">IF(B39="","",IF(C39="ANNIV","Yes",""))</f>
        <v/>
      </c>
      <c r="J39" s="1" t="str">
        <f aca="false">IF(X15="","",W14)</f>
        <v/>
      </c>
      <c r="K39" s="18" t="str">
        <f aca="false">IF(X15="","",X15)</f>
        <v/>
      </c>
      <c r="L39" s="1" t="str">
        <f aca="false">IF(X15="","",Y15)</f>
        <v/>
      </c>
      <c r="M39" s="2" t="str">
        <f aca="false">IF(X15="","",Z15)</f>
        <v/>
      </c>
      <c r="N39" s="2" t="str">
        <f aca="false">IF(K39="","",IF(K38="",0,K39-K38))</f>
        <v/>
      </c>
      <c r="O39" s="2" t="str">
        <f aca="false">IF(K39="","",IFERROR(P38*((1+$B$4)^(N39/365)-1),0))</f>
        <v/>
      </c>
      <c r="P39" s="2" t="str">
        <f aca="false">IF(K39="","",P38+O39+IF(L39="LOAN",M39,IF(L39="REPAY",-M39,0)))</f>
        <v/>
      </c>
      <c r="Q39" s="1" t="str">
        <f aca="false">IF(K39="","",IF(L39="ANNIV","Yes",""))</f>
        <v/>
      </c>
      <c r="S39" s="18" t="str">
        <f aca="false">IFERROR(IF(AND(DATE(YEAR($B$7)+16,MONTH($B$7),DAY($B$7))&gt;_xlfn.MINIFS($B$14:$B$23,$B$14:$B$23,"&gt;0"),DATE(YEAR($B$7)+16,MONTH($B$7),DAY($B$7))&lt;=$B$8),DATE(YEAR($B$7)+16,MONTH($B$7),DAY($B$7)),""),"")</f>
        <v/>
      </c>
      <c r="T39" s="1" t="str">
        <f aca="false">IF(S39="","","ANNIV")</f>
        <v/>
      </c>
      <c r="U39" s="1" t="str">
        <f aca="false">IF(S39="","",0)</f>
        <v/>
      </c>
      <c r="V39" s="1" t="str">
        <f aca="false">IF(S39="","",S39)</f>
        <v/>
      </c>
      <c r="W39" s="1" t="n">
        <v>37</v>
      </c>
      <c r="X39" s="18" t="str">
        <f aca="false" t="array" ref="X39:X39">IFERROR(SMALL(IF($S$3:$S$64&lt;&gt;"",$S$3:$S$64),36),"")</f>
        <v/>
      </c>
      <c r="Y39" s="1" t="str">
        <f aca="false">IF(X39="","",INDEX($T$3:$T$64,MATCH(X39,$S$3:$S$64,0)))</f>
        <v/>
      </c>
      <c r="Z39" s="2" t="str">
        <f aca="false">IF(X39="","",INDEX($U$3:$U$64,MATCH(X39,$S$3:$S$64,0)))</f>
        <v/>
      </c>
    </row>
    <row r="40" customFormat="false" ht="15" hidden="false" customHeight="false" outlineLevel="0" collapsed="false">
      <c r="A40" s="1" t="str">
        <f aca="false">IF(X16="","",W15)</f>
        <v/>
      </c>
      <c r="B40" s="18" t="str">
        <f aca="false">IF(X16="","",X16)</f>
        <v/>
      </c>
      <c r="C40" s="1" t="str">
        <f aca="false">IF(X16="","",Y16)</f>
        <v/>
      </c>
      <c r="D40" s="2" t="str">
        <f aca="false">IF(X15="","",Z15)</f>
        <v/>
      </c>
      <c r="H40" s="1" t="str">
        <f aca="false">IF(B40="","",IF(C40="ANNIV","Yes",""))</f>
        <v/>
      </c>
      <c r="J40" s="1" t="str">
        <f aca="false">IF(X16="","",W15)</f>
        <v/>
      </c>
      <c r="K40" s="18" t="str">
        <f aca="false">IF(X16="","",X16)</f>
        <v/>
      </c>
      <c r="L40" s="1" t="str">
        <f aca="false">IF(X16="","",Y16)</f>
        <v/>
      </c>
      <c r="M40" s="2" t="str">
        <f aca="false">IF(X16="","",Z16)</f>
        <v/>
      </c>
      <c r="N40" s="2" t="str">
        <f aca="false">IF(K40="","",IF(K39="",0,K40-K39))</f>
        <v/>
      </c>
      <c r="O40" s="2" t="str">
        <f aca="false">IF(K40="","",IFERROR(P39*((1+$B$4)^(N40/365)-1),0))</f>
        <v/>
      </c>
      <c r="P40" s="2" t="str">
        <f aca="false">IF(K40="","",P39+O40+IF(L40="LOAN",M40,IF(L40="REPAY",-M40,0)))</f>
        <v/>
      </c>
      <c r="Q40" s="1" t="str">
        <f aca="false">IF(K40="","",IF(L40="ANNIV","Yes",""))</f>
        <v/>
      </c>
      <c r="S40" s="18" t="str">
        <f aca="false">IFERROR(IF(AND(DATE(YEAR($B$7)+17,MONTH($B$7),DAY($B$7))&gt;_xlfn.MINIFS($B$14:$B$23,$B$14:$B$23,"&gt;0"),DATE(YEAR($B$7)+17,MONTH($B$7),DAY($B$7))&lt;=$B$8),DATE(YEAR($B$7)+17,MONTH($B$7),DAY($B$7)),""),"")</f>
        <v/>
      </c>
      <c r="T40" s="1" t="str">
        <f aca="false">IF(S40="","","ANNIV")</f>
        <v/>
      </c>
      <c r="U40" s="1" t="str">
        <f aca="false">IF(S40="","",0)</f>
        <v/>
      </c>
      <c r="V40" s="1" t="str">
        <f aca="false">IF(S40="","",S40)</f>
        <v/>
      </c>
      <c r="X40" s="18" t="str">
        <f aca="false" t="array" ref="X40:X40">IFERROR(SMALL(IF($S$3:$S$64&lt;&gt;"",$S$3:$S$64),37),"")</f>
        <v/>
      </c>
      <c r="Y40" s="1" t="str">
        <f aca="false">IF(X40="","",INDEX($T$3:$T$64,MATCH(X40,$S$3:$S$64,0)))</f>
        <v/>
      </c>
      <c r="Z40" s="2" t="str">
        <f aca="false">IF(X40="","",INDEX($U$3:$U$64,MATCH(X40,$S$3:$S$64,0)))</f>
        <v/>
      </c>
    </row>
    <row r="41" customFormat="false" ht="15" hidden="false" customHeight="false" outlineLevel="0" collapsed="false">
      <c r="A41" s="1" t="s">
        <v>234</v>
      </c>
    </row>
    <row r="42" customFormat="false" ht="15" hidden="false" customHeight="false" outlineLevel="0" collapsed="false">
      <c r="A42" s="1" t="s">
        <v>235</v>
      </c>
    </row>
    <row r="43" customFormat="false" ht="15" hidden="false" customHeight="false" outlineLevel="0" collapsed="false">
      <c r="A43" s="1" t="s">
        <v>236</v>
      </c>
    </row>
    <row r="44" customFormat="false" ht="15" hidden="false" customHeight="false" outlineLevel="0" collapsed="false">
      <c r="A44" s="1" t="s">
        <v>237</v>
      </c>
    </row>
    <row r="45" customFormat="false" ht="15" hidden="false" customHeight="false" outlineLevel="0" collapsed="false">
      <c r="A45" s="1" t="s">
        <v>238</v>
      </c>
    </row>
    <row r="46" customFormat="false" ht="15" hidden="false" customHeight="false" outlineLevel="0" collapsed="false">
      <c r="A46" s="1" t="s">
        <v>239</v>
      </c>
    </row>
    <row r="47" customFormat="false" ht="15" hidden="false" customHeight="false" outlineLevel="0" collapsed="false">
      <c r="A47" s="1" t="s">
        <v>240</v>
      </c>
    </row>
    <row r="48" customFormat="false" ht="15" hidden="false" customHeight="false" outlineLevel="0" collapsed="false">
      <c r="A48" s="1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2026-07-06T09:13:46Z</dcterms:created>
  <dc:creator>openpyxl</dc:creator>
  <dc:description/>
  <dc:language>en-US</dc:language>
  <cp:lastModifiedBy/>
  <dcterms:modified xsi:type="dcterms:W3CDTF">2026-07-06T09:13:50Z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